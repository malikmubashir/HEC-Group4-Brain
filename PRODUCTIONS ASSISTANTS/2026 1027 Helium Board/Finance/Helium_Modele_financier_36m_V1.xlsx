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Économie unitaire" sheetId="3" state="visible" r:id="rId5"/>
    <sheet name="Modèle Prudent" sheetId="4" state="visible" r:id="rId6"/>
    <sheet name="Modèle Central" sheetId="5" state="visible" r:id="rId7"/>
    <sheet name="Modèle Ambitieux" sheetId="6" state="visible" r:id="rId8"/>
    <sheet name="Synthèse" sheetId="7" state="visible" r:id="rId9"/>
    <sheet name="Tornade" sheetId="8" state="visible" r:id="rId10"/>
    <sheet name="KPI" sheetId="9" state="visible" r:id="rId11"/>
    <sheet name="Financement" sheetId="10" state="visible" r:id="rId12"/>
    <sheet name="S01" sheetId="11" state="visible" r:id="rId13"/>
    <sheet name="S02" sheetId="12" state="visible" r:id="rId14"/>
    <sheet name="S03" sheetId="13" state="visible" r:id="rId15"/>
    <sheet name="S04" sheetId="14" state="visible" r:id="rId16"/>
    <sheet name="S05" sheetId="15" state="visible" r:id="rId17"/>
    <sheet name="S06" sheetId="16" state="visible" r:id="rId18"/>
    <sheet name="S07" sheetId="17" state="visible" r:id="rId19"/>
    <sheet name="S08" sheetId="18" state="visible" r:id="rId20"/>
    <sheet name="S09" sheetId="19" state="visible" r:id="rId21"/>
    <sheet name="S10" sheetId="20" state="visible" r:id="rId22"/>
    <sheet name="S11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<sst xmlns="http://schemas.openxmlformats.org/spreadsheetml/2006/main" count="3036" uniqueCount="510">
  <si>
    <t xml:space="preserve">Helium, modèle financier 36 mois, V1</t>
  </si>
  <si>
    <t xml:space="preserve">Objet</t>
  </si>
  <si>
    <t xml:space="preserve">Prévision mensuelle de trésorerie sur 36 mois pour le projet Helium (ex Super Majordome IA), HEC GEMM Group 4. Trois scénarios, économie unitaire, sensibilités, KPI et plan de financement.</t>
  </si>
  <si>
    <t xml:space="preserve">Statut</t>
  </si>
  <si>
    <t xml:space="preserve">Document de travail. Toutes les hypothèses sont non validées par des mesures (voir colonne Source de l'onglet Hypothèses). Aucun chiffre n'est une dépense engagée ni un financement obtenu.</t>
  </si>
  <si>
    <t xml:space="preserve">Préparé par</t>
  </si>
  <si>
    <t xml:space="preserve">Assistant IA Direction, à la demande du CEO (Malik), le 27 octobre 2026, pour Sébastien (Finance).</t>
  </si>
  <si>
    <t xml:space="preserve">Légende</t>
  </si>
  <si>
    <t xml:space="preserve">Texte bleu = entrée modifiable. Fond jaune = levier clé. Texte noir = formule. Texte vert = lien vers un autre onglet. Ne rien saisir dans les onglets Modèle et S01 à S10 en dehors de la ligne de chocs.</t>
  </si>
  <si>
    <t xml:space="preserve">Onglets</t>
  </si>
  <si>
    <t xml:space="preserve">Hypothèses (toutes les entrées, trois scénarios, sélecteur F3) · Économie unitaire (par offre, grilles de sensibilité) · Modèle Prudent / Central / Ambitieux (36 mois) · Synthèse (comparaison) · Tornade (sensibilités du Central) · S01 à S11 (copies du Central avec un choc) · KPI · Financement.</t>
  </si>
  <si>
    <t xml:space="preserve">Mécanique</t>
  </si>
  <si>
    <t xml:space="preserve">Abonnés : ouverture + acquisition payante (budget / CAC) + pilote + organique − churn. Revenus TTC → TVA → CA HT. Coûts variables = missions × coût par mission + hébergement + support. Trésorerie : encaissements TTC, coûts HT, TVA nette réglée le mois suivant, financement optionnel.</t>
  </si>
  <si>
    <t xml:space="preserve">Simplifications</t>
  </si>
  <si>
    <t xml:space="preserve">Mix par offre appliqué au total des abonnés. TVA récupérable sur tous les coûts externes (fournisseurs étrangers en autoliquidation). Pas d'impôt sur les sociétés (pertes), pas de CIR/CII, pas de délai de paiement fournisseurs. Développement MVP passé en charges.</t>
  </si>
  <si>
    <t xml:space="preserve">Sensibilités</t>
  </si>
  <si>
    <t xml:space="preserve">Onglet Tornade : Churn 5 % (churn × 1,67 (3 % → 5 %)) ; Churn 2 % (churn × 0,67 (3 % → 2 %)) ; CAC 240 € (CAC × 1,6) ; CAC 105 € (CAC × 0,7) ; Coût IA +67 % (coût par mission × 1,67 (0,18 → 0,30 €)) ; Coût IA −33 % (coût par mission × 0,67 (0,18 → 0,12 €)) ; Prix −20 % (prix × 0,8 (Premium 79 → 63 €)) ; Prix +20 % (prix × 1,2 (Premium 79 → 95 €)) ; Lancement +3 mois (retard de lancement de 3 mois) ; Coûts fixes +30 % (coûts fixes × 1,3) ; Churn 8 % (type app store) (churn × 2,67 (3 % → 8 %)).</t>
  </si>
  <si>
    <t xml:space="preserve">Contrôles effectués</t>
  </si>
  <si>
    <t xml:space="preserve">Recalcul complet sous LibreOffice, zéro erreur de formule ; mix = 100 % ; cohérence avec les ordres de grandeur Finance V3 (point bas central −173 k€, prudent −580 k€) ; hypothèses de coût IA, churn et CAC confrontées aux benchmarks publics d'octobre 2026 (sources dans la colonne G de l'onglet Hypothèses et dans l'analyse de marché).</t>
  </si>
  <si>
    <t xml:space="preserve">À faire par Finance</t>
  </si>
  <si>
    <t xml:space="preserve">Remplacer les hypothèses de coût par mission et de missions par mois par les mesures de Produit/Opérations ; remplacer CAC, conversion et churn par les cohortes du pilote ; saisir les devis MVP réels ; valider le régime de TVA et les dates d'encaissement.</t>
  </si>
  <si>
    <t xml:space="preserve">Sources internes</t>
  </si>
  <si>
    <t xml:space="preserve">0 INBOX/BMC V2 ; 2 FINANCE/PREVISIONS (Business plan Lean V1, Registre des hypothèses, Acquisition et économie unitaire) ; 2 FINANCE/TRESORERIE (Synthèse V3) ; 2 FINANCE/FINANCEMENT (Stratégie V1) ; 4 VENTES (Synthèse exécutive, Objectifs et dashboard) ; 5 PRODUIT (Contribution marketing au cadrage MVP).</t>
  </si>
  <si>
    <t xml:space="preserve">Hypothèses par scénario</t>
  </si>
  <si>
    <t xml:space="preserve">Cellules bleues = entrées modifiables. Colonne F = scénario actif (sélecteur en F3). Chaque ligne cite sa source ou dit qu'elle est une hypothèse.</t>
  </si>
  <si>
    <t xml:space="preserve">Scénario actif (1 = Prudent, 2 = Central, 3 = Ambitieux)</t>
  </si>
  <si>
    <t xml:space="preserve">Hypothèse</t>
  </si>
  <si>
    <t xml:space="preserve">Unité</t>
  </si>
  <si>
    <t xml:space="preserve">Prudent</t>
  </si>
  <si>
    <t xml:space="preserve">Central</t>
  </si>
  <si>
    <t xml:space="preserve">Ambitieux</t>
  </si>
  <si>
    <t xml:space="preserve">Actif</t>
  </si>
  <si>
    <t xml:space="preserve">Source / commentaire</t>
  </si>
  <si>
    <t xml:space="preserve">Calendrier</t>
  </si>
  <si>
    <t xml:space="preserve">Date de début du modèle (M1)</t>
  </si>
  <si>
    <t xml:space="preserve">date</t>
  </si>
  <si>
    <t xml:space="preserve">Hypothèse de calendrier : M1 = novembre 2026. Modifiable.</t>
  </si>
  <si>
    <t xml:space="preserve">Mois de démarrage du pilote payant</t>
  </si>
  <si>
    <t xml:space="preserve">mois</t>
  </si>
  <si>
    <t xml:space="preserve">Plan Ventes 90 jours : 10 pilotes payants entre J31 et J60 (4 VENTES/2026 1027 01 Synthese executive).</t>
  </si>
  <si>
    <t xml:space="preserve">Taille de la cohorte pilote payante</t>
  </si>
  <si>
    <t xml:space="preserve">abonnés</t>
  </si>
  <si>
    <t xml:space="preserve">Même source. Les pilotes paient le prix public.</t>
  </si>
  <si>
    <t xml:space="preserve">Mois de lancement commercial</t>
  </si>
  <si>
    <t xml:space="preserve">Finance V3 : lancement M7 (central) / M10 (prudent). Source : 2 FINANCE/TRESORERIE/2026 1027 Synthese tresorerie V3.</t>
  </si>
  <si>
    <t xml:space="preserve">Prix et mix (TTC par mois)</t>
  </si>
  <si>
    <t xml:space="preserve">Prix Personal TTC</t>
  </si>
  <si>
    <t xml:space="preserve">€/mois</t>
  </si>
  <si>
    <t xml:space="preserve">BMC V2, hypothèse H01 non validée. À tester (Van Westendorp).</t>
  </si>
  <si>
    <t xml:space="preserve">Prix Premium TTC</t>
  </si>
  <si>
    <t xml:space="preserve">BMC V2, hypothèse H01 non validée.</t>
  </si>
  <si>
    <t xml:space="preserve">Prix Family TTC</t>
  </si>
  <si>
    <t xml:space="preserve">TVA</t>
  </si>
  <si>
    <t xml:space="preserve">%</t>
  </si>
  <si>
    <t xml:space="preserve">Taux normal France (hypothèse H02). Ventes B2C UE hors France : TVA du pays du client (OSS).</t>
  </si>
  <si>
    <t xml:space="preserve">Part Personal dans les abonnés</t>
  </si>
  <si>
    <t xml:space="preserve">Hypothèse de mix. Aucune donnée observée.</t>
  </si>
  <si>
    <t xml:space="preserve">Part Premium</t>
  </si>
  <si>
    <t xml:space="preserve">Hypothèse de mix.</t>
  </si>
  <si>
    <t xml:space="preserve">Part Family</t>
  </si>
  <si>
    <t xml:space="preserve">Hypothèse de mix. Doit sommer à 100 % avec les deux lignes précédentes.</t>
  </si>
  <si>
    <t xml:space="preserve">Acquisition</t>
  </si>
  <si>
    <t xml:space="preserve">Budget d'acquisition mensuel, du lancement à M12</t>
  </si>
  <si>
    <t xml:space="preserve">€ HT/mois</t>
  </si>
  <si>
    <t xml:space="preserve">Hypothèse. Finance V3 : 24 188 € d'acquisition en A1 (central).</t>
  </si>
  <si>
    <t xml:space="preserve">Budget d'acquisition mensuel, M13 à M24</t>
  </si>
  <si>
    <t xml:space="preserve">Hypothèse. Finance V3 : 121 688 € en A2.</t>
  </si>
  <si>
    <t xml:space="preserve">Budget d'acquisition mensuel, M25 à M36</t>
  </si>
  <si>
    <t xml:space="preserve">Hypothèse. Finance V3 : 340 275 € en A3.</t>
  </si>
  <si>
    <t xml:space="preserve">CAC (coût par abonné payant acquis)</t>
  </si>
  <si>
    <t xml:space="preserve">€</t>
  </si>
  <si>
    <t xml:space="preserve">Hypothèse H04 (150 €) et prudent (240 €). Benchmarks : CPI iOS 4,70 $ (Adapty 2026) / conversion téléchargement → payant 2 % (RevenueCat 2026) ≈ 235 $ par abonné payant en acquisition payante ; 44 $ avec paywall et essai. Réseau et parrainage visés pour rester sous 150 €. Non mesuré.</t>
  </si>
  <si>
    <t xml:space="preserve">Acquisition organique (parrainage), % de la base par mois</t>
  </si>
  <si>
    <t xml:space="preserve">Hypothèse. À mesurer pendant le pilote.</t>
  </si>
  <si>
    <t xml:space="preserve">Rétention et encaissement</t>
  </si>
  <si>
    <t xml:space="preserve">Churn mensuel (résiliations / abonnés début de mois)</t>
  </si>
  <si>
    <t xml:space="preserve">Hypothèse H05 (3 %). Benchmarks : Recurly juillet 2026, ARPU 10 à 25 $ : 4,3 % par mois ; ProfitWell, ARPU 25 à 50 $ : 6,9 % par mois ; RevenueCat 2026, applications IA en plan mensuel : 6 % de rétention à 12 mois (churn précoce très élevé). Prudent fixé à 6 %. Non mesuré.</t>
  </si>
  <si>
    <t xml:space="preserve">Impayés, % de la facturation</t>
  </si>
  <si>
    <t xml:space="preserve">Scénario prudent Finance : 2 %.</t>
  </si>
  <si>
    <t xml:space="preserve">Frais de paiement, % du montant encaissé</t>
  </si>
  <si>
    <t xml:space="preserve">Ordre de grandeur Stripe cartes EEE : 1,5 % + 0,25 €. À vérifier sur la grille en vigueur.</t>
  </si>
  <si>
    <t xml:space="preserve">Frais de paiement fixes par transaction</t>
  </si>
  <si>
    <t xml:space="preserve">Idem.</t>
  </si>
  <si>
    <t xml:space="preserve">Coûts variables (HT, par abonné et par mois)</t>
  </si>
  <si>
    <t xml:space="preserve">Missions exécutées par mois, Personal</t>
  </si>
  <si>
    <t xml:space="preserve">missions</t>
  </si>
  <si>
    <t xml:space="preserve">Hypothèse d'usage. À mesurer (demande de cadrage Finance → Produit).</t>
  </si>
  <si>
    <t xml:space="preserve">Missions exécutées par mois, Premium</t>
  </si>
  <si>
    <t xml:space="preserve">Hypothèse : 2 missions par jour ouvré.</t>
  </si>
  <si>
    <t xml:space="preserve">Missions exécutées par mois, Family</t>
  </si>
  <si>
    <t xml:space="preserve">Hypothèse.</t>
  </si>
  <si>
    <t xml:space="preserve">Coût IA et outils par mission (tokens, API, reprises)</t>
  </si>
  <si>
    <t xml:space="preserve">€ HT</t>
  </si>
  <si>
    <t xml:space="preserve">Estimation : 30 k tokens entrants + 3 k sortants par mission sur un modèle de classe Sonnet 5.5 / GPT-6.1 Sol / Gemini 4 Argon (2 $ / 10 $ par million, octobre 2026) = 0,09 $ ; ×3 pour reprises et contexte = 0,27 $ ; avec routage de 70 % des étapes vers la classe Haiku / Luna / Flash (0,10 $ par million) ≈ 0,10 $. Référence externe : tau-bench retail 0,40 $ par tâche (modèle 2025). À mesurer sur les missions 1 et 5.</t>
  </si>
  <si>
    <t xml:space="preserve">Hébergement, stockage, connecteurs</t>
  </si>
  <si>
    <t xml:space="preserve">Support humain (minutes × coût horaire)</t>
  </si>
  <si>
    <t xml:space="preserve">Coûts fixes (HT, par mois)</t>
  </si>
  <si>
    <t xml:space="preserve">Nombre de fondateurs rémunérés à partir du mois ci-dessous</t>
  </si>
  <si>
    <t xml:space="preserve">personnes</t>
  </si>
  <si>
    <t xml:space="preserve">Hypothèse Finance : fondateurs non rémunérés M1 à M12.</t>
  </si>
  <si>
    <t xml:space="preserve">Premier mois de rémunération des fondateurs</t>
  </si>
  <si>
    <t xml:space="preserve">Coût chargé mensuel par fondateur rémunéré</t>
  </si>
  <si>
    <t xml:space="preserve">Hypothèse modeste (≈ 3 000 € nets + charges, régime assimilé salarié).</t>
  </si>
  <si>
    <t xml:space="preserve">Embauche 1 (growth / customer success), premier mois</t>
  </si>
  <si>
    <t xml:space="preserve">Plan Ventes : growth 0,5 ETP puis customer success.</t>
  </si>
  <si>
    <t xml:space="preserve">Coût chargé mensuel, embauche 1</t>
  </si>
  <si>
    <t xml:space="preserve">Embauche 2 (ingénieur), premier mois</t>
  </si>
  <si>
    <t xml:space="preserve">Coût chargé mensuel, embauche 2</t>
  </si>
  <si>
    <t xml:space="preserve">Budget MVP externe (développement, UX, sécurité, juridique)</t>
  </si>
  <si>
    <t xml:space="preserve">Business plan Lean V1 : 77 050 € HT (central), 100 000 € (prudent). Étalé de M1 au mois précédant le lancement.</t>
  </si>
  <si>
    <t xml:space="preserve">Outils et SaaS</t>
  </si>
  <si>
    <t xml:space="preserve">Juridique et expertise comptable</t>
  </si>
  <si>
    <t xml:space="preserve">Assurance RC professionnelle (à partir du lancement)</t>
  </si>
  <si>
    <t xml:space="preserve">Hypothèse. Pas de TVA.</t>
  </si>
  <si>
    <t xml:space="preserve">Marketing fixe (marque, contenu), à partir du lancement</t>
  </si>
  <si>
    <t xml:space="preserve">Frais généraux</t>
  </si>
  <si>
    <t xml:space="preserve">Audit de sécurité annuel (évaluation CASA Tier 2 pour les scopes Gmail restreints, renouvelée chaque année)</t>
  </si>
  <si>
    <t xml:space="preserve">€ HT/an</t>
  </si>
  <si>
    <t xml:space="preserve">Scopes Gmail « restreints » : vérification Google + CASA Tier 2 annuelle, laboratoires 540 à 3 000 $ et plus, 4 à 6 semaines (Nango, Switch Labs, 2026). Le montant inclut le temps de préparation interne.</t>
  </si>
  <si>
    <t xml:space="preserve">Frais de constitution (M2)</t>
  </si>
  <si>
    <t xml:space="preserve">Hypothèse : immatriculation, conseil, dépôt de marque.</t>
  </si>
  <si>
    <t xml:space="preserve">Réserve de sécurité cible</t>
  </si>
  <si>
    <t xml:space="preserve">Finance V3 : 60 000 € (prudent), 40 500 € (central).</t>
  </si>
  <si>
    <t xml:space="preserve">Trésorerie initiale (apports déjà versés)</t>
  </si>
  <si>
    <t xml:space="preserve">Non établi par les sources.</t>
  </si>
  <si>
    <t xml:space="preserve">Financement (désactivé par défaut : 0 = trésorerie avant financement)</t>
  </si>
  <si>
    <t xml:space="preserve">Inclure le financement dans la trésorerie (1 = oui, 0 = non)</t>
  </si>
  <si>
    <t xml:space="preserve">0/1</t>
  </si>
  <si>
    <t xml:space="preserve">Mettre 1 pour simuler le plan de financement de l'onglet Financement.</t>
  </si>
  <si>
    <t xml:space="preserve">Tranche 1, mois</t>
  </si>
  <si>
    <t xml:space="preserve">Voir onglet Financement.</t>
  </si>
  <si>
    <t xml:space="preserve">Tranche 1, montant</t>
  </si>
  <si>
    <t xml:space="preserve">Apports fondateurs, hypothèse.</t>
  </si>
  <si>
    <t xml:space="preserve">Tranche 2, mois</t>
  </si>
  <si>
    <t xml:space="preserve">À la création / au lancement.</t>
  </si>
  <si>
    <t xml:space="preserve">Tranche 2, montant</t>
  </si>
  <si>
    <t xml:space="preserve">Prêts d'honneur, Bourse French Tech, business angels : éligibilité non vérifiée.</t>
  </si>
  <si>
    <t xml:space="preserve">Tranche 3, mois</t>
  </si>
  <si>
    <t xml:space="preserve">Tranche 3, montant</t>
  </si>
  <si>
    <t xml:space="preserve">Amorçage, sous réserve de traction.</t>
  </si>
  <si>
    <t xml:space="preserve">Contrôle : somme du mix (doit être 100 %)</t>
  </si>
  <si>
    <t xml:space="preserve">Économie unitaire (scénario actif)</t>
  </si>
  <si>
    <t xml:space="preserve">Par abonné et par mois, HT. Référence : colonne Actif de l'onglet Hypothèses.</t>
  </si>
  <si>
    <t xml:space="preserve">Ligne</t>
  </si>
  <si>
    <t xml:space="preserve">Personal</t>
  </si>
  <si>
    <t xml:space="preserve">Premium</t>
  </si>
  <si>
    <t xml:space="preserve">Family</t>
  </si>
  <si>
    <t xml:space="preserve">Mix pondéré</t>
  </si>
  <si>
    <t xml:space="preserve">Prix TTC</t>
  </si>
  <si>
    <t xml:space="preserve">Prix HT</t>
  </si>
  <si>
    <t xml:space="preserve">Missions par mois</t>
  </si>
  <si>
    <t xml:space="preserve">Coût IA et outils</t>
  </si>
  <si>
    <t xml:space="preserve">Hébergement</t>
  </si>
  <si>
    <t xml:space="preserve">Support</t>
  </si>
  <si>
    <t xml:space="preserve">Frais de paiement</t>
  </si>
  <si>
    <t xml:space="preserve">Impayés (HT)</t>
  </si>
  <si>
    <t xml:space="preserve">Contribution par abonné et par mois</t>
  </si>
  <si>
    <t xml:space="preserve">Marge variable (% du prix HT)</t>
  </si>
  <si>
    <t xml:space="preserve">Payback du CAC (mois)</t>
  </si>
  <si>
    <t xml:space="preserve">LTV contributive simplifiée (contribution / churn)</t>
  </si>
  <si>
    <t xml:space="preserve">LTV / CAC</t>
  </si>
  <si>
    <t xml:space="preserve">Grille LTV / CAC, abonné Premium : churn mensuel (lignes) × CAC (colonnes)</t>
  </si>
  <si>
    <t xml:space="preserve">Churn \ CAC</t>
  </si>
  <si>
    <t xml:space="preserve">Grille contribution Premium (€ HT/mois) : coût par mission (lignes) × missions par mois (colonnes)</t>
  </si>
  <si>
    <t xml:space="preserve">Coût/mission \ Missions</t>
  </si>
  <si>
    <t xml:space="preserve">Modèle Prudent (36 mois)</t>
  </si>
  <si>
    <t xml:space="preserve">Flux en € HT sauf mention TTC. Formules vivantes ; ne saisir que dans l'onglet Hypothèses et la ligne de chocs ci-dessous.</t>
  </si>
  <si>
    <t xml:space="preserve">Chocs de sensibilité (1 = aucun ; retard en mois)</t>
  </si>
  <si>
    <t xml:space="preserve">Prix ×</t>
  </si>
  <si>
    <t xml:space="preserve">Churn ×</t>
  </si>
  <si>
    <t xml:space="preserve">CAC ×</t>
  </si>
  <si>
    <t xml:space="preserve">Coût IA ×</t>
  </si>
  <si>
    <t xml:space="preserve">Coûts fixes ×</t>
  </si>
  <si>
    <t xml:space="preserve">Retard lancement (mois)</t>
  </si>
  <si>
    <t xml:space="preserve">Mois de lancement effectif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</si>
  <si>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</si>
  <si>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</si>
  <si>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</si>
  <si>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</si>
  <si>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</si>
  <si>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</si>
  <si>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</si>
  <si>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</si>
  <si>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</si>
  <si>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</si>
  <si>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</si>
  <si>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</si>
  <si>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</si>
  <si>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</si>
  <si>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</si>
  <si>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</si>
  <si>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</si>
  <si>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</si>
  <si>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</si>
  <si>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</si>
  <si>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</si>
  <si>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</si>
  <si>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</si>
  <si>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</si>
  <si>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</si>
  <si>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</si>
  <si>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</si>
  <si>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</si>
  <si>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</si>
  <si>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</si>
  <si>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</si>
  <si>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</si>
  <si>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</si>
  <si>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</si>
  <si>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</si>
  <si>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</si>
  <si>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Année 1</t>
  </si>
  <si>
    <t xml:space="preserve">Année 2</t>
  </si>
  <si>
    <t xml:space="preserve">Année 3</t>
  </si>
  <si>
    <t xml:space="preserve">Mois</t>
  </si>
  <si>
    <t xml:space="preserve">n°</t>
  </si>
  <si>
    <t xml:space="preserve">Date</t>
  </si>
  <si>
    <t xml:space="preserve">Lancé ? (1 = oui)</t>
  </si>
  <si>
    <t xml:space="preserve">Pilote en cours ? (1 = oui)</t>
  </si>
  <si>
    <t xml:space="preserve">Budget d'acquisition du mois</t>
  </si>
  <si>
    <t xml:space="preserve">Abonnés</t>
  </si>
  <si>
    <t xml:space="preserve">Abonnés en début de mois</t>
  </si>
  <si>
    <t xml:space="preserve">Nouveaux abonnés par acquisition payante</t>
  </si>
  <si>
    <t xml:space="preserve">Nouveaux abonnés pilote</t>
  </si>
  <si>
    <t xml:space="preserve">Nouveaux abonnés organiques (parrainage)</t>
  </si>
  <si>
    <t xml:space="preserve">Résiliations</t>
  </si>
  <si>
    <t xml:space="preserve">Abonnés en fin de mois</t>
  </si>
  <si>
    <t xml:space="preserve">dont Personal</t>
  </si>
  <si>
    <t xml:space="preserve">dont Premium</t>
  </si>
  <si>
    <t xml:space="preserve">dont Family</t>
  </si>
  <si>
    <t xml:space="preserve">Revenus</t>
  </si>
  <si>
    <t xml:space="preserve">Facturation Personal TTC</t>
  </si>
  <si>
    <t xml:space="preserve">€ TTC</t>
  </si>
  <si>
    <t xml:space="preserve">Facturation Premium TTC</t>
  </si>
  <si>
    <t xml:space="preserve">Facturation Family TTC</t>
  </si>
  <si>
    <t xml:space="preserve">Facturation totale TTC (MRR TTC)</t>
  </si>
  <si>
    <t xml:space="preserve">TVA collectée</t>
  </si>
  <si>
    <t xml:space="preserve">Chiffre d'affaires HT</t>
  </si>
  <si>
    <t xml:space="preserve">Impayés (TTC)</t>
  </si>
  <si>
    <t xml:space="preserve">Encaissements nets TTC</t>
  </si>
  <si>
    <t xml:space="preserve">Coûts variables</t>
  </si>
  <si>
    <t xml:space="preserve">Coût IA et outils (missions × coût par mission)</t>
  </si>
  <si>
    <t xml:space="preserve">Support humain</t>
  </si>
  <si>
    <t xml:space="preserve">Total coûts variables</t>
  </si>
  <si>
    <t xml:space="preserve">Marge sur coûts variables (CA HT − variables − frais − impayés HT)</t>
  </si>
  <si>
    <t xml:space="preserve">Acquisition et coûts fixes</t>
  </si>
  <si>
    <t xml:space="preserve">Dépenses d'acquisition</t>
  </si>
  <si>
    <t xml:space="preserve">Rémunération des fondateurs</t>
  </si>
  <si>
    <t xml:space="preserve">Salarié 1 (growth / customer success)</t>
  </si>
  <si>
    <t xml:space="preserve">Salarié 2 (ingénieur)</t>
  </si>
  <si>
    <t xml:space="preserve">Développement MVP externe (étalé jusqu'au lancement)</t>
  </si>
  <si>
    <t xml:space="preserve">Juridique et comptabilité</t>
  </si>
  <si>
    <t xml:space="preserve">Assurance RC pro</t>
  </si>
  <si>
    <t xml:space="preserve">Marketing fixe</t>
  </si>
  <si>
    <t xml:space="preserve">Audit de sécurité (annuel, à partir du lancement)</t>
  </si>
  <si>
    <t xml:space="preserve">Frais de constitution</t>
  </si>
  <si>
    <t xml:space="preserve">Total coûts fixes</t>
  </si>
  <si>
    <t xml:space="preserve">EBITDA (marge variable − acquisition − fixes)</t>
  </si>
  <si>
    <t xml:space="preserve">EBITDA positif ? (1 = oui)</t>
  </si>
  <si>
    <t xml:space="preserve">Trésorerie</t>
  </si>
  <si>
    <t xml:space="preserve">TVA collectée reversée (mois suivant)</t>
  </si>
  <si>
    <t xml:space="preserve">TVA déductible récupérée (mois suivant, coûts externes)</t>
  </si>
  <si>
    <t xml:space="preserve">Financement reçu</t>
  </si>
  <si>
    <t xml:space="preserve">Trésorerie d'ouverture</t>
  </si>
  <si>
    <t xml:space="preserve">Flux de trésorerie du mois</t>
  </si>
  <si>
    <t xml:space="preserve">Trésorerie de clôture</t>
  </si>
  <si>
    <t xml:space="preserve">Financement cumulé</t>
  </si>
  <si>
    <t xml:space="preserve">Trésorerie cumulée hors financement</t>
  </si>
  <si>
    <t xml:space="preserve">Point bas glissant hors financement</t>
  </si>
  <si>
    <t xml:space="preserve">Trésorerie cumulée hors financement positive après lancement ? (1 = oui)</t>
  </si>
  <si>
    <t xml:space="preserve">Indicateurs</t>
  </si>
  <si>
    <t xml:space="preserve">ARR HT instantané (CA HT × 12)</t>
  </si>
  <si>
    <t xml:space="preserve">ARPA HT (CA HT / abonnés)</t>
  </si>
  <si>
    <t xml:space="preserve">Coût variable par abonné</t>
  </si>
  <si>
    <t xml:space="preserve">Contribution par abonné</t>
  </si>
  <si>
    <t xml:space="preserve">Marge variable (% du CA HT)</t>
  </si>
  <si>
    <t xml:space="preserve">CAC effectif</t>
  </si>
  <si>
    <t xml:space="preserve">x</t>
  </si>
  <si>
    <t xml:space="preserve">Modèle Central (36 mois)</t>
  </si>
  <si>
    <t xml:space="preserve">Modèle Ambitieux (36 mois)</t>
  </si>
  <si>
    <t xml:space="preserve">Synthèse des scénarios</t>
  </si>
  <si>
    <t xml:space="preserve">Toutes les valeurs sont calculées à partir des onglets Modèle. Trésorerie hors financement sauf mention contraire.</t>
  </si>
  <si>
    <t xml:space="preserve">Indicateur</t>
  </si>
  <si>
    <t xml:space="preserve">Modèle Prudent</t>
  </si>
  <si>
    <t xml:space="preserve">Modèle Central</t>
  </si>
  <si>
    <t xml:space="preserve">Modèle Ambitieux</t>
  </si>
  <si>
    <t xml:space="preserve">Point bas de trésorerie hors financement</t>
  </si>
  <si>
    <t xml:space="preserve">Mois du point bas</t>
  </si>
  <si>
    <t xml:space="preserve">Besoin de financement (−point bas + réserve)</t>
  </si>
  <si>
    <t xml:space="preserve">Trésorerie cumulée hors financement fin A1</t>
  </si>
  <si>
    <t xml:space="preserve">Trésorerie cumulée hors financement fin A2</t>
  </si>
  <si>
    <t xml:space="preserve">Trésorerie cumulée hors financement fin A3</t>
  </si>
  <si>
    <t xml:space="preserve">Premier mois d'EBITDA positif</t>
  </si>
  <si>
    <t xml:space="preserve">Premier mois de trésorerie cumulée positive (hors financement)</t>
  </si>
  <si>
    <t xml:space="preserve">Abonnés actifs fin A1</t>
  </si>
  <si>
    <t xml:space="preserve">Abonnés actifs fin A2</t>
  </si>
  <si>
    <t xml:space="preserve">Abonnés actifs fin A3</t>
  </si>
  <si>
    <t xml:space="preserve">Chiffre d'affaires HT A1</t>
  </si>
  <si>
    <t xml:space="preserve">Chiffre d'affaires HT A2</t>
  </si>
  <si>
    <t xml:space="preserve">Chiffre d'affaires HT A3</t>
  </si>
  <si>
    <t xml:space="preserve">EBITDA A1</t>
  </si>
  <si>
    <t xml:space="preserve">EBITDA A2</t>
  </si>
  <si>
    <t xml:space="preserve">EBITDA A3</t>
  </si>
  <si>
    <t xml:space="preserve">ARR HT instantané à M36</t>
  </si>
  <si>
    <t xml:space="preserve">Coût variable par abonné à M36</t>
  </si>
  <si>
    <t xml:space="preserve">Marge variable à M36</t>
  </si>
  <si>
    <t xml:space="preserve">Payback du CAC à M36</t>
  </si>
  <si>
    <t xml:space="preserve">LTV / CAC à M36</t>
  </si>
  <si>
    <t xml:space="preserve">Dépenses d'acquisition cumulées (36 mois)</t>
  </si>
  <si>
    <t xml:space="preserve">Coûts fixes cumulés (36 mois)</t>
  </si>
  <si>
    <t xml:space="preserve">Lecture : le besoin de financement est le montant à réunir avant le lancement pour ne jamais passer sous la réserve cible, si les hypothèses du scénario se réalisent. Aucun financement n'est acquis.</t>
  </si>
  <si>
    <t xml:space="preserve">Sensibilité du scénario Central (tornade)</t>
  </si>
  <si>
    <t xml:space="preserve">Chaque cas est un onglet S01 à S10 : copie vivante du modèle Central avec un seul choc. Les écarts se recalculent.</t>
  </si>
  <si>
    <t xml:space="preserve">Cas</t>
  </si>
  <si>
    <t xml:space="preserve">Choc</t>
  </si>
  <si>
    <t xml:space="preserve">Point bas hors financement</t>
  </si>
  <si>
    <t xml:space="preserve">Écart vs Central</t>
  </si>
  <si>
    <t xml:space="preserve">Besoin de financement</t>
  </si>
  <si>
    <t xml:space="preserve">Trésorerie fin A3 hors financement</t>
  </si>
  <si>
    <t xml:space="preserve">1er mois EBITDA &gt; 0</t>
  </si>
  <si>
    <t xml:space="preserve">Abonnés fin A3</t>
  </si>
  <si>
    <t xml:space="preserve">Écart de trésorerie fin A3 vs Central</t>
  </si>
  <si>
    <t xml:space="preserve">Central (base)</t>
  </si>
  <si>
    <t xml:space="preserve">aucun</t>
  </si>
  <si>
    <t xml:space="preserve">Churn 5 %</t>
  </si>
  <si>
    <t xml:space="preserve">churn × 1,67 (3 % → 5 %)</t>
  </si>
  <si>
    <t xml:space="preserve">Churn 2 %</t>
  </si>
  <si>
    <t xml:space="preserve">churn × 0,67 (3 % → 2 %)</t>
  </si>
  <si>
    <t xml:space="preserve">CAC 240 €</t>
  </si>
  <si>
    <t xml:space="preserve">CAC × 1,6</t>
  </si>
  <si>
    <t xml:space="preserve">CAC 105 €</t>
  </si>
  <si>
    <t xml:space="preserve">CAC × 0,7</t>
  </si>
  <si>
    <t xml:space="preserve">Coût IA +67 %</t>
  </si>
  <si>
    <t xml:space="preserve">coût par mission × 1,67 (0,18 → 0,30 €)</t>
  </si>
  <si>
    <t xml:space="preserve">Coût IA −33 %</t>
  </si>
  <si>
    <t xml:space="preserve">coût par mission × 0,67 (0,18 → 0,12 €)</t>
  </si>
  <si>
    <t xml:space="preserve">Prix −20 %</t>
  </si>
  <si>
    <t xml:space="preserve">prix × 0,8 (Premium 79 → 63 €)</t>
  </si>
  <si>
    <t xml:space="preserve">Prix +20 %</t>
  </si>
  <si>
    <t xml:space="preserve">prix × 1,2 (Premium 79 → 95 €)</t>
  </si>
  <si>
    <t xml:space="preserve">Lancement +3 mois</t>
  </si>
  <si>
    <t xml:space="preserve">retard de lancement de 3 mois</t>
  </si>
  <si>
    <t xml:space="preserve">Coûts fixes +30 %</t>
  </si>
  <si>
    <t xml:space="preserve">coûts fixes × 1,3</t>
  </si>
  <si>
    <t xml:space="preserve">Churn 8 % (type app store)</t>
  </si>
  <si>
    <t xml:space="preserve">churn × 2,67 (3 % → 8 %)</t>
  </si>
  <si>
    <t xml:space="preserve">Architecture de KPI</t>
  </si>
  <si>
    <t xml:space="preserve">Sept indicateurs au niveau Board, huit au niveau équipe. Seuils fixés avant de voir les données ; chaque métrique est appariée à une contre-métrique.</t>
  </si>
  <si>
    <t xml:space="preserve">Niveau</t>
  </si>
  <si>
    <t xml:space="preserve">Formule</t>
  </si>
  <si>
    <t xml:space="preserve">Décision qu'il change</t>
  </si>
  <si>
    <t xml:space="preserve">Propriétaire</t>
  </si>
  <si>
    <t xml:space="preserve">Avance / retard</t>
  </si>
  <si>
    <t xml:space="preserve">Vert</t>
  </si>
  <si>
    <t xml:space="preserve">Ambre (action)</t>
  </si>
  <si>
    <t xml:space="preserve">Rouge (action)</t>
  </si>
  <si>
    <t xml:space="preserve">Contre-métrique</t>
  </si>
  <si>
    <t xml:space="preserve">Cadence</t>
  </si>
  <si>
    <t xml:space="preserve">Board</t>
  </si>
  <si>
    <t xml:space="preserve">Abonnés actifs payants vs trajectoire</t>
  </si>
  <si>
    <t xml:space="preserve">Actifs fin de mois / cible du scénario</t>
  </si>
  <si>
    <t xml:space="preserve">Poursuivre, ralentir ou arrêter l'acquisition</t>
  </si>
  <si>
    <t xml:space="preserve">Malik</t>
  </si>
  <si>
    <t xml:space="preserve">Retard</t>
  </si>
  <si>
    <t xml:space="preserve">≥ 100 % de la cible</t>
  </si>
  <si>
    <t xml:space="preserve">80 à 100 % : revue des canaux</t>
  </si>
  <si>
    <t xml:space="preserve">&lt; 80 % deux mois de suite : gel des dépenses d'acquisition</t>
  </si>
  <si>
    <t xml:space="preserve">Churn logo mensuel</t>
  </si>
  <si>
    <t xml:space="preserve">Mensuelle</t>
  </si>
  <si>
    <t xml:space="preserve">Rétention J30 des cohortes payantes</t>
  </si>
  <si>
    <t xml:space="preserve">Actifs à J30 / cohorte initiale</t>
  </si>
  <si>
    <t xml:space="preserve">Lancer ou non la montée en charge</t>
  </si>
  <si>
    <t xml:space="preserve">Steve</t>
  </si>
  <si>
    <t xml:space="preserve">≥ 70 %</t>
  </si>
  <si>
    <t xml:space="preserve">60 à 70 % : entretiens de résiliation</t>
  </si>
  <si>
    <t xml:space="preserve">&lt; 60 % : pas de montée en charge, retour produit</t>
  </si>
  <si>
    <t xml:space="preserve">Activation J7</t>
  </si>
  <si>
    <t xml:space="preserve">Fiabilité des missions</t>
  </si>
  <si>
    <t xml:space="preserve">Missions réussies sans correction / missions lancées</t>
  </si>
  <si>
    <t xml:space="preserve">Élargir ou restreindre le périmètre des missions</t>
  </si>
  <si>
    <t xml:space="preserve">Isaac</t>
  </si>
  <si>
    <t xml:space="preserve">Avance</t>
  </si>
  <si>
    <t xml:space="preserve">≥ 80 %</t>
  </si>
  <si>
    <t xml:space="preserve">70 à 80 % : gel des nouvelles missions</t>
  </si>
  <si>
    <t xml:space="preserve">&lt; 70 % : retrait de la mission la moins fiable</t>
  </si>
  <si>
    <t xml:space="preserve">Taux de missions corrigées par l'utilisateur</t>
  </si>
  <si>
    <t xml:space="preserve">Hebdomadaire</t>
  </si>
  <si>
    <t xml:space="preserve">Incidents critiques (action sans autorisation, fuite de données, confusion de profils)</t>
  </si>
  <si>
    <t xml:space="preserve">Nombre confirmé</t>
  </si>
  <si>
    <t xml:space="preserve">Arrêt du pilote</t>
  </si>
  <si>
    <t xml:space="preserve">Tiffany</t>
  </si>
  <si>
    <t xml:space="preserve">0</t>
  </si>
  <si>
    <t xml:space="preserve">1 mineur : analyse sous 48 h</t>
  </si>
  <si>
    <t xml:space="preserve">1 critique : arrêt du parcours, revue avant reprise</t>
  </si>
  <si>
    <t xml:space="preserve">Volume d'actions exécutées (éviter la fiabilité par inactivité)</t>
  </si>
  <si>
    <t xml:space="preserve">Continue</t>
  </si>
  <si>
    <t xml:space="preserve">Coûts variables HT / abonnés actifs</t>
  </si>
  <si>
    <t xml:space="preserve">Prix, routage des modèles, limites d'usage</t>
  </si>
  <si>
    <t xml:space="preserve">Sébastien</t>
  </si>
  <si>
    <t xml:space="preserve">≤ 18 € HT</t>
  </si>
  <si>
    <t xml:space="preserve">18 à 24 € : revue du routage IA</t>
  </si>
  <si>
    <t xml:space="preserve">&gt; 24 € : limites d'usage ou hausse de prix</t>
  </si>
  <si>
    <t xml:space="preserve">Missions par abonné (ne pas réduire l'usage pour réduire le coût)</t>
  </si>
  <si>
    <t xml:space="preserve">Payback du CAC</t>
  </si>
  <si>
    <t xml:space="preserve">CAC effectif / contribution mensuelle par abonné</t>
  </si>
  <si>
    <t xml:space="preserve">Budget d'acquisition du mois suivant</t>
  </si>
  <si>
    <t xml:space="preserve">≤ 6 mois</t>
  </si>
  <si>
    <t xml:space="preserve">6 à 9 mois : réallocation entre canaux</t>
  </si>
  <si>
    <t xml:space="preserve">&gt; 9 mois : arrêt du canal concerné</t>
  </si>
  <si>
    <t xml:space="preserve">Qualité des leads (rétention J30 par canal)</t>
  </si>
  <si>
    <t xml:space="preserve">Marge variable</t>
  </si>
  <si>
    <t xml:space="preserve">(CA HT − coûts variables − frais − impayés) / CA HT</t>
  </si>
  <si>
    <t xml:space="preserve">Soutenabilité du prix</t>
  </si>
  <si>
    <t xml:space="preserve">≥ 65 %</t>
  </si>
  <si>
    <t xml:space="preserve">55 à 65 %</t>
  </si>
  <si>
    <t xml:space="preserve">&lt; 55 % : revue prix et périmètre</t>
  </si>
  <si>
    <t xml:space="preserve">ARPA (ne pas gonfler la marge par un mix artificiel)</t>
  </si>
  <si>
    <t xml:space="preserve">Équipe</t>
  </si>
  <si>
    <t xml:space="preserve">Nouveaux clients avec ≥ 1 mission utile / nouveaux clients</t>
  </si>
  <si>
    <t xml:space="preserve">Onboarding</t>
  </si>
  <si>
    <t xml:space="preserve">50 à 70 %</t>
  </si>
  <si>
    <t xml:space="preserve">&lt; 50 %</t>
  </si>
  <si>
    <t xml:space="preserve">Temps jusqu'à la première mission</t>
  </si>
  <si>
    <t xml:space="preserve">Conversion essai → payant</t>
  </si>
  <si>
    <t xml:space="preserve">Payants / essais de la cohorte</t>
  </si>
  <si>
    <t xml:space="preserve">Parcours de souscription</t>
  </si>
  <si>
    <t xml:space="preserve">≥ 20 %</t>
  </si>
  <si>
    <t xml:space="preserve">10 à 20 %</t>
  </si>
  <si>
    <t xml:space="preserve">&lt; 10 %</t>
  </si>
  <si>
    <t xml:space="preserve">Qualité des essais (activation)</t>
  </si>
  <si>
    <t xml:space="preserve">Résiliations / actifs début de mois</t>
  </si>
  <si>
    <t xml:space="preserve">Rétention</t>
  </si>
  <si>
    <t xml:space="preserve">≤ 3 %</t>
  </si>
  <si>
    <t xml:space="preserve">3 à 5 %</t>
  </si>
  <si>
    <t xml:space="preserve">&gt; 5 %</t>
  </si>
  <si>
    <t xml:space="preserve">Motifs de résiliation (produit vs prix)</t>
  </si>
  <si>
    <t xml:space="preserve">Coût par mission et taux d'échec</t>
  </si>
  <si>
    <t xml:space="preserve">Coût API / missions ; échecs / missions</t>
  </si>
  <si>
    <t xml:space="preserve">Choix des modèles</t>
  </si>
  <si>
    <t xml:space="preserve">≤ 0,18 € ; ≤ 10 %</t>
  </si>
  <si>
    <t xml:space="preserve">0,18 à 0,30 € ; 10 à 20 %</t>
  </si>
  <si>
    <t xml:space="preserve">&gt; 0,30 € ; &gt; 20 %</t>
  </si>
  <si>
    <t xml:space="preserve">Fiabilité (ne pas dégrader la qualité pour le coût)</t>
  </si>
  <si>
    <t xml:space="preserve">Temps gagné déclaré par semaine</t>
  </si>
  <si>
    <t xml:space="preserve">Enquête mensuelle, heures</t>
  </si>
  <si>
    <t xml:space="preserve">Argumentaire et prix</t>
  </si>
  <si>
    <t xml:space="preserve">Alice</t>
  </si>
  <si>
    <t xml:space="preserve">≥ 2 h</t>
  </si>
  <si>
    <t xml:space="preserve">1 à 2 h</t>
  </si>
  <si>
    <t xml:space="preserve">&lt; 1 h</t>
  </si>
  <si>
    <t xml:space="preserve">Usage réel (missions / semaine)</t>
  </si>
  <si>
    <t xml:space="preserve">Suggestions proactives acceptées</t>
  </si>
  <si>
    <t xml:space="preserve">Validées / proposées</t>
  </si>
  <si>
    <t xml:space="preserve">Réglage de la proactivité</t>
  </si>
  <si>
    <t xml:space="preserve">≥ 50 %</t>
  </si>
  <si>
    <t xml:space="preserve">30 à 50 %</t>
  </si>
  <si>
    <t xml:space="preserve">&lt; 30 % : réduire les suggestions</t>
  </si>
  <si>
    <t xml:space="preserve">Suggestions ignorées (bruit)</t>
  </si>
  <si>
    <t xml:space="preserve">CAC par canal et persona</t>
  </si>
  <si>
    <t xml:space="preserve">Dépenses attribuées / nouveaux payants attribués</t>
  </si>
  <si>
    <t xml:space="preserve">Allocation du budget</t>
  </si>
  <si>
    <t xml:space="preserve">≤ 150 €</t>
  </si>
  <si>
    <t xml:space="preserve">150 à 240 €</t>
  </si>
  <si>
    <t xml:space="preserve">&gt; 240 € : arrêt du canal</t>
  </si>
  <si>
    <t xml:space="preserve">Rétention J30 par canal</t>
  </si>
  <si>
    <t xml:space="preserve">Délai de réponse support</t>
  </si>
  <si>
    <t xml:space="preserve">Médiane, heures ouvrées</t>
  </si>
  <si>
    <t xml:space="preserve">Dimensionnement du support</t>
  </si>
  <si>
    <t xml:space="preserve">≤ 4 h</t>
  </si>
  <si>
    <t xml:space="preserve">4 à 24 h</t>
  </si>
  <si>
    <t xml:space="preserve">&gt; 24 h</t>
  </si>
  <si>
    <t xml:space="preserve">Taux de résolution au premier contact</t>
  </si>
  <si>
    <t xml:space="preserve">Plan de financement par jalons (hypothèses, aucune aide ni levée acquise)</t>
  </si>
  <si>
    <t xml:space="preserve">Reprend la stratégie Finance V1 (2 FINANCE/FINANCEMENT). Les montants alimentent les tranches de l'onglet Hypothèses quand « Inclure le financement » = 1.</t>
  </si>
  <si>
    <t xml:space="preserve">Phase</t>
  </si>
  <si>
    <t xml:space="preserve">Fenêtre</t>
  </si>
  <si>
    <t xml:space="preserve">Objectif</t>
  </si>
  <si>
    <t xml:space="preserve">Source envisagée</t>
  </si>
  <si>
    <t xml:space="preserve">Montant (hypothèse)</t>
  </si>
  <si>
    <t xml:space="preserve">Conditions et vérifications</t>
  </si>
  <si>
    <t xml:space="preserve">Phase 0, validation</t>
  </si>
  <si>
    <t xml:space="preserve">M1 à M3</t>
  </si>
  <si>
    <t xml:space="preserve">Entretiens, prototype des missions 1 et 5, test de prix</t>
  </si>
  <si>
    <t xml:space="preserve">Apports des fondateurs</t>
  </si>
  <si>
    <t xml:space="preserve">Pas de société nécessaire. Dépenses non éligibles aux aides si engagées avant création : vérifier avant tout paiement.</t>
  </si>
  <si>
    <t xml:space="preserve">Phase 1, création et MVP</t>
  </si>
  <si>
    <t xml:space="preserve">Au lancement (M7 central)</t>
  </si>
  <si>
    <t xml:space="preserve">Société, MVP, pilote, 30 premiers abonnés</t>
  </si>
  <si>
    <t xml:space="preserve">Prêts d'honneur (Initiative, Réseau Entreprendre), Bourse French Tech (Bpifrance), business angels, incubateur HEC</t>
  </si>
  <si>
    <t xml:space="preserve">Éligibilité, calendrier d'instruction et montants à vérifier auprès de chaque dispositif ; les prêts d'honneur sont personnels aux fondateurs.</t>
  </si>
  <si>
    <t xml:space="preserve">Phase 2, croissance</t>
  </si>
  <si>
    <t xml:space="preserve">M13 (central)</t>
  </si>
  <si>
    <t xml:space="preserve">Acquisition, embauches 1 et 2, Family</t>
  </si>
  <si>
    <t xml:space="preserve">Amorçage (business angels, fonds d'amorçage), prêt bancaire adossé</t>
  </si>
  <si>
    <t xml:space="preserve">Conditionné à : rétention J30 ≥ 70 %, payback ≤ 6 mois, coût variable ≤ 18 €, zéro incident critique.</t>
  </si>
  <si>
    <t xml:space="preserve">Total des tranches</t>
  </si>
  <si>
    <t xml:space="preserve">Comparaison avec le besoin calculé (onglet Synthèse, scénario Central) :</t>
  </si>
  <si>
    <t xml:space="preserve">Besoin de financement Central</t>
  </si>
  <si>
    <t xml:space="preserve">Couverture du besoin par les tranches (x)</t>
  </si>
  <si>
    <t xml:space="preserve">Sensibilité S01 : Churn 5 % (copie du Central)</t>
  </si>
  <si>
    <t xml:space="preserve">Sensibilité S02 : Churn 2 % (copie du Central)</t>
  </si>
  <si>
    <t xml:space="preserve">Sensibilité S03 : CAC 240 € (copie du Central)</t>
  </si>
  <si>
    <t xml:space="preserve">Sensibilité S04 : CAC 105 € (copie du Central)</t>
  </si>
  <si>
    <t xml:space="preserve">Sensibilité S05 : Coût IA +67 % (copie du Central)</t>
  </si>
  <si>
    <t xml:space="preserve">Sensibilité S06 : Coût IA −33 % (copie du Central)</t>
  </si>
  <si>
    <t xml:space="preserve">Sensibilité S07 : Prix −20 % (copie du Central)</t>
  </si>
  <si>
    <t xml:space="preserve">Sensibilité S08 : Prix +20 % (copie du Central)</t>
  </si>
  <si>
    <t xml:space="preserve">Sensibilité S09 : Lancement +3 mois (copie du Central)</t>
  </si>
  <si>
    <t xml:space="preserve">Sensibilité S10 : Coûts fixes +30 % (copie du Central)</t>
  </si>
  <si>
    <t xml:space="preserve">Sensibilité S11 : Churn 8 % (type app store) (copie du Central)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</si>
</sst>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#,##0;\(#,##0\);\-"/>
    <numFmt numFmtId="167" formatCode="#,##0&quot; €&quot;;\(#,##0&quot; €)&quot;;\-"/>
    <numFmt numFmtId="168" formatCode="0.0%;\(0.0%\);\-"/>
    <numFmt numFmtId="169" formatCode="#,##0.00&quot; €&quot;;\(#,##0.00&quot; €)&quot;;\-"/>
    <numFmt numFmtId="170" formatCode="#,##0.0;\(#,##0.0\);\-"/>
    <numFmt numFmtId="171" formatCode="0.00\x;\(0.00&quot;x)&quot;;\-"/>
    <numFmt numFmtId="172" formatCode="0.00"/>
    <numFmt numFmtId="173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201C19"/>
      <name val="Georgia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A81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201C19"/>
      <name val="Arial"/>
      <family val="0"/>
      <charset val="1"/>
    </font>
    <font>
      <b val="true"/>
      <sz val="10"/>
      <color rgb="FFD9734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FE9E0"/>
        <bgColor rgb="FFE4DDD2"/>
      </patternFill>
    </fill>
    <fill>
      <patternFill patternType="solid">
        <fgColor rgb="FFF0916A"/>
        <bgColor rgb="FFD9734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0916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8178"/>
      <rgbColor rgb="FF9999FF"/>
      <rgbColor rgb="FF993366"/>
      <rgbColor rgb="FFEFE9E0"/>
      <rgbColor rgb="FFCCFFFF"/>
      <rgbColor rgb="FF660066"/>
      <rgbColor rgb="FFF0916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4DDD2"/>
      <rgbColor rgb="FFFFFF99"/>
      <rgbColor rgb="FF99CCFF"/>
      <rgbColor rgb="FFFF99CC"/>
      <rgbColor rgb="FFCC99FF"/>
      <rgbColor rgb="FFE9C46A"/>
      <rgbColor rgb="FF3366FF"/>
      <rgbColor rgb="FF33CCCC"/>
      <rgbColor rgb="FF99CC00"/>
      <rgbColor rgb="FFFFCC00"/>
      <rgbColor rgb="FFFF9900"/>
      <rgbColor rgb="FFD9734F"/>
      <rgbColor rgb="FF4F81BD"/>
      <rgbColor rgb="FF878787"/>
      <rgbColor rgb="FF003366"/>
      <rgbColor rgb="FF6B8F7A"/>
      <rgbColor rgb="FF003300"/>
      <rgbColor rgb="FF201C1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Écart du point bas de trésorerie vs Central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Tornade!$A$6:$A$16</c:f>
              <c:strCache>
                <c:ptCount val="11"/>
                <c:pt idx="0">
                  <c:v>Churn 5 %</c:v>
                </c:pt>
                <c:pt idx="1">
                  <c:v>Churn 2 %</c:v>
                </c:pt>
                <c:pt idx="2">
                  <c:v>CAC 240 €</c:v>
                </c:pt>
                <c:pt idx="3">
                  <c:v>CAC 105 €</c:v>
                </c:pt>
                <c:pt idx="4">
                  <c:v>Coût IA +67 %</c:v>
                </c:pt>
                <c:pt idx="5">
                  <c:v>Coût IA −33 %</c:v>
                </c:pt>
                <c:pt idx="6">
                  <c:v>Prix −20 %</c:v>
                </c:pt>
                <c:pt idx="7">
                  <c:v>Prix +20 %</c:v>
                </c:pt>
                <c:pt idx="8">
                  <c:v>Lancement +3 mois</c:v>
                </c:pt>
                <c:pt idx="9">
                  <c:v>Coûts fixes +30 %</c:v>
                </c:pt>
                <c:pt idx="10">
                  <c:v>Churn 8 % (type app store)</c:v>
                </c:pt>
              </c:strCache>
            </c:strRef>
          </c:cat>
          <c:val>
            <c:numRef>
              <c:f>Tornade!$D$6:$D$16</c:f>
              <c:numCache>
                <c:formatCode>#,##0" €";\(#,##0" €)";\-</c:formatCode>
                <c:ptCount val="11"/>
                <c:pt idx="0">
                  <c:v>-12916.1891485314</c:v>
                </c:pt>
                <c:pt idx="1">
                  <c:v>5488.60333350726</c:v>
                </c:pt>
                <c:pt idx="2">
                  <c:v>-118632.434181765</c:v>
                </c:pt>
                <c:pt idx="3">
                  <c:v>40979.8872186298</c:v>
                </c:pt>
                <c:pt idx="4">
                  <c:v>-20965.5865261005</c:v>
                </c:pt>
                <c:pt idx="5">
                  <c:v>8687.96560970425</c:v>
                </c:pt>
                <c:pt idx="6">
                  <c:v>-64309.9124507748</c:v>
                </c:pt>
                <c:pt idx="7">
                  <c:v>31043.3807238319</c:v>
                </c:pt>
                <c:pt idx="8">
                  <c:v>-23155.0617525199</c:v>
                </c:pt>
                <c:pt idx="9">
                  <c:v>-57274.941849352</c:v>
                </c:pt>
                <c:pt idx="10">
                  <c:v>-47908.4472578232</c:v>
                </c:pt>
              </c:numCache>
            </c:numRef>
          </c:val>
        </c:ser>
        <c:gapWidth val="150"/>
        <c:overlap val="0"/>
        <c:axId val="23829647"/>
        <c:axId val="823262"/>
      </c:barChart>
      <c:catAx>
        <c:axId val="2382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262"/>
        <c:crosses val="autoZero"/>
        <c:auto val="1"/>
        <c:lblAlgn val="ctr"/>
        <c:lblOffset val="100"/>
        <c:noMultiLvlLbl val="0"/>
      </c:catAx>
      <c:valAx>
        <c:axId val="8232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296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Écart de trésorerie fin A3 vs Central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Tornade!$A$6:$A$16</c:f>
              <c:strCache>
                <c:ptCount val="11"/>
                <c:pt idx="0">
                  <c:v>Churn 5 %</c:v>
                </c:pt>
                <c:pt idx="1">
                  <c:v>Churn 2 %</c:v>
                </c:pt>
                <c:pt idx="2">
                  <c:v>CAC 240 €</c:v>
                </c:pt>
                <c:pt idx="3">
                  <c:v>CAC 105 €</c:v>
                </c:pt>
                <c:pt idx="4">
                  <c:v>Coût IA +67 %</c:v>
                </c:pt>
                <c:pt idx="5">
                  <c:v>Coût IA −33 %</c:v>
                </c:pt>
                <c:pt idx="6">
                  <c:v>Prix −20 %</c:v>
                </c:pt>
                <c:pt idx="7">
                  <c:v>Prix +20 %</c:v>
                </c:pt>
                <c:pt idx="8">
                  <c:v>Lancement +3 mois</c:v>
                </c:pt>
                <c:pt idx="9">
                  <c:v>Coûts fixes +30 %</c:v>
                </c:pt>
                <c:pt idx="10">
                  <c:v>Churn 8 % (type app store)</c:v>
                </c:pt>
              </c:strCache>
            </c:strRef>
          </c:cat>
          <c:val>
            <c:numRef>
              <c:f>Tornade!$J$6:$J$16</c:f>
              <c:numCache>
                <c:formatCode>#,##0" €";\(#,##0" €)";\-</c:formatCode>
                <c:ptCount val="11"/>
                <c:pt idx="0">
                  <c:v>-181875.923025761</c:v>
                </c:pt>
                <c:pt idx="1">
                  <c:v>107560.639952851</c:v>
                </c:pt>
                <c:pt idx="2">
                  <c:v>-532216.185716694</c:v>
                </c:pt>
                <c:pt idx="3">
                  <c:v>608247.069390508</c:v>
                </c:pt>
                <c:pt idx="4">
                  <c:v>-156467.350962084</c:v>
                </c:pt>
                <c:pt idx="5">
                  <c:v>78221.9410164428</c:v>
                </c:pt>
                <c:pt idx="6">
                  <c:v>-356424.337939542</c:v>
                </c:pt>
                <c:pt idx="7">
                  <c:v>356424.337939542</c:v>
                </c:pt>
                <c:pt idx="8">
                  <c:v>-64033.6166919422</c:v>
                </c:pt>
                <c:pt idx="9">
                  <c:v>-164760</c:v>
                </c:pt>
                <c:pt idx="10">
                  <c:v>-391178.431778483</c:v>
                </c:pt>
              </c:numCache>
            </c:numRef>
          </c:val>
        </c:ser>
        <c:gapWidth val="150"/>
        <c:overlap val="0"/>
        <c:axId val="47443221"/>
        <c:axId val="46603329"/>
      </c:barChart>
      <c:catAx>
        <c:axId val="47443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03329"/>
        <c:crosses val="autoZero"/>
        <c:auto val="1"/>
        <c:lblAlgn val="ctr"/>
        <c:lblOffset val="100"/>
        <c:noMultiLvlLbl val="0"/>
      </c:catAx>
      <c:valAx>
        <c:axId val="46603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432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18360</xdr:rowOff>
    </xdr:from>
    <xdr:to>
      <xdr:col>3</xdr:col>
      <xdr:colOff>558720</xdr:colOff>
      <xdr:row>34</xdr:row>
      <xdr:rowOff>19440</xdr:rowOff>
    </xdr:to>
    <xdr:graphicFrame>
      <xdr:nvGraphicFramePr>
        <xdr:cNvPr id="0" name="Chart 1"/>
        <xdr:cNvGraphicFramePr/>
      </xdr:nvGraphicFramePr>
      <xdr:xfrm>
        <a:off x="0" y="342900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17</xdr:row>
      <xdr:rowOff>18360</xdr:rowOff>
    </xdr:from>
    <xdr:to>
      <xdr:col>11</xdr:col>
      <xdr:colOff>40680</xdr:colOff>
      <xdr:row>34</xdr:row>
      <xdr:rowOff>19440</xdr:rowOff>
    </xdr:to>
    <xdr:graphicFrame>
      <xdr:nvGraphicFramePr>
        <xdr:cNvPr id="1" name="Chart 2"/>
        <xdr:cNvGraphicFramePr/>
      </xdr:nvGraphicFramePr>
      <xdr:xfrm>
        <a:off x="8458200" y="342900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9" customFormat="false" ht="23.85" hidden="false" customHeight="false" outlineLevel="0" collapsed="false">
      <c r="A9" s="2" t="s">
        <v>13</v>
      </c>
      <c r="B9" s="3" t="s">
        <v>14</v>
      </c>
    </row>
    <row r="10" customFormat="false" ht="46.25" hidden="false" customHeight="false" outlineLevel="0" collapsed="false">
      <c r="A10" s="2" t="s">
        <v>15</v>
      </c>
      <c r="B10" s="3" t="s">
        <v>16</v>
      </c>
    </row>
    <row r="11" customFormat="false" ht="35.05" hidden="false" customHeight="false" outlineLevel="0" collapsed="false">
      <c r="A11" s="2" t="s">
        <v>17</v>
      </c>
      <c r="B11" s="3" t="s">
        <v>18</v>
      </c>
    </row>
    <row r="12" customFormat="false" ht="23.85" hidden="false" customHeight="false" outlineLevel="0" collapsed="false">
      <c r="A12" s="2" t="s">
        <v>19</v>
      </c>
      <c r="B12" s="3" t="s">
        <v>20</v>
      </c>
    </row>
    <row r="13" customFormat="false" ht="35.05" hidden="false" customHeight="false" outlineLevel="0" collapsed="false">
      <c r="A13" s="2" t="s">
        <v>21</v>
      </c>
      <c r="B13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C46A"/>
    <pageSetUpPr fitToPage="false"/>
  </sheetPr>
  <dimension ref="A1:G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90"/>
  </cols>
  <sheetData>
    <row r="1" customFormat="false" ht="19.7" hidden="false" customHeight="false" outlineLevel="0" collapsed="false">
      <c r="A1" s="1" t="s">
        <v>23</v>
      </c>
    </row>
    <row r="2" customFormat="false" ht="15" hidden="false" customHeight="false" outlineLevel="0" collapsed="false">
      <c r="A2" s="4" t="s">
        <v>24</v>
      </c>
    </row>
    <row r="3" customFormat="false" ht="15" hidden="false" customHeight="false" outlineLevel="0" collapsed="false">
      <c r="E3" s="5" t="s">
        <v>25</v>
      </c>
      <c r="F3" s="6" t="n">
        <v>2</v>
      </c>
    </row>
    <row r="5" customFormat="false" ht="15" hidden="false" customHeight="false" outlineLevel="0" collapsed="false">
      <c r="A5" s="7" t="s">
        <v>26</v>
      </c>
      <c r="B5" s="7" t="s">
        <v>27</v>
      </c>
      <c r="C5" s="7" t="s">
        <v>28</v>
      </c>
      <c r="D5" s="7" t="s">
        <v>29</v>
      </c>
      <c r="E5" s="7" t="s">
        <v>30</v>
      </c>
      <c r="F5" s="7" t="s">
        <v>31</v>
      </c>
      <c r="G5" s="7" t="s">
        <v>32</v>
      </c>
    </row>
    <row r="6" customFormat="false" ht="15" hidden="false" customHeight="false" outlineLevel="0" collapsed="false">
      <c r="A6" s="8" t="s">
        <v>33</v>
      </c>
    </row>
    <row r="7" customFormat="false" ht="15" hidden="false" customHeight="false" outlineLevel="0" collapsed="false">
      <c r="A7" s="9" t="s">
        <v>34</v>
      </c>
      <c r="B7" s="4" t="s">
        <v>35</v>
      </c>
      <c r="C7" s="10" t="n">
        <v>46327</v>
      </c>
      <c r="D7" s="10" t="n">
        <v>46327</v>
      </c>
      <c r="E7" s="10" t="n">
        <v>46327</v>
      </c>
      <c r="F7" s="11" t="n">
        <f aca="false">INDEX(C7:E7,1,$F$3)</f>
        <v>46327</v>
      </c>
      <c r="G7" s="4" t="s">
        <v>36</v>
      </c>
    </row>
    <row r="8" customFormat="false" ht="15" hidden="false" customHeight="false" outlineLevel="0" collapsed="false">
      <c r="A8" s="9" t="s">
        <v>37</v>
      </c>
      <c r="B8" s="4" t="s">
        <v>38</v>
      </c>
      <c r="C8" s="12" t="n">
        <v>4</v>
      </c>
      <c r="D8" s="12" t="n">
        <v>3</v>
      </c>
      <c r="E8" s="12" t="n">
        <v>3</v>
      </c>
      <c r="F8" s="13" t="n">
        <f aca="false">INDEX(C8:E8,1,$F$3)</f>
        <v>3</v>
      </c>
      <c r="G8" s="4" t="s">
        <v>39</v>
      </c>
    </row>
    <row r="9" customFormat="false" ht="15" hidden="false" customHeight="false" outlineLevel="0" collapsed="false">
      <c r="A9" s="9" t="s">
        <v>40</v>
      </c>
      <c r="B9" s="4" t="s">
        <v>41</v>
      </c>
      <c r="C9" s="12" t="n">
        <v>10</v>
      </c>
      <c r="D9" s="12" t="n">
        <v>10</v>
      </c>
      <c r="E9" s="12" t="n">
        <v>10</v>
      </c>
      <c r="F9" s="13" t="n">
        <f aca="false">INDEX(C9:E9,1,$F$3)</f>
        <v>10</v>
      </c>
      <c r="G9" s="4" t="s">
        <v>42</v>
      </c>
    </row>
    <row r="10" customFormat="false" ht="15" hidden="false" customHeight="false" outlineLevel="0" collapsed="false">
      <c r="A10" s="9" t="s">
        <v>43</v>
      </c>
      <c r="B10" s="4" t="s">
        <v>38</v>
      </c>
      <c r="C10" s="12" t="n">
        <v>10</v>
      </c>
      <c r="D10" s="12" t="n">
        <v>7</v>
      </c>
      <c r="E10" s="12" t="n">
        <v>6</v>
      </c>
      <c r="F10" s="13" t="n">
        <f aca="false">INDEX(C10:E10,1,$F$3)</f>
        <v>7</v>
      </c>
      <c r="G10" s="4" t="s">
        <v>44</v>
      </c>
    </row>
    <row r="11" customFormat="false" ht="15" hidden="false" customHeight="false" outlineLevel="0" collapsed="false">
      <c r="A11" s="8" t="s">
        <v>45</v>
      </c>
    </row>
    <row r="12" customFormat="false" ht="15" hidden="false" customHeight="false" outlineLevel="0" collapsed="false">
      <c r="A12" s="9" t="s">
        <v>46</v>
      </c>
      <c r="B12" s="4" t="s">
        <v>47</v>
      </c>
      <c r="C12" s="14" t="n">
        <v>29</v>
      </c>
      <c r="D12" s="14" t="n">
        <v>29</v>
      </c>
      <c r="E12" s="14" t="n">
        <v>29</v>
      </c>
      <c r="F12" s="15" t="n">
        <f aca="false">INDEX(C12:E12,1,$F$3)</f>
        <v>29</v>
      </c>
      <c r="G12" s="4" t="s">
        <v>48</v>
      </c>
    </row>
    <row r="13" customFormat="false" ht="15" hidden="false" customHeight="false" outlineLevel="0" collapsed="false">
      <c r="A13" s="9" t="s">
        <v>49</v>
      </c>
      <c r="B13" s="4" t="s">
        <v>47</v>
      </c>
      <c r="C13" s="14" t="n">
        <v>79</v>
      </c>
      <c r="D13" s="14" t="n">
        <v>79</v>
      </c>
      <c r="E13" s="14" t="n">
        <v>79</v>
      </c>
      <c r="F13" s="15" t="n">
        <f aca="false">INDEX(C13:E13,1,$F$3)</f>
        <v>79</v>
      </c>
      <c r="G13" s="4" t="s">
        <v>50</v>
      </c>
    </row>
    <row r="14" customFormat="false" ht="15" hidden="false" customHeight="false" outlineLevel="0" collapsed="false">
      <c r="A14" s="9" t="s">
        <v>51</v>
      </c>
      <c r="B14" s="4" t="s">
        <v>47</v>
      </c>
      <c r="C14" s="14" t="n">
        <v>129</v>
      </c>
      <c r="D14" s="14" t="n">
        <v>129</v>
      </c>
      <c r="E14" s="14" t="n">
        <v>129</v>
      </c>
      <c r="F14" s="15" t="n">
        <f aca="false">INDEX(C14:E14,1,$F$3)</f>
        <v>129</v>
      </c>
      <c r="G14" s="4" t="s">
        <v>50</v>
      </c>
    </row>
    <row r="15" customFormat="false" ht="15" hidden="false" customHeight="false" outlineLevel="0" collapsed="false">
      <c r="A15" s="9" t="s">
        <v>52</v>
      </c>
      <c r="B15" s="4" t="s">
        <v>53</v>
      </c>
      <c r="C15" s="16" t="n">
        <v>0.2</v>
      </c>
      <c r="D15" s="16" t="n">
        <v>0.2</v>
      </c>
      <c r="E15" s="16" t="n">
        <v>0.2</v>
      </c>
      <c r="F15" s="17" t="n">
        <f aca="false">INDEX(C15:E15,1,$F$3)</f>
        <v>0.2</v>
      </c>
      <c r="G15" s="4" t="s">
        <v>54</v>
      </c>
    </row>
    <row r="16" customFormat="false" ht="15" hidden="false" customHeight="false" outlineLevel="0" collapsed="false">
      <c r="A16" s="9" t="s">
        <v>55</v>
      </c>
      <c r="B16" s="4" t="s">
        <v>53</v>
      </c>
      <c r="C16" s="16" t="n">
        <v>0.3</v>
      </c>
      <c r="D16" s="16" t="n">
        <v>0.25</v>
      </c>
      <c r="E16" s="16" t="n">
        <v>0.2</v>
      </c>
      <c r="F16" s="17" t="n">
        <f aca="false">INDEX(C16:E16,1,$F$3)</f>
        <v>0.25</v>
      </c>
      <c r="G16" s="4" t="s">
        <v>56</v>
      </c>
    </row>
    <row r="17" customFormat="false" ht="15" hidden="false" customHeight="false" outlineLevel="0" collapsed="false">
      <c r="A17" s="9" t="s">
        <v>57</v>
      </c>
      <c r="B17" s="4" t="s">
        <v>53</v>
      </c>
      <c r="C17" s="16" t="n">
        <v>0.55</v>
      </c>
      <c r="D17" s="16" t="n">
        <v>0.6</v>
      </c>
      <c r="E17" s="16" t="n">
        <v>0.6</v>
      </c>
      <c r="F17" s="17" t="n">
        <f aca="false">INDEX(C17:E17,1,$F$3)</f>
        <v>0.6</v>
      </c>
      <c r="G17" s="4" t="s">
        <v>58</v>
      </c>
    </row>
    <row r="18" customFormat="false" ht="15" hidden="false" customHeight="false" outlineLevel="0" collapsed="false">
      <c r="A18" s="9" t="s">
        <v>59</v>
      </c>
      <c r="B18" s="4" t="s">
        <v>53</v>
      </c>
      <c r="C18" s="16" t="n">
        <v>0.15</v>
      </c>
      <c r="D18" s="16" t="n">
        <v>0.15</v>
      </c>
      <c r="E18" s="16" t="n">
        <v>0.2</v>
      </c>
      <c r="F18" s="17" t="n">
        <f aca="false">INDEX(C18:E18,1,$F$3)</f>
        <v>0.15</v>
      </c>
      <c r="G18" s="4" t="s">
        <v>60</v>
      </c>
    </row>
    <row r="19" customFormat="false" ht="15" hidden="false" customHeight="false" outlineLevel="0" collapsed="false">
      <c r="A19" s="8" t="s">
        <v>61</v>
      </c>
    </row>
    <row r="20" customFormat="false" ht="15" hidden="false" customHeight="false" outlineLevel="0" collapsed="false">
      <c r="A20" s="9" t="s">
        <v>62</v>
      </c>
      <c r="B20" s="4" t="s">
        <v>63</v>
      </c>
      <c r="C20" s="14" t="n">
        <v>2000</v>
      </c>
      <c r="D20" s="14" t="n">
        <v>3000</v>
      </c>
      <c r="E20" s="14" t="n">
        <v>4000</v>
      </c>
      <c r="F20" s="15" t="n">
        <f aca="false">INDEX(C20:E20,1,$F$3)</f>
        <v>3000</v>
      </c>
      <c r="G20" s="4" t="s">
        <v>64</v>
      </c>
    </row>
    <row r="21" customFormat="false" ht="15" hidden="false" customHeight="false" outlineLevel="0" collapsed="false">
      <c r="A21" s="9" t="s">
        <v>65</v>
      </c>
      <c r="B21" s="4" t="s">
        <v>63</v>
      </c>
      <c r="C21" s="14" t="n">
        <v>6000</v>
      </c>
      <c r="D21" s="14" t="n">
        <v>10000</v>
      </c>
      <c r="E21" s="14" t="n">
        <v>12000</v>
      </c>
      <c r="F21" s="15" t="n">
        <f aca="false">INDEX(C21:E21,1,$F$3)</f>
        <v>10000</v>
      </c>
      <c r="G21" s="4" t="s">
        <v>66</v>
      </c>
    </row>
    <row r="22" customFormat="false" ht="15" hidden="false" customHeight="false" outlineLevel="0" collapsed="false">
      <c r="A22" s="9" t="s">
        <v>67</v>
      </c>
      <c r="B22" s="4" t="s">
        <v>63</v>
      </c>
      <c r="C22" s="14" t="n">
        <v>12000</v>
      </c>
      <c r="D22" s="14" t="n">
        <v>25000</v>
      </c>
      <c r="E22" s="14" t="n">
        <v>25000</v>
      </c>
      <c r="F22" s="15" t="n">
        <f aca="false">INDEX(C22:E22,1,$F$3)</f>
        <v>25000</v>
      </c>
      <c r="G22" s="4" t="s">
        <v>68</v>
      </c>
    </row>
    <row r="23" customFormat="false" ht="15" hidden="false" customHeight="false" outlineLevel="0" collapsed="false">
      <c r="A23" s="9" t="s">
        <v>69</v>
      </c>
      <c r="B23" s="4" t="s">
        <v>70</v>
      </c>
      <c r="C23" s="14" t="n">
        <v>240</v>
      </c>
      <c r="D23" s="14" t="n">
        <v>150</v>
      </c>
      <c r="E23" s="14" t="n">
        <v>110</v>
      </c>
      <c r="F23" s="15" t="n">
        <f aca="false">INDEX(C23:E23,1,$F$3)</f>
        <v>150</v>
      </c>
      <c r="G23" s="4" t="s">
        <v>71</v>
      </c>
    </row>
    <row r="24" customFormat="false" ht="15" hidden="false" customHeight="false" outlineLevel="0" collapsed="false">
      <c r="A24" s="9" t="s">
        <v>72</v>
      </c>
      <c r="B24" s="4" t="s">
        <v>53</v>
      </c>
      <c r="C24" s="16" t="n">
        <v>0.01</v>
      </c>
      <c r="D24" s="16" t="n">
        <v>0.02</v>
      </c>
      <c r="E24" s="16" t="n">
        <v>0.025</v>
      </c>
      <c r="F24" s="17" t="n">
        <f aca="false">INDEX(C24:E24,1,$F$3)</f>
        <v>0.02</v>
      </c>
      <c r="G24" s="4" t="s">
        <v>73</v>
      </c>
    </row>
    <row r="25" customFormat="false" ht="15" hidden="false" customHeight="false" outlineLevel="0" collapsed="false">
      <c r="A25" s="8" t="s">
        <v>74</v>
      </c>
    </row>
    <row r="26" customFormat="false" ht="15" hidden="false" customHeight="false" outlineLevel="0" collapsed="false">
      <c r="A26" s="9" t="s">
        <v>75</v>
      </c>
      <c r="B26" s="4" t="s">
        <v>53</v>
      </c>
      <c r="C26" s="16" t="n">
        <v>0.06</v>
      </c>
      <c r="D26" s="16" t="n">
        <v>0.03</v>
      </c>
      <c r="E26" s="16" t="n">
        <v>0.025</v>
      </c>
      <c r="F26" s="17" t="n">
        <f aca="false">INDEX(C26:E26,1,$F$3)</f>
        <v>0.03</v>
      </c>
      <c r="G26" s="4" t="s">
        <v>76</v>
      </c>
    </row>
    <row r="27" customFormat="false" ht="15" hidden="false" customHeight="false" outlineLevel="0" collapsed="false">
      <c r="A27" s="9" t="s">
        <v>77</v>
      </c>
      <c r="B27" s="4" t="s">
        <v>53</v>
      </c>
      <c r="C27" s="16" t="n">
        <v>0.02</v>
      </c>
      <c r="D27" s="16" t="n">
        <v>0.01</v>
      </c>
      <c r="E27" s="16" t="n">
        <v>0.005</v>
      </c>
      <c r="F27" s="17" t="n">
        <f aca="false">INDEX(C27:E27,1,$F$3)</f>
        <v>0.01</v>
      </c>
      <c r="G27" s="4" t="s">
        <v>78</v>
      </c>
    </row>
    <row r="28" customFormat="false" ht="15" hidden="false" customHeight="false" outlineLevel="0" collapsed="false">
      <c r="A28" s="9" t="s">
        <v>79</v>
      </c>
      <c r="B28" s="4" t="s">
        <v>53</v>
      </c>
      <c r="C28" s="16" t="n">
        <v>0.015</v>
      </c>
      <c r="D28" s="16" t="n">
        <v>0.015</v>
      </c>
      <c r="E28" s="16" t="n">
        <v>0.015</v>
      </c>
      <c r="F28" s="17" t="n">
        <f aca="false">INDEX(C28:E28,1,$F$3)</f>
        <v>0.015</v>
      </c>
      <c r="G28" s="4" t="s">
        <v>80</v>
      </c>
    </row>
    <row r="29" customFormat="false" ht="15" hidden="false" customHeight="false" outlineLevel="0" collapsed="false">
      <c r="A29" s="9" t="s">
        <v>81</v>
      </c>
      <c r="B29" s="4" t="s">
        <v>70</v>
      </c>
      <c r="C29" s="18" t="n">
        <v>0.25</v>
      </c>
      <c r="D29" s="18" t="n">
        <v>0.25</v>
      </c>
      <c r="E29" s="18" t="n">
        <v>0.25</v>
      </c>
      <c r="F29" s="19" t="n">
        <f aca="false">INDEX(C29:E29,1,$F$3)</f>
        <v>0.25</v>
      </c>
      <c r="G29" s="4" t="s">
        <v>82</v>
      </c>
    </row>
    <row r="30" customFormat="false" ht="15" hidden="false" customHeight="false" outlineLevel="0" collapsed="false">
      <c r="A30" s="8" t="s">
        <v>83</v>
      </c>
    </row>
    <row r="31" customFormat="false" ht="15" hidden="false" customHeight="false" outlineLevel="0" collapsed="false">
      <c r="A31" s="9" t="s">
        <v>84</v>
      </c>
      <c r="B31" s="4" t="s">
        <v>85</v>
      </c>
      <c r="C31" s="12" t="n">
        <v>20</v>
      </c>
      <c r="D31" s="12" t="n">
        <v>20</v>
      </c>
      <c r="E31" s="12" t="n">
        <v>20</v>
      </c>
      <c r="F31" s="13" t="n">
        <f aca="false">INDEX(C31:E31,1,$F$3)</f>
        <v>20</v>
      </c>
      <c r="G31" s="4" t="s">
        <v>86</v>
      </c>
    </row>
    <row r="32" customFormat="false" ht="15" hidden="false" customHeight="false" outlineLevel="0" collapsed="false">
      <c r="A32" s="9" t="s">
        <v>87</v>
      </c>
      <c r="B32" s="4" t="s">
        <v>85</v>
      </c>
      <c r="C32" s="12" t="n">
        <v>60</v>
      </c>
      <c r="D32" s="12" t="n">
        <v>60</v>
      </c>
      <c r="E32" s="12" t="n">
        <v>60</v>
      </c>
      <c r="F32" s="13" t="n">
        <f aca="false">INDEX(C32:E32,1,$F$3)</f>
        <v>60</v>
      </c>
      <c r="G32" s="4" t="s">
        <v>88</v>
      </c>
    </row>
    <row r="33" customFormat="false" ht="15" hidden="false" customHeight="false" outlineLevel="0" collapsed="false">
      <c r="A33" s="9" t="s">
        <v>89</v>
      </c>
      <c r="B33" s="4" t="s">
        <v>85</v>
      </c>
      <c r="C33" s="12" t="n">
        <v>90</v>
      </c>
      <c r="D33" s="12" t="n">
        <v>90</v>
      </c>
      <c r="E33" s="12" t="n">
        <v>90</v>
      </c>
      <c r="F33" s="13" t="n">
        <f aca="false">INDEX(C33:E33,1,$F$3)</f>
        <v>90</v>
      </c>
      <c r="G33" s="4" t="s">
        <v>90</v>
      </c>
    </row>
    <row r="34" customFormat="false" ht="15" hidden="false" customHeight="false" outlineLevel="0" collapsed="false">
      <c r="A34" s="9" t="s">
        <v>91</v>
      </c>
      <c r="B34" s="4" t="s">
        <v>92</v>
      </c>
      <c r="C34" s="18" t="n">
        <v>0.3</v>
      </c>
      <c r="D34" s="18" t="n">
        <v>0.18</v>
      </c>
      <c r="E34" s="18" t="n">
        <v>0.12</v>
      </c>
      <c r="F34" s="19" t="n">
        <f aca="false">INDEX(C34:E34,1,$F$3)</f>
        <v>0.18</v>
      </c>
      <c r="G34" s="4" t="s">
        <v>93</v>
      </c>
    </row>
    <row r="35" customFormat="false" ht="15" hidden="false" customHeight="false" outlineLevel="0" collapsed="false">
      <c r="A35" s="9" t="s">
        <v>94</v>
      </c>
      <c r="B35" s="4" t="s">
        <v>92</v>
      </c>
      <c r="C35" s="18" t="n">
        <v>2</v>
      </c>
      <c r="D35" s="18" t="n">
        <v>1.5</v>
      </c>
      <c r="E35" s="18" t="n">
        <v>1</v>
      </c>
      <c r="F35" s="19" t="n">
        <f aca="false">INDEX(C35:E35,1,$F$3)</f>
        <v>1.5</v>
      </c>
      <c r="G35" s="4" t="s">
        <v>90</v>
      </c>
    </row>
    <row r="36" customFormat="false" ht="15" hidden="false" customHeight="false" outlineLevel="0" collapsed="false">
      <c r="A36" s="9" t="s">
        <v>95</v>
      </c>
      <c r="B36" s="4" t="s">
        <v>92</v>
      </c>
      <c r="C36" s="18" t="n">
        <v>5</v>
      </c>
      <c r="D36" s="18" t="n">
        <v>3</v>
      </c>
      <c r="E36" s="18" t="n">
        <v>2</v>
      </c>
      <c r="F36" s="19" t="n">
        <f aca="false">INDEX(C36:E36,1,$F$3)</f>
        <v>3</v>
      </c>
      <c r="G36" s="4" t="s">
        <v>90</v>
      </c>
    </row>
    <row r="37" customFormat="false" ht="15" hidden="false" customHeight="false" outlineLevel="0" collapsed="false">
      <c r="A37" s="8" t="s">
        <v>96</v>
      </c>
    </row>
    <row r="38" customFormat="false" ht="15" hidden="false" customHeight="false" outlineLevel="0" collapsed="false">
      <c r="A38" s="9" t="s">
        <v>97</v>
      </c>
      <c r="B38" s="4" t="s">
        <v>98</v>
      </c>
      <c r="C38" s="12" t="n">
        <v>2</v>
      </c>
      <c r="D38" s="12" t="n">
        <v>2</v>
      </c>
      <c r="E38" s="12" t="n">
        <v>2</v>
      </c>
      <c r="F38" s="13" t="n">
        <f aca="false">INDEX(C38:E38,1,$F$3)</f>
        <v>2</v>
      </c>
      <c r="G38" s="4" t="s">
        <v>99</v>
      </c>
    </row>
    <row r="39" customFormat="false" ht="15" hidden="false" customHeight="false" outlineLevel="0" collapsed="false">
      <c r="A39" s="9" t="s">
        <v>100</v>
      </c>
      <c r="B39" s="4" t="s">
        <v>38</v>
      </c>
      <c r="C39" s="12" t="n">
        <v>13</v>
      </c>
      <c r="D39" s="12" t="n">
        <v>13</v>
      </c>
      <c r="E39" s="12" t="n">
        <v>13</v>
      </c>
      <c r="F39" s="13" t="n">
        <f aca="false">INDEX(C39:E39,1,$F$3)</f>
        <v>13</v>
      </c>
      <c r="G39" s="4" t="s">
        <v>82</v>
      </c>
    </row>
    <row r="40" customFormat="false" ht="15" hidden="false" customHeight="false" outlineLevel="0" collapsed="false">
      <c r="A40" s="9" t="s">
        <v>101</v>
      </c>
      <c r="B40" s="4" t="s">
        <v>92</v>
      </c>
      <c r="C40" s="14" t="n">
        <v>5500</v>
      </c>
      <c r="D40" s="14" t="n">
        <v>5000</v>
      </c>
      <c r="E40" s="14" t="n">
        <v>5000</v>
      </c>
      <c r="F40" s="15" t="n">
        <f aca="false">INDEX(C40:E40,1,$F$3)</f>
        <v>5000</v>
      </c>
      <c r="G40" s="4" t="s">
        <v>102</v>
      </c>
    </row>
    <row r="41" customFormat="false" ht="15" hidden="false" customHeight="false" outlineLevel="0" collapsed="false">
      <c r="A41" s="9" t="s">
        <v>103</v>
      </c>
      <c r="B41" s="4" t="s">
        <v>38</v>
      </c>
      <c r="C41" s="12" t="n">
        <v>16</v>
      </c>
      <c r="D41" s="12" t="n">
        <v>13</v>
      </c>
      <c r="E41" s="12" t="n">
        <v>10</v>
      </c>
      <c r="F41" s="13" t="n">
        <f aca="false">INDEX(C41:E41,1,$F$3)</f>
        <v>13</v>
      </c>
      <c r="G41" s="4" t="s">
        <v>104</v>
      </c>
    </row>
    <row r="42" customFormat="false" ht="15" hidden="false" customHeight="false" outlineLevel="0" collapsed="false">
      <c r="A42" s="9" t="s">
        <v>105</v>
      </c>
      <c r="B42" s="4" t="s">
        <v>92</v>
      </c>
      <c r="C42" s="14" t="n">
        <v>4500</v>
      </c>
      <c r="D42" s="14" t="n">
        <v>4500</v>
      </c>
      <c r="E42" s="14" t="n">
        <v>4500</v>
      </c>
      <c r="F42" s="15" t="n">
        <f aca="false">INDEX(C42:E42,1,$F$3)</f>
        <v>4500</v>
      </c>
      <c r="G42" s="4" t="s">
        <v>90</v>
      </c>
    </row>
    <row r="43" customFormat="false" ht="15" hidden="false" customHeight="false" outlineLevel="0" collapsed="false">
      <c r="A43" s="9" t="s">
        <v>106</v>
      </c>
      <c r="B43" s="4" t="s">
        <v>38</v>
      </c>
      <c r="C43" s="12" t="n">
        <v>24</v>
      </c>
      <c r="D43" s="12" t="n">
        <v>19</v>
      </c>
      <c r="E43" s="12" t="n">
        <v>14</v>
      </c>
      <c r="F43" s="13" t="n">
        <f aca="false">INDEX(C43:E43,1,$F$3)</f>
        <v>19</v>
      </c>
      <c r="G43" s="4" t="s">
        <v>90</v>
      </c>
    </row>
    <row r="44" customFormat="false" ht="15" hidden="false" customHeight="false" outlineLevel="0" collapsed="false">
      <c r="A44" s="9" t="s">
        <v>107</v>
      </c>
      <c r="B44" s="4" t="s">
        <v>92</v>
      </c>
      <c r="C44" s="14" t="n">
        <v>6500</v>
      </c>
      <c r="D44" s="14" t="n">
        <v>6500</v>
      </c>
      <c r="E44" s="14" t="n">
        <v>6500</v>
      </c>
      <c r="F44" s="15" t="n">
        <f aca="false">INDEX(C44:E44,1,$F$3)</f>
        <v>6500</v>
      </c>
      <c r="G44" s="4" t="s">
        <v>90</v>
      </c>
    </row>
    <row r="45" customFormat="false" ht="15" hidden="false" customHeight="false" outlineLevel="0" collapsed="false">
      <c r="A45" s="9" t="s">
        <v>108</v>
      </c>
      <c r="B45" s="4" t="s">
        <v>92</v>
      </c>
      <c r="C45" s="14" t="n">
        <v>100000</v>
      </c>
      <c r="D45" s="14" t="n">
        <v>77050</v>
      </c>
      <c r="E45" s="14" t="n">
        <v>60000</v>
      </c>
      <c r="F45" s="15" t="n">
        <f aca="false">INDEX(C45:E45,1,$F$3)</f>
        <v>77050</v>
      </c>
      <c r="G45" s="4" t="s">
        <v>109</v>
      </c>
    </row>
    <row r="46" customFormat="false" ht="15" hidden="false" customHeight="false" outlineLevel="0" collapsed="false">
      <c r="A46" s="9" t="s">
        <v>110</v>
      </c>
      <c r="B46" s="4" t="s">
        <v>63</v>
      </c>
      <c r="C46" s="14" t="n">
        <v>400</v>
      </c>
      <c r="D46" s="14" t="n">
        <v>400</v>
      </c>
      <c r="E46" s="14" t="n">
        <v>400</v>
      </c>
      <c r="F46" s="15" t="n">
        <f aca="false">INDEX(C46:E46,1,$F$3)</f>
        <v>400</v>
      </c>
      <c r="G46" s="4" t="s">
        <v>90</v>
      </c>
    </row>
    <row r="47" customFormat="false" ht="15" hidden="false" customHeight="false" outlineLevel="0" collapsed="false">
      <c r="A47" s="9" t="s">
        <v>111</v>
      </c>
      <c r="B47" s="4" t="s">
        <v>63</v>
      </c>
      <c r="C47" s="14" t="n">
        <v>1000</v>
      </c>
      <c r="D47" s="14" t="n">
        <v>800</v>
      </c>
      <c r="E47" s="14" t="n">
        <v>800</v>
      </c>
      <c r="F47" s="15" t="n">
        <f aca="false">INDEX(C47:E47,1,$F$3)</f>
        <v>800</v>
      </c>
      <c r="G47" s="4" t="s">
        <v>90</v>
      </c>
    </row>
    <row r="48" customFormat="false" ht="15" hidden="false" customHeight="false" outlineLevel="0" collapsed="false">
      <c r="A48" s="9" t="s">
        <v>112</v>
      </c>
      <c r="B48" s="4" t="s">
        <v>47</v>
      </c>
      <c r="C48" s="14" t="n">
        <v>150</v>
      </c>
      <c r="D48" s="14" t="n">
        <v>150</v>
      </c>
      <c r="E48" s="14" t="n">
        <v>150</v>
      </c>
      <c r="F48" s="15" t="n">
        <f aca="false">INDEX(C48:E48,1,$F$3)</f>
        <v>150</v>
      </c>
      <c r="G48" s="4" t="s">
        <v>113</v>
      </c>
    </row>
    <row r="49" customFormat="false" ht="15" hidden="false" customHeight="false" outlineLevel="0" collapsed="false">
      <c r="A49" s="9" t="s">
        <v>114</v>
      </c>
      <c r="B49" s="4" t="s">
        <v>63</v>
      </c>
      <c r="C49" s="14" t="n">
        <v>500</v>
      </c>
      <c r="D49" s="14" t="n">
        <v>1000</v>
      </c>
      <c r="E49" s="14" t="n">
        <v>1500</v>
      </c>
      <c r="F49" s="15" t="n">
        <f aca="false">INDEX(C49:E49,1,$F$3)</f>
        <v>1000</v>
      </c>
      <c r="G49" s="4" t="s">
        <v>90</v>
      </c>
    </row>
    <row r="50" customFormat="false" ht="15" hidden="false" customHeight="false" outlineLevel="0" collapsed="false">
      <c r="A50" s="9" t="s">
        <v>115</v>
      </c>
      <c r="B50" s="4" t="s">
        <v>63</v>
      </c>
      <c r="C50" s="14" t="n">
        <v>300</v>
      </c>
      <c r="D50" s="14" t="n">
        <v>300</v>
      </c>
      <c r="E50" s="14" t="n">
        <v>300</v>
      </c>
      <c r="F50" s="15" t="n">
        <f aca="false">INDEX(C50:E50,1,$F$3)</f>
        <v>300</v>
      </c>
      <c r="G50" s="4" t="s">
        <v>90</v>
      </c>
    </row>
    <row r="51" customFormat="false" ht="15" hidden="false" customHeight="false" outlineLevel="0" collapsed="false">
      <c r="A51" s="9" t="s">
        <v>116</v>
      </c>
      <c r="B51" s="4" t="s">
        <v>117</v>
      </c>
      <c r="C51" s="14" t="n">
        <v>8000</v>
      </c>
      <c r="D51" s="14" t="n">
        <v>5000</v>
      </c>
      <c r="E51" s="14" t="n">
        <v>3000</v>
      </c>
      <c r="F51" s="15" t="n">
        <f aca="false">INDEX(C51:E51,1,$F$3)</f>
        <v>5000</v>
      </c>
      <c r="G51" s="4" t="s">
        <v>118</v>
      </c>
    </row>
    <row r="52" customFormat="false" ht="15" hidden="false" customHeight="false" outlineLevel="0" collapsed="false">
      <c r="A52" s="9" t="s">
        <v>119</v>
      </c>
      <c r="B52" s="4" t="s">
        <v>92</v>
      </c>
      <c r="C52" s="14" t="n">
        <v>2500</v>
      </c>
      <c r="D52" s="14" t="n">
        <v>2500</v>
      </c>
      <c r="E52" s="14" t="n">
        <v>2500</v>
      </c>
      <c r="F52" s="15" t="n">
        <f aca="false">INDEX(C52:E52,1,$F$3)</f>
        <v>2500</v>
      </c>
      <c r="G52" s="4" t="s">
        <v>120</v>
      </c>
    </row>
    <row r="53" customFormat="false" ht="15" hidden="false" customHeight="false" outlineLevel="0" collapsed="false">
      <c r="A53" s="9" t="s">
        <v>121</v>
      </c>
      <c r="B53" s="4" t="s">
        <v>70</v>
      </c>
      <c r="C53" s="14" t="n">
        <v>60000</v>
      </c>
      <c r="D53" s="14" t="n">
        <v>40000</v>
      </c>
      <c r="E53" s="14" t="n">
        <v>30000</v>
      </c>
      <c r="F53" s="15" t="n">
        <f aca="false">INDEX(C53:E53,1,$F$3)</f>
        <v>40000</v>
      </c>
      <c r="G53" s="4" t="s">
        <v>122</v>
      </c>
    </row>
    <row r="54" customFormat="false" ht="15" hidden="false" customHeight="false" outlineLevel="0" collapsed="false">
      <c r="A54" s="9" t="s">
        <v>123</v>
      </c>
      <c r="B54" s="4" t="s">
        <v>70</v>
      </c>
      <c r="C54" s="14" t="n">
        <v>0</v>
      </c>
      <c r="D54" s="14" t="n">
        <v>0</v>
      </c>
      <c r="E54" s="14" t="n">
        <v>0</v>
      </c>
      <c r="F54" s="15" t="n">
        <f aca="false">INDEX(C54:E54,1,$F$3)</f>
        <v>0</v>
      </c>
      <c r="G54" s="4" t="s">
        <v>124</v>
      </c>
    </row>
    <row r="55" customFormat="false" ht="15" hidden="false" customHeight="false" outlineLevel="0" collapsed="false">
      <c r="A55" s="8" t="s">
        <v>125</v>
      </c>
    </row>
    <row r="56" customFormat="false" ht="15" hidden="false" customHeight="false" outlineLevel="0" collapsed="false">
      <c r="A56" s="9" t="s">
        <v>126</v>
      </c>
      <c r="B56" s="4" t="s">
        <v>127</v>
      </c>
      <c r="C56" s="12" t="n">
        <v>0</v>
      </c>
      <c r="D56" s="12" t="n">
        <v>0</v>
      </c>
      <c r="E56" s="12" t="n">
        <v>0</v>
      </c>
      <c r="F56" s="13" t="n">
        <f aca="false">INDEX(C56:E56,1,$F$3)</f>
        <v>0</v>
      </c>
      <c r="G56" s="4" t="s">
        <v>128</v>
      </c>
    </row>
    <row r="57" customFormat="false" ht="15" hidden="false" customHeight="false" outlineLevel="0" collapsed="false">
      <c r="A57" s="9" t="s">
        <v>129</v>
      </c>
      <c r="B57" s="4" t="s">
        <v>38</v>
      </c>
      <c r="C57" s="12" t="n">
        <v>2</v>
      </c>
      <c r="D57" s="12" t="n">
        <v>2</v>
      </c>
      <c r="E57" s="12" t="n">
        <v>2</v>
      </c>
      <c r="F57" s="13" t="n">
        <f aca="false">INDEX(C57:E57,1,$F$3)</f>
        <v>2</v>
      </c>
      <c r="G57" s="4" t="s">
        <v>130</v>
      </c>
    </row>
    <row r="58" customFormat="false" ht="15" hidden="false" customHeight="false" outlineLevel="0" collapsed="false">
      <c r="A58" s="9" t="s">
        <v>131</v>
      </c>
      <c r="B58" s="4" t="s">
        <v>70</v>
      </c>
      <c r="C58" s="14" t="n">
        <v>15000</v>
      </c>
      <c r="D58" s="14" t="n">
        <v>15000</v>
      </c>
      <c r="E58" s="14" t="n">
        <v>15000</v>
      </c>
      <c r="F58" s="15" t="n">
        <f aca="false">INDEX(C58:E58,1,$F$3)</f>
        <v>15000</v>
      </c>
      <c r="G58" s="4" t="s">
        <v>132</v>
      </c>
    </row>
    <row r="59" customFormat="false" ht="15" hidden="false" customHeight="false" outlineLevel="0" collapsed="false">
      <c r="A59" s="9" t="s">
        <v>133</v>
      </c>
      <c r="B59" s="4" t="s">
        <v>38</v>
      </c>
      <c r="C59" s="12" t="n">
        <v>10</v>
      </c>
      <c r="D59" s="12" t="n">
        <v>7</v>
      </c>
      <c r="E59" s="12" t="n">
        <v>6</v>
      </c>
      <c r="F59" s="13" t="n">
        <f aca="false">INDEX(C59:E59,1,$F$3)</f>
        <v>7</v>
      </c>
      <c r="G59" s="4" t="s">
        <v>134</v>
      </c>
    </row>
    <row r="60" customFormat="false" ht="15" hidden="false" customHeight="false" outlineLevel="0" collapsed="false">
      <c r="A60" s="9" t="s">
        <v>135</v>
      </c>
      <c r="B60" s="4" t="s">
        <v>70</v>
      </c>
      <c r="C60" s="14" t="n">
        <v>150000</v>
      </c>
      <c r="D60" s="14" t="n">
        <v>150000</v>
      </c>
      <c r="E60" s="14" t="n">
        <v>150000</v>
      </c>
      <c r="F60" s="15" t="n">
        <f aca="false">INDEX(C60:E60,1,$F$3)</f>
        <v>150000</v>
      </c>
      <c r="G60" s="4" t="s">
        <v>136</v>
      </c>
    </row>
    <row r="61" customFormat="false" ht="15" hidden="false" customHeight="false" outlineLevel="0" collapsed="false">
      <c r="A61" s="9" t="s">
        <v>137</v>
      </c>
      <c r="B61" s="4" t="s">
        <v>38</v>
      </c>
      <c r="C61" s="12" t="n">
        <v>16</v>
      </c>
      <c r="D61" s="12" t="n">
        <v>13</v>
      </c>
      <c r="E61" s="12" t="n">
        <v>13</v>
      </c>
      <c r="F61" s="13" t="n">
        <f aca="false">INDEX(C61:E61,1,$F$3)</f>
        <v>13</v>
      </c>
      <c r="G61" s="4"/>
    </row>
    <row r="62" customFormat="false" ht="15" hidden="false" customHeight="false" outlineLevel="0" collapsed="false">
      <c r="A62" s="9" t="s">
        <v>138</v>
      </c>
      <c r="B62" s="4" t="s">
        <v>70</v>
      </c>
      <c r="C62" s="14" t="n">
        <v>450000</v>
      </c>
      <c r="D62" s="14" t="n">
        <v>300000</v>
      </c>
      <c r="E62" s="14" t="n">
        <v>250000</v>
      </c>
      <c r="F62" s="15" t="n">
        <f aca="false">INDEX(C62:E62,1,$F$3)</f>
        <v>300000</v>
      </c>
      <c r="G62" s="4" t="s">
        <v>139</v>
      </c>
    </row>
    <row r="64" customFormat="false" ht="15" hidden="false" customHeight="false" outlineLevel="0" collapsed="false">
      <c r="A64" s="2" t="s">
        <v>140</v>
      </c>
      <c r="C64" s="17" t="n">
        <f aca="false">C16+C17+C18</f>
        <v>1</v>
      </c>
      <c r="D64" s="17" t="n">
        <f aca="false">D16+D17+D18</f>
        <v>1</v>
      </c>
      <c r="E64" s="17" t="n">
        <f aca="false">E16+E17+E18</f>
        <v>1</v>
      </c>
      <c r="F64" s="17" t="n">
        <f aca="false">F16+F17+F18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4"/>
  </cols>
  <sheetData>
    <row r="1" customFormat="false" ht="19.7" hidden="false" customHeight="false" outlineLevel="0" collapsed="false">
      <c r="A1" s="1" t="s">
        <v>141</v>
      </c>
    </row>
    <row r="2" customFormat="false" ht="15" hidden="false" customHeight="false" outlineLevel="0" collapsed="false">
      <c r="A2" s="4" t="s">
        <v>142</v>
      </c>
    </row>
    <row r="4" customFormat="false" ht="15" hidden="false" customHeight="false" outlineLevel="0" collapsed="false">
      <c r="A4" s="7" t="s">
        <v>143</v>
      </c>
      <c r="B4" s="7" t="s">
        <v>144</v>
      </c>
      <c r="C4" s="7" t="s">
        <v>145</v>
      </c>
      <c r="D4" s="7" t="s">
        <v>146</v>
      </c>
      <c r="E4" s="7" t="s">
        <v>147</v>
      </c>
    </row>
    <row r="5" customFormat="false" ht="15" hidden="false" customHeight="false" outlineLevel="0" collapsed="false">
      <c r="A5" s="9" t="s">
        <v>148</v>
      </c>
      <c r="B5" s="20" t="n">
        <f aca="false">Hypothèses!$F$12</f>
        <v>29</v>
      </c>
      <c r="C5" s="20" t="n">
        <f aca="false">Hypothèses!$F$13</f>
        <v>79</v>
      </c>
      <c r="D5" s="20" t="n">
        <f aca="false">Hypothèses!$F$14</f>
        <v>129</v>
      </c>
      <c r="E5" s="15" t="n">
        <f aca="false">B5*Hypothèses!$F$16+C5*Hypothèses!$F$17+D5*Hypothèses!$F$18</f>
        <v>74</v>
      </c>
    </row>
    <row r="6" customFormat="false" ht="15" hidden="false" customHeight="false" outlineLevel="0" collapsed="false">
      <c r="A6" s="9" t="s">
        <v>149</v>
      </c>
      <c r="B6" s="21" t="n">
        <f aca="false">Hypothèses!$F$12/(1+Hypothèses!$F$15)</f>
        <v>24.1666666666667</v>
      </c>
      <c r="C6" s="21" t="n">
        <f aca="false">Hypothèses!$F$13/(1+Hypothèses!$F$15)</f>
        <v>65.8333333333333</v>
      </c>
      <c r="D6" s="21" t="n">
        <f aca="false">Hypothèses!$F$14/(1+Hypothèses!$F$15)</f>
        <v>107.5</v>
      </c>
      <c r="E6" s="19" t="n">
        <f aca="false">B6*Hypothèses!$F$16+C6*Hypothèses!$F$17+D6*Hypothèses!$F$18</f>
        <v>61.6666666666667</v>
      </c>
    </row>
    <row r="7" customFormat="false" ht="15" hidden="false" customHeight="false" outlineLevel="0" collapsed="false">
      <c r="A7" s="9" t="s">
        <v>150</v>
      </c>
      <c r="B7" s="22" t="n">
        <f aca="false">Hypothèses!$F$31</f>
        <v>20</v>
      </c>
      <c r="C7" s="22" t="n">
        <f aca="false">Hypothèses!$F$32</f>
        <v>60</v>
      </c>
      <c r="D7" s="22" t="n">
        <f aca="false">Hypothèses!$F$33</f>
        <v>90</v>
      </c>
      <c r="E7" s="13" t="n">
        <f aca="false">B7*Hypothèses!$F$16+C7*Hypothèses!$F$17+D7*Hypothèses!$F$18</f>
        <v>54.5</v>
      </c>
    </row>
    <row r="8" customFormat="false" ht="15" hidden="false" customHeight="false" outlineLevel="0" collapsed="false">
      <c r="A8" s="9" t="s">
        <v>151</v>
      </c>
      <c r="B8" s="21" t="n">
        <f aca="false">Hypothèses!$F$31*Hypothèses!$F$34</f>
        <v>3.6</v>
      </c>
      <c r="C8" s="21" t="n">
        <f aca="false">Hypothèses!$F$32*Hypothèses!$F$34</f>
        <v>10.8</v>
      </c>
      <c r="D8" s="21" t="n">
        <f aca="false">Hypothèses!$F$33*Hypothèses!$F$34</f>
        <v>16.2</v>
      </c>
      <c r="E8" s="19" t="n">
        <f aca="false">B8*Hypothèses!$F$16+C8*Hypothèses!$F$17+D8*Hypothèses!$F$18</f>
        <v>9.81</v>
      </c>
    </row>
    <row r="9" customFormat="false" ht="15" hidden="false" customHeight="false" outlineLevel="0" collapsed="false">
      <c r="A9" s="9" t="s">
        <v>152</v>
      </c>
      <c r="B9" s="21" t="n">
        <f aca="false">Hypothèses!$F$35</f>
        <v>1.5</v>
      </c>
      <c r="C9" s="21" t="n">
        <f aca="false">Hypothèses!$F$35</f>
        <v>1.5</v>
      </c>
      <c r="D9" s="21" t="n">
        <f aca="false">Hypothèses!$F$35</f>
        <v>1.5</v>
      </c>
      <c r="E9" s="19" t="n">
        <f aca="false">B9*Hypothèses!$F$16+C9*Hypothèses!$F$17+D9*Hypothèses!$F$18</f>
        <v>1.5</v>
      </c>
    </row>
    <row r="10" customFormat="false" ht="15" hidden="false" customHeight="false" outlineLevel="0" collapsed="false">
      <c r="A10" s="9" t="s">
        <v>153</v>
      </c>
      <c r="B10" s="21" t="n">
        <f aca="false">Hypothèses!$F$36</f>
        <v>3</v>
      </c>
      <c r="C10" s="21" t="n">
        <f aca="false">Hypothèses!$F$36</f>
        <v>3</v>
      </c>
      <c r="D10" s="21" t="n">
        <f aca="false">Hypothèses!$F$36</f>
        <v>3</v>
      </c>
      <c r="E10" s="19" t="n">
        <f aca="false">B10*Hypothèses!$F$16+C10*Hypothèses!$F$17+D10*Hypothèses!$F$18</f>
        <v>3</v>
      </c>
    </row>
    <row r="11" customFormat="false" ht="15" hidden="false" customHeight="false" outlineLevel="0" collapsed="false">
      <c r="A11" s="9" t="s">
        <v>154</v>
      </c>
      <c r="B11" s="21" t="n">
        <f aca="false">Hypothèses!$F$12*(1-Hypothèses!$F$27)*Hypothèses!$F$28+Hypothèses!$F$29</f>
        <v>0.68065</v>
      </c>
      <c r="C11" s="21" t="n">
        <f aca="false">Hypothèses!$F$13*(1-Hypothèses!$F$27)*Hypothèses!$F$28+Hypothèses!$F$29</f>
        <v>1.42315</v>
      </c>
      <c r="D11" s="21" t="n">
        <f aca="false">Hypothèses!$F$14*(1-Hypothèses!$F$27)*Hypothèses!$F$28+Hypothèses!$F$29</f>
        <v>2.16565</v>
      </c>
      <c r="E11" s="19" t="n">
        <f aca="false">B11*Hypothèses!$F$16+C11*Hypothèses!$F$17+D11*Hypothèses!$F$18</f>
        <v>1.3489</v>
      </c>
    </row>
    <row r="12" customFormat="false" ht="15" hidden="false" customHeight="false" outlineLevel="0" collapsed="false">
      <c r="A12" s="9" t="s">
        <v>155</v>
      </c>
      <c r="B12" s="21" t="n">
        <f aca="false">Hypothèses!$F$12*Hypothèses!$F$27/(1+Hypothèses!$F$15)</f>
        <v>0.241666666666667</v>
      </c>
      <c r="C12" s="21" t="n">
        <f aca="false">Hypothèses!$F$13*Hypothèses!$F$27/(1+Hypothèses!$F$15)</f>
        <v>0.658333333333333</v>
      </c>
      <c r="D12" s="21" t="n">
        <f aca="false">Hypothèses!$F$14*Hypothèses!$F$27/(1+Hypothèses!$F$15)</f>
        <v>1.075</v>
      </c>
      <c r="E12" s="19" t="n">
        <f aca="false">B12*Hypothèses!$F$16+C12*Hypothèses!$F$17+D12*Hypothèses!$F$18</f>
        <v>0.616666666666667</v>
      </c>
    </row>
    <row r="13" customFormat="false" ht="15" hidden="false" customHeight="false" outlineLevel="0" collapsed="false">
      <c r="A13" s="2" t="s">
        <v>156</v>
      </c>
      <c r="B13" s="23" t="n">
        <f aca="false">B6-B8-B9-B10-B11-B12</f>
        <v>15.14435</v>
      </c>
      <c r="C13" s="23" t="n">
        <f aca="false">C6-C8-C9-C10-C11-C12</f>
        <v>48.45185</v>
      </c>
      <c r="D13" s="23" t="n">
        <f aca="false">D6-D8-D9-D10-D11-D12</f>
        <v>83.55935</v>
      </c>
      <c r="E13" s="23" t="n">
        <f aca="false">E6-E8-E9-E10-E11-E12</f>
        <v>45.3911</v>
      </c>
    </row>
    <row r="14" customFormat="false" ht="15" hidden="false" customHeight="false" outlineLevel="0" collapsed="false">
      <c r="A14" s="9" t="s">
        <v>157</v>
      </c>
      <c r="B14" s="24" t="n">
        <f aca="false">IF(B6&gt;0,B13/B6,0)</f>
        <v>0.62666275862069</v>
      </c>
      <c r="C14" s="24" t="n">
        <f aca="false">IF(C6&gt;0,C13/C6,0)</f>
        <v>0.735977468354431</v>
      </c>
      <c r="D14" s="24" t="n">
        <f aca="false">IF(D6&gt;0,D13/D6,0)</f>
        <v>0.777296279069767</v>
      </c>
      <c r="E14" s="24" t="n">
        <f aca="false">IF(E6&gt;0,E13/E6,0)</f>
        <v>0.736071891891892</v>
      </c>
    </row>
    <row r="15" customFormat="false" ht="15" hidden="false" customHeight="false" outlineLevel="0" collapsed="false">
      <c r="A15" s="9" t="s">
        <v>158</v>
      </c>
      <c r="B15" s="25" t="n">
        <f aca="false">IF(B13&gt;0,Hypothèses!$F$23/B13,0)</f>
        <v>9.90468392502814</v>
      </c>
      <c r="C15" s="25" t="n">
        <f aca="false">IF(C13&gt;0,Hypothèses!$F$23/C13,0)</f>
        <v>3.09585702093934</v>
      </c>
      <c r="D15" s="25" t="n">
        <f aca="false">IF(D13&gt;0,Hypothèses!$F$23/D13,0)</f>
        <v>1.79513124503721</v>
      </c>
      <c r="E15" s="25" t="n">
        <f aca="false">IF(E13&gt;0,Hypothèses!$F$23/E13,0)</f>
        <v>3.3046125782367</v>
      </c>
    </row>
    <row r="16" customFormat="false" ht="15" hidden="false" customHeight="false" outlineLevel="0" collapsed="false">
      <c r="A16" s="9" t="s">
        <v>159</v>
      </c>
      <c r="B16" s="26" t="n">
        <f aca="false">IF(Hypothèses!$F$26&gt;0,B13/Hypothèses!$F$26,0)</f>
        <v>504.811666666667</v>
      </c>
      <c r="C16" s="26" t="n">
        <f aca="false">IF(Hypothèses!$F$26&gt;0,C13/Hypothèses!$F$26,0)</f>
        <v>1615.06166666667</v>
      </c>
      <c r="D16" s="26" t="n">
        <f aca="false">IF(Hypothèses!$F$26&gt;0,D13/Hypothèses!$F$26,0)</f>
        <v>2785.31166666667</v>
      </c>
      <c r="E16" s="26" t="n">
        <f aca="false">IF(Hypothèses!$F$26&gt;0,E13/Hypothèses!$F$26,0)</f>
        <v>1513.03666666667</v>
      </c>
    </row>
    <row r="17" customFormat="false" ht="15" hidden="false" customHeight="false" outlineLevel="0" collapsed="false">
      <c r="A17" s="2" t="s">
        <v>160</v>
      </c>
      <c r="B17" s="27" t="n">
        <f aca="false">IF(Hypothèses!$F$23&gt;0,B16/Hypothèses!$F$23,0)</f>
        <v>3.36541111111111</v>
      </c>
      <c r="C17" s="27" t="n">
        <f aca="false">IF(Hypothèses!$F$23&gt;0,C16/Hypothèses!$F$23,0)</f>
        <v>10.7670777777778</v>
      </c>
      <c r="D17" s="27" t="n">
        <f aca="false">IF(Hypothèses!$F$23&gt;0,D16/Hypothèses!$F$23,0)</f>
        <v>18.5687444444444</v>
      </c>
      <c r="E17" s="27" t="n">
        <f aca="false">IF(Hypothèses!$F$23&gt;0,E16/Hypothèses!$F$23,0)</f>
        <v>10.0869111111111</v>
      </c>
    </row>
    <row r="20" customFormat="false" ht="15" hidden="false" customHeight="false" outlineLevel="0" collapsed="false">
      <c r="A20" s="2" t="s">
        <v>161</v>
      </c>
    </row>
    <row r="21" customFormat="false" ht="15" hidden="false" customHeight="false" outlineLevel="0" collapsed="false">
      <c r="A21" s="28" t="s">
        <v>162</v>
      </c>
      <c r="B21" s="29" t="n">
        <v>100</v>
      </c>
      <c r="C21" s="29" t="n">
        <v>150</v>
      </c>
      <c r="D21" s="29" t="n">
        <v>200</v>
      </c>
      <c r="E21" s="29" t="n">
        <v>250</v>
      </c>
      <c r="F21" s="29" t="n">
        <v>300</v>
      </c>
      <c r="G21" s="29" t="n">
        <v>400</v>
      </c>
    </row>
    <row r="22" customFormat="false" ht="15" hidden="false" customHeight="false" outlineLevel="0" collapsed="false">
      <c r="A22" s="16" t="n">
        <v>0.02</v>
      </c>
      <c r="B22" s="30" t="n">
        <f aca="false">IF(AND($A22&gt;0,B$21&gt;0),($C$13/$A22)/B$21,0)</f>
        <v>24.225925</v>
      </c>
      <c r="C22" s="30" t="n">
        <f aca="false">IF(AND($A22&gt;0,C$21&gt;0),($C$13/$A22)/C$21,0)</f>
        <v>16.1506166666667</v>
      </c>
      <c r="D22" s="30" t="n">
        <f aca="false">IF(AND($A22&gt;0,D$21&gt;0),($C$13/$A22)/D$21,0)</f>
        <v>12.1129625</v>
      </c>
      <c r="E22" s="30" t="n">
        <f aca="false">IF(AND($A22&gt;0,E$21&gt;0),($C$13/$A22)/E$21,0)</f>
        <v>9.69037</v>
      </c>
      <c r="F22" s="30" t="n">
        <f aca="false">IF(AND($A22&gt;0,F$21&gt;0),($C$13/$A22)/F$21,0)</f>
        <v>8.07530833333334</v>
      </c>
      <c r="G22" s="30" t="n">
        <f aca="false">IF(AND($A22&gt;0,G$21&gt;0),($C$13/$A22)/G$21,0)</f>
        <v>6.05648125</v>
      </c>
    </row>
    <row r="23" customFormat="false" ht="15" hidden="false" customHeight="false" outlineLevel="0" collapsed="false">
      <c r="A23" s="16" t="n">
        <v>0.03</v>
      </c>
      <c r="B23" s="30" t="n">
        <f aca="false">IF(AND($A23&gt;0,B$21&gt;0),($C$13/$A23)/B$21,0)</f>
        <v>16.1506166666667</v>
      </c>
      <c r="C23" s="30" t="n">
        <f aca="false">IF(AND($A23&gt;0,C$21&gt;0),($C$13/$A23)/C$21,0)</f>
        <v>10.7670777777778</v>
      </c>
      <c r="D23" s="30" t="n">
        <f aca="false">IF(AND($A23&gt;0,D$21&gt;0),($C$13/$A23)/D$21,0)</f>
        <v>8.07530833333334</v>
      </c>
      <c r="E23" s="30" t="n">
        <f aca="false">IF(AND($A23&gt;0,E$21&gt;0),($C$13/$A23)/E$21,0)</f>
        <v>6.46024666666667</v>
      </c>
      <c r="F23" s="30" t="n">
        <f aca="false">IF(AND($A23&gt;0,F$21&gt;0),($C$13/$A23)/F$21,0)</f>
        <v>5.38353888888889</v>
      </c>
      <c r="G23" s="30" t="n">
        <f aca="false">IF(AND($A23&gt;0,G$21&gt;0),($C$13/$A23)/G$21,0)</f>
        <v>4.03765416666667</v>
      </c>
    </row>
    <row r="24" customFormat="false" ht="15" hidden="false" customHeight="false" outlineLevel="0" collapsed="false">
      <c r="A24" s="16" t="n">
        <v>0.04</v>
      </c>
      <c r="B24" s="30" t="n">
        <f aca="false">IF(AND($A24&gt;0,B$21&gt;0),($C$13/$A24)/B$21,0)</f>
        <v>12.1129625</v>
      </c>
      <c r="C24" s="30" t="n">
        <f aca="false">IF(AND($A24&gt;0,C$21&gt;0),($C$13/$A24)/C$21,0)</f>
        <v>8.07530833333334</v>
      </c>
      <c r="D24" s="30" t="n">
        <f aca="false">IF(AND($A24&gt;0,D$21&gt;0),($C$13/$A24)/D$21,0)</f>
        <v>6.05648125</v>
      </c>
      <c r="E24" s="30" t="n">
        <f aca="false">IF(AND($A24&gt;0,E$21&gt;0),($C$13/$A24)/E$21,0)</f>
        <v>4.845185</v>
      </c>
      <c r="F24" s="30" t="n">
        <f aca="false">IF(AND($A24&gt;0,F$21&gt;0),($C$13/$A24)/F$21,0)</f>
        <v>4.03765416666667</v>
      </c>
      <c r="G24" s="30" t="n">
        <f aca="false">IF(AND($A24&gt;0,G$21&gt;0),($C$13/$A24)/G$21,0)</f>
        <v>3.028240625</v>
      </c>
    </row>
    <row r="25" customFormat="false" ht="15" hidden="false" customHeight="false" outlineLevel="0" collapsed="false">
      <c r="A25" s="16" t="n">
        <v>0.05</v>
      </c>
      <c r="B25" s="30" t="n">
        <f aca="false">IF(AND($A25&gt;0,B$21&gt;0),($C$13/$A25)/B$21,0)</f>
        <v>9.69037</v>
      </c>
      <c r="C25" s="30" t="n">
        <f aca="false">IF(AND($A25&gt;0,C$21&gt;0),($C$13/$A25)/C$21,0)</f>
        <v>6.46024666666667</v>
      </c>
      <c r="D25" s="30" t="n">
        <f aca="false">IF(AND($A25&gt;0,D$21&gt;0),($C$13/$A25)/D$21,0)</f>
        <v>4.845185</v>
      </c>
      <c r="E25" s="30" t="n">
        <f aca="false">IF(AND($A25&gt;0,E$21&gt;0),($C$13/$A25)/E$21,0)</f>
        <v>3.876148</v>
      </c>
      <c r="F25" s="30" t="n">
        <f aca="false">IF(AND($A25&gt;0,F$21&gt;0),($C$13/$A25)/F$21,0)</f>
        <v>3.23012333333333</v>
      </c>
      <c r="G25" s="30" t="n">
        <f aca="false">IF(AND($A25&gt;0,G$21&gt;0),($C$13/$A25)/G$21,0)</f>
        <v>2.4225925</v>
      </c>
    </row>
    <row r="26" customFormat="false" ht="15" hidden="false" customHeight="false" outlineLevel="0" collapsed="false">
      <c r="A26" s="16" t="n">
        <v>0.07</v>
      </c>
      <c r="B26" s="30" t="n">
        <f aca="false">IF(AND($A26&gt;0,B$21&gt;0),($C$13/$A26)/B$21,0)</f>
        <v>6.92169285714286</v>
      </c>
      <c r="C26" s="30" t="n">
        <f aca="false">IF(AND($A26&gt;0,C$21&gt;0),($C$13/$A26)/C$21,0)</f>
        <v>4.61446190476191</v>
      </c>
      <c r="D26" s="30" t="n">
        <f aca="false">IF(AND($A26&gt;0,D$21&gt;0),($C$13/$A26)/D$21,0)</f>
        <v>3.46084642857143</v>
      </c>
      <c r="E26" s="30" t="n">
        <f aca="false">IF(AND($A26&gt;0,E$21&gt;0),($C$13/$A26)/E$21,0)</f>
        <v>2.76867714285714</v>
      </c>
      <c r="F26" s="30" t="n">
        <f aca="false">IF(AND($A26&gt;0,F$21&gt;0),($C$13/$A26)/F$21,0)</f>
        <v>2.30723095238095</v>
      </c>
      <c r="G26" s="30" t="n">
        <f aca="false">IF(AND($A26&gt;0,G$21&gt;0),($C$13/$A26)/G$21,0)</f>
        <v>1.73042321428571</v>
      </c>
    </row>
    <row r="27" customFormat="false" ht="15" hidden="false" customHeight="false" outlineLevel="0" collapsed="false">
      <c r="A27" s="16" t="n">
        <v>0.1</v>
      </c>
      <c r="B27" s="30" t="n">
        <f aca="false">IF(AND($A27&gt;0,B$21&gt;0),($C$13/$A27)/B$21,0)</f>
        <v>4.845185</v>
      </c>
      <c r="C27" s="30" t="n">
        <f aca="false">IF(AND($A27&gt;0,C$21&gt;0),($C$13/$A27)/C$21,0)</f>
        <v>3.23012333333333</v>
      </c>
      <c r="D27" s="30" t="n">
        <f aca="false">IF(AND($A27&gt;0,D$21&gt;0),($C$13/$A27)/D$21,0)</f>
        <v>2.4225925</v>
      </c>
      <c r="E27" s="30" t="n">
        <f aca="false">IF(AND($A27&gt;0,E$21&gt;0),($C$13/$A27)/E$21,0)</f>
        <v>1.938074</v>
      </c>
      <c r="F27" s="30" t="n">
        <f aca="false">IF(AND($A27&gt;0,F$21&gt;0),($C$13/$A27)/F$21,0)</f>
        <v>1.61506166666667</v>
      </c>
      <c r="G27" s="30" t="n">
        <f aca="false">IF(AND($A27&gt;0,G$21&gt;0),($C$13/$A27)/G$21,0)</f>
        <v>1.21129625</v>
      </c>
    </row>
    <row r="30" customFormat="false" ht="15" hidden="false" customHeight="false" outlineLevel="0" collapsed="false">
      <c r="A30" s="2" t="s">
        <v>163</v>
      </c>
    </row>
    <row r="31" customFormat="false" ht="15" hidden="false" customHeight="false" outlineLevel="0" collapsed="false">
      <c r="A31" s="28" t="s">
        <v>164</v>
      </c>
      <c r="B31" s="31" t="n">
        <v>30</v>
      </c>
      <c r="C31" s="31" t="n">
        <v>45</v>
      </c>
      <c r="D31" s="31" t="n">
        <v>60</v>
      </c>
      <c r="E31" s="31" t="n">
        <v>90</v>
      </c>
      <c r="F31" s="31" t="n">
        <v>120</v>
      </c>
    </row>
    <row r="32" customFormat="false" ht="15" hidden="false" customHeight="false" outlineLevel="0" collapsed="false">
      <c r="A32" s="18" t="n">
        <v>0.08</v>
      </c>
      <c r="B32" s="32" t="n">
        <f aca="false">$C$6-$A32*B$31-$C$9-$C$10-$C$11-$C$12</f>
        <v>56.85185</v>
      </c>
      <c r="C32" s="32" t="n">
        <f aca="false">$C$6-$A32*C$31-$C$9-$C$10-$C$11-$C$12</f>
        <v>55.65185</v>
      </c>
      <c r="D32" s="32" t="n">
        <f aca="false">$C$6-$A32*D$31-$C$9-$C$10-$C$11-$C$12</f>
        <v>54.45185</v>
      </c>
      <c r="E32" s="32" t="n">
        <f aca="false">$C$6-$A32*E$31-$C$9-$C$10-$C$11-$C$12</f>
        <v>52.05185</v>
      </c>
      <c r="F32" s="32" t="n">
        <f aca="false">$C$6-$A32*F$31-$C$9-$C$10-$C$11-$C$12</f>
        <v>49.65185</v>
      </c>
    </row>
    <row r="33" customFormat="false" ht="15" hidden="false" customHeight="false" outlineLevel="0" collapsed="false">
      <c r="A33" s="18" t="n">
        <v>0.12</v>
      </c>
      <c r="B33" s="32" t="n">
        <f aca="false">$C$6-$A33*B$31-$C$9-$C$10-$C$11-$C$12</f>
        <v>55.65185</v>
      </c>
      <c r="C33" s="32" t="n">
        <f aca="false">$C$6-$A33*C$31-$C$9-$C$10-$C$11-$C$12</f>
        <v>53.85185</v>
      </c>
      <c r="D33" s="32" t="n">
        <f aca="false">$C$6-$A33*D$31-$C$9-$C$10-$C$11-$C$12</f>
        <v>52.05185</v>
      </c>
      <c r="E33" s="32" t="n">
        <f aca="false">$C$6-$A33*E$31-$C$9-$C$10-$C$11-$C$12</f>
        <v>48.45185</v>
      </c>
      <c r="F33" s="32" t="n">
        <f aca="false">$C$6-$A33*F$31-$C$9-$C$10-$C$11-$C$12</f>
        <v>44.85185</v>
      </c>
    </row>
    <row r="34" customFormat="false" ht="15" hidden="false" customHeight="false" outlineLevel="0" collapsed="false">
      <c r="A34" s="18" t="n">
        <v>0.18</v>
      </c>
      <c r="B34" s="32" t="n">
        <f aca="false">$C$6-$A34*B$31-$C$9-$C$10-$C$11-$C$12</f>
        <v>53.85185</v>
      </c>
      <c r="C34" s="32" t="n">
        <f aca="false">$C$6-$A34*C$31-$C$9-$C$10-$C$11-$C$12</f>
        <v>51.15185</v>
      </c>
      <c r="D34" s="32" t="n">
        <f aca="false">$C$6-$A34*D$31-$C$9-$C$10-$C$11-$C$12</f>
        <v>48.45185</v>
      </c>
      <c r="E34" s="32" t="n">
        <f aca="false">$C$6-$A34*E$31-$C$9-$C$10-$C$11-$C$12</f>
        <v>43.05185</v>
      </c>
      <c r="F34" s="32" t="n">
        <f aca="false">$C$6-$A34*F$31-$C$9-$C$10-$C$11-$C$12</f>
        <v>37.65185</v>
      </c>
    </row>
    <row r="35" customFormat="false" ht="15" hidden="false" customHeight="false" outlineLevel="0" collapsed="false">
      <c r="A35" s="18" t="n">
        <v>0.25</v>
      </c>
      <c r="B35" s="32" t="n">
        <f aca="false">$C$6-$A35*B$31-$C$9-$C$10-$C$11-$C$12</f>
        <v>51.75185</v>
      </c>
      <c r="C35" s="32" t="n">
        <f aca="false">$C$6-$A35*C$31-$C$9-$C$10-$C$11-$C$12</f>
        <v>48.00185</v>
      </c>
      <c r="D35" s="32" t="n">
        <f aca="false">$C$6-$A35*D$31-$C$9-$C$10-$C$11-$C$12</f>
        <v>44.25185</v>
      </c>
      <c r="E35" s="32" t="n">
        <f aca="false">$C$6-$A35*E$31-$C$9-$C$10-$C$11-$C$12</f>
        <v>36.75185</v>
      </c>
      <c r="F35" s="32" t="n">
        <f aca="false">$C$6-$A35*F$31-$C$9-$C$10-$C$11-$C$12</f>
        <v>29.25185</v>
      </c>
    </row>
    <row r="36" customFormat="false" ht="15" hidden="false" customHeight="false" outlineLevel="0" collapsed="false">
      <c r="A36" s="18" t="n">
        <v>0.35</v>
      </c>
      <c r="B36" s="32" t="n">
        <f aca="false">$C$6-$A36*B$31-$C$9-$C$10-$C$11-$C$12</f>
        <v>48.75185</v>
      </c>
      <c r="C36" s="32" t="n">
        <f aca="false">$C$6-$A36*C$31-$C$9-$C$10-$C$11-$C$12</f>
        <v>43.50185</v>
      </c>
      <c r="D36" s="32" t="n">
        <f aca="false">$C$6-$A36*D$31-$C$9-$C$10-$C$11-$C$12</f>
        <v>38.25185</v>
      </c>
      <c r="E36" s="32" t="n">
        <f aca="false">$C$6-$A36*E$31-$C$9-$C$10-$C$11-$C$12</f>
        <v>27.75185</v>
      </c>
      <c r="F36" s="32" t="n">
        <f aca="false">$C$6-$A36*F$31-$C$9-$C$10-$C$11-$C$12</f>
        <v>17.25185</v>
      </c>
    </row>
    <row r="37" customFormat="false" ht="15" hidden="false" customHeight="false" outlineLevel="0" collapsed="false">
      <c r="A37" s="18" t="n">
        <v>0.5</v>
      </c>
      <c r="B37" s="32" t="n">
        <f aca="false">$C$6-$A37*B$31-$C$9-$C$10-$C$11-$C$12</f>
        <v>44.25185</v>
      </c>
      <c r="C37" s="32" t="n">
        <f aca="false">$C$6-$A37*C$31-$C$9-$C$10-$C$11-$C$12</f>
        <v>36.75185</v>
      </c>
      <c r="D37" s="32" t="n">
        <f aca="false">$C$6-$A37*D$31-$C$9-$C$10-$C$11-$C$12</f>
        <v>29.25185</v>
      </c>
      <c r="E37" s="32" t="n">
        <f aca="false">$C$6-$A37*E$31-$C$9-$C$10-$C$11-$C$12</f>
        <v>14.25185</v>
      </c>
      <c r="F37" s="32" t="n">
        <f aca="false">$C$6-$A37*F$31-$C$9-$C$10-$C$11-$C$12</f>
        <v>-0.748149999999991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916A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165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Hypothèses!$C$10+$H$4</f>
        <v>10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EDATE(Hypothèses!$C$7,C7-1)</f>
        <v>46327</v>
      </c>
      <c r="D8" s="11" t="n">
        <f aca="false">EDATE(Hypothèses!$C$7,D7-1)</f>
        <v>46357</v>
      </c>
      <c r="E8" s="11" t="n">
        <f aca="false">EDATE(Hypothèses!$C$7,E7-1)</f>
        <v>46388</v>
      </c>
      <c r="F8" s="11" t="n">
        <f aca="false">EDATE(Hypothèses!$C$7,F7-1)</f>
        <v>46419</v>
      </c>
      <c r="G8" s="11" t="n">
        <f aca="false">EDATE(Hypothèses!$C$7,G7-1)</f>
        <v>46447</v>
      </c>
      <c r="H8" s="11" t="n">
        <f aca="false">EDATE(Hypothèses!$C$7,H7-1)</f>
        <v>46478</v>
      </c>
      <c r="I8" s="11" t="n">
        <f aca="false">EDATE(Hypothèses!$C$7,I7-1)</f>
        <v>46508</v>
      </c>
      <c r="J8" s="11" t="n">
        <f aca="false">EDATE(Hypothèses!$C$7,J7-1)</f>
        <v>46539</v>
      </c>
      <c r="K8" s="11" t="n">
        <f aca="false">EDATE(Hypothèses!$C$7,K7-1)</f>
        <v>46569</v>
      </c>
      <c r="L8" s="11" t="n">
        <f aca="false">EDATE(Hypothèses!$C$7,L7-1)</f>
        <v>46600</v>
      </c>
      <c r="M8" s="11" t="n">
        <f aca="false">EDATE(Hypothèses!$C$7,M7-1)</f>
        <v>46631</v>
      </c>
      <c r="N8" s="11" t="n">
        <f aca="false">EDATE(Hypothèses!$C$7,N7-1)</f>
        <v>46661</v>
      </c>
      <c r="O8" s="11" t="n">
        <f aca="false">EDATE(Hypothèses!$C$7,O7-1)</f>
        <v>46692</v>
      </c>
      <c r="P8" s="11" t="n">
        <f aca="false">EDATE(Hypothèses!$C$7,P7-1)</f>
        <v>46722</v>
      </c>
      <c r="Q8" s="11" t="n">
        <f aca="false">EDATE(Hypothèses!$C$7,Q7-1)</f>
        <v>46753</v>
      </c>
      <c r="R8" s="11" t="n">
        <f aca="false">EDATE(Hypothèses!$C$7,R7-1)</f>
        <v>46784</v>
      </c>
      <c r="S8" s="11" t="n">
        <f aca="false">EDATE(Hypothèses!$C$7,S7-1)</f>
        <v>46813</v>
      </c>
      <c r="T8" s="11" t="n">
        <f aca="false">EDATE(Hypothèses!$C$7,T7-1)</f>
        <v>46844</v>
      </c>
      <c r="U8" s="11" t="n">
        <f aca="false">EDATE(Hypothèses!$C$7,U7-1)</f>
        <v>46874</v>
      </c>
      <c r="V8" s="11" t="n">
        <f aca="false">EDATE(Hypothèses!$C$7,V7-1)</f>
        <v>46905</v>
      </c>
      <c r="W8" s="11" t="n">
        <f aca="false">EDATE(Hypothèses!$C$7,W7-1)</f>
        <v>46935</v>
      </c>
      <c r="X8" s="11" t="n">
        <f aca="false">EDATE(Hypothèses!$C$7,X7-1)</f>
        <v>46966</v>
      </c>
      <c r="Y8" s="11" t="n">
        <f aca="false">EDATE(Hypothèses!$C$7,Y7-1)</f>
        <v>46997</v>
      </c>
      <c r="Z8" s="11" t="n">
        <f aca="false">EDATE(Hypothèses!$C$7,Z7-1)</f>
        <v>47027</v>
      </c>
      <c r="AA8" s="11" t="n">
        <f aca="false">EDATE(Hypothèses!$C$7,AA7-1)</f>
        <v>47058</v>
      </c>
      <c r="AB8" s="11" t="n">
        <f aca="false">EDATE(Hypothèses!$C$7,AB7-1)</f>
        <v>47088</v>
      </c>
      <c r="AC8" s="11" t="n">
        <f aca="false">EDATE(Hypothèses!$C$7,AC7-1)</f>
        <v>47119</v>
      </c>
      <c r="AD8" s="11" t="n">
        <f aca="false">EDATE(Hypothèses!$C$7,AD7-1)</f>
        <v>47150</v>
      </c>
      <c r="AE8" s="11" t="n">
        <f aca="false">EDATE(Hypothèses!$C$7,AE7-1)</f>
        <v>47178</v>
      </c>
      <c r="AF8" s="11" t="n">
        <f aca="false">EDATE(Hypothèses!$C$7,AF7-1)</f>
        <v>47209</v>
      </c>
      <c r="AG8" s="11" t="n">
        <f aca="false">EDATE(Hypothèses!$C$7,AG7-1)</f>
        <v>47239</v>
      </c>
      <c r="AH8" s="11" t="n">
        <f aca="false">EDATE(Hypothèses!$C$7,AH7-1)</f>
        <v>47270</v>
      </c>
      <c r="AI8" s="11" t="n">
        <f aca="false">EDATE(Hypothèses!$C$7,AI7-1)</f>
        <v>47300</v>
      </c>
      <c r="AJ8" s="11" t="n">
        <f aca="false">EDATE(Hypothèses!$C$7,AJ7-1)</f>
        <v>47331</v>
      </c>
      <c r="AK8" s="11" t="n">
        <f aca="false">EDATE(Hypothèses!$C$7,AK7-1)</f>
        <v>47362</v>
      </c>
      <c r="AL8" s="11" t="n">
        <f aca="false">EDATE(Hypothèses!$C$7,AL7-1)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0</v>
      </c>
      <c r="J9" s="13" t="n">
        <f aca="false">IF(J7&gt;=$B$5,1,0)</f>
        <v>0</v>
      </c>
      <c r="K9" s="13" t="n">
        <f aca="false">IF(K7&gt;=$B$5,1,0)</f>
        <v>0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IF(AND(C7&gt;=Hypothèses!$C$8,C7&lt;$B$5),1,0)</f>
        <v>0</v>
      </c>
      <c r="D10" s="13" t="n">
        <f aca="false">IF(AND(D7&gt;=Hypothèses!$C$8,D7&lt;$B$5),1,0)</f>
        <v>0</v>
      </c>
      <c r="E10" s="13" t="n">
        <f aca="false">IF(AND(E7&gt;=Hypothèses!$C$8,E7&lt;$B$5),1,0)</f>
        <v>0</v>
      </c>
      <c r="F10" s="13" t="n">
        <f aca="false">IF(AND(F7&gt;=Hypothèses!$C$8,F7&lt;$B$5),1,0)</f>
        <v>1</v>
      </c>
      <c r="G10" s="13" t="n">
        <f aca="false">IF(AND(G7&gt;=Hypothèses!$C$8,G7&lt;$B$5),1,0)</f>
        <v>1</v>
      </c>
      <c r="H10" s="13" t="n">
        <f aca="false">IF(AND(H7&gt;=Hypothèses!$C$8,H7&lt;$B$5),1,0)</f>
        <v>1</v>
      </c>
      <c r="I10" s="13" t="n">
        <f aca="false">IF(AND(I7&gt;=Hypothèses!$C$8,I7&lt;$B$5),1,0)</f>
        <v>1</v>
      </c>
      <c r="J10" s="13" t="n">
        <f aca="false">IF(AND(J7&gt;=Hypothèses!$C$8,J7&lt;$B$5),1,0)</f>
        <v>1</v>
      </c>
      <c r="K10" s="13" t="n">
        <f aca="false">IF(AND(K7&gt;=Hypothèses!$C$8,K7&lt;$B$5),1,0)</f>
        <v>1</v>
      </c>
      <c r="L10" s="13" t="n">
        <f aca="false">IF(AND(L7&gt;=Hypothèses!$C$8,L7&lt;$B$5),1,0)</f>
        <v>0</v>
      </c>
      <c r="M10" s="13" t="n">
        <f aca="false">IF(AND(M7&gt;=Hypothèses!$C$8,M7&lt;$B$5),1,0)</f>
        <v>0</v>
      </c>
      <c r="N10" s="13" t="n">
        <f aca="false">IF(AND(N7&gt;=Hypothèses!$C$8,N7&lt;$B$5),1,0)</f>
        <v>0</v>
      </c>
      <c r="O10" s="13" t="n">
        <f aca="false">IF(AND(O7&gt;=Hypothèses!$C$8,O7&lt;$B$5),1,0)</f>
        <v>0</v>
      </c>
      <c r="P10" s="13" t="n">
        <f aca="false">IF(AND(P7&gt;=Hypothèses!$C$8,P7&lt;$B$5),1,0)</f>
        <v>0</v>
      </c>
      <c r="Q10" s="13" t="n">
        <f aca="false">IF(AND(Q7&gt;=Hypothèses!$C$8,Q7&lt;$B$5),1,0)</f>
        <v>0</v>
      </c>
      <c r="R10" s="13" t="n">
        <f aca="false">IF(AND(R7&gt;=Hypothèses!$C$8,R7&lt;$B$5),1,0)</f>
        <v>0</v>
      </c>
      <c r="S10" s="13" t="n">
        <f aca="false">IF(AND(S7&gt;=Hypothèses!$C$8,S7&lt;$B$5),1,0)</f>
        <v>0</v>
      </c>
      <c r="T10" s="13" t="n">
        <f aca="false">IF(AND(T7&gt;=Hypothèses!$C$8,T7&lt;$B$5),1,0)</f>
        <v>0</v>
      </c>
      <c r="U10" s="13" t="n">
        <f aca="false">IF(AND(U7&gt;=Hypothèses!$C$8,U7&lt;$B$5),1,0)</f>
        <v>0</v>
      </c>
      <c r="V10" s="13" t="n">
        <f aca="false">IF(AND(V7&gt;=Hypothèses!$C$8,V7&lt;$B$5),1,0)</f>
        <v>0</v>
      </c>
      <c r="W10" s="13" t="n">
        <f aca="false">IF(AND(W7&gt;=Hypothèses!$C$8,W7&lt;$B$5),1,0)</f>
        <v>0</v>
      </c>
      <c r="X10" s="13" t="n">
        <f aca="false">IF(AND(X7&gt;=Hypothèses!$C$8,X7&lt;$B$5),1,0)</f>
        <v>0</v>
      </c>
      <c r="Y10" s="13" t="n">
        <f aca="false">IF(AND(Y7&gt;=Hypothèses!$C$8,Y7&lt;$B$5),1,0)</f>
        <v>0</v>
      </c>
      <c r="Z10" s="13" t="n">
        <f aca="false">IF(AND(Z7&gt;=Hypothèses!$C$8,Z7&lt;$B$5),1,0)</f>
        <v>0</v>
      </c>
      <c r="AA10" s="13" t="n">
        <f aca="false">IF(AND(AA7&gt;=Hypothèses!$C$8,AA7&lt;$B$5),1,0)</f>
        <v>0</v>
      </c>
      <c r="AB10" s="13" t="n">
        <f aca="false">IF(AND(AB7&gt;=Hypothèses!$C$8,AB7&lt;$B$5),1,0)</f>
        <v>0</v>
      </c>
      <c r="AC10" s="13" t="n">
        <f aca="false">IF(AND(AC7&gt;=Hypothèses!$C$8,AC7&lt;$B$5),1,0)</f>
        <v>0</v>
      </c>
      <c r="AD10" s="13" t="n">
        <f aca="false">IF(AND(AD7&gt;=Hypothèses!$C$8,AD7&lt;$B$5),1,0)</f>
        <v>0</v>
      </c>
      <c r="AE10" s="13" t="n">
        <f aca="false">IF(AND(AE7&gt;=Hypothèses!$C$8,AE7&lt;$B$5),1,0)</f>
        <v>0</v>
      </c>
      <c r="AF10" s="13" t="n">
        <f aca="false">IF(AND(AF7&gt;=Hypothèses!$C$8,AF7&lt;$B$5),1,0)</f>
        <v>0</v>
      </c>
      <c r="AG10" s="13" t="n">
        <f aca="false">IF(AND(AG7&gt;=Hypothèses!$C$8,AG7&lt;$B$5),1,0)</f>
        <v>0</v>
      </c>
      <c r="AH10" s="13" t="n">
        <f aca="false">IF(AND(AH7&gt;=Hypothèses!$C$8,AH7&lt;$B$5),1,0)</f>
        <v>0</v>
      </c>
      <c r="AI10" s="13" t="n">
        <f aca="false">IF(AND(AI7&gt;=Hypothèses!$C$8,AI7&lt;$B$5),1,0)</f>
        <v>0</v>
      </c>
      <c r="AJ10" s="13" t="n">
        <f aca="false">IF(AND(AJ7&gt;=Hypothèses!$C$8,AJ7&lt;$B$5),1,0)</f>
        <v>0</v>
      </c>
      <c r="AK10" s="13" t="n">
        <f aca="false">IF(AND(AK7&gt;=Hypothèses!$C$8,AK7&lt;$B$5),1,0)</f>
        <v>0</v>
      </c>
      <c r="AL10" s="13" t="n">
        <f aca="false">IF(AND(AL7&gt;=Hypothèses!$C$8,AL7&lt;$B$5),1,0)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IF(C9=1,IF(C7&lt;=12,Hypothèses!$C$20,IF(C7&lt;=24,Hypothèses!$C$21,Hypothèses!$C$22)),0)</f>
        <v>0</v>
      </c>
      <c r="D11" s="15" t="n">
        <f aca="false">IF(D9=1,IF(D7&lt;=12,Hypothèses!$C$20,IF(D7&lt;=24,Hypothèses!$C$21,Hypothèses!$C$22)),0)</f>
        <v>0</v>
      </c>
      <c r="E11" s="15" t="n">
        <f aca="false">IF(E9=1,IF(E7&lt;=12,Hypothèses!$C$20,IF(E7&lt;=24,Hypothèses!$C$21,Hypothèses!$C$22)),0)</f>
        <v>0</v>
      </c>
      <c r="F11" s="15" t="n">
        <f aca="false">IF(F9=1,IF(F7&lt;=12,Hypothèses!$C$20,IF(F7&lt;=24,Hypothèses!$C$21,Hypothèses!$C$22)),0)</f>
        <v>0</v>
      </c>
      <c r="G11" s="15" t="n">
        <f aca="false">IF(G9=1,IF(G7&lt;=12,Hypothèses!$C$20,IF(G7&lt;=24,Hypothèses!$C$21,Hypothèses!$C$22)),0)</f>
        <v>0</v>
      </c>
      <c r="H11" s="15" t="n">
        <f aca="false">IF(H9=1,IF(H7&lt;=12,Hypothèses!$C$20,IF(H7&lt;=24,Hypothèses!$C$21,Hypothèses!$C$22)),0)</f>
        <v>0</v>
      </c>
      <c r="I11" s="15" t="n">
        <f aca="false">IF(I9=1,IF(I7&lt;=12,Hypothèses!$C$20,IF(I7&lt;=24,Hypothèses!$C$21,Hypothèses!$C$22)),0)</f>
        <v>0</v>
      </c>
      <c r="J11" s="15" t="n">
        <f aca="false">IF(J9=1,IF(J7&lt;=12,Hypothèses!$C$20,IF(J7&lt;=24,Hypothèses!$C$21,Hypothèses!$C$22)),0)</f>
        <v>0</v>
      </c>
      <c r="K11" s="15" t="n">
        <f aca="false">IF(K9=1,IF(K7&lt;=12,Hypothèses!$C$20,IF(K7&lt;=24,Hypothèses!$C$21,Hypothèses!$C$22)),0)</f>
        <v>0</v>
      </c>
      <c r="L11" s="15" t="n">
        <f aca="false">IF(L9=1,IF(L7&lt;=12,Hypothèses!$C$20,IF(L7&lt;=24,Hypothèses!$C$21,Hypothèses!$C$22)),0)</f>
        <v>2000</v>
      </c>
      <c r="M11" s="15" t="n">
        <f aca="false">IF(M9=1,IF(M7&lt;=12,Hypothèses!$C$20,IF(M7&lt;=24,Hypothèses!$C$21,Hypothèses!$C$22)),0)</f>
        <v>2000</v>
      </c>
      <c r="N11" s="15" t="n">
        <f aca="false">IF(N9=1,IF(N7&lt;=12,Hypothèses!$C$20,IF(N7&lt;=24,Hypothèses!$C$21,Hypothèses!$C$22)),0)</f>
        <v>2000</v>
      </c>
      <c r="O11" s="15" t="n">
        <f aca="false">IF(O9=1,IF(O7&lt;=12,Hypothèses!$C$20,IF(O7&lt;=24,Hypothèses!$C$21,Hypothèses!$C$22)),0)</f>
        <v>6000</v>
      </c>
      <c r="P11" s="15" t="n">
        <f aca="false">IF(P9=1,IF(P7&lt;=12,Hypothèses!$C$20,IF(P7&lt;=24,Hypothèses!$C$21,Hypothèses!$C$22)),0)</f>
        <v>6000</v>
      </c>
      <c r="Q11" s="15" t="n">
        <f aca="false">IF(Q9=1,IF(Q7&lt;=12,Hypothèses!$C$20,IF(Q7&lt;=24,Hypothèses!$C$21,Hypothèses!$C$22)),0)</f>
        <v>6000</v>
      </c>
      <c r="R11" s="15" t="n">
        <f aca="false">IF(R9=1,IF(R7&lt;=12,Hypothèses!$C$20,IF(R7&lt;=24,Hypothèses!$C$21,Hypothèses!$C$22)),0)</f>
        <v>6000</v>
      </c>
      <c r="S11" s="15" t="n">
        <f aca="false">IF(S9=1,IF(S7&lt;=12,Hypothèses!$C$20,IF(S7&lt;=24,Hypothèses!$C$21,Hypothèses!$C$22)),0)</f>
        <v>6000</v>
      </c>
      <c r="T11" s="15" t="n">
        <f aca="false">IF(T9=1,IF(T7&lt;=12,Hypothèses!$C$20,IF(T7&lt;=24,Hypothèses!$C$21,Hypothèses!$C$22)),0)</f>
        <v>6000</v>
      </c>
      <c r="U11" s="15" t="n">
        <f aca="false">IF(U9=1,IF(U7&lt;=12,Hypothèses!$C$20,IF(U7&lt;=24,Hypothèses!$C$21,Hypothèses!$C$22)),0)</f>
        <v>6000</v>
      </c>
      <c r="V11" s="15" t="n">
        <f aca="false">IF(V9=1,IF(V7&lt;=12,Hypothèses!$C$20,IF(V7&lt;=24,Hypothèses!$C$21,Hypothèses!$C$22)),0)</f>
        <v>6000</v>
      </c>
      <c r="W11" s="15" t="n">
        <f aca="false">IF(W9=1,IF(W7&lt;=12,Hypothèses!$C$20,IF(W7&lt;=24,Hypothèses!$C$21,Hypothèses!$C$22)),0)</f>
        <v>6000</v>
      </c>
      <c r="X11" s="15" t="n">
        <f aca="false">IF(X9=1,IF(X7&lt;=12,Hypothèses!$C$20,IF(X7&lt;=24,Hypothèses!$C$21,Hypothèses!$C$22)),0)</f>
        <v>6000</v>
      </c>
      <c r="Y11" s="15" t="n">
        <f aca="false">IF(Y9=1,IF(Y7&lt;=12,Hypothèses!$C$20,IF(Y7&lt;=24,Hypothèses!$C$21,Hypothèses!$C$22)),0)</f>
        <v>6000</v>
      </c>
      <c r="Z11" s="15" t="n">
        <f aca="false">IF(Z9=1,IF(Z7&lt;=12,Hypothèses!$C$20,IF(Z7&lt;=24,Hypothèses!$C$21,Hypothèses!$C$22)),0)</f>
        <v>6000</v>
      </c>
      <c r="AA11" s="15" t="n">
        <f aca="false">IF(AA9=1,IF(AA7&lt;=12,Hypothèses!$C$20,IF(AA7&lt;=24,Hypothèses!$C$21,Hypothèses!$C$22)),0)</f>
        <v>12000</v>
      </c>
      <c r="AB11" s="15" t="n">
        <f aca="false">IF(AB9=1,IF(AB7&lt;=12,Hypothèses!$C$20,IF(AB7&lt;=24,Hypothèses!$C$21,Hypothèses!$C$22)),0)</f>
        <v>12000</v>
      </c>
      <c r="AC11" s="15" t="n">
        <f aca="false">IF(AC9=1,IF(AC7&lt;=12,Hypothèses!$C$20,IF(AC7&lt;=24,Hypothèses!$C$21,Hypothèses!$C$22)),0)</f>
        <v>12000</v>
      </c>
      <c r="AD11" s="15" t="n">
        <f aca="false">IF(AD9=1,IF(AD7&lt;=12,Hypothèses!$C$20,IF(AD7&lt;=24,Hypothèses!$C$21,Hypothèses!$C$22)),0)</f>
        <v>12000</v>
      </c>
      <c r="AE11" s="15" t="n">
        <f aca="false">IF(AE9=1,IF(AE7&lt;=12,Hypothèses!$C$20,IF(AE7&lt;=24,Hypothèses!$C$21,Hypothèses!$C$22)),0)</f>
        <v>12000</v>
      </c>
      <c r="AF11" s="15" t="n">
        <f aca="false">IF(AF9=1,IF(AF7&lt;=12,Hypothèses!$C$20,IF(AF7&lt;=24,Hypothèses!$C$21,Hypothèses!$C$22)),0)</f>
        <v>12000</v>
      </c>
      <c r="AG11" s="15" t="n">
        <f aca="false">IF(AG9=1,IF(AG7&lt;=12,Hypothèses!$C$20,IF(AG7&lt;=24,Hypothèses!$C$21,Hypothèses!$C$22)),0)</f>
        <v>12000</v>
      </c>
      <c r="AH11" s="15" t="n">
        <f aca="false">IF(AH9=1,IF(AH7&lt;=12,Hypothèses!$C$20,IF(AH7&lt;=24,Hypothèses!$C$21,Hypothèses!$C$22)),0)</f>
        <v>12000</v>
      </c>
      <c r="AI11" s="15" t="n">
        <f aca="false">IF(AI9=1,IF(AI7&lt;=12,Hypothèses!$C$20,IF(AI7&lt;=24,Hypothèses!$C$21,Hypothèses!$C$22)),0)</f>
        <v>12000</v>
      </c>
      <c r="AJ11" s="15" t="n">
        <f aca="false">IF(AJ9=1,IF(AJ7&lt;=12,Hypothèses!$C$20,IF(AJ7&lt;=24,Hypothèses!$C$21,Hypothèses!$C$22)),0)</f>
        <v>12000</v>
      </c>
      <c r="AK11" s="15" t="n">
        <f aca="false">IF(AK9=1,IF(AK7&lt;=12,Hypothèses!$C$20,IF(AK7&lt;=24,Hypothèses!$C$21,Hypothèses!$C$22)),0)</f>
        <v>12000</v>
      </c>
      <c r="AL11" s="15" t="n">
        <f aca="false">IF(AL9=1,IF(AL7&lt;=12,Hypothèses!$C$20,IF(AL7&lt;=24,Hypothèses!$C$21,Hypothèses!$C$22)),0)</f>
        <v>12000</v>
      </c>
      <c r="AN11" s="15" t="n">
        <f aca="false">SUM(C11:N11)</f>
        <v>6000</v>
      </c>
      <c r="AO11" s="15" t="n">
        <f aca="false">SUM(O11:Z11)</f>
        <v>72000</v>
      </c>
      <c r="AP11" s="15" t="n">
        <f aca="false">SUM(AA11:AL11)</f>
        <v>144000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0</v>
      </c>
      <c r="G13" s="38" t="n">
        <f aca="false">F18</f>
        <v>10</v>
      </c>
      <c r="H13" s="38" t="n">
        <f aca="false">G18</f>
        <v>9.4</v>
      </c>
      <c r="I13" s="38" t="n">
        <f aca="false">H18</f>
        <v>8.836</v>
      </c>
      <c r="J13" s="38" t="n">
        <f aca="false">I18</f>
        <v>8.30584</v>
      </c>
      <c r="K13" s="38" t="n">
        <f aca="false">J18</f>
        <v>7.8074896</v>
      </c>
      <c r="L13" s="38" t="n">
        <f aca="false">K18</f>
        <v>7.339040224</v>
      </c>
      <c r="M13" s="38" t="n">
        <f aca="false">L18</f>
        <v>15.3054215461333</v>
      </c>
      <c r="N13" s="38" t="n">
        <f aca="false">M18</f>
        <v>22.87348380216</v>
      </c>
      <c r="O13" s="38" t="n">
        <f aca="false">N18</f>
        <v>30.0631429453853</v>
      </c>
      <c r="P13" s="38" t="n">
        <f aca="false">O18</f>
        <v>53.5599857981161</v>
      </c>
      <c r="Q13" s="38" t="n">
        <f aca="false">P18</f>
        <v>75.8819865082103</v>
      </c>
      <c r="R13" s="38" t="n">
        <f aca="false">Q18</f>
        <v>97.0878871827997</v>
      </c>
      <c r="S13" s="38" t="n">
        <f aca="false">R18</f>
        <v>117.23349282366</v>
      </c>
      <c r="T13" s="38" t="n">
        <f aca="false">S18</f>
        <v>136.371818182477</v>
      </c>
      <c r="U13" s="38" t="n">
        <f aca="false">T18</f>
        <v>154.553227273353</v>
      </c>
      <c r="V13" s="38" t="n">
        <f aca="false">U18</f>
        <v>171.825565909685</v>
      </c>
      <c r="W13" s="38" t="n">
        <f aca="false">V18</f>
        <v>188.234287614201</v>
      </c>
      <c r="X13" s="38" t="n">
        <f aca="false">W18</f>
        <v>203.822573233491</v>
      </c>
      <c r="Y13" s="38" t="n">
        <f aca="false">X18</f>
        <v>218.631444571816</v>
      </c>
      <c r="Z13" s="38" t="n">
        <f aca="false">Y18</f>
        <v>232.699872343226</v>
      </c>
      <c r="AA13" s="38" t="n">
        <f aca="false">Z18</f>
        <v>246.064878726064</v>
      </c>
      <c r="AB13" s="38" t="n">
        <f aca="false">AA18</f>
        <v>283.761634789761</v>
      </c>
      <c r="AC13" s="38" t="n">
        <f aca="false">AB18</f>
        <v>319.573553050273</v>
      </c>
      <c r="AD13" s="38" t="n">
        <f aca="false">AC18</f>
        <v>353.594875397759</v>
      </c>
      <c r="AE13" s="38" t="n">
        <f aca="false">AD18</f>
        <v>385.915131627871</v>
      </c>
      <c r="AF13" s="38" t="n">
        <f aca="false">AE18</f>
        <v>416.619375046478</v>
      </c>
      <c r="AG13" s="38" t="n">
        <f aca="false">AF18</f>
        <v>445.788406294154</v>
      </c>
      <c r="AH13" s="38" t="n">
        <f aca="false">AG18</f>
        <v>473.498985979446</v>
      </c>
      <c r="AI13" s="38" t="n">
        <f aca="false">AH18</f>
        <v>499.824036680474</v>
      </c>
      <c r="AJ13" s="38" t="n">
        <f aca="false">AI18</f>
        <v>524.83283484645</v>
      </c>
      <c r="AK13" s="38" t="n">
        <f aca="false">AJ18</f>
        <v>548.591193104128</v>
      </c>
      <c r="AL13" s="38" t="n">
        <f aca="false">AK18</f>
        <v>571.161633448922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C11/(Hypothèses!$C$23*$E$4)</f>
        <v>0</v>
      </c>
      <c r="D14" s="38" t="n">
        <f aca="false">D11/(Hypothèses!$C$23*$E$4)</f>
        <v>0</v>
      </c>
      <c r="E14" s="38" t="n">
        <f aca="false">E11/(Hypothèses!$C$23*$E$4)</f>
        <v>0</v>
      </c>
      <c r="F14" s="38" t="n">
        <f aca="false">F11/(Hypothèses!$C$23*$E$4)</f>
        <v>0</v>
      </c>
      <c r="G14" s="38" t="n">
        <f aca="false">G11/(Hypothèses!$C$23*$E$4)</f>
        <v>0</v>
      </c>
      <c r="H14" s="38" t="n">
        <f aca="false">H11/(Hypothèses!$C$23*$E$4)</f>
        <v>0</v>
      </c>
      <c r="I14" s="38" t="n">
        <f aca="false">I11/(Hypothèses!$C$23*$E$4)</f>
        <v>0</v>
      </c>
      <c r="J14" s="38" t="n">
        <f aca="false">J11/(Hypothèses!$C$23*$E$4)</f>
        <v>0</v>
      </c>
      <c r="K14" s="38" t="n">
        <f aca="false">K11/(Hypothèses!$C$23*$E$4)</f>
        <v>0</v>
      </c>
      <c r="L14" s="38" t="n">
        <f aca="false">L11/(Hypothèses!$C$23*$E$4)</f>
        <v>8.33333333333333</v>
      </c>
      <c r="M14" s="38" t="n">
        <f aca="false">M11/(Hypothèses!$C$23*$E$4)</f>
        <v>8.33333333333333</v>
      </c>
      <c r="N14" s="38" t="n">
        <f aca="false">N11/(Hypothèses!$C$23*$E$4)</f>
        <v>8.33333333333333</v>
      </c>
      <c r="O14" s="38" t="n">
        <f aca="false">O11/(Hypothèses!$C$23*$E$4)</f>
        <v>25</v>
      </c>
      <c r="P14" s="38" t="n">
        <f aca="false">P11/(Hypothèses!$C$23*$E$4)</f>
        <v>25</v>
      </c>
      <c r="Q14" s="38" t="n">
        <f aca="false">Q11/(Hypothèses!$C$23*$E$4)</f>
        <v>25</v>
      </c>
      <c r="R14" s="38" t="n">
        <f aca="false">R11/(Hypothèses!$C$23*$E$4)</f>
        <v>25</v>
      </c>
      <c r="S14" s="38" t="n">
        <f aca="false">S11/(Hypothèses!$C$23*$E$4)</f>
        <v>25</v>
      </c>
      <c r="T14" s="38" t="n">
        <f aca="false">T11/(Hypothèses!$C$23*$E$4)</f>
        <v>25</v>
      </c>
      <c r="U14" s="38" t="n">
        <f aca="false">U11/(Hypothèses!$C$23*$E$4)</f>
        <v>25</v>
      </c>
      <c r="V14" s="38" t="n">
        <f aca="false">V11/(Hypothèses!$C$23*$E$4)</f>
        <v>25</v>
      </c>
      <c r="W14" s="38" t="n">
        <f aca="false">W11/(Hypothèses!$C$23*$E$4)</f>
        <v>25</v>
      </c>
      <c r="X14" s="38" t="n">
        <f aca="false">X11/(Hypothèses!$C$23*$E$4)</f>
        <v>25</v>
      </c>
      <c r="Y14" s="38" t="n">
        <f aca="false">Y11/(Hypothèses!$C$23*$E$4)</f>
        <v>25</v>
      </c>
      <c r="Z14" s="38" t="n">
        <f aca="false">Z11/(Hypothèses!$C$23*$E$4)</f>
        <v>25</v>
      </c>
      <c r="AA14" s="38" t="n">
        <f aca="false">AA11/(Hypothèses!$C$23*$E$4)</f>
        <v>50</v>
      </c>
      <c r="AB14" s="38" t="n">
        <f aca="false">AB11/(Hypothèses!$C$23*$E$4)</f>
        <v>50</v>
      </c>
      <c r="AC14" s="38" t="n">
        <f aca="false">AC11/(Hypothèses!$C$23*$E$4)</f>
        <v>50</v>
      </c>
      <c r="AD14" s="38" t="n">
        <f aca="false">AD11/(Hypothèses!$C$23*$E$4)</f>
        <v>50</v>
      </c>
      <c r="AE14" s="38" t="n">
        <f aca="false">AE11/(Hypothèses!$C$23*$E$4)</f>
        <v>50</v>
      </c>
      <c r="AF14" s="38" t="n">
        <f aca="false">AF11/(Hypothèses!$C$23*$E$4)</f>
        <v>50</v>
      </c>
      <c r="AG14" s="38" t="n">
        <f aca="false">AG11/(Hypothèses!$C$23*$E$4)</f>
        <v>50</v>
      </c>
      <c r="AH14" s="38" t="n">
        <f aca="false">AH11/(Hypothèses!$C$23*$E$4)</f>
        <v>50</v>
      </c>
      <c r="AI14" s="38" t="n">
        <f aca="false">AI11/(Hypothèses!$C$23*$E$4)</f>
        <v>50</v>
      </c>
      <c r="AJ14" s="38" t="n">
        <f aca="false">AJ11/(Hypothèses!$C$23*$E$4)</f>
        <v>50</v>
      </c>
      <c r="AK14" s="38" t="n">
        <f aca="false">AK11/(Hypothèses!$C$23*$E$4)</f>
        <v>50</v>
      </c>
      <c r="AL14" s="38" t="n">
        <f aca="false">AL11/(Hypothèses!$C$23*$E$4)</f>
        <v>50</v>
      </c>
      <c r="AN14" s="38" t="n">
        <f aca="false">SUM(C14:N14)</f>
        <v>25</v>
      </c>
      <c r="AO14" s="38" t="n">
        <f aca="false">SUM(O14:Z14)</f>
        <v>300</v>
      </c>
      <c r="AP14" s="38" t="n">
        <f aca="false">SUM(AA14:AL14)</f>
        <v>600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IF(C7=Hypothèses!$C$8,Hypothèses!$C$9,0)</f>
        <v>0</v>
      </c>
      <c r="D15" s="38" t="n">
        <f aca="false">IF(D7=Hypothèses!$C$8,Hypothèses!$C$9,0)</f>
        <v>0</v>
      </c>
      <c r="E15" s="38" t="n">
        <f aca="false">IF(E7=Hypothèses!$C$8,Hypothèses!$C$9,0)</f>
        <v>0</v>
      </c>
      <c r="F15" s="38" t="n">
        <f aca="false">IF(F7=Hypothèses!$C$8,Hypothèses!$C$9,0)</f>
        <v>10</v>
      </c>
      <c r="G15" s="38" t="n">
        <f aca="false">IF(G7=Hypothèses!$C$8,Hypothèses!$C$9,0)</f>
        <v>0</v>
      </c>
      <c r="H15" s="38" t="n">
        <f aca="false">IF(H7=Hypothèses!$C$8,Hypothèses!$C$9,0)</f>
        <v>0</v>
      </c>
      <c r="I15" s="38" t="n">
        <f aca="false">IF(I7=Hypothèses!$C$8,Hypothèses!$C$9,0)</f>
        <v>0</v>
      </c>
      <c r="J15" s="38" t="n">
        <f aca="false">IF(J7=Hypothèses!$C$8,Hypothèses!$C$9,0)</f>
        <v>0</v>
      </c>
      <c r="K15" s="38" t="n">
        <f aca="false">IF(K7=Hypothèses!$C$8,Hypothèses!$C$9,0)</f>
        <v>0</v>
      </c>
      <c r="L15" s="38" t="n">
        <f aca="false">IF(L7=Hypothèses!$C$8,Hypothèses!$C$9,0)</f>
        <v>0</v>
      </c>
      <c r="M15" s="38" t="n">
        <f aca="false">IF(M7=Hypothèses!$C$8,Hypothèses!$C$9,0)</f>
        <v>0</v>
      </c>
      <c r="N15" s="38" t="n">
        <f aca="false">IF(N7=Hypothèses!$C$8,Hypothèses!$C$9,0)</f>
        <v>0</v>
      </c>
      <c r="O15" s="38" t="n">
        <f aca="false">IF(O7=Hypothèses!$C$8,Hypothèses!$C$9,0)</f>
        <v>0</v>
      </c>
      <c r="P15" s="38" t="n">
        <f aca="false">IF(P7=Hypothèses!$C$8,Hypothèses!$C$9,0)</f>
        <v>0</v>
      </c>
      <c r="Q15" s="38" t="n">
        <f aca="false">IF(Q7=Hypothèses!$C$8,Hypothèses!$C$9,0)</f>
        <v>0</v>
      </c>
      <c r="R15" s="38" t="n">
        <f aca="false">IF(R7=Hypothèses!$C$8,Hypothèses!$C$9,0)</f>
        <v>0</v>
      </c>
      <c r="S15" s="38" t="n">
        <f aca="false">IF(S7=Hypothèses!$C$8,Hypothèses!$C$9,0)</f>
        <v>0</v>
      </c>
      <c r="T15" s="38" t="n">
        <f aca="false">IF(T7=Hypothèses!$C$8,Hypothèses!$C$9,0)</f>
        <v>0</v>
      </c>
      <c r="U15" s="38" t="n">
        <f aca="false">IF(U7=Hypothèses!$C$8,Hypothèses!$C$9,0)</f>
        <v>0</v>
      </c>
      <c r="V15" s="38" t="n">
        <f aca="false">IF(V7=Hypothèses!$C$8,Hypothèses!$C$9,0)</f>
        <v>0</v>
      </c>
      <c r="W15" s="38" t="n">
        <f aca="false">IF(W7=Hypothèses!$C$8,Hypothèses!$C$9,0)</f>
        <v>0</v>
      </c>
      <c r="X15" s="38" t="n">
        <f aca="false">IF(X7=Hypothèses!$C$8,Hypothèses!$C$9,0)</f>
        <v>0</v>
      </c>
      <c r="Y15" s="38" t="n">
        <f aca="false">IF(Y7=Hypothèses!$C$8,Hypothèses!$C$9,0)</f>
        <v>0</v>
      </c>
      <c r="Z15" s="38" t="n">
        <f aca="false">IF(Z7=Hypothèses!$C$8,Hypothèses!$C$9,0)</f>
        <v>0</v>
      </c>
      <c r="AA15" s="38" t="n">
        <f aca="false">IF(AA7=Hypothèses!$C$8,Hypothèses!$C$9,0)</f>
        <v>0</v>
      </c>
      <c r="AB15" s="38" t="n">
        <f aca="false">IF(AB7=Hypothèses!$C$8,Hypothèses!$C$9,0)</f>
        <v>0</v>
      </c>
      <c r="AC15" s="38" t="n">
        <f aca="false">IF(AC7=Hypothèses!$C$8,Hypothèses!$C$9,0)</f>
        <v>0</v>
      </c>
      <c r="AD15" s="38" t="n">
        <f aca="false">IF(AD7=Hypothèses!$C$8,Hypothèses!$C$9,0)</f>
        <v>0</v>
      </c>
      <c r="AE15" s="38" t="n">
        <f aca="false">IF(AE7=Hypothèses!$C$8,Hypothèses!$C$9,0)</f>
        <v>0</v>
      </c>
      <c r="AF15" s="38" t="n">
        <f aca="false">IF(AF7=Hypothèses!$C$8,Hypothèses!$C$9,0)</f>
        <v>0</v>
      </c>
      <c r="AG15" s="38" t="n">
        <f aca="false">IF(AG7=Hypothèses!$C$8,Hypothèses!$C$9,0)</f>
        <v>0</v>
      </c>
      <c r="AH15" s="38" t="n">
        <f aca="false">IF(AH7=Hypothèses!$C$8,Hypothèses!$C$9,0)</f>
        <v>0</v>
      </c>
      <c r="AI15" s="38" t="n">
        <f aca="false">IF(AI7=Hypothèses!$C$8,Hypothèses!$C$9,0)</f>
        <v>0</v>
      </c>
      <c r="AJ15" s="38" t="n">
        <f aca="false">IF(AJ7=Hypothèses!$C$8,Hypothèses!$C$9,0)</f>
        <v>0</v>
      </c>
      <c r="AK15" s="38" t="n">
        <f aca="false">IF(AK7=Hypothèses!$C$8,Hypothèses!$C$9,0)</f>
        <v>0</v>
      </c>
      <c r="AL15" s="38" t="n">
        <f aca="false">IF(AL7=Hypothèses!$C$8,Hypothèses!$C$9,0)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C9*C13*Hypothèses!$C$24</f>
        <v>0</v>
      </c>
      <c r="D16" s="38" t="n">
        <f aca="false">D9*D13*Hypothèses!$C$24</f>
        <v>0</v>
      </c>
      <c r="E16" s="38" t="n">
        <f aca="false">E9*E13*Hypothèses!$C$24</f>
        <v>0</v>
      </c>
      <c r="F16" s="38" t="n">
        <f aca="false">F9*F13*Hypothèses!$C$24</f>
        <v>0</v>
      </c>
      <c r="G16" s="38" t="n">
        <f aca="false">G9*G13*Hypothèses!$C$24</f>
        <v>0</v>
      </c>
      <c r="H16" s="38" t="n">
        <f aca="false">H9*H13*Hypothèses!$C$24</f>
        <v>0</v>
      </c>
      <c r="I16" s="38" t="n">
        <f aca="false">I9*I13*Hypothèses!$C$24</f>
        <v>0</v>
      </c>
      <c r="J16" s="38" t="n">
        <f aca="false">J9*J13*Hypothèses!$C$24</f>
        <v>0</v>
      </c>
      <c r="K16" s="38" t="n">
        <f aca="false">K9*K13*Hypothèses!$C$24</f>
        <v>0</v>
      </c>
      <c r="L16" s="38" t="n">
        <f aca="false">L9*L13*Hypothèses!$C$24</f>
        <v>0.07339040224</v>
      </c>
      <c r="M16" s="38" t="n">
        <f aca="false">M9*M13*Hypothèses!$C$24</f>
        <v>0.153054215461333</v>
      </c>
      <c r="N16" s="38" t="n">
        <f aca="false">N9*N13*Hypothèses!$C$24</f>
        <v>0.2287348380216</v>
      </c>
      <c r="O16" s="38" t="n">
        <f aca="false">O9*O13*Hypothèses!$C$24</f>
        <v>0.300631429453853</v>
      </c>
      <c r="P16" s="38" t="n">
        <f aca="false">P9*P13*Hypothèses!$C$24</f>
        <v>0.535599857981161</v>
      </c>
      <c r="Q16" s="38" t="n">
        <f aca="false">Q9*Q13*Hypothèses!$C$24</f>
        <v>0.758819865082103</v>
      </c>
      <c r="R16" s="38" t="n">
        <f aca="false">R9*R13*Hypothèses!$C$24</f>
        <v>0.970878871827997</v>
      </c>
      <c r="S16" s="38" t="n">
        <f aca="false">S9*S13*Hypothèses!$C$24</f>
        <v>1.1723349282366</v>
      </c>
      <c r="T16" s="38" t="n">
        <f aca="false">T9*T13*Hypothèses!$C$24</f>
        <v>1.36371818182477</v>
      </c>
      <c r="U16" s="38" t="n">
        <f aca="false">U9*U13*Hypothèses!$C$24</f>
        <v>1.54553227273353</v>
      </c>
      <c r="V16" s="38" t="n">
        <f aca="false">V9*V13*Hypothèses!$C$24</f>
        <v>1.71825565909685</v>
      </c>
      <c r="W16" s="38" t="n">
        <f aca="false">W9*W13*Hypothèses!$C$24</f>
        <v>1.88234287614201</v>
      </c>
      <c r="X16" s="38" t="n">
        <f aca="false">X9*X13*Hypothèses!$C$24</f>
        <v>2.03822573233491</v>
      </c>
      <c r="Y16" s="38" t="n">
        <f aca="false">Y9*Y13*Hypothèses!$C$24</f>
        <v>2.18631444571816</v>
      </c>
      <c r="Z16" s="38" t="n">
        <f aca="false">Z9*Z13*Hypothèses!$C$24</f>
        <v>2.32699872343226</v>
      </c>
      <c r="AA16" s="38" t="n">
        <f aca="false">AA9*AA13*Hypothèses!$C$24</f>
        <v>2.46064878726064</v>
      </c>
      <c r="AB16" s="38" t="n">
        <f aca="false">AB9*AB13*Hypothèses!$C$24</f>
        <v>2.83761634789761</v>
      </c>
      <c r="AC16" s="38" t="n">
        <f aca="false">AC9*AC13*Hypothèses!$C$24</f>
        <v>3.19573553050273</v>
      </c>
      <c r="AD16" s="38" t="n">
        <f aca="false">AD9*AD13*Hypothèses!$C$24</f>
        <v>3.53594875397759</v>
      </c>
      <c r="AE16" s="38" t="n">
        <f aca="false">AE9*AE13*Hypothèses!$C$24</f>
        <v>3.85915131627871</v>
      </c>
      <c r="AF16" s="38" t="n">
        <f aca="false">AF9*AF13*Hypothèses!$C$24</f>
        <v>4.16619375046478</v>
      </c>
      <c r="AG16" s="38" t="n">
        <f aca="false">AG9*AG13*Hypothèses!$C$24</f>
        <v>4.45788406294154</v>
      </c>
      <c r="AH16" s="38" t="n">
        <f aca="false">AH9*AH13*Hypothèses!$C$24</f>
        <v>4.73498985979446</v>
      </c>
      <c r="AI16" s="38" t="n">
        <f aca="false">AI9*AI13*Hypothèses!$C$24</f>
        <v>4.99824036680474</v>
      </c>
      <c r="AJ16" s="38" t="n">
        <f aca="false">AJ9*AJ13*Hypothèses!$C$24</f>
        <v>5.2483283484645</v>
      </c>
      <c r="AK16" s="38" t="n">
        <f aca="false">AK9*AK13*Hypothèses!$C$24</f>
        <v>5.48591193104128</v>
      </c>
      <c r="AL16" s="38" t="n">
        <f aca="false">AL9*AL13*Hypothèses!$C$24</f>
        <v>5.71161633448922</v>
      </c>
      <c r="AN16" s="38" t="n">
        <f aca="false">SUM(C16:N16)</f>
        <v>0.455179455722933</v>
      </c>
      <c r="AO16" s="38" t="n">
        <f aca="false">SUM(O16:Z16)</f>
        <v>16.7996528438642</v>
      </c>
      <c r="AP16" s="38" t="n">
        <f aca="false">SUM(AA16:AL16)</f>
        <v>50.6922653899178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C13*Hypothèses!$C$26*$D$4</f>
        <v>0</v>
      </c>
      <c r="D17" s="38" t="n">
        <f aca="false">D13*Hypothèses!$C$26*$D$4</f>
        <v>0</v>
      </c>
      <c r="E17" s="38" t="n">
        <f aca="false">E13*Hypothèses!$C$26*$D$4</f>
        <v>0</v>
      </c>
      <c r="F17" s="38" t="n">
        <f aca="false">F13*Hypothèses!$C$26*$D$4</f>
        <v>0</v>
      </c>
      <c r="G17" s="38" t="n">
        <f aca="false">G13*Hypothèses!$C$26*$D$4</f>
        <v>0.6</v>
      </c>
      <c r="H17" s="38" t="n">
        <f aca="false">H13*Hypothèses!$C$26*$D$4</f>
        <v>0.564</v>
      </c>
      <c r="I17" s="38" t="n">
        <f aca="false">I13*Hypothèses!$C$26*$D$4</f>
        <v>0.53016</v>
      </c>
      <c r="J17" s="38" t="n">
        <f aca="false">J13*Hypothèses!$C$26*$D$4</f>
        <v>0.4983504</v>
      </c>
      <c r="K17" s="38" t="n">
        <f aca="false">K13*Hypothèses!$C$26*$D$4</f>
        <v>0.468449376</v>
      </c>
      <c r="L17" s="38" t="n">
        <f aca="false">L13*Hypothèses!$C$26*$D$4</f>
        <v>0.44034241344</v>
      </c>
      <c r="M17" s="38" t="n">
        <f aca="false">M13*Hypothèses!$C$26*$D$4</f>
        <v>0.918325292768</v>
      </c>
      <c r="N17" s="38" t="n">
        <f aca="false">N13*Hypothèses!$C$26*$D$4</f>
        <v>1.3724090281296</v>
      </c>
      <c r="O17" s="38" t="n">
        <f aca="false">O13*Hypothèses!$C$26*$D$4</f>
        <v>1.80378857672312</v>
      </c>
      <c r="P17" s="38" t="n">
        <f aca="false">P13*Hypothèses!$C$26*$D$4</f>
        <v>3.21359914788696</v>
      </c>
      <c r="Q17" s="38" t="n">
        <f aca="false">Q13*Hypothèses!$C$26*$D$4</f>
        <v>4.55291919049262</v>
      </c>
      <c r="R17" s="38" t="n">
        <f aca="false">R13*Hypothèses!$C$26*$D$4</f>
        <v>5.82527323096798</v>
      </c>
      <c r="S17" s="38" t="n">
        <f aca="false">S13*Hypothèses!$C$26*$D$4</f>
        <v>7.03400956941958</v>
      </c>
      <c r="T17" s="38" t="n">
        <f aca="false">T13*Hypothèses!$C$26*$D$4</f>
        <v>8.18230909094861</v>
      </c>
      <c r="U17" s="38" t="n">
        <f aca="false">U13*Hypothèses!$C$26*$D$4</f>
        <v>9.27319363640117</v>
      </c>
      <c r="V17" s="38" t="n">
        <f aca="false">V13*Hypothèses!$C$26*$D$4</f>
        <v>10.3095339545811</v>
      </c>
      <c r="W17" s="38" t="n">
        <f aca="false">W13*Hypothèses!$C$26*$D$4</f>
        <v>11.2940572568521</v>
      </c>
      <c r="X17" s="38" t="n">
        <f aca="false">X13*Hypothèses!$C$26*$D$4</f>
        <v>12.2293543940095</v>
      </c>
      <c r="Y17" s="38" t="n">
        <f aca="false">Y13*Hypothèses!$C$26*$D$4</f>
        <v>13.117886674309</v>
      </c>
      <c r="Z17" s="38" t="n">
        <f aca="false">Z13*Hypothèses!$C$26*$D$4</f>
        <v>13.9619923405935</v>
      </c>
      <c r="AA17" s="38" t="n">
        <f aca="false">AA13*Hypothèses!$C$26*$D$4</f>
        <v>14.7638927235639</v>
      </c>
      <c r="AB17" s="38" t="n">
        <f aca="false">AB13*Hypothèses!$C$26*$D$4</f>
        <v>17.0256980873857</v>
      </c>
      <c r="AC17" s="38" t="n">
        <f aca="false">AC13*Hypothèses!$C$26*$D$4</f>
        <v>19.1744131830164</v>
      </c>
      <c r="AD17" s="38" t="n">
        <f aca="false">AD13*Hypothèses!$C$26*$D$4</f>
        <v>21.2156925238656</v>
      </c>
      <c r="AE17" s="38" t="n">
        <f aca="false">AE13*Hypothèses!$C$26*$D$4</f>
        <v>23.1549078976723</v>
      </c>
      <c r="AF17" s="38" t="n">
        <f aca="false">AF13*Hypothèses!$C$26*$D$4</f>
        <v>24.9971625027887</v>
      </c>
      <c r="AG17" s="38" t="n">
        <f aca="false">AG13*Hypothèses!$C$26*$D$4</f>
        <v>26.7473043776492</v>
      </c>
      <c r="AH17" s="38" t="n">
        <f aca="false">AH13*Hypothèses!$C$26*$D$4</f>
        <v>28.4099391587668</v>
      </c>
      <c r="AI17" s="38" t="n">
        <f aca="false">AI13*Hypothèses!$C$26*$D$4</f>
        <v>29.9894422008284</v>
      </c>
      <c r="AJ17" s="38" t="n">
        <f aca="false">AJ13*Hypothèses!$C$26*$D$4</f>
        <v>31.489970090787</v>
      </c>
      <c r="AK17" s="38" t="n">
        <f aca="false">AK13*Hypothèses!$C$26*$D$4</f>
        <v>32.9154715862477</v>
      </c>
      <c r="AL17" s="38" t="n">
        <f aca="false">AL13*Hypothèses!$C$26*$D$4</f>
        <v>34.2696980069353</v>
      </c>
      <c r="AN17" s="38" t="n">
        <f aca="false">SUM(C17:N17)</f>
        <v>5.3920365103376</v>
      </c>
      <c r="AO17" s="38" t="n">
        <f aca="false">SUM(O17:Z17)</f>
        <v>100.797917063185</v>
      </c>
      <c r="AP17" s="38" t="n">
        <f aca="false">SUM(AA17:AL17)</f>
        <v>304.153592339507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0</v>
      </c>
      <c r="F18" s="39" t="n">
        <f aca="false">F13+F14+F15+F16-F17</f>
        <v>10</v>
      </c>
      <c r="G18" s="39" t="n">
        <f aca="false">G13+G14+G15+G16-G17</f>
        <v>9.4</v>
      </c>
      <c r="H18" s="39" t="n">
        <f aca="false">H13+H14+H15+H16-H17</f>
        <v>8.836</v>
      </c>
      <c r="I18" s="39" t="n">
        <f aca="false">I13+I14+I15+I16-I17</f>
        <v>8.30584</v>
      </c>
      <c r="J18" s="39" t="n">
        <f aca="false">J13+J14+J15+J16-J17</f>
        <v>7.8074896</v>
      </c>
      <c r="K18" s="39" t="n">
        <f aca="false">K13+K14+K15+K16-K17</f>
        <v>7.339040224</v>
      </c>
      <c r="L18" s="39" t="n">
        <f aca="false">L13+L14+L15+L16-L17</f>
        <v>15.3054215461333</v>
      </c>
      <c r="M18" s="39" t="n">
        <f aca="false">M13+M14+M15+M16-M17</f>
        <v>22.87348380216</v>
      </c>
      <c r="N18" s="39" t="n">
        <f aca="false">N13+N14+N15+N16-N17</f>
        <v>30.0631429453853</v>
      </c>
      <c r="O18" s="39" t="n">
        <f aca="false">O13+O14+O15+O16-O17</f>
        <v>53.5599857981161</v>
      </c>
      <c r="P18" s="39" t="n">
        <f aca="false">P13+P14+P15+P16-P17</f>
        <v>75.8819865082103</v>
      </c>
      <c r="Q18" s="39" t="n">
        <f aca="false">Q13+Q14+Q15+Q16-Q17</f>
        <v>97.0878871827997</v>
      </c>
      <c r="R18" s="39" t="n">
        <f aca="false">R13+R14+R15+R16-R17</f>
        <v>117.23349282366</v>
      </c>
      <c r="S18" s="39" t="n">
        <f aca="false">S13+S14+S15+S16-S17</f>
        <v>136.371818182477</v>
      </c>
      <c r="T18" s="39" t="n">
        <f aca="false">T13+T14+T15+T16-T17</f>
        <v>154.553227273353</v>
      </c>
      <c r="U18" s="39" t="n">
        <f aca="false">U13+U14+U15+U16-U17</f>
        <v>171.825565909685</v>
      </c>
      <c r="V18" s="39" t="n">
        <f aca="false">V13+V14+V15+V16-V17</f>
        <v>188.234287614201</v>
      </c>
      <c r="W18" s="39" t="n">
        <f aca="false">W13+W14+W15+W16-W17</f>
        <v>203.822573233491</v>
      </c>
      <c r="X18" s="39" t="n">
        <f aca="false">X13+X14+X15+X16-X17</f>
        <v>218.631444571816</v>
      </c>
      <c r="Y18" s="39" t="n">
        <f aca="false">Y13+Y14+Y15+Y16-Y17</f>
        <v>232.699872343226</v>
      </c>
      <c r="Z18" s="39" t="n">
        <f aca="false">Z13+Z14+Z15+Z16-Z17</f>
        <v>246.064878726064</v>
      </c>
      <c r="AA18" s="39" t="n">
        <f aca="false">AA13+AA14+AA15+AA16-AA17</f>
        <v>283.761634789761</v>
      </c>
      <c r="AB18" s="39" t="n">
        <f aca="false">AB13+AB14+AB15+AB16-AB17</f>
        <v>319.573553050273</v>
      </c>
      <c r="AC18" s="39" t="n">
        <f aca="false">AC13+AC14+AC15+AC16-AC17</f>
        <v>353.594875397759</v>
      </c>
      <c r="AD18" s="39" t="n">
        <f aca="false">AD13+AD14+AD15+AD16-AD17</f>
        <v>385.915131627871</v>
      </c>
      <c r="AE18" s="39" t="n">
        <f aca="false">AE13+AE14+AE15+AE16-AE17</f>
        <v>416.619375046478</v>
      </c>
      <c r="AF18" s="39" t="n">
        <f aca="false">AF13+AF14+AF15+AF16-AF17</f>
        <v>445.788406294154</v>
      </c>
      <c r="AG18" s="39" t="n">
        <f aca="false">AG13+AG14+AG15+AG16-AG17</f>
        <v>473.498985979446</v>
      </c>
      <c r="AH18" s="39" t="n">
        <f aca="false">AH13+AH14+AH15+AH16-AH17</f>
        <v>499.824036680474</v>
      </c>
      <c r="AI18" s="39" t="n">
        <f aca="false">AI13+AI14+AI15+AI16-AI17</f>
        <v>524.83283484645</v>
      </c>
      <c r="AJ18" s="39" t="n">
        <f aca="false">AJ13+AJ14+AJ15+AJ16-AJ17</f>
        <v>548.591193104128</v>
      </c>
      <c r="AK18" s="39" t="n">
        <f aca="false">AK13+AK14+AK15+AK16-AK17</f>
        <v>571.161633448922</v>
      </c>
      <c r="AL18" s="39" t="n">
        <f aca="false">AL13+AL14+AL15+AL16-AL17</f>
        <v>592.603551776476</v>
      </c>
      <c r="AN18" s="39" t="n">
        <f aca="false">N18</f>
        <v>30.0631429453853</v>
      </c>
      <c r="AO18" s="39" t="n">
        <f aca="false">Z18</f>
        <v>246.064878726064</v>
      </c>
      <c r="AP18" s="39" t="n">
        <f aca="false">AL18</f>
        <v>592.603551776476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C18*Hypothèses!$C$16</f>
        <v>0</v>
      </c>
      <c r="D19" s="38" t="n">
        <f aca="false">D18*Hypothèses!$C$16</f>
        <v>0</v>
      </c>
      <c r="E19" s="38" t="n">
        <f aca="false">E18*Hypothèses!$C$16</f>
        <v>0</v>
      </c>
      <c r="F19" s="38" t="n">
        <f aca="false">F18*Hypothèses!$C$16</f>
        <v>3</v>
      </c>
      <c r="G19" s="38" t="n">
        <f aca="false">G18*Hypothèses!$C$16</f>
        <v>2.82</v>
      </c>
      <c r="H19" s="38" t="n">
        <f aca="false">H18*Hypothèses!$C$16</f>
        <v>2.6508</v>
      </c>
      <c r="I19" s="38" t="n">
        <f aca="false">I18*Hypothèses!$C$16</f>
        <v>2.491752</v>
      </c>
      <c r="J19" s="38" t="n">
        <f aca="false">J18*Hypothèses!$C$16</f>
        <v>2.34224688</v>
      </c>
      <c r="K19" s="38" t="n">
        <f aca="false">K18*Hypothèses!$C$16</f>
        <v>2.2017120672</v>
      </c>
      <c r="L19" s="38" t="n">
        <f aca="false">L18*Hypothèses!$C$16</f>
        <v>4.59162646384</v>
      </c>
      <c r="M19" s="38" t="n">
        <f aca="false">M18*Hypothèses!$C$16</f>
        <v>6.862045140648</v>
      </c>
      <c r="N19" s="38" t="n">
        <f aca="false">N18*Hypothèses!$C$16</f>
        <v>9.0189428836156</v>
      </c>
      <c r="O19" s="38" t="n">
        <f aca="false">O18*Hypothèses!$C$16</f>
        <v>16.0679957394348</v>
      </c>
      <c r="P19" s="38" t="n">
        <f aca="false">P18*Hypothèses!$C$16</f>
        <v>22.7645959524631</v>
      </c>
      <c r="Q19" s="38" t="n">
        <f aca="false">Q18*Hypothèses!$C$16</f>
        <v>29.1263661548399</v>
      </c>
      <c r="R19" s="38" t="n">
        <f aca="false">R18*Hypothèses!$C$16</f>
        <v>35.1700478470979</v>
      </c>
      <c r="S19" s="38" t="n">
        <f aca="false">S18*Hypothèses!$C$16</f>
        <v>40.911545454743</v>
      </c>
      <c r="T19" s="38" t="n">
        <f aca="false">T18*Hypothèses!$C$16</f>
        <v>46.3659681820059</v>
      </c>
      <c r="U19" s="38" t="n">
        <f aca="false">U18*Hypothèses!$C$16</f>
        <v>51.5476697729056</v>
      </c>
      <c r="V19" s="38" t="n">
        <f aca="false">V18*Hypothèses!$C$16</f>
        <v>56.4702862842603</v>
      </c>
      <c r="W19" s="38" t="n">
        <f aca="false">W18*Hypothèses!$C$16</f>
        <v>61.1467719700473</v>
      </c>
      <c r="X19" s="38" t="n">
        <f aca="false">X18*Hypothèses!$C$16</f>
        <v>65.5894333715449</v>
      </c>
      <c r="Y19" s="38" t="n">
        <f aca="false">Y18*Hypothèses!$C$16</f>
        <v>69.8099617029677</v>
      </c>
      <c r="Z19" s="38" t="n">
        <f aca="false">Z18*Hypothèses!$C$16</f>
        <v>73.8194636178193</v>
      </c>
      <c r="AA19" s="38" t="n">
        <f aca="false">AA18*Hypothèses!$C$16</f>
        <v>85.1284904369283</v>
      </c>
      <c r="AB19" s="38" t="n">
        <f aca="false">AB18*Hypothèses!$C$16</f>
        <v>95.8720659150819</v>
      </c>
      <c r="AC19" s="38" t="n">
        <f aca="false">AC18*Hypothèses!$C$16</f>
        <v>106.078462619328</v>
      </c>
      <c r="AD19" s="38" t="n">
        <f aca="false">AD18*Hypothèses!$C$16</f>
        <v>115.774539488361</v>
      </c>
      <c r="AE19" s="38" t="n">
        <f aca="false">AE18*Hypothèses!$C$16</f>
        <v>124.985812513943</v>
      </c>
      <c r="AF19" s="38" t="n">
        <f aca="false">AF18*Hypothèses!$C$16</f>
        <v>133.736521888246</v>
      </c>
      <c r="AG19" s="38" t="n">
        <f aca="false">AG18*Hypothèses!$C$16</f>
        <v>142.049695793834</v>
      </c>
      <c r="AH19" s="38" t="n">
        <f aca="false">AH18*Hypothèses!$C$16</f>
        <v>149.947211004142</v>
      </c>
      <c r="AI19" s="38" t="n">
        <f aca="false">AI18*Hypothèses!$C$16</f>
        <v>157.449850453935</v>
      </c>
      <c r="AJ19" s="38" t="n">
        <f aca="false">AJ18*Hypothèses!$C$16</f>
        <v>164.577357931238</v>
      </c>
      <c r="AK19" s="38" t="n">
        <f aca="false">AK18*Hypothèses!$C$16</f>
        <v>171.348490034676</v>
      </c>
      <c r="AL19" s="38" t="n">
        <f aca="false">AL18*Hypothèses!$C$16</f>
        <v>177.781065532943</v>
      </c>
      <c r="AN19" s="38" t="n">
        <f aca="false">N19</f>
        <v>9.0189428836156</v>
      </c>
      <c r="AO19" s="38" t="n">
        <f aca="false">Z19</f>
        <v>73.8194636178193</v>
      </c>
      <c r="AP19" s="38" t="n">
        <f aca="false">AL19</f>
        <v>177.781065532943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C18*Hypothèses!$C$17</f>
        <v>0</v>
      </c>
      <c r="D20" s="38" t="n">
        <f aca="false">D18*Hypothèses!$C$17</f>
        <v>0</v>
      </c>
      <c r="E20" s="38" t="n">
        <f aca="false">E18*Hypothèses!$C$17</f>
        <v>0</v>
      </c>
      <c r="F20" s="38" t="n">
        <f aca="false">F18*Hypothèses!$C$17</f>
        <v>5.5</v>
      </c>
      <c r="G20" s="38" t="n">
        <f aca="false">G18*Hypothèses!$C$17</f>
        <v>5.17</v>
      </c>
      <c r="H20" s="38" t="n">
        <f aca="false">H18*Hypothèses!$C$17</f>
        <v>4.8598</v>
      </c>
      <c r="I20" s="38" t="n">
        <f aca="false">I18*Hypothèses!$C$17</f>
        <v>4.568212</v>
      </c>
      <c r="J20" s="38" t="n">
        <f aca="false">J18*Hypothèses!$C$17</f>
        <v>4.29411928</v>
      </c>
      <c r="K20" s="38" t="n">
        <f aca="false">K18*Hypothèses!$C$17</f>
        <v>4.0364721232</v>
      </c>
      <c r="L20" s="38" t="n">
        <f aca="false">L18*Hypothèses!$C$17</f>
        <v>8.41798185037333</v>
      </c>
      <c r="M20" s="38" t="n">
        <f aca="false">M18*Hypothèses!$C$17</f>
        <v>12.580416091188</v>
      </c>
      <c r="N20" s="38" t="n">
        <f aca="false">N18*Hypothèses!$C$17</f>
        <v>16.5347286199619</v>
      </c>
      <c r="O20" s="38" t="n">
        <f aca="false">O18*Hypothèses!$C$17</f>
        <v>29.4579921889638</v>
      </c>
      <c r="P20" s="38" t="n">
        <f aca="false">P18*Hypothèses!$C$17</f>
        <v>41.7350925795156</v>
      </c>
      <c r="Q20" s="38" t="n">
        <f aca="false">Q18*Hypothèses!$C$17</f>
        <v>53.3983379505399</v>
      </c>
      <c r="R20" s="38" t="n">
        <f aca="false">R18*Hypothèses!$C$17</f>
        <v>64.4784210530129</v>
      </c>
      <c r="S20" s="38" t="n">
        <f aca="false">S18*Hypothèses!$C$17</f>
        <v>75.0045000003622</v>
      </c>
      <c r="T20" s="38" t="n">
        <f aca="false">T18*Hypothèses!$C$17</f>
        <v>85.0042750003441</v>
      </c>
      <c r="U20" s="38" t="n">
        <f aca="false">U18*Hypothèses!$C$17</f>
        <v>94.5040612503269</v>
      </c>
      <c r="V20" s="38" t="n">
        <f aca="false">V18*Hypothèses!$C$17</f>
        <v>103.528858187811</v>
      </c>
      <c r="W20" s="38" t="n">
        <f aca="false">W18*Hypothèses!$C$17</f>
        <v>112.10241527842</v>
      </c>
      <c r="X20" s="38" t="n">
        <f aca="false">X18*Hypothèses!$C$17</f>
        <v>120.247294514499</v>
      </c>
      <c r="Y20" s="38" t="n">
        <f aca="false">Y18*Hypothèses!$C$17</f>
        <v>127.984929788774</v>
      </c>
      <c r="Z20" s="38" t="n">
        <f aca="false">Z18*Hypothèses!$C$17</f>
        <v>135.335683299335</v>
      </c>
      <c r="AA20" s="38" t="n">
        <f aca="false">AA18*Hypothèses!$C$17</f>
        <v>156.068899134369</v>
      </c>
      <c r="AB20" s="38" t="n">
        <f aca="false">AB18*Hypothèses!$C$17</f>
        <v>175.76545417765</v>
      </c>
      <c r="AC20" s="38" t="n">
        <f aca="false">AC18*Hypothèses!$C$17</f>
        <v>194.477181468768</v>
      </c>
      <c r="AD20" s="38" t="n">
        <f aca="false">AD18*Hypothèses!$C$17</f>
        <v>212.253322395329</v>
      </c>
      <c r="AE20" s="38" t="n">
        <f aca="false">AE18*Hypothèses!$C$17</f>
        <v>229.140656275563</v>
      </c>
      <c r="AF20" s="38" t="n">
        <f aca="false">AF18*Hypothèses!$C$17</f>
        <v>245.183623461785</v>
      </c>
      <c r="AG20" s="38" t="n">
        <f aca="false">AG18*Hypothèses!$C$17</f>
        <v>260.424442288695</v>
      </c>
      <c r="AH20" s="38" t="n">
        <f aca="false">AH18*Hypothèses!$C$17</f>
        <v>274.903220174261</v>
      </c>
      <c r="AI20" s="38" t="n">
        <f aca="false">AI18*Hypothèses!$C$17</f>
        <v>288.658059165548</v>
      </c>
      <c r="AJ20" s="38" t="n">
        <f aca="false">AJ18*Hypothèses!$C$17</f>
        <v>301.72515620727</v>
      </c>
      <c r="AK20" s="38" t="n">
        <f aca="false">AK18*Hypothèses!$C$17</f>
        <v>314.138898396907</v>
      </c>
      <c r="AL20" s="38" t="n">
        <f aca="false">AL18*Hypothèses!$C$17</f>
        <v>325.931953477062</v>
      </c>
      <c r="AN20" s="38" t="n">
        <f aca="false">N20</f>
        <v>16.5347286199619</v>
      </c>
      <c r="AO20" s="38" t="n">
        <f aca="false">Z20</f>
        <v>135.335683299335</v>
      </c>
      <c r="AP20" s="38" t="n">
        <f aca="false">AL20</f>
        <v>325.931953477062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C18*Hypothèses!$C$18</f>
        <v>0</v>
      </c>
      <c r="D21" s="38" t="n">
        <f aca="false">D18*Hypothèses!$C$18</f>
        <v>0</v>
      </c>
      <c r="E21" s="38" t="n">
        <f aca="false">E18*Hypothèses!$C$18</f>
        <v>0</v>
      </c>
      <c r="F21" s="38" t="n">
        <f aca="false">F18*Hypothèses!$C$18</f>
        <v>1.5</v>
      </c>
      <c r="G21" s="38" t="n">
        <f aca="false">G18*Hypothèses!$C$18</f>
        <v>1.41</v>
      </c>
      <c r="H21" s="38" t="n">
        <f aca="false">H18*Hypothèses!$C$18</f>
        <v>1.3254</v>
      </c>
      <c r="I21" s="38" t="n">
        <f aca="false">I18*Hypothèses!$C$18</f>
        <v>1.245876</v>
      </c>
      <c r="J21" s="38" t="n">
        <f aca="false">J18*Hypothèses!$C$18</f>
        <v>1.17112344</v>
      </c>
      <c r="K21" s="38" t="n">
        <f aca="false">K18*Hypothèses!$C$18</f>
        <v>1.1008560336</v>
      </c>
      <c r="L21" s="38" t="n">
        <f aca="false">L18*Hypothèses!$C$18</f>
        <v>2.29581323192</v>
      </c>
      <c r="M21" s="38" t="n">
        <f aca="false">M18*Hypothèses!$C$18</f>
        <v>3.431022570324</v>
      </c>
      <c r="N21" s="38" t="n">
        <f aca="false">N18*Hypothèses!$C$18</f>
        <v>4.5094714418078</v>
      </c>
      <c r="O21" s="38" t="n">
        <f aca="false">O18*Hypothèses!$C$18</f>
        <v>8.03399786971741</v>
      </c>
      <c r="P21" s="38" t="n">
        <f aca="false">P18*Hypothèses!$C$18</f>
        <v>11.3822979762315</v>
      </c>
      <c r="Q21" s="38" t="n">
        <f aca="false">Q18*Hypothèses!$C$18</f>
        <v>14.56318307742</v>
      </c>
      <c r="R21" s="38" t="n">
        <f aca="false">R18*Hypothèses!$C$18</f>
        <v>17.585023923549</v>
      </c>
      <c r="S21" s="38" t="n">
        <f aca="false">S18*Hypothèses!$C$18</f>
        <v>20.4557727273715</v>
      </c>
      <c r="T21" s="38" t="n">
        <f aca="false">T18*Hypothèses!$C$18</f>
        <v>23.1829840910029</v>
      </c>
      <c r="U21" s="38" t="n">
        <f aca="false">U18*Hypothèses!$C$18</f>
        <v>25.7738348864528</v>
      </c>
      <c r="V21" s="38" t="n">
        <f aca="false">V18*Hypothèses!$C$18</f>
        <v>28.2351431421302</v>
      </c>
      <c r="W21" s="38" t="n">
        <f aca="false">W18*Hypothèses!$C$18</f>
        <v>30.5733859850236</v>
      </c>
      <c r="X21" s="38" t="n">
        <f aca="false">X18*Hypothèses!$C$18</f>
        <v>32.7947166857725</v>
      </c>
      <c r="Y21" s="38" t="n">
        <f aca="false">Y18*Hypothèses!$C$18</f>
        <v>34.9049808514838</v>
      </c>
      <c r="Z21" s="38" t="n">
        <f aca="false">Z18*Hypothèses!$C$18</f>
        <v>36.9097318089097</v>
      </c>
      <c r="AA21" s="38" t="n">
        <f aca="false">AA18*Hypothèses!$C$18</f>
        <v>42.5642452184642</v>
      </c>
      <c r="AB21" s="38" t="n">
        <f aca="false">AB18*Hypothèses!$C$18</f>
        <v>47.936032957541</v>
      </c>
      <c r="AC21" s="38" t="n">
        <f aca="false">AC18*Hypothèses!$C$18</f>
        <v>53.0392313096639</v>
      </c>
      <c r="AD21" s="38" t="n">
        <f aca="false">AD18*Hypothèses!$C$18</f>
        <v>57.8872697441807</v>
      </c>
      <c r="AE21" s="38" t="n">
        <f aca="false">AE18*Hypothèses!$C$18</f>
        <v>62.4929062569717</v>
      </c>
      <c r="AF21" s="38" t="n">
        <f aca="false">AF18*Hypothèses!$C$18</f>
        <v>66.8682609441231</v>
      </c>
      <c r="AG21" s="38" t="n">
        <f aca="false">AG18*Hypothèses!$C$18</f>
        <v>71.0248478969169</v>
      </c>
      <c r="AH21" s="38" t="n">
        <f aca="false">AH18*Hypothèses!$C$18</f>
        <v>74.9736055020711</v>
      </c>
      <c r="AI21" s="38" t="n">
        <f aca="false">AI18*Hypothèses!$C$18</f>
        <v>78.7249252269676</v>
      </c>
      <c r="AJ21" s="38" t="n">
        <f aca="false">AJ18*Hypothèses!$C$18</f>
        <v>82.2886789656192</v>
      </c>
      <c r="AK21" s="38" t="n">
        <f aca="false">AK18*Hypothèses!$C$18</f>
        <v>85.6742450173382</v>
      </c>
      <c r="AL21" s="38" t="n">
        <f aca="false">AL18*Hypothèses!$C$18</f>
        <v>88.8905327664713</v>
      </c>
      <c r="AN21" s="38" t="n">
        <f aca="false">N21</f>
        <v>4.5094714418078</v>
      </c>
      <c r="AO21" s="38" t="n">
        <f aca="false">Z21</f>
        <v>36.9097318089097</v>
      </c>
      <c r="AP21" s="38" t="n">
        <f aca="false">AL21</f>
        <v>88.8905327664713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C19*Hypothèses!$C$12*$C$4</f>
        <v>0</v>
      </c>
      <c r="D23" s="15" t="n">
        <f aca="false">D19*Hypothèses!$C$12*$C$4</f>
        <v>0</v>
      </c>
      <c r="E23" s="15" t="n">
        <f aca="false">E19*Hypothèses!$C$12*$C$4</f>
        <v>0</v>
      </c>
      <c r="F23" s="15" t="n">
        <f aca="false">F19*Hypothèses!$C$12*$C$4</f>
        <v>87</v>
      </c>
      <c r="G23" s="15" t="n">
        <f aca="false">G19*Hypothèses!$C$12*$C$4</f>
        <v>81.78</v>
      </c>
      <c r="H23" s="15" t="n">
        <f aca="false">H19*Hypothèses!$C$12*$C$4</f>
        <v>76.8732</v>
      </c>
      <c r="I23" s="15" t="n">
        <f aca="false">I19*Hypothèses!$C$12*$C$4</f>
        <v>72.260808</v>
      </c>
      <c r="J23" s="15" t="n">
        <f aca="false">J19*Hypothèses!$C$12*$C$4</f>
        <v>67.92515952</v>
      </c>
      <c r="K23" s="15" t="n">
        <f aca="false">K19*Hypothèses!$C$12*$C$4</f>
        <v>63.8496499488</v>
      </c>
      <c r="L23" s="15" t="n">
        <f aca="false">L19*Hypothèses!$C$12*$C$4</f>
        <v>133.15716745136</v>
      </c>
      <c r="M23" s="15" t="n">
        <f aca="false">M19*Hypothèses!$C$12*$C$4</f>
        <v>198.999309078792</v>
      </c>
      <c r="N23" s="15" t="n">
        <f aca="false">N19*Hypothèses!$C$12*$C$4</f>
        <v>261.549343624852</v>
      </c>
      <c r="O23" s="15" t="n">
        <f aca="false">O19*Hypothèses!$C$12*$C$4</f>
        <v>465.97187644361</v>
      </c>
      <c r="P23" s="15" t="n">
        <f aca="false">P19*Hypothèses!$C$12*$C$4</f>
        <v>660.173282621429</v>
      </c>
      <c r="Q23" s="15" t="n">
        <f aca="false">Q19*Hypothèses!$C$12*$C$4</f>
        <v>844.664618490358</v>
      </c>
      <c r="R23" s="15" t="n">
        <f aca="false">R19*Hypothèses!$C$12*$C$4</f>
        <v>1019.93138756584</v>
      </c>
      <c r="S23" s="15" t="n">
        <f aca="false">S19*Hypothèses!$C$12*$C$4</f>
        <v>1186.43481818755</v>
      </c>
      <c r="T23" s="15" t="n">
        <f aca="false">T19*Hypothèses!$C$12*$C$4</f>
        <v>1344.61307727817</v>
      </c>
      <c r="U23" s="15" t="n">
        <f aca="false">U19*Hypothèses!$C$12*$C$4</f>
        <v>1494.88242341426</v>
      </c>
      <c r="V23" s="15" t="n">
        <f aca="false">V19*Hypothèses!$C$12*$C$4</f>
        <v>1637.63830224355</v>
      </c>
      <c r="W23" s="15" t="n">
        <f aca="false">W19*Hypothèses!$C$12*$C$4</f>
        <v>1773.25638713137</v>
      </c>
      <c r="X23" s="15" t="n">
        <f aca="false">X19*Hypothèses!$C$12*$C$4</f>
        <v>1902.0935677748</v>
      </c>
      <c r="Y23" s="15" t="n">
        <f aca="false">Y19*Hypothèses!$C$12*$C$4</f>
        <v>2024.48888938606</v>
      </c>
      <c r="Z23" s="15" t="n">
        <f aca="false">Z19*Hypothèses!$C$12*$C$4</f>
        <v>2140.76444491676</v>
      </c>
      <c r="AA23" s="15" t="n">
        <f aca="false">AA19*Hypothèses!$C$12*$C$4</f>
        <v>2468.72622267092</v>
      </c>
      <c r="AB23" s="15" t="n">
        <f aca="false">AB19*Hypothèses!$C$12*$C$4</f>
        <v>2780.28991153738</v>
      </c>
      <c r="AC23" s="15" t="n">
        <f aca="false">AC19*Hypothèses!$C$12*$C$4</f>
        <v>3076.27541596051</v>
      </c>
      <c r="AD23" s="15" t="n">
        <f aca="false">AD19*Hypothèses!$C$12*$C$4</f>
        <v>3357.46164516248</v>
      </c>
      <c r="AE23" s="15" t="n">
        <f aca="false">AE19*Hypothèses!$C$12*$C$4</f>
        <v>3624.58856290436</v>
      </c>
      <c r="AF23" s="15" t="n">
        <f aca="false">AF19*Hypothèses!$C$12*$C$4</f>
        <v>3878.35913475914</v>
      </c>
      <c r="AG23" s="15" t="n">
        <f aca="false">AG19*Hypothèses!$C$12*$C$4</f>
        <v>4119.44117802118</v>
      </c>
      <c r="AH23" s="15" t="n">
        <f aca="false">AH19*Hypothèses!$C$12*$C$4</f>
        <v>4348.46911912012</v>
      </c>
      <c r="AI23" s="15" t="n">
        <f aca="false">AI19*Hypothèses!$C$12*$C$4</f>
        <v>4566.04566316412</v>
      </c>
      <c r="AJ23" s="15" t="n">
        <f aca="false">AJ19*Hypothèses!$C$12*$C$4</f>
        <v>4772.74338000591</v>
      </c>
      <c r="AK23" s="15" t="n">
        <f aca="false">AK19*Hypothèses!$C$12*$C$4</f>
        <v>4969.10621100562</v>
      </c>
      <c r="AL23" s="15" t="n">
        <f aca="false">AL19*Hypothèses!$C$12*$C$4</f>
        <v>5155.65090045534</v>
      </c>
      <c r="AN23" s="15" t="n">
        <f aca="false">SUM(C23:N23)</f>
        <v>1043.3946376238</v>
      </c>
      <c r="AO23" s="15" t="n">
        <f aca="false">SUM(O23:Z23)</f>
        <v>16494.9130754538</v>
      </c>
      <c r="AP23" s="15" t="n">
        <f aca="false">SUM(AA23:AL23)</f>
        <v>47117.1573447671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C20*Hypothèses!$C$13*$C$4</f>
        <v>0</v>
      </c>
      <c r="D24" s="15" t="n">
        <f aca="false">D20*Hypothèses!$C$13*$C$4</f>
        <v>0</v>
      </c>
      <c r="E24" s="15" t="n">
        <f aca="false">E20*Hypothèses!$C$13*$C$4</f>
        <v>0</v>
      </c>
      <c r="F24" s="15" t="n">
        <f aca="false">F20*Hypothèses!$C$13*$C$4</f>
        <v>434.5</v>
      </c>
      <c r="G24" s="15" t="n">
        <f aca="false">G20*Hypothèses!$C$13*$C$4</f>
        <v>408.43</v>
      </c>
      <c r="H24" s="15" t="n">
        <f aca="false">H20*Hypothèses!$C$13*$C$4</f>
        <v>383.9242</v>
      </c>
      <c r="I24" s="15" t="n">
        <f aca="false">I20*Hypothèses!$C$13*$C$4</f>
        <v>360.888748</v>
      </c>
      <c r="J24" s="15" t="n">
        <f aca="false">J20*Hypothèses!$C$13*$C$4</f>
        <v>339.23542312</v>
      </c>
      <c r="K24" s="15" t="n">
        <f aca="false">K20*Hypothèses!$C$13*$C$4</f>
        <v>318.8812977328</v>
      </c>
      <c r="L24" s="15" t="n">
        <f aca="false">L20*Hypothèses!$C$13*$C$4</f>
        <v>665.020566179493</v>
      </c>
      <c r="M24" s="15" t="n">
        <f aca="false">M20*Hypothèses!$C$13*$C$4</f>
        <v>993.852871203852</v>
      </c>
      <c r="N24" s="15" t="n">
        <f aca="false">N20*Hypothèses!$C$13*$C$4</f>
        <v>1306.24356097699</v>
      </c>
      <c r="O24" s="15" t="n">
        <f aca="false">O20*Hypothèses!$C$13*$C$4</f>
        <v>2327.18138292814</v>
      </c>
      <c r="P24" s="15" t="n">
        <f aca="false">P20*Hypothèses!$C$13*$C$4</f>
        <v>3297.07231378174</v>
      </c>
      <c r="Q24" s="15" t="n">
        <f aca="false">Q20*Hypothèses!$C$13*$C$4</f>
        <v>4218.46869809265</v>
      </c>
      <c r="R24" s="15" t="n">
        <f aca="false">R20*Hypothèses!$C$13*$C$4</f>
        <v>5093.79526318802</v>
      </c>
      <c r="S24" s="15" t="n">
        <f aca="false">S20*Hypothèses!$C$13*$C$4</f>
        <v>5925.35550002862</v>
      </c>
      <c r="T24" s="15" t="n">
        <f aca="false">T20*Hypothèses!$C$13*$C$4</f>
        <v>6715.33772502718</v>
      </c>
      <c r="U24" s="15" t="n">
        <f aca="false">U20*Hypothèses!$C$13*$C$4</f>
        <v>7465.82083877583</v>
      </c>
      <c r="V24" s="15" t="n">
        <f aca="false">V20*Hypothèses!$C$13*$C$4</f>
        <v>8178.77979683703</v>
      </c>
      <c r="W24" s="15" t="n">
        <f aca="false">W20*Hypothèses!$C$13*$C$4</f>
        <v>8856.09080699518</v>
      </c>
      <c r="X24" s="15" t="n">
        <f aca="false">X20*Hypothèses!$C$13*$C$4</f>
        <v>9499.53626664543</v>
      </c>
      <c r="Y24" s="15" t="n">
        <f aca="false">Y20*Hypothèses!$C$13*$C$4</f>
        <v>10110.8094533132</v>
      </c>
      <c r="Z24" s="15" t="n">
        <f aca="false">Z20*Hypothèses!$C$13*$C$4</f>
        <v>10691.5189806475</v>
      </c>
      <c r="AA24" s="15" t="n">
        <f aca="false">AA20*Hypothèses!$C$13*$C$4</f>
        <v>12329.4430316151</v>
      </c>
      <c r="AB24" s="15" t="n">
        <f aca="false">AB20*Hypothèses!$C$13*$C$4</f>
        <v>13885.4708800344</v>
      </c>
      <c r="AC24" s="15" t="n">
        <f aca="false">AC20*Hypothèses!$C$13*$C$4</f>
        <v>15363.6973360326</v>
      </c>
      <c r="AD24" s="15" t="n">
        <f aca="false">AD20*Hypothèses!$C$13*$C$4</f>
        <v>16768.012469231</v>
      </c>
      <c r="AE24" s="15" t="n">
        <f aca="false">AE20*Hypothèses!$C$13*$C$4</f>
        <v>18102.1118457695</v>
      </c>
      <c r="AF24" s="15" t="n">
        <f aca="false">AF20*Hypothèses!$C$13*$C$4</f>
        <v>19369.506253481</v>
      </c>
      <c r="AG24" s="15" t="n">
        <f aca="false">AG20*Hypothèses!$C$13*$C$4</f>
        <v>20573.5309408069</v>
      </c>
      <c r="AH24" s="15" t="n">
        <f aca="false">AH20*Hypothèses!$C$13*$C$4</f>
        <v>21717.3543937666</v>
      </c>
      <c r="AI24" s="15" t="n">
        <f aca="false">AI20*Hypothèses!$C$13*$C$4</f>
        <v>22803.9866740783</v>
      </c>
      <c r="AJ24" s="15" t="n">
        <f aca="false">AJ20*Hypothèses!$C$13*$C$4</f>
        <v>23836.2873403744</v>
      </c>
      <c r="AK24" s="15" t="n">
        <f aca="false">AK20*Hypothèses!$C$13*$C$4</f>
        <v>24816.9729733556</v>
      </c>
      <c r="AL24" s="15" t="n">
        <f aca="false">AL20*Hypothèses!$C$13*$C$4</f>
        <v>25748.6243246879</v>
      </c>
      <c r="AN24" s="15" t="n">
        <f aca="false">SUM(C24:N24)</f>
        <v>5210.97666721314</v>
      </c>
      <c r="AO24" s="15" t="n">
        <f aca="false">SUM(O24:Z24)</f>
        <v>82379.7670262605</v>
      </c>
      <c r="AP24" s="15" t="n">
        <f aca="false">SUM(AA24:AL24)</f>
        <v>235314.998463233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C21*Hypothèses!$C$14*$C$4</f>
        <v>0</v>
      </c>
      <c r="D25" s="15" t="n">
        <f aca="false">D21*Hypothèses!$C$14*$C$4</f>
        <v>0</v>
      </c>
      <c r="E25" s="15" t="n">
        <f aca="false">E21*Hypothèses!$C$14*$C$4</f>
        <v>0</v>
      </c>
      <c r="F25" s="15" t="n">
        <f aca="false">F21*Hypothèses!$C$14*$C$4</f>
        <v>193.5</v>
      </c>
      <c r="G25" s="15" t="n">
        <f aca="false">G21*Hypothèses!$C$14*$C$4</f>
        <v>181.89</v>
      </c>
      <c r="H25" s="15" t="n">
        <f aca="false">H21*Hypothèses!$C$14*$C$4</f>
        <v>170.9766</v>
      </c>
      <c r="I25" s="15" t="n">
        <f aca="false">I21*Hypothèses!$C$14*$C$4</f>
        <v>160.718004</v>
      </c>
      <c r="J25" s="15" t="n">
        <f aca="false">J21*Hypothèses!$C$14*$C$4</f>
        <v>151.07492376</v>
      </c>
      <c r="K25" s="15" t="n">
        <f aca="false">K21*Hypothèses!$C$14*$C$4</f>
        <v>142.0104283344</v>
      </c>
      <c r="L25" s="15" t="n">
        <f aca="false">L21*Hypothèses!$C$14*$C$4</f>
        <v>296.15990691768</v>
      </c>
      <c r="M25" s="15" t="n">
        <f aca="false">M21*Hypothèses!$C$14*$C$4</f>
        <v>442.601911571796</v>
      </c>
      <c r="N25" s="15" t="n">
        <f aca="false">N21*Hypothèses!$C$14*$C$4</f>
        <v>581.721815993206</v>
      </c>
      <c r="O25" s="15" t="n">
        <f aca="false">O21*Hypothèses!$C$14*$C$4</f>
        <v>1036.38572519355</v>
      </c>
      <c r="P25" s="15" t="n">
        <f aca="false">P21*Hypothèses!$C$14*$C$4</f>
        <v>1468.31643893387</v>
      </c>
      <c r="Q25" s="15" t="n">
        <f aca="false">Q21*Hypothèses!$C$14*$C$4</f>
        <v>1878.65061698717</v>
      </c>
      <c r="R25" s="15" t="n">
        <f aca="false">R21*Hypothèses!$C$14*$C$4</f>
        <v>2268.46808613782</v>
      </c>
      <c r="S25" s="15" t="n">
        <f aca="false">S21*Hypothèses!$C$14*$C$4</f>
        <v>2638.79468183092</v>
      </c>
      <c r="T25" s="15" t="n">
        <f aca="false">T21*Hypothèses!$C$14*$C$4</f>
        <v>2990.60494773938</v>
      </c>
      <c r="U25" s="15" t="n">
        <f aca="false">U21*Hypothèses!$C$14*$C$4</f>
        <v>3324.82470035241</v>
      </c>
      <c r="V25" s="15" t="n">
        <f aca="false">V21*Hypothèses!$C$14*$C$4</f>
        <v>3642.33346533479</v>
      </c>
      <c r="W25" s="15" t="n">
        <f aca="false">W21*Hypothèses!$C$14*$C$4</f>
        <v>3943.96679206805</v>
      </c>
      <c r="X25" s="15" t="n">
        <f aca="false">X21*Hypothèses!$C$14*$C$4</f>
        <v>4230.51845246465</v>
      </c>
      <c r="Y25" s="15" t="n">
        <f aca="false">Y21*Hypothèses!$C$14*$C$4</f>
        <v>4502.74252984142</v>
      </c>
      <c r="Z25" s="15" t="n">
        <f aca="false">Z21*Hypothèses!$C$14*$C$4</f>
        <v>4761.35540334935</v>
      </c>
      <c r="AA25" s="15" t="n">
        <f aca="false">AA21*Hypothèses!$C$14*$C$4</f>
        <v>5490.78763318188</v>
      </c>
      <c r="AB25" s="15" t="n">
        <f aca="false">AB21*Hypothèses!$C$14*$C$4</f>
        <v>6183.74825152278</v>
      </c>
      <c r="AC25" s="15" t="n">
        <f aca="false">AC21*Hypothèses!$C$14*$C$4</f>
        <v>6842.06083894664</v>
      </c>
      <c r="AD25" s="15" t="n">
        <f aca="false">AD21*Hypothèses!$C$14*$C$4</f>
        <v>7467.45779699931</v>
      </c>
      <c r="AE25" s="15" t="n">
        <f aca="false">AE21*Hypothèses!$C$14*$C$4</f>
        <v>8061.58490714935</v>
      </c>
      <c r="AF25" s="15" t="n">
        <f aca="false">AF21*Hypothèses!$C$14*$C$4</f>
        <v>8626.00566179188</v>
      </c>
      <c r="AG25" s="15" t="n">
        <f aca="false">AG21*Hypothèses!$C$14*$C$4</f>
        <v>9162.20537870229</v>
      </c>
      <c r="AH25" s="15" t="n">
        <f aca="false">AH21*Hypothèses!$C$14*$C$4</f>
        <v>9671.59510976717</v>
      </c>
      <c r="AI25" s="15" t="n">
        <f aca="false">AI21*Hypothèses!$C$14*$C$4</f>
        <v>10155.5153542788</v>
      </c>
      <c r="AJ25" s="15" t="n">
        <f aca="false">AJ21*Hypothèses!$C$14*$C$4</f>
        <v>10615.2395865649</v>
      </c>
      <c r="AK25" s="15" t="n">
        <f aca="false">AK21*Hypothèses!$C$14*$C$4</f>
        <v>11051.9776072366</v>
      </c>
      <c r="AL25" s="15" t="n">
        <f aca="false">AL21*Hypothèses!$C$14*$C$4</f>
        <v>11466.8787268748</v>
      </c>
      <c r="AN25" s="15" t="n">
        <f aca="false">SUM(C25:N25)</f>
        <v>2320.65359057708</v>
      </c>
      <c r="AO25" s="15" t="n">
        <f aca="false">SUM(O25:Z25)</f>
        <v>36686.9618402334</v>
      </c>
      <c r="AP25" s="15" t="n">
        <f aca="false">SUM(AA25:AL25)</f>
        <v>104795.056853016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0</v>
      </c>
      <c r="F26" s="40" t="n">
        <f aca="false">F23+F24+F25</f>
        <v>715</v>
      </c>
      <c r="G26" s="40" t="n">
        <f aca="false">G23+G24+G25</f>
        <v>672.1</v>
      </c>
      <c r="H26" s="40" t="n">
        <f aca="false">H23+H24+H25</f>
        <v>631.774</v>
      </c>
      <c r="I26" s="40" t="n">
        <f aca="false">I23+I24+I25</f>
        <v>593.86756</v>
      </c>
      <c r="J26" s="40" t="n">
        <f aca="false">J23+J24+J25</f>
        <v>558.2355064</v>
      </c>
      <c r="K26" s="40" t="n">
        <f aca="false">K23+K24+K25</f>
        <v>524.741376016</v>
      </c>
      <c r="L26" s="40" t="n">
        <f aca="false">L23+L24+L25</f>
        <v>1094.33764054853</v>
      </c>
      <c r="M26" s="40" t="n">
        <f aca="false">M23+M24+M25</f>
        <v>1635.45409185444</v>
      </c>
      <c r="N26" s="40" t="n">
        <f aca="false">N23+N24+N25</f>
        <v>2149.51472059505</v>
      </c>
      <c r="O26" s="40" t="n">
        <f aca="false">O23+O24+O25</f>
        <v>3829.5389845653</v>
      </c>
      <c r="P26" s="40" t="n">
        <f aca="false">P23+P24+P25</f>
        <v>5425.56203533703</v>
      </c>
      <c r="Q26" s="40" t="n">
        <f aca="false">Q23+Q24+Q25</f>
        <v>6941.78393357018</v>
      </c>
      <c r="R26" s="40" t="n">
        <f aca="false">R23+R24+R25</f>
        <v>8382.19473689167</v>
      </c>
      <c r="S26" s="40" t="n">
        <f aca="false">S23+S24+S25</f>
        <v>9750.58500004709</v>
      </c>
      <c r="T26" s="40" t="n">
        <f aca="false">T23+T24+T25</f>
        <v>11050.5557500447</v>
      </c>
      <c r="U26" s="40" t="n">
        <f aca="false">U23+U24+U25</f>
        <v>12285.5279625425</v>
      </c>
      <c r="V26" s="40" t="n">
        <f aca="false">V23+V24+V25</f>
        <v>13458.7515644154</v>
      </c>
      <c r="W26" s="40" t="n">
        <f aca="false">W23+W24+W25</f>
        <v>14573.3139861946</v>
      </c>
      <c r="X26" s="40" t="n">
        <f aca="false">X23+X24+X25</f>
        <v>15632.1482868849</v>
      </c>
      <c r="Y26" s="40" t="n">
        <f aca="false">Y23+Y24+Y25</f>
        <v>16638.0408725406</v>
      </c>
      <c r="Z26" s="40" t="n">
        <f aca="false">Z23+Z24+Z25</f>
        <v>17593.6388289136</v>
      </c>
      <c r="AA26" s="40" t="n">
        <f aca="false">AA23+AA24+AA25</f>
        <v>20288.9568874679</v>
      </c>
      <c r="AB26" s="40" t="n">
        <f aca="false">AB23+AB24+AB25</f>
        <v>22849.5090430945</v>
      </c>
      <c r="AC26" s="40" t="n">
        <f aca="false">AC23+AC24+AC25</f>
        <v>25282.0335909398</v>
      </c>
      <c r="AD26" s="40" t="n">
        <f aca="false">AD23+AD24+AD25</f>
        <v>27592.9319113928</v>
      </c>
      <c r="AE26" s="40" t="n">
        <f aca="false">AE23+AE24+AE25</f>
        <v>29788.2853158232</v>
      </c>
      <c r="AF26" s="40" t="n">
        <f aca="false">AF23+AF24+AF25</f>
        <v>31873.871050032</v>
      </c>
      <c r="AG26" s="40" t="n">
        <f aca="false">AG23+AG24+AG25</f>
        <v>33855.1774975304</v>
      </c>
      <c r="AH26" s="40" t="n">
        <f aca="false">AH23+AH24+AH25</f>
        <v>35737.4186226539</v>
      </c>
      <c r="AI26" s="40" t="n">
        <f aca="false">AI23+AI24+AI25</f>
        <v>37525.5476915212</v>
      </c>
      <c r="AJ26" s="40" t="n">
        <f aca="false">AJ23+AJ24+AJ25</f>
        <v>39224.2703069451</v>
      </c>
      <c r="AK26" s="40" t="n">
        <f aca="false">AK23+AK24+AK25</f>
        <v>40838.0567915979</v>
      </c>
      <c r="AL26" s="40" t="n">
        <f aca="false">AL23+AL24+AL25</f>
        <v>42371.153952018</v>
      </c>
      <c r="AN26" s="40" t="n">
        <f aca="false">SUM(C26:N26)</f>
        <v>8575.02489541403</v>
      </c>
      <c r="AO26" s="40" t="n">
        <f aca="false">SUM(O26:Z26)</f>
        <v>135561.641941948</v>
      </c>
      <c r="AP26" s="40" t="n">
        <f aca="false">SUM(AA26:AL26)</f>
        <v>387227.212661017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C26*Hypothèses!$C$15/(1+Hypothèses!$C$15)</f>
        <v>0</v>
      </c>
      <c r="D27" s="15" t="n">
        <f aca="false">D26*Hypothèses!$C$15/(1+Hypothèses!$C$15)</f>
        <v>0</v>
      </c>
      <c r="E27" s="15" t="n">
        <f aca="false">E26*Hypothèses!$C$15/(1+Hypothèses!$C$15)</f>
        <v>0</v>
      </c>
      <c r="F27" s="15" t="n">
        <f aca="false">F26*Hypothèses!$C$15/(1+Hypothèses!$C$15)</f>
        <v>119.166666666667</v>
      </c>
      <c r="G27" s="15" t="n">
        <f aca="false">G26*Hypothèses!$C$15/(1+Hypothèses!$C$15)</f>
        <v>112.016666666667</v>
      </c>
      <c r="H27" s="15" t="n">
        <f aca="false">H26*Hypothèses!$C$15/(1+Hypothèses!$C$15)</f>
        <v>105.295666666667</v>
      </c>
      <c r="I27" s="15" t="n">
        <f aca="false">I26*Hypothèses!$C$15/(1+Hypothèses!$C$15)</f>
        <v>98.9779266666667</v>
      </c>
      <c r="J27" s="15" t="n">
        <f aca="false">J26*Hypothèses!$C$15/(1+Hypothèses!$C$15)</f>
        <v>93.0392510666667</v>
      </c>
      <c r="K27" s="15" t="n">
        <f aca="false">K26*Hypothèses!$C$15/(1+Hypothèses!$C$15)</f>
        <v>87.4568960026667</v>
      </c>
      <c r="L27" s="15" t="n">
        <f aca="false">L26*Hypothèses!$C$15/(1+Hypothèses!$C$15)</f>
        <v>182.389606758089</v>
      </c>
      <c r="M27" s="15" t="n">
        <f aca="false">M26*Hypothèses!$C$15/(1+Hypothèses!$C$15)</f>
        <v>272.57568197574</v>
      </c>
      <c r="N27" s="15" t="n">
        <f aca="false">N26*Hypothèses!$C$15/(1+Hypothèses!$C$15)</f>
        <v>358.252453432509</v>
      </c>
      <c r="O27" s="15" t="n">
        <f aca="false">O26*Hypothèses!$C$15/(1+Hypothèses!$C$15)</f>
        <v>638.25649742755</v>
      </c>
      <c r="P27" s="15" t="n">
        <f aca="false">P26*Hypothèses!$C$15/(1+Hypothèses!$C$15)</f>
        <v>904.260339222839</v>
      </c>
      <c r="Q27" s="15" t="n">
        <f aca="false">Q26*Hypothèses!$C$15/(1+Hypothèses!$C$15)</f>
        <v>1156.96398892836</v>
      </c>
      <c r="R27" s="15" t="n">
        <f aca="false">R26*Hypothèses!$C$15/(1+Hypothèses!$C$15)</f>
        <v>1397.03245614861</v>
      </c>
      <c r="S27" s="15" t="n">
        <f aca="false">S26*Hypothèses!$C$15/(1+Hypothèses!$C$15)</f>
        <v>1625.09750000785</v>
      </c>
      <c r="T27" s="15" t="n">
        <f aca="false">T26*Hypothèses!$C$15/(1+Hypothèses!$C$15)</f>
        <v>1841.75929167412</v>
      </c>
      <c r="U27" s="15" t="n">
        <f aca="false">U26*Hypothèses!$C$15/(1+Hypothèses!$C$15)</f>
        <v>2047.58799375708</v>
      </c>
      <c r="V27" s="15" t="n">
        <f aca="false">V26*Hypothèses!$C$15/(1+Hypothèses!$C$15)</f>
        <v>2243.1252607359</v>
      </c>
      <c r="W27" s="15" t="n">
        <f aca="false">W26*Hypothèses!$C$15/(1+Hypothèses!$C$15)</f>
        <v>2428.88566436577</v>
      </c>
      <c r="X27" s="15" t="n">
        <f aca="false">X26*Hypothèses!$C$15/(1+Hypothèses!$C$15)</f>
        <v>2605.35804781415</v>
      </c>
      <c r="Y27" s="15" t="n">
        <f aca="false">Y26*Hypothèses!$C$15/(1+Hypothèses!$C$15)</f>
        <v>2773.00681209011</v>
      </c>
      <c r="Z27" s="15" t="n">
        <f aca="false">Z26*Hypothèses!$C$15/(1+Hypothèses!$C$15)</f>
        <v>2932.27313815227</v>
      </c>
      <c r="AA27" s="15" t="n">
        <f aca="false">AA26*Hypothèses!$C$15/(1+Hypothèses!$C$15)</f>
        <v>3381.49281457799</v>
      </c>
      <c r="AB27" s="15" t="n">
        <f aca="false">AB26*Hypothèses!$C$15/(1+Hypothèses!$C$15)</f>
        <v>3808.25150718242</v>
      </c>
      <c r="AC27" s="15" t="n">
        <f aca="false">AC26*Hypothèses!$C$15/(1+Hypothèses!$C$15)</f>
        <v>4213.67226515663</v>
      </c>
      <c r="AD27" s="15" t="n">
        <f aca="false">AD26*Hypothèses!$C$15/(1+Hypothèses!$C$15)</f>
        <v>4598.82198523213</v>
      </c>
      <c r="AE27" s="15" t="n">
        <f aca="false">AE26*Hypothèses!$C$15/(1+Hypothèses!$C$15)</f>
        <v>4964.71421930386</v>
      </c>
      <c r="AF27" s="15" t="n">
        <f aca="false">AF26*Hypothèses!$C$15/(1+Hypothèses!$C$15)</f>
        <v>5312.311841672</v>
      </c>
      <c r="AG27" s="15" t="n">
        <f aca="false">AG26*Hypothèses!$C$15/(1+Hypothèses!$C$15)</f>
        <v>5642.52958292174</v>
      </c>
      <c r="AH27" s="15" t="n">
        <f aca="false">AH26*Hypothèses!$C$15/(1+Hypothèses!$C$15)</f>
        <v>5956.23643710898</v>
      </c>
      <c r="AI27" s="15" t="n">
        <f aca="false">AI26*Hypothèses!$C$15/(1+Hypothèses!$C$15)</f>
        <v>6254.25794858687</v>
      </c>
      <c r="AJ27" s="15" t="n">
        <f aca="false">AJ26*Hypothèses!$C$15/(1+Hypothèses!$C$15)</f>
        <v>6537.37838449086</v>
      </c>
      <c r="AK27" s="15" t="n">
        <f aca="false">AK26*Hypothèses!$C$15/(1+Hypothèses!$C$15)</f>
        <v>6806.34279859965</v>
      </c>
      <c r="AL27" s="15" t="n">
        <f aca="false">AL26*Hypothèses!$C$15/(1+Hypothèses!$C$15)</f>
        <v>7061.858992003</v>
      </c>
      <c r="AN27" s="15" t="n">
        <f aca="false">SUM(C27:N27)</f>
        <v>1429.17081590234</v>
      </c>
      <c r="AO27" s="15" t="n">
        <f aca="false">SUM(O27:Z27)</f>
        <v>22593.6069903246</v>
      </c>
      <c r="AP27" s="15" t="n">
        <f aca="false">SUM(AA27:AL27)</f>
        <v>64537.8687768361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0</v>
      </c>
      <c r="F28" s="40" t="n">
        <f aca="false">F26-F27</f>
        <v>595.833333333333</v>
      </c>
      <c r="G28" s="40" t="n">
        <f aca="false">G26-G27</f>
        <v>560.083333333333</v>
      </c>
      <c r="H28" s="40" t="n">
        <f aca="false">H26-H27</f>
        <v>526.478333333333</v>
      </c>
      <c r="I28" s="40" t="n">
        <f aca="false">I26-I27</f>
        <v>494.889633333333</v>
      </c>
      <c r="J28" s="40" t="n">
        <f aca="false">J26-J27</f>
        <v>465.196255333333</v>
      </c>
      <c r="K28" s="40" t="n">
        <f aca="false">K26-K27</f>
        <v>437.284480013333</v>
      </c>
      <c r="L28" s="40" t="n">
        <f aca="false">L26-L27</f>
        <v>911.948033790444</v>
      </c>
      <c r="M28" s="40" t="n">
        <f aca="false">M26-M27</f>
        <v>1362.8784098787</v>
      </c>
      <c r="N28" s="40" t="n">
        <f aca="false">N26-N27</f>
        <v>1791.26226716254</v>
      </c>
      <c r="O28" s="40" t="n">
        <f aca="false">O26-O27</f>
        <v>3191.28248713775</v>
      </c>
      <c r="P28" s="40" t="n">
        <f aca="false">P26-P27</f>
        <v>4521.30169611419</v>
      </c>
      <c r="Q28" s="40" t="n">
        <f aca="false">Q26-Q27</f>
        <v>5784.81994464182</v>
      </c>
      <c r="R28" s="40" t="n">
        <f aca="false">R26-R27</f>
        <v>6985.16228074306</v>
      </c>
      <c r="S28" s="40" t="n">
        <f aca="false">S26-S27</f>
        <v>8125.48750003924</v>
      </c>
      <c r="T28" s="40" t="n">
        <f aca="false">T26-T27</f>
        <v>9208.79645837061</v>
      </c>
      <c r="U28" s="40" t="n">
        <f aca="false">U26-U27</f>
        <v>10237.9399687854</v>
      </c>
      <c r="V28" s="40" t="n">
        <f aca="false">V26-V27</f>
        <v>11215.6263036795</v>
      </c>
      <c r="W28" s="40" t="n">
        <f aca="false">W26-W27</f>
        <v>12144.4283218288</v>
      </c>
      <c r="X28" s="40" t="n">
        <f aca="false">X26-X27</f>
        <v>13026.7902390707</v>
      </c>
      <c r="Y28" s="40" t="n">
        <f aca="false">Y26-Y27</f>
        <v>13865.0340604505</v>
      </c>
      <c r="Z28" s="40" t="n">
        <f aca="false">Z26-Z27</f>
        <v>14661.3656907613</v>
      </c>
      <c r="AA28" s="40" t="n">
        <f aca="false">AA26-AA27</f>
        <v>16907.4640728899</v>
      </c>
      <c r="AB28" s="40" t="n">
        <f aca="false">AB26-AB27</f>
        <v>19041.2575359121</v>
      </c>
      <c r="AC28" s="40" t="n">
        <f aca="false">AC26-AC27</f>
        <v>21068.3613257832</v>
      </c>
      <c r="AD28" s="40" t="n">
        <f aca="false">AD26-AD27</f>
        <v>22994.1099261607</v>
      </c>
      <c r="AE28" s="40" t="n">
        <f aca="false">AE26-AE27</f>
        <v>24823.5710965193</v>
      </c>
      <c r="AF28" s="40" t="n">
        <f aca="false">AF26-AF27</f>
        <v>26561.55920836</v>
      </c>
      <c r="AG28" s="40" t="n">
        <f aca="false">AG26-AG27</f>
        <v>28212.6479146087</v>
      </c>
      <c r="AH28" s="40" t="n">
        <f aca="false">AH26-AH27</f>
        <v>29781.1821855449</v>
      </c>
      <c r="AI28" s="40" t="n">
        <f aca="false">AI26-AI27</f>
        <v>31271.2897429343</v>
      </c>
      <c r="AJ28" s="40" t="n">
        <f aca="false">AJ26-AJ27</f>
        <v>32686.8919224543</v>
      </c>
      <c r="AK28" s="40" t="n">
        <f aca="false">AK26-AK27</f>
        <v>34031.7139929982</v>
      </c>
      <c r="AL28" s="40" t="n">
        <f aca="false">AL26-AL27</f>
        <v>35309.294960015</v>
      </c>
      <c r="AN28" s="40" t="n">
        <f aca="false">SUM(C28:N28)</f>
        <v>7145.85407951169</v>
      </c>
      <c r="AO28" s="40" t="n">
        <f aca="false">SUM(O28:Z28)</f>
        <v>112968.034951623</v>
      </c>
      <c r="AP28" s="40" t="n">
        <f aca="false">SUM(AA28:AL28)</f>
        <v>322689.343884181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C26*Hypothèses!$C$27</f>
        <v>0</v>
      </c>
      <c r="D29" s="15" t="n">
        <f aca="false">D26*Hypothèses!$C$27</f>
        <v>0</v>
      </c>
      <c r="E29" s="15" t="n">
        <f aca="false">E26*Hypothèses!$C$27</f>
        <v>0</v>
      </c>
      <c r="F29" s="15" t="n">
        <f aca="false">F26*Hypothèses!$C$27</f>
        <v>14.3</v>
      </c>
      <c r="G29" s="15" t="n">
        <f aca="false">G26*Hypothèses!$C$27</f>
        <v>13.442</v>
      </c>
      <c r="H29" s="15" t="n">
        <f aca="false">H26*Hypothèses!$C$27</f>
        <v>12.63548</v>
      </c>
      <c r="I29" s="15" t="n">
        <f aca="false">I26*Hypothèses!$C$27</f>
        <v>11.8773512</v>
      </c>
      <c r="J29" s="15" t="n">
        <f aca="false">J26*Hypothèses!$C$27</f>
        <v>11.164710128</v>
      </c>
      <c r="K29" s="15" t="n">
        <f aca="false">K26*Hypothèses!$C$27</f>
        <v>10.49482752032</v>
      </c>
      <c r="L29" s="15" t="n">
        <f aca="false">L26*Hypothèses!$C$27</f>
        <v>21.8867528109707</v>
      </c>
      <c r="M29" s="15" t="n">
        <f aca="false">M26*Hypothèses!$C$27</f>
        <v>32.7090818370888</v>
      </c>
      <c r="N29" s="15" t="n">
        <f aca="false">N26*Hypothèses!$C$27</f>
        <v>42.990294411901</v>
      </c>
      <c r="O29" s="15" t="n">
        <f aca="false">O26*Hypothèses!$C$27</f>
        <v>76.590779691306</v>
      </c>
      <c r="P29" s="15" t="n">
        <f aca="false">P26*Hypothèses!$C$27</f>
        <v>108.511240706741</v>
      </c>
      <c r="Q29" s="15" t="n">
        <f aca="false">Q26*Hypothèses!$C$27</f>
        <v>138.835678671404</v>
      </c>
      <c r="R29" s="15" t="n">
        <f aca="false">R26*Hypothèses!$C$27</f>
        <v>167.643894737833</v>
      </c>
      <c r="S29" s="15" t="n">
        <f aca="false">S26*Hypothèses!$C$27</f>
        <v>195.011700000942</v>
      </c>
      <c r="T29" s="15" t="n">
        <f aca="false">T26*Hypothèses!$C$27</f>
        <v>221.011115000895</v>
      </c>
      <c r="U29" s="15" t="n">
        <f aca="false">U26*Hypothèses!$C$27</f>
        <v>245.71055925085</v>
      </c>
      <c r="V29" s="15" t="n">
        <f aca="false">V26*Hypothèses!$C$27</f>
        <v>269.175031288308</v>
      </c>
      <c r="W29" s="15" t="n">
        <f aca="false">W26*Hypothèses!$C$27</f>
        <v>291.466279723892</v>
      </c>
      <c r="X29" s="15" t="n">
        <f aca="false">X26*Hypothèses!$C$27</f>
        <v>312.642965737698</v>
      </c>
      <c r="Y29" s="15" t="n">
        <f aca="false">Y26*Hypothèses!$C$27</f>
        <v>332.760817450813</v>
      </c>
      <c r="Z29" s="15" t="n">
        <f aca="false">Z26*Hypothèses!$C$27</f>
        <v>351.872776578272</v>
      </c>
      <c r="AA29" s="15" t="n">
        <f aca="false">AA26*Hypothèses!$C$27</f>
        <v>405.779137749358</v>
      </c>
      <c r="AB29" s="15" t="n">
        <f aca="false">AB26*Hypothèses!$C$27</f>
        <v>456.990180861891</v>
      </c>
      <c r="AC29" s="15" t="n">
        <f aca="false">AC26*Hypothèses!$C$27</f>
        <v>505.640671818796</v>
      </c>
      <c r="AD29" s="15" t="n">
        <f aca="false">AD26*Hypothèses!$C$27</f>
        <v>551.858638227856</v>
      </c>
      <c r="AE29" s="15" t="n">
        <f aca="false">AE26*Hypothèses!$C$27</f>
        <v>595.765706316463</v>
      </c>
      <c r="AF29" s="15" t="n">
        <f aca="false">AF26*Hypothèses!$C$27</f>
        <v>637.47742100064</v>
      </c>
      <c r="AG29" s="15" t="n">
        <f aca="false">AG26*Hypothèses!$C$27</f>
        <v>677.103549950608</v>
      </c>
      <c r="AH29" s="15" t="n">
        <f aca="false">AH26*Hypothèses!$C$27</f>
        <v>714.748372453078</v>
      </c>
      <c r="AI29" s="15" t="n">
        <f aca="false">AI26*Hypothèses!$C$27</f>
        <v>750.510953830424</v>
      </c>
      <c r="AJ29" s="15" t="n">
        <f aca="false">AJ26*Hypothèses!$C$27</f>
        <v>784.485406138903</v>
      </c>
      <c r="AK29" s="15" t="n">
        <f aca="false">AK26*Hypothèses!$C$27</f>
        <v>816.761135831958</v>
      </c>
      <c r="AL29" s="15" t="n">
        <f aca="false">AL26*Hypothèses!$C$27</f>
        <v>847.42307904036</v>
      </c>
      <c r="AN29" s="15" t="n">
        <f aca="false">SUM(C29:N29)</f>
        <v>171.500497908281</v>
      </c>
      <c r="AO29" s="15" t="n">
        <f aca="false">SUM(O29:Z29)</f>
        <v>2711.23283883895</v>
      </c>
      <c r="AP29" s="15" t="n">
        <f aca="false">SUM(AA29:AL29)</f>
        <v>7744.54425322034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(C26-C29)*Hypothèses!$C$28+C18*Hypothèses!$C$29</f>
        <v>0</v>
      </c>
      <c r="D30" s="15" t="n">
        <f aca="false">(D26-D29)*Hypothèses!$C$28+D18*Hypothèses!$C$29</f>
        <v>0</v>
      </c>
      <c r="E30" s="15" t="n">
        <f aca="false">(E26-E29)*Hypothèses!$C$28+E18*Hypothèses!$C$29</f>
        <v>0</v>
      </c>
      <c r="F30" s="15" t="n">
        <f aca="false">(F26-F29)*Hypothèses!$C$28+F18*Hypothèses!$C$29</f>
        <v>13.0105</v>
      </c>
      <c r="G30" s="15" t="n">
        <f aca="false">(G26-G29)*Hypothèses!$C$28+G18*Hypothèses!$C$29</f>
        <v>12.22987</v>
      </c>
      <c r="H30" s="15" t="n">
        <f aca="false">(H26-H29)*Hypothèses!$C$28+H18*Hypothèses!$C$29</f>
        <v>11.4960778</v>
      </c>
      <c r="I30" s="15" t="n">
        <f aca="false">(I26-I29)*Hypothèses!$C$28+I18*Hypothèses!$C$29</f>
        <v>10.806313132</v>
      </c>
      <c r="J30" s="15" t="n">
        <f aca="false">(J26-J29)*Hypothèses!$C$28+J18*Hypothèses!$C$29</f>
        <v>10.15793434408</v>
      </c>
      <c r="K30" s="15" t="n">
        <f aca="false">(K26-K29)*Hypothèses!$C$28+K18*Hypothèses!$C$29</f>
        <v>9.5484582834352</v>
      </c>
      <c r="L30" s="15" t="n">
        <f aca="false">(L26-L29)*Hypothèses!$C$28+L18*Hypothèses!$C$29</f>
        <v>19.9131187025968</v>
      </c>
      <c r="M30" s="15" t="n">
        <f aca="false">(M26-M29)*Hypothèses!$C$28+M18*Hypothèses!$C$29</f>
        <v>29.7595461008003</v>
      </c>
      <c r="N30" s="15" t="n">
        <f aca="false">(N26-N29)*Hypothèses!$C$28+N18*Hypothèses!$C$29</f>
        <v>39.1136521290936</v>
      </c>
      <c r="O30" s="15" t="n">
        <f aca="false">(O26-O29)*Hypothèses!$C$28+O18*Hypothèses!$C$29</f>
        <v>69.6842195226389</v>
      </c>
      <c r="P30" s="15" t="n">
        <f aca="false">(P26-P29)*Hypothèses!$C$28+P18*Hypothèses!$C$29</f>
        <v>98.7262585465069</v>
      </c>
      <c r="Q30" s="15" t="n">
        <f aca="false">(Q26-Q29)*Hypothèses!$C$28+Q18*Hypothèses!$C$29</f>
        <v>126.316195619182</v>
      </c>
      <c r="R30" s="15" t="n">
        <f aca="false">(R26-R29)*Hypothèses!$C$28+R18*Hypothèses!$C$29</f>
        <v>152.526635838223</v>
      </c>
      <c r="S30" s="15" t="n">
        <f aca="false">(S26-S29)*Hypothèses!$C$28+S18*Hypothèses!$C$29</f>
        <v>177.426554046311</v>
      </c>
      <c r="T30" s="15" t="n">
        <f aca="false">(T26-T29)*Hypothèses!$C$28+T18*Hypothèses!$C$29</f>
        <v>201.081476343996</v>
      </c>
      <c r="U30" s="15" t="n">
        <f aca="false">(U26-U29)*Hypothèses!$C$28+U18*Hypothèses!$C$29</f>
        <v>223.553652526796</v>
      </c>
      <c r="V30" s="15" t="n">
        <f aca="false">(V26-V29)*Hypothèses!$C$28+V18*Hypothèses!$C$29</f>
        <v>244.902219900456</v>
      </c>
      <c r="W30" s="15" t="n">
        <f aca="false">(W26-W29)*Hypothèses!$C$28+W18*Hypothèses!$C$29</f>
        <v>265.183358905433</v>
      </c>
      <c r="X30" s="15" t="n">
        <f aca="false">(X26-X29)*Hypothèses!$C$28+X18*Hypothèses!$C$29</f>
        <v>284.450440960162</v>
      </c>
      <c r="Y30" s="15" t="n">
        <f aca="false">(Y26-Y29)*Hypothèses!$C$28+Y18*Hypothèses!$C$29</f>
        <v>302.754168912154</v>
      </c>
      <c r="Z30" s="15" t="n">
        <f aca="false">(Z26-Z29)*Hypothèses!$C$28+Z18*Hypothèses!$C$29</f>
        <v>320.142710466546</v>
      </c>
      <c r="AA30" s="15" t="n">
        <f aca="false">(AA26-AA29)*Hypothèses!$C$28+AA18*Hypothèses!$C$29</f>
        <v>369.188074943219</v>
      </c>
      <c r="AB30" s="15" t="n">
        <f aca="false">(AB26-AB29)*Hypothèses!$C$28+AB18*Hypothèses!$C$29</f>
        <v>415.781171196058</v>
      </c>
      <c r="AC30" s="15" t="n">
        <f aca="false">(AC26-AC29)*Hypothèses!$C$28+AC18*Hypothèses!$C$29</f>
        <v>460.044612636255</v>
      </c>
      <c r="AD30" s="15" t="n">
        <f aca="false">(AD26-AD29)*Hypothèses!$C$28+AD18*Hypothèses!$C$29</f>
        <v>502.094882004442</v>
      </c>
      <c r="AE30" s="15" t="n">
        <f aca="false">(AE26-AE29)*Hypothèses!$C$28+AE18*Hypothèses!$C$29</f>
        <v>542.04263790422</v>
      </c>
      <c r="AF30" s="15" t="n">
        <f aca="false">(AF26-AF29)*Hypothèses!$C$28+AF18*Hypothèses!$C$29</f>
        <v>579.993006009009</v>
      </c>
      <c r="AG30" s="15" t="n">
        <f aca="false">(AG26-AG29)*Hypothèses!$C$28+AG18*Hypothèses!$C$29</f>
        <v>616.045855708559</v>
      </c>
      <c r="AH30" s="15" t="n">
        <f aca="false">(AH26-AH29)*Hypothèses!$C$28+AH18*Hypothèses!$C$29</f>
        <v>650.296062923131</v>
      </c>
      <c r="AI30" s="15" t="n">
        <f aca="false">(AI26-AI29)*Hypothèses!$C$28+AI18*Hypothèses!$C$29</f>
        <v>682.833759776974</v>
      </c>
      <c r="AJ30" s="15" t="n">
        <f aca="false">(AJ26-AJ29)*Hypothèses!$C$28+AJ18*Hypothèses!$C$29</f>
        <v>713.744571788126</v>
      </c>
      <c r="AK30" s="15" t="n">
        <f aca="false">(AK26-AK29)*Hypothèses!$C$28+AK18*Hypothèses!$C$29</f>
        <v>743.109843198719</v>
      </c>
      <c r="AL30" s="15" t="n">
        <f aca="false">(AL26-AL29)*Hypothèses!$C$28+AL18*Hypothèses!$C$29</f>
        <v>771.006851038783</v>
      </c>
      <c r="AN30" s="15" t="n">
        <f aca="false">SUM(C30:N30)</f>
        <v>156.035470492006</v>
      </c>
      <c r="AO30" s="15" t="n">
        <f aca="false">SUM(O30:Z30)</f>
        <v>2466.7478915884</v>
      </c>
      <c r="AP30" s="15" t="n">
        <f aca="false">SUM(AA30:AL30)</f>
        <v>7046.1813291275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0</v>
      </c>
      <c r="F31" s="40" t="n">
        <f aca="false">F26-F29-F30</f>
        <v>687.6895</v>
      </c>
      <c r="G31" s="40" t="n">
        <f aca="false">G26-G29-G30</f>
        <v>646.42813</v>
      </c>
      <c r="H31" s="40" t="n">
        <f aca="false">H26-H29-H30</f>
        <v>607.6424422</v>
      </c>
      <c r="I31" s="40" t="n">
        <f aca="false">I26-I29-I30</f>
        <v>571.183895668</v>
      </c>
      <c r="J31" s="40" t="n">
        <f aca="false">J26-J29-J30</f>
        <v>536.91286192792</v>
      </c>
      <c r="K31" s="40" t="n">
        <f aca="false">K26-K29-K30</f>
        <v>504.698090212245</v>
      </c>
      <c r="L31" s="40" t="n">
        <f aca="false">L26-L29-L30</f>
        <v>1052.53776903497</v>
      </c>
      <c r="M31" s="40" t="n">
        <f aca="false">M26-M29-M30</f>
        <v>1572.98546391655</v>
      </c>
      <c r="N31" s="40" t="n">
        <f aca="false">N26-N29-N30</f>
        <v>2067.41077405406</v>
      </c>
      <c r="O31" s="40" t="n">
        <f aca="false">O26-O29-O30</f>
        <v>3683.26398535135</v>
      </c>
      <c r="P31" s="40" t="n">
        <f aca="false">P26-P29-P30</f>
        <v>5218.32453608379</v>
      </c>
      <c r="Q31" s="40" t="n">
        <f aca="false">Q26-Q29-Q30</f>
        <v>6676.6320592796</v>
      </c>
      <c r="R31" s="40" t="n">
        <f aca="false">R26-R29-R30</f>
        <v>8062.02420631562</v>
      </c>
      <c r="S31" s="40" t="n">
        <f aca="false">S26-S29-S30</f>
        <v>9378.14674599984</v>
      </c>
      <c r="T31" s="40" t="n">
        <f aca="false">T26-T29-T30</f>
        <v>10628.4631586998</v>
      </c>
      <c r="U31" s="40" t="n">
        <f aca="false">U26-U29-U30</f>
        <v>11816.2637507649</v>
      </c>
      <c r="V31" s="40" t="n">
        <f aca="false">V26-V29-V30</f>
        <v>12944.6743132266</v>
      </c>
      <c r="W31" s="40" t="n">
        <f aca="false">W26-W29-W30</f>
        <v>14016.6643475653</v>
      </c>
      <c r="X31" s="40" t="n">
        <f aca="false">X26-X29-X30</f>
        <v>15035.054880187</v>
      </c>
      <c r="Y31" s="40" t="n">
        <f aca="false">Y26-Y29-Y30</f>
        <v>16002.5258861777</v>
      </c>
      <c r="Z31" s="40" t="n">
        <f aca="false">Z26-Z29-Z30</f>
        <v>16921.6233418688</v>
      </c>
      <c r="AA31" s="40" t="n">
        <f aca="false">AA26-AA29-AA30</f>
        <v>19513.9896747753</v>
      </c>
      <c r="AB31" s="40" t="n">
        <f aca="false">AB26-AB29-AB30</f>
        <v>21976.7376910366</v>
      </c>
      <c r="AC31" s="40" t="n">
        <f aca="false">AC26-AC29-AC30</f>
        <v>24316.3483064847</v>
      </c>
      <c r="AD31" s="40" t="n">
        <f aca="false">AD26-AD29-AD30</f>
        <v>26538.9783911605</v>
      </c>
      <c r="AE31" s="40" t="n">
        <f aca="false">AE26-AE29-AE30</f>
        <v>28650.4769716025</v>
      </c>
      <c r="AF31" s="40" t="n">
        <f aca="false">AF26-AF29-AF30</f>
        <v>30656.4006230224</v>
      </c>
      <c r="AG31" s="40" t="n">
        <f aca="false">AG26-AG29-AG30</f>
        <v>32562.0280918712</v>
      </c>
      <c r="AH31" s="40" t="n">
        <f aca="false">AH26-AH29-AH30</f>
        <v>34372.3741872777</v>
      </c>
      <c r="AI31" s="40" t="n">
        <f aca="false">AI26-AI29-AI30</f>
        <v>36092.2029779138</v>
      </c>
      <c r="AJ31" s="40" t="n">
        <f aca="false">AJ26-AJ29-AJ30</f>
        <v>37726.0403290181</v>
      </c>
      <c r="AK31" s="40" t="n">
        <f aca="false">AK26-AK29-AK30</f>
        <v>39278.1858125672</v>
      </c>
      <c r="AL31" s="40" t="n">
        <f aca="false">AL26-AL29-AL30</f>
        <v>40752.7240219389</v>
      </c>
      <c r="AN31" s="40" t="n">
        <f aca="false">SUM(C31:N31)</f>
        <v>8247.48892701374</v>
      </c>
      <c r="AO31" s="40" t="n">
        <f aca="false">SUM(O31:Z31)</f>
        <v>130383.66121152</v>
      </c>
      <c r="AP31" s="40" t="n">
        <f aca="false">SUM(AA31:AL31)</f>
        <v>372436.487078669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(C19*Hypothèses!$C$31+C20*Hypothèses!$C$32+C21*Hypothèses!$C$33)*Hypothèses!$C$34*$F$4</f>
        <v>0</v>
      </c>
      <c r="D33" s="15" t="n">
        <f aca="false">(D19*Hypothèses!$C$31+D20*Hypothèses!$C$32+D21*Hypothèses!$C$33)*Hypothèses!$C$34*$F$4</f>
        <v>0</v>
      </c>
      <c r="E33" s="15" t="n">
        <f aca="false">(E19*Hypothèses!$C$31+E20*Hypothèses!$C$32+E21*Hypothèses!$C$33)*Hypothèses!$C$34*$F$4</f>
        <v>0</v>
      </c>
      <c r="F33" s="15" t="n">
        <f aca="false">(F19*Hypothèses!$C$31+F20*Hypothèses!$C$32+F21*Hypothèses!$C$33)*Hypothèses!$C$34*$F$4</f>
        <v>157.5</v>
      </c>
      <c r="G33" s="15" t="n">
        <f aca="false">(G19*Hypothèses!$C$31+G20*Hypothèses!$C$32+G21*Hypothèses!$C$33)*Hypothèses!$C$34*$F$4</f>
        <v>148.05</v>
      </c>
      <c r="H33" s="15" t="n">
        <f aca="false">(H19*Hypothèses!$C$31+H20*Hypothèses!$C$32+H21*Hypothèses!$C$33)*Hypothèses!$C$34*$F$4</f>
        <v>139.167</v>
      </c>
      <c r="I33" s="15" t="n">
        <f aca="false">(I19*Hypothèses!$C$31+I20*Hypothèses!$C$32+I21*Hypothèses!$C$33)*Hypothèses!$C$34*$F$4</f>
        <v>130.81698</v>
      </c>
      <c r="J33" s="15" t="n">
        <f aca="false">(J19*Hypothèses!$C$31+J20*Hypothèses!$C$32+J21*Hypothèses!$C$33)*Hypothèses!$C$34*$F$4</f>
        <v>122.9679612</v>
      </c>
      <c r="K33" s="15" t="n">
        <f aca="false">(K19*Hypothèses!$C$31+K20*Hypothèses!$C$32+K21*Hypothèses!$C$33)*Hypothèses!$C$34*$F$4</f>
        <v>115.589883528</v>
      </c>
      <c r="L33" s="15" t="n">
        <f aca="false">(L19*Hypothèses!$C$31+L20*Hypothèses!$C$32+L21*Hypothèses!$C$33)*Hypothèses!$C$34*$F$4</f>
        <v>241.0603893516</v>
      </c>
      <c r="M33" s="15" t="n">
        <f aca="false">(M19*Hypothèses!$C$31+M20*Hypothèses!$C$32+M21*Hypothèses!$C$33)*Hypothèses!$C$34*$F$4</f>
        <v>360.25736988402</v>
      </c>
      <c r="N33" s="15" t="n">
        <f aca="false">(N19*Hypothèses!$C$31+N20*Hypothèses!$C$32+N21*Hypothèses!$C$33)*Hypothèses!$C$34*$F$4</f>
        <v>473.494501389819</v>
      </c>
      <c r="O33" s="15" t="n">
        <f aca="false">(O19*Hypothèses!$C$31+O20*Hypothèses!$C$32+O21*Hypothèses!$C$33)*Hypothèses!$C$34*$F$4</f>
        <v>843.569776320328</v>
      </c>
      <c r="P33" s="15" t="n">
        <f aca="false">(P19*Hypothèses!$C$31+P20*Hypothèses!$C$32+P21*Hypothèses!$C$33)*Hypothèses!$C$34*$F$4</f>
        <v>1195.14128750431</v>
      </c>
      <c r="Q33" s="15" t="n">
        <f aca="false">(Q19*Hypothèses!$C$31+Q20*Hypothèses!$C$32+Q21*Hypothèses!$C$33)*Hypothèses!$C$34*$F$4</f>
        <v>1529.1342231291</v>
      </c>
      <c r="R33" s="15" t="n">
        <f aca="false">(R19*Hypothèses!$C$31+R20*Hypothèses!$C$32+R21*Hypothèses!$C$33)*Hypothèses!$C$34*$F$4</f>
        <v>1846.42751197264</v>
      </c>
      <c r="S33" s="15" t="n">
        <f aca="false">(S19*Hypothèses!$C$31+S20*Hypothèses!$C$32+S21*Hypothèses!$C$33)*Hypothèses!$C$34*$F$4</f>
        <v>2147.85613637401</v>
      </c>
      <c r="T33" s="15" t="n">
        <f aca="false">(T19*Hypothèses!$C$31+T20*Hypothèses!$C$32+T21*Hypothèses!$C$33)*Hypothèses!$C$34*$F$4</f>
        <v>2434.21332955531</v>
      </c>
      <c r="U33" s="15" t="n">
        <f aca="false">(U19*Hypothèses!$C$31+U20*Hypothèses!$C$32+U21*Hypothèses!$C$33)*Hypothèses!$C$34*$F$4</f>
        <v>2706.25266307754</v>
      </c>
      <c r="V33" s="15" t="n">
        <f aca="false">(V19*Hypothèses!$C$31+V20*Hypothèses!$C$32+V21*Hypothèses!$C$33)*Hypothèses!$C$34*$F$4</f>
        <v>2964.69002992367</v>
      </c>
      <c r="W33" s="15" t="n">
        <f aca="false">(W19*Hypothèses!$C$31+W20*Hypothèses!$C$32+W21*Hypothèses!$C$33)*Hypothèses!$C$34*$F$4</f>
        <v>3210.20552842748</v>
      </c>
      <c r="X33" s="15" t="n">
        <f aca="false">(X19*Hypothèses!$C$31+X20*Hypothèses!$C$32+X21*Hypothèses!$C$33)*Hypothèses!$C$34*$F$4</f>
        <v>3443.44525200611</v>
      </c>
      <c r="Y33" s="15" t="n">
        <f aca="false">(Y19*Hypothèses!$C$31+Y20*Hypothèses!$C$32+Y21*Hypothèses!$C$33)*Hypothèses!$C$34*$F$4</f>
        <v>3665.0229894058</v>
      </c>
      <c r="Z33" s="15" t="n">
        <f aca="false">(Z19*Hypothèses!$C$31+Z20*Hypothèses!$C$32+Z21*Hypothèses!$C$33)*Hypothèses!$C$34*$F$4</f>
        <v>3875.52183993551</v>
      </c>
      <c r="AA33" s="15" t="n">
        <f aca="false">(AA19*Hypothèses!$C$31+AA20*Hypothèses!$C$32+AA21*Hypothèses!$C$33)*Hypothèses!$C$34*$F$4</f>
        <v>4469.24574793874</v>
      </c>
      <c r="AB33" s="15" t="n">
        <f aca="false">(AB19*Hypothèses!$C$31+AB20*Hypothèses!$C$32+AB21*Hypothèses!$C$33)*Hypothèses!$C$34*$F$4</f>
        <v>5033.2834605418</v>
      </c>
      <c r="AC33" s="15" t="n">
        <f aca="false">(AC19*Hypothèses!$C$31+AC20*Hypothèses!$C$32+AC21*Hypothèses!$C$33)*Hypothèses!$C$34*$F$4</f>
        <v>5569.11928751471</v>
      </c>
      <c r="AD33" s="15" t="n">
        <f aca="false">(AD19*Hypothèses!$C$31+AD20*Hypothèses!$C$32+AD21*Hypothèses!$C$33)*Hypothèses!$C$34*$F$4</f>
        <v>6078.16332313898</v>
      </c>
      <c r="AE33" s="15" t="n">
        <f aca="false">(AE19*Hypothèses!$C$31+AE20*Hypothèses!$C$32+AE21*Hypothèses!$C$33)*Hypothèses!$C$34*$F$4</f>
        <v>6561.75515698203</v>
      </c>
      <c r="AF33" s="15" t="n">
        <f aca="false">(AF19*Hypothèses!$C$31+AF20*Hypothèses!$C$32+AF21*Hypothèses!$C$33)*Hypothèses!$C$34*$F$4</f>
        <v>7021.16739913292</v>
      </c>
      <c r="AG33" s="15" t="n">
        <f aca="false">(AG19*Hypothèses!$C$31+AG20*Hypothèses!$C$32+AG21*Hypothèses!$C$33)*Hypothèses!$C$34*$F$4</f>
        <v>7457.60902917628</v>
      </c>
      <c r="AH33" s="15" t="n">
        <f aca="false">(AH19*Hypothèses!$C$31+AH20*Hypothèses!$C$32+AH21*Hypothèses!$C$33)*Hypothèses!$C$34*$F$4</f>
        <v>7872.22857771747</v>
      </c>
      <c r="AI33" s="15" t="n">
        <f aca="false">(AI19*Hypothèses!$C$31+AI20*Hypothèses!$C$32+AI21*Hypothèses!$C$33)*Hypothèses!$C$34*$F$4</f>
        <v>8266.11714883159</v>
      </c>
      <c r="AJ33" s="15" t="n">
        <f aca="false">(AJ19*Hypothèses!$C$31+AJ20*Hypothèses!$C$32+AJ21*Hypothèses!$C$33)*Hypothèses!$C$34*$F$4</f>
        <v>8640.31129139001</v>
      </c>
      <c r="AK33" s="15" t="n">
        <f aca="false">(AK19*Hypothèses!$C$31+AK20*Hypothèses!$C$32+AK21*Hypothèses!$C$33)*Hypothèses!$C$34*$F$4</f>
        <v>8995.79572682051</v>
      </c>
      <c r="AL33" s="15" t="n">
        <f aca="false">(AL19*Hypothèses!$C$31+AL20*Hypothèses!$C$32+AL21*Hypothèses!$C$33)*Hypothèses!$C$34*$F$4</f>
        <v>9333.50594047949</v>
      </c>
      <c r="AN33" s="15" t="n">
        <f aca="false">SUM(C33:N33)</f>
        <v>1888.90408535344</v>
      </c>
      <c r="AO33" s="15" t="n">
        <f aca="false">SUM(O33:Z33)</f>
        <v>29861.4805676318</v>
      </c>
      <c r="AP33" s="15" t="n">
        <f aca="false">SUM(AA33:AL33)</f>
        <v>85298.3020896645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C18*Hypothèses!$C$35</f>
        <v>0</v>
      </c>
      <c r="D34" s="15" t="n">
        <f aca="false">D18*Hypothèses!$C$35</f>
        <v>0</v>
      </c>
      <c r="E34" s="15" t="n">
        <f aca="false">E18*Hypothèses!$C$35</f>
        <v>0</v>
      </c>
      <c r="F34" s="15" t="n">
        <f aca="false">F18*Hypothèses!$C$35</f>
        <v>20</v>
      </c>
      <c r="G34" s="15" t="n">
        <f aca="false">G18*Hypothèses!$C$35</f>
        <v>18.8</v>
      </c>
      <c r="H34" s="15" t="n">
        <f aca="false">H18*Hypothèses!$C$35</f>
        <v>17.672</v>
      </c>
      <c r="I34" s="15" t="n">
        <f aca="false">I18*Hypothèses!$C$35</f>
        <v>16.61168</v>
      </c>
      <c r="J34" s="15" t="n">
        <f aca="false">J18*Hypothèses!$C$35</f>
        <v>15.6149792</v>
      </c>
      <c r="K34" s="15" t="n">
        <f aca="false">K18*Hypothèses!$C$35</f>
        <v>14.678080448</v>
      </c>
      <c r="L34" s="15" t="n">
        <f aca="false">L18*Hypothèses!$C$35</f>
        <v>30.6108430922667</v>
      </c>
      <c r="M34" s="15" t="n">
        <f aca="false">M18*Hypothèses!$C$35</f>
        <v>45.74696760432</v>
      </c>
      <c r="N34" s="15" t="n">
        <f aca="false">N18*Hypothèses!$C$35</f>
        <v>60.1262858907707</v>
      </c>
      <c r="O34" s="15" t="n">
        <f aca="false">O18*Hypothèses!$C$35</f>
        <v>107.119971596232</v>
      </c>
      <c r="P34" s="15" t="n">
        <f aca="false">P18*Hypothèses!$C$35</f>
        <v>151.763973016421</v>
      </c>
      <c r="Q34" s="15" t="n">
        <f aca="false">Q18*Hypothèses!$C$35</f>
        <v>194.175774365599</v>
      </c>
      <c r="R34" s="15" t="n">
        <f aca="false">R18*Hypothèses!$C$35</f>
        <v>234.46698564732</v>
      </c>
      <c r="S34" s="15" t="n">
        <f aca="false">S18*Hypothèses!$C$35</f>
        <v>272.743636364954</v>
      </c>
      <c r="T34" s="15" t="n">
        <f aca="false">T18*Hypothèses!$C$35</f>
        <v>309.106454546706</v>
      </c>
      <c r="U34" s="15" t="n">
        <f aca="false">U18*Hypothèses!$C$35</f>
        <v>343.651131819371</v>
      </c>
      <c r="V34" s="15" t="n">
        <f aca="false">V18*Hypothèses!$C$35</f>
        <v>376.468575228402</v>
      </c>
      <c r="W34" s="15" t="n">
        <f aca="false">W18*Hypothèses!$C$35</f>
        <v>407.645146466982</v>
      </c>
      <c r="X34" s="15" t="n">
        <f aca="false">X18*Hypothèses!$C$35</f>
        <v>437.262889143633</v>
      </c>
      <c r="Y34" s="15" t="n">
        <f aca="false">Y18*Hypothèses!$C$35</f>
        <v>465.399744686451</v>
      </c>
      <c r="Z34" s="15" t="n">
        <f aca="false">Z18*Hypothèses!$C$35</f>
        <v>492.129757452129</v>
      </c>
      <c r="AA34" s="15" t="n">
        <f aca="false">AA18*Hypothèses!$C$35</f>
        <v>567.523269579522</v>
      </c>
      <c r="AB34" s="15" t="n">
        <f aca="false">AB18*Hypothèses!$C$35</f>
        <v>639.147106100546</v>
      </c>
      <c r="AC34" s="15" t="n">
        <f aca="false">AC18*Hypothèses!$C$35</f>
        <v>707.189750795519</v>
      </c>
      <c r="AD34" s="15" t="n">
        <f aca="false">AD18*Hypothèses!$C$35</f>
        <v>771.830263255743</v>
      </c>
      <c r="AE34" s="15" t="n">
        <f aca="false">AE18*Hypothèses!$C$35</f>
        <v>833.238750092956</v>
      </c>
      <c r="AF34" s="15" t="n">
        <f aca="false">AF18*Hypothèses!$C$35</f>
        <v>891.576812588308</v>
      </c>
      <c r="AG34" s="15" t="n">
        <f aca="false">AG18*Hypothèses!$C$35</f>
        <v>946.997971958893</v>
      </c>
      <c r="AH34" s="15" t="n">
        <f aca="false">AH18*Hypothèses!$C$35</f>
        <v>999.648073360948</v>
      </c>
      <c r="AI34" s="15" t="n">
        <f aca="false">AI18*Hypothèses!$C$35</f>
        <v>1049.6656696929</v>
      </c>
      <c r="AJ34" s="15" t="n">
        <f aca="false">AJ18*Hypothèses!$C$35</f>
        <v>1097.18238620826</v>
      </c>
      <c r="AK34" s="15" t="n">
        <f aca="false">AK18*Hypothèses!$C$35</f>
        <v>1142.32326689784</v>
      </c>
      <c r="AL34" s="15" t="n">
        <f aca="false">AL18*Hypothèses!$C$35</f>
        <v>1185.20710355295</v>
      </c>
      <c r="AN34" s="15" t="n">
        <f aca="false">SUM(C34:N34)</f>
        <v>239.860836235357</v>
      </c>
      <c r="AO34" s="15" t="n">
        <f aca="false">SUM(O34:Z34)</f>
        <v>3791.9340403342</v>
      </c>
      <c r="AP34" s="15" t="n">
        <f aca="false">SUM(AA34:AL34)</f>
        <v>10831.5304240844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C18*Hypothèses!$C$36</f>
        <v>0</v>
      </c>
      <c r="D35" s="15" t="n">
        <f aca="false">D18*Hypothèses!$C$36</f>
        <v>0</v>
      </c>
      <c r="E35" s="15" t="n">
        <f aca="false">E18*Hypothèses!$C$36</f>
        <v>0</v>
      </c>
      <c r="F35" s="15" t="n">
        <f aca="false">F18*Hypothèses!$C$36</f>
        <v>50</v>
      </c>
      <c r="G35" s="15" t="n">
        <f aca="false">G18*Hypothèses!$C$36</f>
        <v>47</v>
      </c>
      <c r="H35" s="15" t="n">
        <f aca="false">H18*Hypothèses!$C$36</f>
        <v>44.18</v>
      </c>
      <c r="I35" s="15" t="n">
        <f aca="false">I18*Hypothèses!$C$36</f>
        <v>41.5292</v>
      </c>
      <c r="J35" s="15" t="n">
        <f aca="false">J18*Hypothèses!$C$36</f>
        <v>39.037448</v>
      </c>
      <c r="K35" s="15" t="n">
        <f aca="false">K18*Hypothèses!$C$36</f>
        <v>36.69520112</v>
      </c>
      <c r="L35" s="15" t="n">
        <f aca="false">L18*Hypothèses!$C$36</f>
        <v>76.5271077306667</v>
      </c>
      <c r="M35" s="15" t="n">
        <f aca="false">M18*Hypothèses!$C$36</f>
        <v>114.3674190108</v>
      </c>
      <c r="N35" s="15" t="n">
        <f aca="false">N18*Hypothèses!$C$36</f>
        <v>150.315714726927</v>
      </c>
      <c r="O35" s="15" t="n">
        <f aca="false">O18*Hypothèses!$C$36</f>
        <v>267.79992899058</v>
      </c>
      <c r="P35" s="15" t="n">
        <f aca="false">P18*Hypothèses!$C$36</f>
        <v>379.409932541051</v>
      </c>
      <c r="Q35" s="15" t="n">
        <f aca="false">Q18*Hypothèses!$C$36</f>
        <v>485.439435913999</v>
      </c>
      <c r="R35" s="15" t="n">
        <f aca="false">R18*Hypothèses!$C$36</f>
        <v>586.167464118299</v>
      </c>
      <c r="S35" s="15" t="n">
        <f aca="false">S18*Hypothèses!$C$36</f>
        <v>681.859090912384</v>
      </c>
      <c r="T35" s="15" t="n">
        <f aca="false">T18*Hypothèses!$C$36</f>
        <v>772.766136366765</v>
      </c>
      <c r="U35" s="15" t="n">
        <f aca="false">U18*Hypothèses!$C$36</f>
        <v>859.127829548427</v>
      </c>
      <c r="V35" s="15" t="n">
        <f aca="false">V18*Hypothèses!$C$36</f>
        <v>941.171438071005</v>
      </c>
      <c r="W35" s="15" t="n">
        <f aca="false">W18*Hypothèses!$C$36</f>
        <v>1019.11286616745</v>
      </c>
      <c r="X35" s="15" t="n">
        <f aca="false">X18*Hypothèses!$C$36</f>
        <v>1093.15722285908</v>
      </c>
      <c r="Y35" s="15" t="n">
        <f aca="false">Y18*Hypothèses!$C$36</f>
        <v>1163.49936171613</v>
      </c>
      <c r="Z35" s="15" t="n">
        <f aca="false">Z18*Hypothèses!$C$36</f>
        <v>1230.32439363032</v>
      </c>
      <c r="AA35" s="15" t="n">
        <f aca="false">AA18*Hypothèses!$C$36</f>
        <v>1418.80817394881</v>
      </c>
      <c r="AB35" s="15" t="n">
        <f aca="false">AB18*Hypothèses!$C$36</f>
        <v>1597.86776525137</v>
      </c>
      <c r="AC35" s="15" t="n">
        <f aca="false">AC18*Hypothèses!$C$36</f>
        <v>1767.9743769888</v>
      </c>
      <c r="AD35" s="15" t="n">
        <f aca="false">AD18*Hypothèses!$C$36</f>
        <v>1929.57565813936</v>
      </c>
      <c r="AE35" s="15" t="n">
        <f aca="false">AE18*Hypothèses!$C$36</f>
        <v>2083.09687523239</v>
      </c>
      <c r="AF35" s="15" t="n">
        <f aca="false">AF18*Hypothèses!$C$36</f>
        <v>2228.94203147077</v>
      </c>
      <c r="AG35" s="15" t="n">
        <f aca="false">AG18*Hypothèses!$C$36</f>
        <v>2367.49492989723</v>
      </c>
      <c r="AH35" s="15" t="n">
        <f aca="false">AH18*Hypothèses!$C$36</f>
        <v>2499.12018340237</v>
      </c>
      <c r="AI35" s="15" t="n">
        <f aca="false">AI18*Hypothèses!$C$36</f>
        <v>2624.16417423225</v>
      </c>
      <c r="AJ35" s="15" t="n">
        <f aca="false">AJ18*Hypothèses!$C$36</f>
        <v>2742.95596552064</v>
      </c>
      <c r="AK35" s="15" t="n">
        <f aca="false">AK18*Hypothèses!$C$36</f>
        <v>2855.80816724461</v>
      </c>
      <c r="AL35" s="15" t="n">
        <f aca="false">AL18*Hypothèses!$C$36</f>
        <v>2963.01775888238</v>
      </c>
      <c r="AN35" s="15" t="n">
        <f aca="false">SUM(C35:N35)</f>
        <v>599.652090588393</v>
      </c>
      <c r="AO35" s="15" t="n">
        <f aca="false">SUM(O35:Z35)</f>
        <v>9479.8351008355</v>
      </c>
      <c r="AP35" s="15" t="n">
        <f aca="false">SUM(AA35:AL35)</f>
        <v>27078.826060211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0</v>
      </c>
      <c r="F36" s="40" t="n">
        <f aca="false">F33+F34+F35</f>
        <v>227.5</v>
      </c>
      <c r="G36" s="40" t="n">
        <f aca="false">G33+G34+G35</f>
        <v>213.85</v>
      </c>
      <c r="H36" s="40" t="n">
        <f aca="false">H33+H34+H35</f>
        <v>201.019</v>
      </c>
      <c r="I36" s="40" t="n">
        <f aca="false">I33+I34+I35</f>
        <v>188.95786</v>
      </c>
      <c r="J36" s="40" t="n">
        <f aca="false">J33+J34+J35</f>
        <v>177.6203884</v>
      </c>
      <c r="K36" s="40" t="n">
        <f aca="false">K33+K34+K35</f>
        <v>166.963165096</v>
      </c>
      <c r="L36" s="40" t="n">
        <f aca="false">L33+L34+L35</f>
        <v>348.198340174533</v>
      </c>
      <c r="M36" s="40" t="n">
        <f aca="false">M33+M34+M35</f>
        <v>520.37175649914</v>
      </c>
      <c r="N36" s="40" t="n">
        <f aca="false">N33+N34+N35</f>
        <v>683.936502007516</v>
      </c>
      <c r="O36" s="40" t="n">
        <f aca="false">O33+O34+O35</f>
        <v>1218.48967690714</v>
      </c>
      <c r="P36" s="40" t="n">
        <f aca="false">P33+P34+P35</f>
        <v>1726.31519306178</v>
      </c>
      <c r="Q36" s="40" t="n">
        <f aca="false">Q33+Q34+Q35</f>
        <v>2208.74943340869</v>
      </c>
      <c r="R36" s="40" t="n">
        <f aca="false">R33+R34+R35</f>
        <v>2667.06196173826</v>
      </c>
      <c r="S36" s="40" t="n">
        <f aca="false">S33+S34+S35</f>
        <v>3102.45886365135</v>
      </c>
      <c r="T36" s="40" t="n">
        <f aca="false">T33+T34+T35</f>
        <v>3516.08592046878</v>
      </c>
      <c r="U36" s="40" t="n">
        <f aca="false">U33+U34+U35</f>
        <v>3909.03162444534</v>
      </c>
      <c r="V36" s="40" t="n">
        <f aca="false">V33+V34+V35</f>
        <v>4282.33004322307</v>
      </c>
      <c r="W36" s="40" t="n">
        <f aca="false">W33+W34+W35</f>
        <v>4636.96354106192</v>
      </c>
      <c r="X36" s="40" t="n">
        <f aca="false">X33+X34+X35</f>
        <v>4973.86536400882</v>
      </c>
      <c r="Y36" s="40" t="n">
        <f aca="false">Y33+Y34+Y35</f>
        <v>5293.92209580838</v>
      </c>
      <c r="Z36" s="40" t="n">
        <f aca="false">Z33+Z34+Z35</f>
        <v>5597.97599101796</v>
      </c>
      <c r="AA36" s="40" t="n">
        <f aca="false">AA33+AA34+AA35</f>
        <v>6455.57719146707</v>
      </c>
      <c r="AB36" s="40" t="n">
        <f aca="false">AB33+AB34+AB35</f>
        <v>7270.29833189371</v>
      </c>
      <c r="AC36" s="40" t="n">
        <f aca="false">AC33+AC34+AC35</f>
        <v>8044.28341529903</v>
      </c>
      <c r="AD36" s="40" t="n">
        <f aca="false">AD33+AD34+AD35</f>
        <v>8779.56924453408</v>
      </c>
      <c r="AE36" s="40" t="n">
        <f aca="false">AE33+AE34+AE35</f>
        <v>9478.09078230737</v>
      </c>
      <c r="AF36" s="40" t="n">
        <f aca="false">AF33+AF34+AF35</f>
        <v>10141.686243192</v>
      </c>
      <c r="AG36" s="40" t="n">
        <f aca="false">AG33+AG34+AG35</f>
        <v>10772.1019310324</v>
      </c>
      <c r="AH36" s="40" t="n">
        <f aca="false">AH33+AH34+AH35</f>
        <v>11370.9968344808</v>
      </c>
      <c r="AI36" s="40" t="n">
        <f aca="false">AI33+AI34+AI35</f>
        <v>11939.9469927567</v>
      </c>
      <c r="AJ36" s="40" t="n">
        <f aca="false">AJ33+AJ34+AJ35</f>
        <v>12480.4496431189</v>
      </c>
      <c r="AK36" s="40" t="n">
        <f aca="false">AK33+AK34+AK35</f>
        <v>12993.927160963</v>
      </c>
      <c r="AL36" s="40" t="n">
        <f aca="false">AL33+AL34+AL35</f>
        <v>13481.7308029148</v>
      </c>
      <c r="AN36" s="40" t="n">
        <f aca="false">SUM(C36:N36)</f>
        <v>2728.41701217719</v>
      </c>
      <c r="AO36" s="40" t="n">
        <f aca="false">SUM(O36:Z36)</f>
        <v>43133.2497088015</v>
      </c>
      <c r="AP36" s="40" t="n">
        <f aca="false">SUM(AA36:AL36)</f>
        <v>123208.65857396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C28-C36-C30-C29/(1+Hypothèses!$C$15)</f>
        <v>0</v>
      </c>
      <c r="D37" s="40" t="n">
        <f aca="false">D28-D36-D30-D29/(1+Hypothèses!$C$15)</f>
        <v>0</v>
      </c>
      <c r="E37" s="40" t="n">
        <f aca="false">E28-E36-E30-E29/(1+Hypothèses!$C$15)</f>
        <v>0</v>
      </c>
      <c r="F37" s="40" t="n">
        <f aca="false">F28-F36-F30-F29/(1+Hypothèses!$C$15)</f>
        <v>343.406166666667</v>
      </c>
      <c r="G37" s="40" t="n">
        <f aca="false">G28-G36-G30-G29/(1+Hypothèses!$C$15)</f>
        <v>322.801796666667</v>
      </c>
      <c r="H37" s="40" t="n">
        <f aca="false">H28-H36-H30-H29/(1+Hypothèses!$C$15)</f>
        <v>303.433688866667</v>
      </c>
      <c r="I37" s="40" t="n">
        <f aca="false">I28-I36-I30-I29/(1+Hypothèses!$C$15)</f>
        <v>285.227667534667</v>
      </c>
      <c r="J37" s="40" t="n">
        <f aca="false">J28-J36-J30-J29/(1+Hypothèses!$C$15)</f>
        <v>268.114007482587</v>
      </c>
      <c r="K37" s="40" t="n">
        <f aca="false">K28-K36-K30-K29/(1+Hypothèses!$C$15)</f>
        <v>252.027167033631</v>
      </c>
      <c r="L37" s="40" t="n">
        <f aca="false">L28-L36-L30-L29/(1+Hypothèses!$C$15)</f>
        <v>525.597614237505</v>
      </c>
      <c r="M37" s="40" t="n">
        <f aca="false">M28-M36-M30-M29/(1+Hypothèses!$C$15)</f>
        <v>785.489539081186</v>
      </c>
      <c r="N37" s="40" t="n">
        <f aca="false">N28-N36-N30-N29/(1+Hypothèses!$C$15)</f>
        <v>1032.38686768268</v>
      </c>
      <c r="O37" s="40" t="n">
        <f aca="false">O28-O36-O30-O29/(1+Hypothèses!$C$15)</f>
        <v>1839.28294096521</v>
      </c>
      <c r="P37" s="40" t="n">
        <f aca="false">P28-P36-P30-P29/(1+Hypothèses!$C$15)</f>
        <v>2605.83421058362</v>
      </c>
      <c r="Q37" s="40" t="n">
        <f aca="false">Q28-Q36-Q30-Q29/(1+Hypothèses!$C$15)</f>
        <v>3334.05791672111</v>
      </c>
      <c r="R37" s="40" t="n">
        <f aca="false">R28-R36-R30-R29/(1+Hypothèses!$C$15)</f>
        <v>4025.87043755172</v>
      </c>
      <c r="S37" s="40" t="n">
        <f aca="false">S28-S36-S30-S29/(1+Hypothèses!$C$15)</f>
        <v>4683.0923323408</v>
      </c>
      <c r="T37" s="40" t="n">
        <f aca="false">T28-T36-T30-T29/(1+Hypothèses!$C$15)</f>
        <v>5307.45313239042</v>
      </c>
      <c r="U37" s="40" t="n">
        <f aca="false">U28-U36-U30-U29/(1+Hypothèses!$C$15)</f>
        <v>5900.59589243757</v>
      </c>
      <c r="V37" s="40" t="n">
        <f aca="false">V28-V36-V30-V29/(1+Hypothèses!$C$15)</f>
        <v>6464.08151448236</v>
      </c>
      <c r="W37" s="40" t="n">
        <f aca="false">W28-W36-W30-W29/(1+Hypothèses!$C$15)</f>
        <v>6999.39285542491</v>
      </c>
      <c r="X37" s="40" t="n">
        <f aca="false">X28-X36-X30-X29/(1+Hypothèses!$C$15)</f>
        <v>7507.93862932033</v>
      </c>
      <c r="Y37" s="40" t="n">
        <f aca="false">Y28-Y36-Y30-Y29/(1+Hypothèses!$C$15)</f>
        <v>7991.05711452098</v>
      </c>
      <c r="Z37" s="40" t="n">
        <f aca="false">Z28-Z36-Z30-Z29/(1+Hypothèses!$C$15)</f>
        <v>8450.0196754616</v>
      </c>
      <c r="AA37" s="40" t="n">
        <f aca="false">AA28-AA36-AA30-AA29/(1+Hypothèses!$C$15)</f>
        <v>9744.54952502185</v>
      </c>
      <c r="AB37" s="40" t="n">
        <f aca="false">AB28-AB36-AB30-AB29/(1+Hypothèses!$C$15)</f>
        <v>10974.3528821041</v>
      </c>
      <c r="AC37" s="40" t="n">
        <f aca="false">AC28-AC36-AC30-AC29/(1+Hypothèses!$C$15)</f>
        <v>12142.6660713322</v>
      </c>
      <c r="AD37" s="40" t="n">
        <f aca="false">AD28-AD36-AD30-AD29/(1+Hypothèses!$C$15)</f>
        <v>13252.5636010989</v>
      </c>
      <c r="AE37" s="40" t="n">
        <f aca="false">AE28-AE36-AE30-AE29/(1+Hypothèses!$C$15)</f>
        <v>14306.9662543773</v>
      </c>
      <c r="AF37" s="40" t="n">
        <f aca="false">AF28-AF36-AF30-AF29/(1+Hypothèses!$C$15)</f>
        <v>15308.6487749918</v>
      </c>
      <c r="AG37" s="40" t="n">
        <f aca="false">AG28-AG36-AG30-AG29/(1+Hypothèses!$C$15)</f>
        <v>16260.2471695755</v>
      </c>
      <c r="AH37" s="40" t="n">
        <f aca="false">AH28-AH36-AH30-AH29/(1+Hypothèses!$C$15)</f>
        <v>17164.2656444301</v>
      </c>
      <c r="AI37" s="40" t="n">
        <f aca="false">AI28-AI36-AI30-AI29/(1+Hypothèses!$C$15)</f>
        <v>18023.0831955419</v>
      </c>
      <c r="AJ37" s="40" t="n">
        <f aca="false">AJ28-AJ36-AJ30-AJ29/(1+Hypothèses!$C$15)</f>
        <v>18838.9598690982</v>
      </c>
      <c r="AK37" s="40" t="n">
        <f aca="false">AK28-AK36-AK30-AK29/(1+Hypothèses!$C$15)</f>
        <v>19614.0427089766</v>
      </c>
      <c r="AL37" s="40" t="n">
        <f aca="false">AL28-AL36-AL30-AL29/(1+Hypothèses!$C$15)</f>
        <v>20350.3714068611</v>
      </c>
      <c r="AN37" s="40" t="n">
        <f aca="false">SUM(C37:N37)</f>
        <v>4118.48451525226</v>
      </c>
      <c r="AO37" s="40" t="n">
        <f aca="false">SUM(O37:Z37)</f>
        <v>65108.6766522006</v>
      </c>
      <c r="AP37" s="40" t="n">
        <f aca="false">SUM(AA37:AL37)</f>
        <v>185980.71710341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0</v>
      </c>
      <c r="J39" s="15" t="n">
        <f aca="false">J11</f>
        <v>0</v>
      </c>
      <c r="K39" s="15" t="n">
        <f aca="false">K11</f>
        <v>0</v>
      </c>
      <c r="L39" s="15" t="n">
        <f aca="false">L11</f>
        <v>2000</v>
      </c>
      <c r="M39" s="15" t="n">
        <f aca="false">M11</f>
        <v>2000</v>
      </c>
      <c r="N39" s="15" t="n">
        <f aca="false">N11</f>
        <v>2000</v>
      </c>
      <c r="O39" s="15" t="n">
        <f aca="false">O11</f>
        <v>6000</v>
      </c>
      <c r="P39" s="15" t="n">
        <f aca="false">P11</f>
        <v>6000</v>
      </c>
      <c r="Q39" s="15" t="n">
        <f aca="false">Q11</f>
        <v>6000</v>
      </c>
      <c r="R39" s="15" t="n">
        <f aca="false">R11</f>
        <v>6000</v>
      </c>
      <c r="S39" s="15" t="n">
        <f aca="false">S11</f>
        <v>6000</v>
      </c>
      <c r="T39" s="15" t="n">
        <f aca="false">T11</f>
        <v>6000</v>
      </c>
      <c r="U39" s="15" t="n">
        <f aca="false">U11</f>
        <v>6000</v>
      </c>
      <c r="V39" s="15" t="n">
        <f aca="false">V11</f>
        <v>6000</v>
      </c>
      <c r="W39" s="15" t="n">
        <f aca="false">W11</f>
        <v>6000</v>
      </c>
      <c r="X39" s="15" t="n">
        <f aca="false">X11</f>
        <v>6000</v>
      </c>
      <c r="Y39" s="15" t="n">
        <f aca="false">Y11</f>
        <v>6000</v>
      </c>
      <c r="Z39" s="15" t="n">
        <f aca="false">Z11</f>
        <v>6000</v>
      </c>
      <c r="AA39" s="15" t="n">
        <f aca="false">AA11</f>
        <v>12000</v>
      </c>
      <c r="AB39" s="15" t="n">
        <f aca="false">AB11</f>
        <v>12000</v>
      </c>
      <c r="AC39" s="15" t="n">
        <f aca="false">AC11</f>
        <v>12000</v>
      </c>
      <c r="AD39" s="15" t="n">
        <f aca="false">AD11</f>
        <v>12000</v>
      </c>
      <c r="AE39" s="15" t="n">
        <f aca="false">AE11</f>
        <v>12000</v>
      </c>
      <c r="AF39" s="15" t="n">
        <f aca="false">AF11</f>
        <v>12000</v>
      </c>
      <c r="AG39" s="15" t="n">
        <f aca="false">AG11</f>
        <v>12000</v>
      </c>
      <c r="AH39" s="15" t="n">
        <f aca="false">AH11</f>
        <v>12000</v>
      </c>
      <c r="AI39" s="15" t="n">
        <f aca="false">AI11</f>
        <v>12000</v>
      </c>
      <c r="AJ39" s="15" t="n">
        <f aca="false">AJ11</f>
        <v>12000</v>
      </c>
      <c r="AK39" s="15" t="n">
        <f aca="false">AK11</f>
        <v>12000</v>
      </c>
      <c r="AL39" s="15" t="n">
        <f aca="false">AL11</f>
        <v>12000</v>
      </c>
      <c r="AN39" s="15" t="n">
        <f aca="false">SUM(C39:N39)</f>
        <v>6000</v>
      </c>
      <c r="AO39" s="15" t="n">
        <f aca="false">SUM(O39:Z39)</f>
        <v>72000</v>
      </c>
      <c r="AP39" s="15" t="n">
        <f aca="false">SUM(AA39:AL39)</f>
        <v>144000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IF(C7&gt;=Hypothèses!$C$39,Hypothèses!$C$38*Hypothèses!$C$40,0)*$G$4</f>
        <v>0</v>
      </c>
      <c r="D40" s="15" t="n">
        <f aca="false">IF(D7&gt;=Hypothèses!$C$39,Hypothèses!$C$38*Hypothèses!$C$40,0)*$G$4</f>
        <v>0</v>
      </c>
      <c r="E40" s="15" t="n">
        <f aca="false">IF(E7&gt;=Hypothèses!$C$39,Hypothèses!$C$38*Hypothèses!$C$40,0)*$G$4</f>
        <v>0</v>
      </c>
      <c r="F40" s="15" t="n">
        <f aca="false">IF(F7&gt;=Hypothèses!$C$39,Hypothèses!$C$38*Hypothèses!$C$40,0)*$G$4</f>
        <v>0</v>
      </c>
      <c r="G40" s="15" t="n">
        <f aca="false">IF(G7&gt;=Hypothèses!$C$39,Hypothèses!$C$38*Hypothèses!$C$40,0)*$G$4</f>
        <v>0</v>
      </c>
      <c r="H40" s="15" t="n">
        <f aca="false">IF(H7&gt;=Hypothèses!$C$39,Hypothèses!$C$38*Hypothèses!$C$40,0)*$G$4</f>
        <v>0</v>
      </c>
      <c r="I40" s="15" t="n">
        <f aca="false">IF(I7&gt;=Hypothèses!$C$39,Hypothèses!$C$38*Hypothèses!$C$40,0)*$G$4</f>
        <v>0</v>
      </c>
      <c r="J40" s="15" t="n">
        <f aca="false">IF(J7&gt;=Hypothèses!$C$39,Hypothèses!$C$38*Hypothèses!$C$40,0)*$G$4</f>
        <v>0</v>
      </c>
      <c r="K40" s="15" t="n">
        <f aca="false">IF(K7&gt;=Hypothèses!$C$39,Hypothèses!$C$38*Hypothèses!$C$40,0)*$G$4</f>
        <v>0</v>
      </c>
      <c r="L40" s="15" t="n">
        <f aca="false">IF(L7&gt;=Hypothèses!$C$39,Hypothèses!$C$38*Hypothèses!$C$40,0)*$G$4</f>
        <v>0</v>
      </c>
      <c r="M40" s="15" t="n">
        <f aca="false">IF(M7&gt;=Hypothèses!$C$39,Hypothèses!$C$38*Hypothèses!$C$40,0)*$G$4</f>
        <v>0</v>
      </c>
      <c r="N40" s="15" t="n">
        <f aca="false">IF(N7&gt;=Hypothèses!$C$39,Hypothèses!$C$38*Hypothèses!$C$40,0)*$G$4</f>
        <v>0</v>
      </c>
      <c r="O40" s="15" t="n">
        <f aca="false">IF(O7&gt;=Hypothèses!$C$39,Hypothèses!$C$38*Hypothèses!$C$40,0)*$G$4</f>
        <v>11000</v>
      </c>
      <c r="P40" s="15" t="n">
        <f aca="false">IF(P7&gt;=Hypothèses!$C$39,Hypothèses!$C$38*Hypothèses!$C$40,0)*$G$4</f>
        <v>11000</v>
      </c>
      <c r="Q40" s="15" t="n">
        <f aca="false">IF(Q7&gt;=Hypothèses!$C$39,Hypothèses!$C$38*Hypothèses!$C$40,0)*$G$4</f>
        <v>11000</v>
      </c>
      <c r="R40" s="15" t="n">
        <f aca="false">IF(R7&gt;=Hypothèses!$C$39,Hypothèses!$C$38*Hypothèses!$C$40,0)*$G$4</f>
        <v>11000</v>
      </c>
      <c r="S40" s="15" t="n">
        <f aca="false">IF(S7&gt;=Hypothèses!$C$39,Hypothèses!$C$38*Hypothèses!$C$40,0)*$G$4</f>
        <v>11000</v>
      </c>
      <c r="T40" s="15" t="n">
        <f aca="false">IF(T7&gt;=Hypothèses!$C$39,Hypothèses!$C$38*Hypothèses!$C$40,0)*$G$4</f>
        <v>11000</v>
      </c>
      <c r="U40" s="15" t="n">
        <f aca="false">IF(U7&gt;=Hypothèses!$C$39,Hypothèses!$C$38*Hypothèses!$C$40,0)*$G$4</f>
        <v>11000</v>
      </c>
      <c r="V40" s="15" t="n">
        <f aca="false">IF(V7&gt;=Hypothèses!$C$39,Hypothèses!$C$38*Hypothèses!$C$40,0)*$G$4</f>
        <v>11000</v>
      </c>
      <c r="W40" s="15" t="n">
        <f aca="false">IF(W7&gt;=Hypothèses!$C$39,Hypothèses!$C$38*Hypothèses!$C$40,0)*$G$4</f>
        <v>11000</v>
      </c>
      <c r="X40" s="15" t="n">
        <f aca="false">IF(X7&gt;=Hypothèses!$C$39,Hypothèses!$C$38*Hypothèses!$C$40,0)*$G$4</f>
        <v>11000</v>
      </c>
      <c r="Y40" s="15" t="n">
        <f aca="false">IF(Y7&gt;=Hypothèses!$C$39,Hypothèses!$C$38*Hypothèses!$C$40,0)*$G$4</f>
        <v>11000</v>
      </c>
      <c r="Z40" s="15" t="n">
        <f aca="false">IF(Z7&gt;=Hypothèses!$C$39,Hypothèses!$C$38*Hypothèses!$C$40,0)*$G$4</f>
        <v>11000</v>
      </c>
      <c r="AA40" s="15" t="n">
        <f aca="false">IF(AA7&gt;=Hypothèses!$C$39,Hypothèses!$C$38*Hypothèses!$C$40,0)*$G$4</f>
        <v>11000</v>
      </c>
      <c r="AB40" s="15" t="n">
        <f aca="false">IF(AB7&gt;=Hypothèses!$C$39,Hypothèses!$C$38*Hypothèses!$C$40,0)*$G$4</f>
        <v>11000</v>
      </c>
      <c r="AC40" s="15" t="n">
        <f aca="false">IF(AC7&gt;=Hypothèses!$C$39,Hypothèses!$C$38*Hypothèses!$C$40,0)*$G$4</f>
        <v>11000</v>
      </c>
      <c r="AD40" s="15" t="n">
        <f aca="false">IF(AD7&gt;=Hypothèses!$C$39,Hypothèses!$C$38*Hypothèses!$C$40,0)*$G$4</f>
        <v>11000</v>
      </c>
      <c r="AE40" s="15" t="n">
        <f aca="false">IF(AE7&gt;=Hypothèses!$C$39,Hypothèses!$C$38*Hypothèses!$C$40,0)*$G$4</f>
        <v>11000</v>
      </c>
      <c r="AF40" s="15" t="n">
        <f aca="false">IF(AF7&gt;=Hypothèses!$C$39,Hypothèses!$C$38*Hypothèses!$C$40,0)*$G$4</f>
        <v>11000</v>
      </c>
      <c r="AG40" s="15" t="n">
        <f aca="false">IF(AG7&gt;=Hypothèses!$C$39,Hypothèses!$C$38*Hypothèses!$C$40,0)*$G$4</f>
        <v>11000</v>
      </c>
      <c r="AH40" s="15" t="n">
        <f aca="false">IF(AH7&gt;=Hypothèses!$C$39,Hypothèses!$C$38*Hypothèses!$C$40,0)*$G$4</f>
        <v>11000</v>
      </c>
      <c r="AI40" s="15" t="n">
        <f aca="false">IF(AI7&gt;=Hypothèses!$C$39,Hypothèses!$C$38*Hypothèses!$C$40,0)*$G$4</f>
        <v>11000</v>
      </c>
      <c r="AJ40" s="15" t="n">
        <f aca="false">IF(AJ7&gt;=Hypothèses!$C$39,Hypothèses!$C$38*Hypothèses!$C$40,0)*$G$4</f>
        <v>11000</v>
      </c>
      <c r="AK40" s="15" t="n">
        <f aca="false">IF(AK7&gt;=Hypothèses!$C$39,Hypothèses!$C$38*Hypothèses!$C$40,0)*$G$4</f>
        <v>11000</v>
      </c>
      <c r="AL40" s="15" t="n">
        <f aca="false">IF(AL7&gt;=Hypothèses!$C$39,Hypothèses!$C$38*Hypothèses!$C$40,0)*$G$4</f>
        <v>11000</v>
      </c>
      <c r="AN40" s="15" t="n">
        <f aca="false">SUM(C40:N40)</f>
        <v>0</v>
      </c>
      <c r="AO40" s="15" t="n">
        <f aca="false">SUM(O40:Z40)</f>
        <v>132000</v>
      </c>
      <c r="AP40" s="15" t="n">
        <f aca="false">SUM(AA40:AL40)</f>
        <v>132000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IF(C7&gt;=Hypothèses!$C$41,Hypothèses!$C$42,0)*$G$4</f>
        <v>0</v>
      </c>
      <c r="D41" s="15" t="n">
        <f aca="false">IF(D7&gt;=Hypothèses!$C$41,Hypothèses!$C$42,0)*$G$4</f>
        <v>0</v>
      </c>
      <c r="E41" s="15" t="n">
        <f aca="false">IF(E7&gt;=Hypothèses!$C$41,Hypothèses!$C$42,0)*$G$4</f>
        <v>0</v>
      </c>
      <c r="F41" s="15" t="n">
        <f aca="false">IF(F7&gt;=Hypothèses!$C$41,Hypothèses!$C$42,0)*$G$4</f>
        <v>0</v>
      </c>
      <c r="G41" s="15" t="n">
        <f aca="false">IF(G7&gt;=Hypothèses!$C$41,Hypothèses!$C$42,0)*$G$4</f>
        <v>0</v>
      </c>
      <c r="H41" s="15" t="n">
        <f aca="false">IF(H7&gt;=Hypothèses!$C$41,Hypothèses!$C$42,0)*$G$4</f>
        <v>0</v>
      </c>
      <c r="I41" s="15" t="n">
        <f aca="false">IF(I7&gt;=Hypothèses!$C$41,Hypothèses!$C$42,0)*$G$4</f>
        <v>0</v>
      </c>
      <c r="J41" s="15" t="n">
        <f aca="false">IF(J7&gt;=Hypothèses!$C$41,Hypothèses!$C$42,0)*$G$4</f>
        <v>0</v>
      </c>
      <c r="K41" s="15" t="n">
        <f aca="false">IF(K7&gt;=Hypothèses!$C$41,Hypothèses!$C$42,0)*$G$4</f>
        <v>0</v>
      </c>
      <c r="L41" s="15" t="n">
        <f aca="false">IF(L7&gt;=Hypothèses!$C$41,Hypothèses!$C$42,0)*$G$4</f>
        <v>0</v>
      </c>
      <c r="M41" s="15" t="n">
        <f aca="false">IF(M7&gt;=Hypothèses!$C$41,Hypothèses!$C$42,0)*$G$4</f>
        <v>0</v>
      </c>
      <c r="N41" s="15" t="n">
        <f aca="false">IF(N7&gt;=Hypothèses!$C$41,Hypothèses!$C$42,0)*$G$4</f>
        <v>0</v>
      </c>
      <c r="O41" s="15" t="n">
        <f aca="false">IF(O7&gt;=Hypothèses!$C$41,Hypothèses!$C$42,0)*$G$4</f>
        <v>0</v>
      </c>
      <c r="P41" s="15" t="n">
        <f aca="false">IF(P7&gt;=Hypothèses!$C$41,Hypothèses!$C$42,0)*$G$4</f>
        <v>0</v>
      </c>
      <c r="Q41" s="15" t="n">
        <f aca="false">IF(Q7&gt;=Hypothèses!$C$41,Hypothèses!$C$42,0)*$G$4</f>
        <v>0</v>
      </c>
      <c r="R41" s="15" t="n">
        <f aca="false">IF(R7&gt;=Hypothèses!$C$41,Hypothèses!$C$42,0)*$G$4</f>
        <v>4500</v>
      </c>
      <c r="S41" s="15" t="n">
        <f aca="false">IF(S7&gt;=Hypothèses!$C$41,Hypothèses!$C$42,0)*$G$4</f>
        <v>4500</v>
      </c>
      <c r="T41" s="15" t="n">
        <f aca="false">IF(T7&gt;=Hypothèses!$C$41,Hypothèses!$C$42,0)*$G$4</f>
        <v>4500</v>
      </c>
      <c r="U41" s="15" t="n">
        <f aca="false">IF(U7&gt;=Hypothèses!$C$41,Hypothèses!$C$42,0)*$G$4</f>
        <v>4500</v>
      </c>
      <c r="V41" s="15" t="n">
        <f aca="false">IF(V7&gt;=Hypothèses!$C$41,Hypothèses!$C$42,0)*$G$4</f>
        <v>4500</v>
      </c>
      <c r="W41" s="15" t="n">
        <f aca="false">IF(W7&gt;=Hypothèses!$C$41,Hypothèses!$C$42,0)*$G$4</f>
        <v>4500</v>
      </c>
      <c r="X41" s="15" t="n">
        <f aca="false">IF(X7&gt;=Hypothèses!$C$41,Hypothèses!$C$42,0)*$G$4</f>
        <v>4500</v>
      </c>
      <c r="Y41" s="15" t="n">
        <f aca="false">IF(Y7&gt;=Hypothèses!$C$41,Hypothèses!$C$42,0)*$G$4</f>
        <v>4500</v>
      </c>
      <c r="Z41" s="15" t="n">
        <f aca="false">IF(Z7&gt;=Hypothèses!$C$41,Hypothèses!$C$42,0)*$G$4</f>
        <v>4500</v>
      </c>
      <c r="AA41" s="15" t="n">
        <f aca="false">IF(AA7&gt;=Hypothèses!$C$41,Hypothèses!$C$42,0)*$G$4</f>
        <v>4500</v>
      </c>
      <c r="AB41" s="15" t="n">
        <f aca="false">IF(AB7&gt;=Hypothèses!$C$41,Hypothèses!$C$42,0)*$G$4</f>
        <v>4500</v>
      </c>
      <c r="AC41" s="15" t="n">
        <f aca="false">IF(AC7&gt;=Hypothèses!$C$41,Hypothèses!$C$42,0)*$G$4</f>
        <v>4500</v>
      </c>
      <c r="AD41" s="15" t="n">
        <f aca="false">IF(AD7&gt;=Hypothèses!$C$41,Hypothèses!$C$42,0)*$G$4</f>
        <v>4500</v>
      </c>
      <c r="AE41" s="15" t="n">
        <f aca="false">IF(AE7&gt;=Hypothèses!$C$41,Hypothèses!$C$42,0)*$G$4</f>
        <v>4500</v>
      </c>
      <c r="AF41" s="15" t="n">
        <f aca="false">IF(AF7&gt;=Hypothèses!$C$41,Hypothèses!$C$42,0)*$G$4</f>
        <v>4500</v>
      </c>
      <c r="AG41" s="15" t="n">
        <f aca="false">IF(AG7&gt;=Hypothèses!$C$41,Hypothèses!$C$42,0)*$G$4</f>
        <v>4500</v>
      </c>
      <c r="AH41" s="15" t="n">
        <f aca="false">IF(AH7&gt;=Hypothèses!$C$41,Hypothèses!$C$42,0)*$G$4</f>
        <v>4500</v>
      </c>
      <c r="AI41" s="15" t="n">
        <f aca="false">IF(AI7&gt;=Hypothèses!$C$41,Hypothèses!$C$42,0)*$G$4</f>
        <v>4500</v>
      </c>
      <c r="AJ41" s="15" t="n">
        <f aca="false">IF(AJ7&gt;=Hypothèses!$C$41,Hypothèses!$C$42,0)*$G$4</f>
        <v>4500</v>
      </c>
      <c r="AK41" s="15" t="n">
        <f aca="false">IF(AK7&gt;=Hypothèses!$C$41,Hypothèses!$C$42,0)*$G$4</f>
        <v>4500</v>
      </c>
      <c r="AL41" s="15" t="n">
        <f aca="false">IF(AL7&gt;=Hypothèses!$C$41,Hypothèses!$C$42,0)*$G$4</f>
        <v>4500</v>
      </c>
      <c r="AN41" s="15" t="n">
        <f aca="false">SUM(C41:N41)</f>
        <v>0</v>
      </c>
      <c r="AO41" s="15" t="n">
        <f aca="false">SUM(O41:Z41)</f>
        <v>40500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IF(C7&gt;=Hypothèses!$C$43,Hypothèses!$C$44,0)*$G$4</f>
        <v>0</v>
      </c>
      <c r="D42" s="15" t="n">
        <f aca="false">IF(D7&gt;=Hypothèses!$C$43,Hypothèses!$C$44,0)*$G$4</f>
        <v>0</v>
      </c>
      <c r="E42" s="15" t="n">
        <f aca="false">IF(E7&gt;=Hypothèses!$C$43,Hypothèses!$C$44,0)*$G$4</f>
        <v>0</v>
      </c>
      <c r="F42" s="15" t="n">
        <f aca="false">IF(F7&gt;=Hypothèses!$C$43,Hypothèses!$C$44,0)*$G$4</f>
        <v>0</v>
      </c>
      <c r="G42" s="15" t="n">
        <f aca="false">IF(G7&gt;=Hypothèses!$C$43,Hypothèses!$C$44,0)*$G$4</f>
        <v>0</v>
      </c>
      <c r="H42" s="15" t="n">
        <f aca="false">IF(H7&gt;=Hypothèses!$C$43,Hypothèses!$C$44,0)*$G$4</f>
        <v>0</v>
      </c>
      <c r="I42" s="15" t="n">
        <f aca="false">IF(I7&gt;=Hypothèses!$C$43,Hypothèses!$C$44,0)*$G$4</f>
        <v>0</v>
      </c>
      <c r="J42" s="15" t="n">
        <f aca="false">IF(J7&gt;=Hypothèses!$C$43,Hypothèses!$C$44,0)*$G$4</f>
        <v>0</v>
      </c>
      <c r="K42" s="15" t="n">
        <f aca="false">IF(K7&gt;=Hypothèses!$C$43,Hypothèses!$C$44,0)*$G$4</f>
        <v>0</v>
      </c>
      <c r="L42" s="15" t="n">
        <f aca="false">IF(L7&gt;=Hypothèses!$C$43,Hypothèses!$C$44,0)*$G$4</f>
        <v>0</v>
      </c>
      <c r="M42" s="15" t="n">
        <f aca="false">IF(M7&gt;=Hypothèses!$C$43,Hypothèses!$C$44,0)*$G$4</f>
        <v>0</v>
      </c>
      <c r="N42" s="15" t="n">
        <f aca="false">IF(N7&gt;=Hypothèses!$C$43,Hypothèses!$C$44,0)*$G$4</f>
        <v>0</v>
      </c>
      <c r="O42" s="15" t="n">
        <f aca="false">IF(O7&gt;=Hypothèses!$C$43,Hypothèses!$C$44,0)*$G$4</f>
        <v>0</v>
      </c>
      <c r="P42" s="15" t="n">
        <f aca="false">IF(P7&gt;=Hypothèses!$C$43,Hypothèses!$C$44,0)*$G$4</f>
        <v>0</v>
      </c>
      <c r="Q42" s="15" t="n">
        <f aca="false">IF(Q7&gt;=Hypothèses!$C$43,Hypothèses!$C$44,0)*$G$4</f>
        <v>0</v>
      </c>
      <c r="R42" s="15" t="n">
        <f aca="false">IF(R7&gt;=Hypothèses!$C$43,Hypothèses!$C$44,0)*$G$4</f>
        <v>0</v>
      </c>
      <c r="S42" s="15" t="n">
        <f aca="false">IF(S7&gt;=Hypothèses!$C$43,Hypothèses!$C$44,0)*$G$4</f>
        <v>0</v>
      </c>
      <c r="T42" s="15" t="n">
        <f aca="false">IF(T7&gt;=Hypothèses!$C$43,Hypothèses!$C$44,0)*$G$4</f>
        <v>0</v>
      </c>
      <c r="U42" s="15" t="n">
        <f aca="false">IF(U7&gt;=Hypothèses!$C$43,Hypothèses!$C$44,0)*$G$4</f>
        <v>0</v>
      </c>
      <c r="V42" s="15" t="n">
        <f aca="false">IF(V7&gt;=Hypothèses!$C$43,Hypothèses!$C$44,0)*$G$4</f>
        <v>0</v>
      </c>
      <c r="W42" s="15" t="n">
        <f aca="false">IF(W7&gt;=Hypothèses!$C$43,Hypothèses!$C$44,0)*$G$4</f>
        <v>0</v>
      </c>
      <c r="X42" s="15" t="n">
        <f aca="false">IF(X7&gt;=Hypothèses!$C$43,Hypothèses!$C$44,0)*$G$4</f>
        <v>0</v>
      </c>
      <c r="Y42" s="15" t="n">
        <f aca="false">IF(Y7&gt;=Hypothèses!$C$43,Hypothèses!$C$44,0)*$G$4</f>
        <v>0</v>
      </c>
      <c r="Z42" s="15" t="n">
        <f aca="false">IF(Z7&gt;=Hypothèses!$C$43,Hypothèses!$C$44,0)*$G$4</f>
        <v>6500</v>
      </c>
      <c r="AA42" s="15" t="n">
        <f aca="false">IF(AA7&gt;=Hypothèses!$C$43,Hypothèses!$C$44,0)*$G$4</f>
        <v>6500</v>
      </c>
      <c r="AB42" s="15" t="n">
        <f aca="false">IF(AB7&gt;=Hypothèses!$C$43,Hypothèses!$C$44,0)*$G$4</f>
        <v>6500</v>
      </c>
      <c r="AC42" s="15" t="n">
        <f aca="false">IF(AC7&gt;=Hypothèses!$C$43,Hypothèses!$C$44,0)*$G$4</f>
        <v>6500</v>
      </c>
      <c r="AD42" s="15" t="n">
        <f aca="false">IF(AD7&gt;=Hypothèses!$C$43,Hypothèses!$C$44,0)*$G$4</f>
        <v>6500</v>
      </c>
      <c r="AE42" s="15" t="n">
        <f aca="false">IF(AE7&gt;=Hypothèses!$C$43,Hypothèses!$C$44,0)*$G$4</f>
        <v>6500</v>
      </c>
      <c r="AF42" s="15" t="n">
        <f aca="false">IF(AF7&gt;=Hypothèses!$C$43,Hypothèses!$C$44,0)*$G$4</f>
        <v>6500</v>
      </c>
      <c r="AG42" s="15" t="n">
        <f aca="false">IF(AG7&gt;=Hypothèses!$C$43,Hypothèses!$C$44,0)*$G$4</f>
        <v>6500</v>
      </c>
      <c r="AH42" s="15" t="n">
        <f aca="false">IF(AH7&gt;=Hypothèses!$C$43,Hypothèses!$C$44,0)*$G$4</f>
        <v>6500</v>
      </c>
      <c r="AI42" s="15" t="n">
        <f aca="false">IF(AI7&gt;=Hypothèses!$C$43,Hypothèses!$C$44,0)*$G$4</f>
        <v>6500</v>
      </c>
      <c r="AJ42" s="15" t="n">
        <f aca="false">IF(AJ7&gt;=Hypothèses!$C$43,Hypothèses!$C$44,0)*$G$4</f>
        <v>6500</v>
      </c>
      <c r="AK42" s="15" t="n">
        <f aca="false">IF(AK7&gt;=Hypothèses!$C$43,Hypothèses!$C$44,0)*$G$4</f>
        <v>6500</v>
      </c>
      <c r="AL42" s="15" t="n">
        <f aca="false">IF(AL7&gt;=Hypothèses!$C$43,Hypothèses!$C$44,0)*$G$4</f>
        <v>6500</v>
      </c>
      <c r="AN42" s="15" t="n">
        <f aca="false">SUM(C42:N42)</f>
        <v>0</v>
      </c>
      <c r="AO42" s="15" t="n">
        <f aca="false">SUM(O42:Z42)</f>
        <v>6500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IF(C7&lt;$B$5,Hypothèses!$C$45/MAX(1,$B$5-1),0)</f>
        <v>11111.1111111111</v>
      </c>
      <c r="D43" s="15" t="n">
        <f aca="false">IF(D7&lt;$B$5,Hypothèses!$C$45/MAX(1,$B$5-1),0)</f>
        <v>11111.1111111111</v>
      </c>
      <c r="E43" s="15" t="n">
        <f aca="false">IF(E7&lt;$B$5,Hypothèses!$C$45/MAX(1,$B$5-1),0)</f>
        <v>11111.1111111111</v>
      </c>
      <c r="F43" s="15" t="n">
        <f aca="false">IF(F7&lt;$B$5,Hypothèses!$C$45/MAX(1,$B$5-1),0)</f>
        <v>11111.1111111111</v>
      </c>
      <c r="G43" s="15" t="n">
        <f aca="false">IF(G7&lt;$B$5,Hypothèses!$C$45/MAX(1,$B$5-1),0)</f>
        <v>11111.1111111111</v>
      </c>
      <c r="H43" s="15" t="n">
        <f aca="false">IF(H7&lt;$B$5,Hypothèses!$C$45/MAX(1,$B$5-1),0)</f>
        <v>11111.1111111111</v>
      </c>
      <c r="I43" s="15" t="n">
        <f aca="false">IF(I7&lt;$B$5,Hypothèses!$C$45/MAX(1,$B$5-1),0)</f>
        <v>11111.1111111111</v>
      </c>
      <c r="J43" s="15" t="n">
        <f aca="false">IF(J7&lt;$B$5,Hypothèses!$C$45/MAX(1,$B$5-1),0)</f>
        <v>11111.1111111111</v>
      </c>
      <c r="K43" s="15" t="n">
        <f aca="false">IF(K7&lt;$B$5,Hypothèses!$C$45/MAX(1,$B$5-1),0)</f>
        <v>11111.1111111111</v>
      </c>
      <c r="L43" s="15" t="n">
        <f aca="false">IF(L7&lt;$B$5,Hypothèses!$C$45/MAX(1,$B$5-1),0)</f>
        <v>0</v>
      </c>
      <c r="M43" s="15" t="n">
        <f aca="false">IF(M7&lt;$B$5,Hypothèses!$C$45/MAX(1,$B$5-1),0)</f>
        <v>0</v>
      </c>
      <c r="N43" s="15" t="n">
        <f aca="false">IF(N7&lt;$B$5,Hypothèses!$C$45/MAX(1,$B$5-1),0)</f>
        <v>0</v>
      </c>
      <c r="O43" s="15" t="n">
        <f aca="false">IF(O7&lt;$B$5,Hypothèses!$C$45/MAX(1,$B$5-1),0)</f>
        <v>0</v>
      </c>
      <c r="P43" s="15" t="n">
        <f aca="false">IF(P7&lt;$B$5,Hypothèses!$C$45/MAX(1,$B$5-1),0)</f>
        <v>0</v>
      </c>
      <c r="Q43" s="15" t="n">
        <f aca="false">IF(Q7&lt;$B$5,Hypothèses!$C$45/MAX(1,$B$5-1),0)</f>
        <v>0</v>
      </c>
      <c r="R43" s="15" t="n">
        <f aca="false">IF(R7&lt;$B$5,Hypothèses!$C$45/MAX(1,$B$5-1),0)</f>
        <v>0</v>
      </c>
      <c r="S43" s="15" t="n">
        <f aca="false">IF(S7&lt;$B$5,Hypothèses!$C$45/MAX(1,$B$5-1),0)</f>
        <v>0</v>
      </c>
      <c r="T43" s="15" t="n">
        <f aca="false">IF(T7&lt;$B$5,Hypothèses!$C$45/MAX(1,$B$5-1),0)</f>
        <v>0</v>
      </c>
      <c r="U43" s="15" t="n">
        <f aca="false">IF(U7&lt;$B$5,Hypothèses!$C$45/MAX(1,$B$5-1),0)</f>
        <v>0</v>
      </c>
      <c r="V43" s="15" t="n">
        <f aca="false">IF(V7&lt;$B$5,Hypothèses!$C$45/MAX(1,$B$5-1),0)</f>
        <v>0</v>
      </c>
      <c r="W43" s="15" t="n">
        <f aca="false">IF(W7&lt;$B$5,Hypothèses!$C$45/MAX(1,$B$5-1),0)</f>
        <v>0</v>
      </c>
      <c r="X43" s="15" t="n">
        <f aca="false">IF(X7&lt;$B$5,Hypothèses!$C$45/MAX(1,$B$5-1),0)</f>
        <v>0</v>
      </c>
      <c r="Y43" s="15" t="n">
        <f aca="false">IF(Y7&lt;$B$5,Hypothèses!$C$45/MAX(1,$B$5-1),0)</f>
        <v>0</v>
      </c>
      <c r="Z43" s="15" t="n">
        <f aca="false">IF(Z7&lt;$B$5,Hypothèses!$C$45/MAX(1,$B$5-1),0)</f>
        <v>0</v>
      </c>
      <c r="AA43" s="15" t="n">
        <f aca="false">IF(AA7&lt;$B$5,Hypothèses!$C$45/MAX(1,$B$5-1),0)</f>
        <v>0</v>
      </c>
      <c r="AB43" s="15" t="n">
        <f aca="false">IF(AB7&lt;$B$5,Hypothèses!$C$45/MAX(1,$B$5-1),0)</f>
        <v>0</v>
      </c>
      <c r="AC43" s="15" t="n">
        <f aca="false">IF(AC7&lt;$B$5,Hypothèses!$C$45/MAX(1,$B$5-1),0)</f>
        <v>0</v>
      </c>
      <c r="AD43" s="15" t="n">
        <f aca="false">IF(AD7&lt;$B$5,Hypothèses!$C$45/MAX(1,$B$5-1),0)</f>
        <v>0</v>
      </c>
      <c r="AE43" s="15" t="n">
        <f aca="false">IF(AE7&lt;$B$5,Hypothèses!$C$45/MAX(1,$B$5-1),0)</f>
        <v>0</v>
      </c>
      <c r="AF43" s="15" t="n">
        <f aca="false">IF(AF7&lt;$B$5,Hypothèses!$C$45/MAX(1,$B$5-1),0)</f>
        <v>0</v>
      </c>
      <c r="AG43" s="15" t="n">
        <f aca="false">IF(AG7&lt;$B$5,Hypothèses!$C$45/MAX(1,$B$5-1),0)</f>
        <v>0</v>
      </c>
      <c r="AH43" s="15" t="n">
        <f aca="false">IF(AH7&lt;$B$5,Hypothèses!$C$45/MAX(1,$B$5-1),0)</f>
        <v>0</v>
      </c>
      <c r="AI43" s="15" t="n">
        <f aca="false">IF(AI7&lt;$B$5,Hypothèses!$C$45/MAX(1,$B$5-1),0)</f>
        <v>0</v>
      </c>
      <c r="AJ43" s="15" t="n">
        <f aca="false">IF(AJ7&lt;$B$5,Hypothèses!$C$45/MAX(1,$B$5-1),0)</f>
        <v>0</v>
      </c>
      <c r="AK43" s="15" t="n">
        <f aca="false">IF(AK7&lt;$B$5,Hypothèses!$C$45/MAX(1,$B$5-1),0)</f>
        <v>0</v>
      </c>
      <c r="AL43" s="15" t="n">
        <f aca="false">IF(AL7&lt;$B$5,Hypothèses!$C$45/MAX(1,$B$5-1),0)</f>
        <v>0</v>
      </c>
      <c r="AN43" s="15" t="n">
        <f aca="false">SUM(C43:N43)</f>
        <v>100000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Hypothèses!$C$46*$G$4</f>
        <v>400</v>
      </c>
      <c r="D44" s="15" t="n">
        <f aca="false">Hypothèses!$C$46*$G$4</f>
        <v>400</v>
      </c>
      <c r="E44" s="15" t="n">
        <f aca="false">Hypothèses!$C$46*$G$4</f>
        <v>400</v>
      </c>
      <c r="F44" s="15" t="n">
        <f aca="false">Hypothèses!$C$46*$G$4</f>
        <v>400</v>
      </c>
      <c r="G44" s="15" t="n">
        <f aca="false">Hypothèses!$C$46*$G$4</f>
        <v>400</v>
      </c>
      <c r="H44" s="15" t="n">
        <f aca="false">Hypothèses!$C$46*$G$4</f>
        <v>400</v>
      </c>
      <c r="I44" s="15" t="n">
        <f aca="false">Hypothèses!$C$46*$G$4</f>
        <v>400</v>
      </c>
      <c r="J44" s="15" t="n">
        <f aca="false">Hypothèses!$C$46*$G$4</f>
        <v>400</v>
      </c>
      <c r="K44" s="15" t="n">
        <f aca="false">Hypothèses!$C$46*$G$4</f>
        <v>400</v>
      </c>
      <c r="L44" s="15" t="n">
        <f aca="false">Hypothèses!$C$46*$G$4</f>
        <v>400</v>
      </c>
      <c r="M44" s="15" t="n">
        <f aca="false">Hypothèses!$C$46*$G$4</f>
        <v>400</v>
      </c>
      <c r="N44" s="15" t="n">
        <f aca="false">Hypothèses!$C$46*$G$4</f>
        <v>400</v>
      </c>
      <c r="O44" s="15" t="n">
        <f aca="false">Hypothèses!$C$46*$G$4</f>
        <v>400</v>
      </c>
      <c r="P44" s="15" t="n">
        <f aca="false">Hypothèses!$C$46*$G$4</f>
        <v>400</v>
      </c>
      <c r="Q44" s="15" t="n">
        <f aca="false">Hypothèses!$C$46*$G$4</f>
        <v>400</v>
      </c>
      <c r="R44" s="15" t="n">
        <f aca="false">Hypothèses!$C$46*$G$4</f>
        <v>400</v>
      </c>
      <c r="S44" s="15" t="n">
        <f aca="false">Hypothèses!$C$46*$G$4</f>
        <v>400</v>
      </c>
      <c r="T44" s="15" t="n">
        <f aca="false">Hypothèses!$C$46*$G$4</f>
        <v>400</v>
      </c>
      <c r="U44" s="15" t="n">
        <f aca="false">Hypothèses!$C$46*$G$4</f>
        <v>400</v>
      </c>
      <c r="V44" s="15" t="n">
        <f aca="false">Hypothèses!$C$46*$G$4</f>
        <v>400</v>
      </c>
      <c r="W44" s="15" t="n">
        <f aca="false">Hypothèses!$C$46*$G$4</f>
        <v>400</v>
      </c>
      <c r="X44" s="15" t="n">
        <f aca="false">Hypothèses!$C$46*$G$4</f>
        <v>400</v>
      </c>
      <c r="Y44" s="15" t="n">
        <f aca="false">Hypothèses!$C$46*$G$4</f>
        <v>400</v>
      </c>
      <c r="Z44" s="15" t="n">
        <f aca="false">Hypothèses!$C$46*$G$4</f>
        <v>400</v>
      </c>
      <c r="AA44" s="15" t="n">
        <f aca="false">Hypothèses!$C$46*$G$4</f>
        <v>400</v>
      </c>
      <c r="AB44" s="15" t="n">
        <f aca="false">Hypothèses!$C$46*$G$4</f>
        <v>400</v>
      </c>
      <c r="AC44" s="15" t="n">
        <f aca="false">Hypothèses!$C$46*$G$4</f>
        <v>400</v>
      </c>
      <c r="AD44" s="15" t="n">
        <f aca="false">Hypothèses!$C$46*$G$4</f>
        <v>400</v>
      </c>
      <c r="AE44" s="15" t="n">
        <f aca="false">Hypothèses!$C$46*$G$4</f>
        <v>400</v>
      </c>
      <c r="AF44" s="15" t="n">
        <f aca="false">Hypothèses!$C$46*$G$4</f>
        <v>400</v>
      </c>
      <c r="AG44" s="15" t="n">
        <f aca="false">Hypothèses!$C$46*$G$4</f>
        <v>400</v>
      </c>
      <c r="AH44" s="15" t="n">
        <f aca="false">Hypothèses!$C$46*$G$4</f>
        <v>400</v>
      </c>
      <c r="AI44" s="15" t="n">
        <f aca="false">Hypothèses!$C$46*$G$4</f>
        <v>400</v>
      </c>
      <c r="AJ44" s="15" t="n">
        <f aca="false">Hypothèses!$C$46*$G$4</f>
        <v>400</v>
      </c>
      <c r="AK44" s="15" t="n">
        <f aca="false">Hypothèses!$C$46*$G$4</f>
        <v>400</v>
      </c>
      <c r="AL44" s="15" t="n">
        <f aca="false">Hypothèses!$C$46*$G$4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Hypothèses!$C$47*$G$4</f>
        <v>1000</v>
      </c>
      <c r="D45" s="15" t="n">
        <f aca="false">Hypothèses!$C$47*$G$4</f>
        <v>1000</v>
      </c>
      <c r="E45" s="15" t="n">
        <f aca="false">Hypothèses!$C$47*$G$4</f>
        <v>1000</v>
      </c>
      <c r="F45" s="15" t="n">
        <f aca="false">Hypothèses!$C$47*$G$4</f>
        <v>1000</v>
      </c>
      <c r="G45" s="15" t="n">
        <f aca="false">Hypothèses!$C$47*$G$4</f>
        <v>1000</v>
      </c>
      <c r="H45" s="15" t="n">
        <f aca="false">Hypothèses!$C$47*$G$4</f>
        <v>1000</v>
      </c>
      <c r="I45" s="15" t="n">
        <f aca="false">Hypothèses!$C$47*$G$4</f>
        <v>1000</v>
      </c>
      <c r="J45" s="15" t="n">
        <f aca="false">Hypothèses!$C$47*$G$4</f>
        <v>1000</v>
      </c>
      <c r="K45" s="15" t="n">
        <f aca="false">Hypothèses!$C$47*$G$4</f>
        <v>1000</v>
      </c>
      <c r="L45" s="15" t="n">
        <f aca="false">Hypothèses!$C$47*$G$4</f>
        <v>1000</v>
      </c>
      <c r="M45" s="15" t="n">
        <f aca="false">Hypothèses!$C$47*$G$4</f>
        <v>1000</v>
      </c>
      <c r="N45" s="15" t="n">
        <f aca="false">Hypothèses!$C$47*$G$4</f>
        <v>1000</v>
      </c>
      <c r="O45" s="15" t="n">
        <f aca="false">Hypothèses!$C$47*$G$4</f>
        <v>1000</v>
      </c>
      <c r="P45" s="15" t="n">
        <f aca="false">Hypothèses!$C$47*$G$4</f>
        <v>1000</v>
      </c>
      <c r="Q45" s="15" t="n">
        <f aca="false">Hypothèses!$C$47*$G$4</f>
        <v>1000</v>
      </c>
      <c r="R45" s="15" t="n">
        <f aca="false">Hypothèses!$C$47*$G$4</f>
        <v>1000</v>
      </c>
      <c r="S45" s="15" t="n">
        <f aca="false">Hypothèses!$C$47*$G$4</f>
        <v>1000</v>
      </c>
      <c r="T45" s="15" t="n">
        <f aca="false">Hypothèses!$C$47*$G$4</f>
        <v>1000</v>
      </c>
      <c r="U45" s="15" t="n">
        <f aca="false">Hypothèses!$C$47*$G$4</f>
        <v>1000</v>
      </c>
      <c r="V45" s="15" t="n">
        <f aca="false">Hypothèses!$C$47*$G$4</f>
        <v>1000</v>
      </c>
      <c r="W45" s="15" t="n">
        <f aca="false">Hypothèses!$C$47*$G$4</f>
        <v>1000</v>
      </c>
      <c r="X45" s="15" t="n">
        <f aca="false">Hypothèses!$C$47*$G$4</f>
        <v>1000</v>
      </c>
      <c r="Y45" s="15" t="n">
        <f aca="false">Hypothèses!$C$47*$G$4</f>
        <v>1000</v>
      </c>
      <c r="Z45" s="15" t="n">
        <f aca="false">Hypothèses!$C$47*$G$4</f>
        <v>1000</v>
      </c>
      <c r="AA45" s="15" t="n">
        <f aca="false">Hypothèses!$C$47*$G$4</f>
        <v>1000</v>
      </c>
      <c r="AB45" s="15" t="n">
        <f aca="false">Hypothèses!$C$47*$G$4</f>
        <v>1000</v>
      </c>
      <c r="AC45" s="15" t="n">
        <f aca="false">Hypothèses!$C$47*$G$4</f>
        <v>1000</v>
      </c>
      <c r="AD45" s="15" t="n">
        <f aca="false">Hypothèses!$C$47*$G$4</f>
        <v>1000</v>
      </c>
      <c r="AE45" s="15" t="n">
        <f aca="false">Hypothèses!$C$47*$G$4</f>
        <v>1000</v>
      </c>
      <c r="AF45" s="15" t="n">
        <f aca="false">Hypothèses!$C$47*$G$4</f>
        <v>1000</v>
      </c>
      <c r="AG45" s="15" t="n">
        <f aca="false">Hypothèses!$C$47*$G$4</f>
        <v>1000</v>
      </c>
      <c r="AH45" s="15" t="n">
        <f aca="false">Hypothèses!$C$47*$G$4</f>
        <v>1000</v>
      </c>
      <c r="AI45" s="15" t="n">
        <f aca="false">Hypothèses!$C$47*$G$4</f>
        <v>1000</v>
      </c>
      <c r="AJ45" s="15" t="n">
        <f aca="false">Hypothèses!$C$47*$G$4</f>
        <v>1000</v>
      </c>
      <c r="AK45" s="15" t="n">
        <f aca="false">Hypothèses!$C$47*$G$4</f>
        <v>1000</v>
      </c>
      <c r="AL45" s="15" t="n">
        <f aca="false">Hypothèses!$C$47*$G$4</f>
        <v>1000</v>
      </c>
      <c r="AN45" s="15" t="n">
        <f aca="false">SUM(C45:N45)</f>
        <v>12000</v>
      </c>
      <c r="AO45" s="15" t="n">
        <f aca="false">SUM(O45:Z45)</f>
        <v>12000</v>
      </c>
      <c r="AP45" s="15" t="n">
        <f aca="false">SUM(AA45:AL45)</f>
        <v>12000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C9*Hypothèses!$C$48*$G$4</f>
        <v>0</v>
      </c>
      <c r="D46" s="15" t="n">
        <f aca="false">D9*Hypothèses!$C$48*$G$4</f>
        <v>0</v>
      </c>
      <c r="E46" s="15" t="n">
        <f aca="false">E9*Hypothèses!$C$48*$G$4</f>
        <v>0</v>
      </c>
      <c r="F46" s="15" t="n">
        <f aca="false">F9*Hypothèses!$C$48*$G$4</f>
        <v>0</v>
      </c>
      <c r="G46" s="15" t="n">
        <f aca="false">G9*Hypothèses!$C$48*$G$4</f>
        <v>0</v>
      </c>
      <c r="H46" s="15" t="n">
        <f aca="false">H9*Hypothèses!$C$48*$G$4</f>
        <v>0</v>
      </c>
      <c r="I46" s="15" t="n">
        <f aca="false">I9*Hypothèses!$C$48*$G$4</f>
        <v>0</v>
      </c>
      <c r="J46" s="15" t="n">
        <f aca="false">J9*Hypothèses!$C$48*$G$4</f>
        <v>0</v>
      </c>
      <c r="K46" s="15" t="n">
        <f aca="false">K9*Hypothèses!$C$48*$G$4</f>
        <v>0</v>
      </c>
      <c r="L46" s="15" t="n">
        <f aca="false">L9*Hypothèses!$C$48*$G$4</f>
        <v>150</v>
      </c>
      <c r="M46" s="15" t="n">
        <f aca="false">M9*Hypothèses!$C$48*$G$4</f>
        <v>150</v>
      </c>
      <c r="N46" s="15" t="n">
        <f aca="false">N9*Hypothèses!$C$48*$G$4</f>
        <v>150</v>
      </c>
      <c r="O46" s="15" t="n">
        <f aca="false">O9*Hypothèses!$C$48*$G$4</f>
        <v>150</v>
      </c>
      <c r="P46" s="15" t="n">
        <f aca="false">P9*Hypothèses!$C$48*$G$4</f>
        <v>150</v>
      </c>
      <c r="Q46" s="15" t="n">
        <f aca="false">Q9*Hypothèses!$C$48*$G$4</f>
        <v>150</v>
      </c>
      <c r="R46" s="15" t="n">
        <f aca="false">R9*Hypothèses!$C$48*$G$4</f>
        <v>150</v>
      </c>
      <c r="S46" s="15" t="n">
        <f aca="false">S9*Hypothèses!$C$48*$G$4</f>
        <v>150</v>
      </c>
      <c r="T46" s="15" t="n">
        <f aca="false">T9*Hypothèses!$C$48*$G$4</f>
        <v>150</v>
      </c>
      <c r="U46" s="15" t="n">
        <f aca="false">U9*Hypothèses!$C$48*$G$4</f>
        <v>150</v>
      </c>
      <c r="V46" s="15" t="n">
        <f aca="false">V9*Hypothèses!$C$48*$G$4</f>
        <v>150</v>
      </c>
      <c r="W46" s="15" t="n">
        <f aca="false">W9*Hypothèses!$C$48*$G$4</f>
        <v>150</v>
      </c>
      <c r="X46" s="15" t="n">
        <f aca="false">X9*Hypothèses!$C$48*$G$4</f>
        <v>150</v>
      </c>
      <c r="Y46" s="15" t="n">
        <f aca="false">Y9*Hypothèses!$C$48*$G$4</f>
        <v>150</v>
      </c>
      <c r="Z46" s="15" t="n">
        <f aca="false">Z9*Hypothèses!$C$48*$G$4</f>
        <v>150</v>
      </c>
      <c r="AA46" s="15" t="n">
        <f aca="false">AA9*Hypothèses!$C$48*$G$4</f>
        <v>150</v>
      </c>
      <c r="AB46" s="15" t="n">
        <f aca="false">AB9*Hypothèses!$C$48*$G$4</f>
        <v>150</v>
      </c>
      <c r="AC46" s="15" t="n">
        <f aca="false">AC9*Hypothèses!$C$48*$G$4</f>
        <v>150</v>
      </c>
      <c r="AD46" s="15" t="n">
        <f aca="false">AD9*Hypothèses!$C$48*$G$4</f>
        <v>150</v>
      </c>
      <c r="AE46" s="15" t="n">
        <f aca="false">AE9*Hypothèses!$C$48*$G$4</f>
        <v>150</v>
      </c>
      <c r="AF46" s="15" t="n">
        <f aca="false">AF9*Hypothèses!$C$48*$G$4</f>
        <v>150</v>
      </c>
      <c r="AG46" s="15" t="n">
        <f aca="false">AG9*Hypothèses!$C$48*$G$4</f>
        <v>150</v>
      </c>
      <c r="AH46" s="15" t="n">
        <f aca="false">AH9*Hypothèses!$C$48*$G$4</f>
        <v>150</v>
      </c>
      <c r="AI46" s="15" t="n">
        <f aca="false">AI9*Hypothèses!$C$48*$G$4</f>
        <v>150</v>
      </c>
      <c r="AJ46" s="15" t="n">
        <f aca="false">AJ9*Hypothèses!$C$48*$G$4</f>
        <v>150</v>
      </c>
      <c r="AK46" s="15" t="n">
        <f aca="false">AK9*Hypothèses!$C$48*$G$4</f>
        <v>150</v>
      </c>
      <c r="AL46" s="15" t="n">
        <f aca="false">AL9*Hypothèses!$C$48*$G$4</f>
        <v>150</v>
      </c>
      <c r="AN46" s="15" t="n">
        <f aca="false">SUM(C46:N46)</f>
        <v>450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C9*Hypothèses!$C$49*$G$4</f>
        <v>0</v>
      </c>
      <c r="D47" s="15" t="n">
        <f aca="false">D9*Hypothèses!$C$49*$G$4</f>
        <v>0</v>
      </c>
      <c r="E47" s="15" t="n">
        <f aca="false">E9*Hypothèses!$C$49*$G$4</f>
        <v>0</v>
      </c>
      <c r="F47" s="15" t="n">
        <f aca="false">F9*Hypothèses!$C$49*$G$4</f>
        <v>0</v>
      </c>
      <c r="G47" s="15" t="n">
        <f aca="false">G9*Hypothèses!$C$49*$G$4</f>
        <v>0</v>
      </c>
      <c r="H47" s="15" t="n">
        <f aca="false">H9*Hypothèses!$C$49*$G$4</f>
        <v>0</v>
      </c>
      <c r="I47" s="15" t="n">
        <f aca="false">I9*Hypothèses!$C$49*$G$4</f>
        <v>0</v>
      </c>
      <c r="J47" s="15" t="n">
        <f aca="false">J9*Hypothèses!$C$49*$G$4</f>
        <v>0</v>
      </c>
      <c r="K47" s="15" t="n">
        <f aca="false">K9*Hypothèses!$C$49*$G$4</f>
        <v>0</v>
      </c>
      <c r="L47" s="15" t="n">
        <f aca="false">L9*Hypothèses!$C$49*$G$4</f>
        <v>500</v>
      </c>
      <c r="M47" s="15" t="n">
        <f aca="false">M9*Hypothèses!$C$49*$G$4</f>
        <v>500</v>
      </c>
      <c r="N47" s="15" t="n">
        <f aca="false">N9*Hypothèses!$C$49*$G$4</f>
        <v>500</v>
      </c>
      <c r="O47" s="15" t="n">
        <f aca="false">O9*Hypothèses!$C$49*$G$4</f>
        <v>500</v>
      </c>
      <c r="P47" s="15" t="n">
        <f aca="false">P9*Hypothèses!$C$49*$G$4</f>
        <v>500</v>
      </c>
      <c r="Q47" s="15" t="n">
        <f aca="false">Q9*Hypothèses!$C$49*$G$4</f>
        <v>500</v>
      </c>
      <c r="R47" s="15" t="n">
        <f aca="false">R9*Hypothèses!$C$49*$G$4</f>
        <v>500</v>
      </c>
      <c r="S47" s="15" t="n">
        <f aca="false">S9*Hypothèses!$C$49*$G$4</f>
        <v>500</v>
      </c>
      <c r="T47" s="15" t="n">
        <f aca="false">T9*Hypothèses!$C$49*$G$4</f>
        <v>500</v>
      </c>
      <c r="U47" s="15" t="n">
        <f aca="false">U9*Hypothèses!$C$49*$G$4</f>
        <v>500</v>
      </c>
      <c r="V47" s="15" t="n">
        <f aca="false">V9*Hypothèses!$C$49*$G$4</f>
        <v>500</v>
      </c>
      <c r="W47" s="15" t="n">
        <f aca="false">W9*Hypothèses!$C$49*$G$4</f>
        <v>500</v>
      </c>
      <c r="X47" s="15" t="n">
        <f aca="false">X9*Hypothèses!$C$49*$G$4</f>
        <v>500</v>
      </c>
      <c r="Y47" s="15" t="n">
        <f aca="false">Y9*Hypothèses!$C$49*$G$4</f>
        <v>500</v>
      </c>
      <c r="Z47" s="15" t="n">
        <f aca="false">Z9*Hypothèses!$C$49*$G$4</f>
        <v>500</v>
      </c>
      <c r="AA47" s="15" t="n">
        <f aca="false">AA9*Hypothèses!$C$49*$G$4</f>
        <v>500</v>
      </c>
      <c r="AB47" s="15" t="n">
        <f aca="false">AB9*Hypothèses!$C$49*$G$4</f>
        <v>500</v>
      </c>
      <c r="AC47" s="15" t="n">
        <f aca="false">AC9*Hypothèses!$C$49*$G$4</f>
        <v>500</v>
      </c>
      <c r="AD47" s="15" t="n">
        <f aca="false">AD9*Hypothèses!$C$49*$G$4</f>
        <v>500</v>
      </c>
      <c r="AE47" s="15" t="n">
        <f aca="false">AE9*Hypothèses!$C$49*$G$4</f>
        <v>500</v>
      </c>
      <c r="AF47" s="15" t="n">
        <f aca="false">AF9*Hypothèses!$C$49*$G$4</f>
        <v>500</v>
      </c>
      <c r="AG47" s="15" t="n">
        <f aca="false">AG9*Hypothèses!$C$49*$G$4</f>
        <v>500</v>
      </c>
      <c r="AH47" s="15" t="n">
        <f aca="false">AH9*Hypothèses!$C$49*$G$4</f>
        <v>500</v>
      </c>
      <c r="AI47" s="15" t="n">
        <f aca="false">AI9*Hypothèses!$C$49*$G$4</f>
        <v>500</v>
      </c>
      <c r="AJ47" s="15" t="n">
        <f aca="false">AJ9*Hypothèses!$C$49*$G$4</f>
        <v>500</v>
      </c>
      <c r="AK47" s="15" t="n">
        <f aca="false">AK9*Hypothèses!$C$49*$G$4</f>
        <v>500</v>
      </c>
      <c r="AL47" s="15" t="n">
        <f aca="false">AL9*Hypothèses!$C$49*$G$4</f>
        <v>500</v>
      </c>
      <c r="AN47" s="15" t="n">
        <f aca="false">SUM(C47:N47)</f>
        <v>1500</v>
      </c>
      <c r="AO47" s="15" t="n">
        <f aca="false">SUM(O47:Z47)</f>
        <v>6000</v>
      </c>
      <c r="AP47" s="15" t="n">
        <f aca="false">SUM(AA47:AL47)</f>
        <v>6000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Hypothèses!$C$50*$G$4</f>
        <v>300</v>
      </c>
      <c r="D48" s="15" t="n">
        <f aca="false">Hypothèses!$C$50*$G$4</f>
        <v>300</v>
      </c>
      <c r="E48" s="15" t="n">
        <f aca="false">Hypothèses!$C$50*$G$4</f>
        <v>300</v>
      </c>
      <c r="F48" s="15" t="n">
        <f aca="false">Hypothèses!$C$50*$G$4</f>
        <v>300</v>
      </c>
      <c r="G48" s="15" t="n">
        <f aca="false">Hypothèses!$C$50*$G$4</f>
        <v>300</v>
      </c>
      <c r="H48" s="15" t="n">
        <f aca="false">Hypothèses!$C$50*$G$4</f>
        <v>300</v>
      </c>
      <c r="I48" s="15" t="n">
        <f aca="false">Hypothèses!$C$50*$G$4</f>
        <v>300</v>
      </c>
      <c r="J48" s="15" t="n">
        <f aca="false">Hypothèses!$C$50*$G$4</f>
        <v>300</v>
      </c>
      <c r="K48" s="15" t="n">
        <f aca="false">Hypothèses!$C$50*$G$4</f>
        <v>300</v>
      </c>
      <c r="L48" s="15" t="n">
        <f aca="false">Hypothèses!$C$50*$G$4</f>
        <v>300</v>
      </c>
      <c r="M48" s="15" t="n">
        <f aca="false">Hypothèses!$C$50*$G$4</f>
        <v>300</v>
      </c>
      <c r="N48" s="15" t="n">
        <f aca="false">Hypothèses!$C$50*$G$4</f>
        <v>300</v>
      </c>
      <c r="O48" s="15" t="n">
        <f aca="false">Hypothèses!$C$50*$G$4</f>
        <v>300</v>
      </c>
      <c r="P48" s="15" t="n">
        <f aca="false">Hypothèses!$C$50*$G$4</f>
        <v>300</v>
      </c>
      <c r="Q48" s="15" t="n">
        <f aca="false">Hypothèses!$C$50*$G$4</f>
        <v>300</v>
      </c>
      <c r="R48" s="15" t="n">
        <f aca="false">Hypothèses!$C$50*$G$4</f>
        <v>300</v>
      </c>
      <c r="S48" s="15" t="n">
        <f aca="false">Hypothèses!$C$50*$G$4</f>
        <v>300</v>
      </c>
      <c r="T48" s="15" t="n">
        <f aca="false">Hypothèses!$C$50*$G$4</f>
        <v>300</v>
      </c>
      <c r="U48" s="15" t="n">
        <f aca="false">Hypothèses!$C$50*$G$4</f>
        <v>300</v>
      </c>
      <c r="V48" s="15" t="n">
        <f aca="false">Hypothèses!$C$50*$G$4</f>
        <v>300</v>
      </c>
      <c r="W48" s="15" t="n">
        <f aca="false">Hypothèses!$C$50*$G$4</f>
        <v>300</v>
      </c>
      <c r="X48" s="15" t="n">
        <f aca="false">Hypothèses!$C$50*$G$4</f>
        <v>300</v>
      </c>
      <c r="Y48" s="15" t="n">
        <f aca="false">Hypothèses!$C$50*$G$4</f>
        <v>300</v>
      </c>
      <c r="Z48" s="15" t="n">
        <f aca="false">Hypothèses!$C$50*$G$4</f>
        <v>300</v>
      </c>
      <c r="AA48" s="15" t="n">
        <f aca="false">Hypothèses!$C$50*$G$4</f>
        <v>300</v>
      </c>
      <c r="AB48" s="15" t="n">
        <f aca="false">Hypothèses!$C$50*$G$4</f>
        <v>300</v>
      </c>
      <c r="AC48" s="15" t="n">
        <f aca="false">Hypothèses!$C$50*$G$4</f>
        <v>300</v>
      </c>
      <c r="AD48" s="15" t="n">
        <f aca="false">Hypothèses!$C$50*$G$4</f>
        <v>300</v>
      </c>
      <c r="AE48" s="15" t="n">
        <f aca="false">Hypothèses!$C$50*$G$4</f>
        <v>300</v>
      </c>
      <c r="AF48" s="15" t="n">
        <f aca="false">Hypothèses!$C$50*$G$4</f>
        <v>300</v>
      </c>
      <c r="AG48" s="15" t="n">
        <f aca="false">Hypothèses!$C$50*$G$4</f>
        <v>300</v>
      </c>
      <c r="AH48" s="15" t="n">
        <f aca="false">Hypothèses!$C$50*$G$4</f>
        <v>300</v>
      </c>
      <c r="AI48" s="15" t="n">
        <f aca="false">Hypothèses!$C$50*$G$4</f>
        <v>300</v>
      </c>
      <c r="AJ48" s="15" t="n">
        <f aca="false">Hypothèses!$C$50*$G$4</f>
        <v>300</v>
      </c>
      <c r="AK48" s="15" t="n">
        <f aca="false">Hypothèses!$C$50*$G$4</f>
        <v>300</v>
      </c>
      <c r="AL48" s="15" t="n">
        <f aca="false">Hypothèses!$C$50*$G$4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IF(AND(C9=1,MOD(C7-$B$5,12)=0),Hypothèses!$C$51,0)*$G$4</f>
        <v>0</v>
      </c>
      <c r="D49" s="15" t="n">
        <f aca="false">IF(AND(D9=1,MOD(D7-$B$5,12)=0),Hypothèses!$C$51,0)*$G$4</f>
        <v>0</v>
      </c>
      <c r="E49" s="15" t="n">
        <f aca="false">IF(AND(E9=1,MOD(E7-$B$5,12)=0),Hypothèses!$C$51,0)*$G$4</f>
        <v>0</v>
      </c>
      <c r="F49" s="15" t="n">
        <f aca="false">IF(AND(F9=1,MOD(F7-$B$5,12)=0),Hypothèses!$C$51,0)*$G$4</f>
        <v>0</v>
      </c>
      <c r="G49" s="15" t="n">
        <f aca="false">IF(AND(G9=1,MOD(G7-$B$5,12)=0),Hypothèses!$C$51,0)*$G$4</f>
        <v>0</v>
      </c>
      <c r="H49" s="15" t="n">
        <f aca="false">IF(AND(H9=1,MOD(H7-$B$5,12)=0),Hypothèses!$C$51,0)*$G$4</f>
        <v>0</v>
      </c>
      <c r="I49" s="15" t="n">
        <f aca="false">IF(AND(I9=1,MOD(I7-$B$5,12)=0),Hypothèses!$C$51,0)*$G$4</f>
        <v>0</v>
      </c>
      <c r="J49" s="15" t="n">
        <f aca="false">IF(AND(J9=1,MOD(J7-$B$5,12)=0),Hypothèses!$C$51,0)*$G$4</f>
        <v>0</v>
      </c>
      <c r="K49" s="15" t="n">
        <f aca="false">IF(AND(K9=1,MOD(K7-$B$5,12)=0),Hypothèses!$C$51,0)*$G$4</f>
        <v>0</v>
      </c>
      <c r="L49" s="15" t="n">
        <f aca="false">IF(AND(L9=1,MOD(L7-$B$5,12)=0),Hypothèses!$C$51,0)*$G$4</f>
        <v>8000</v>
      </c>
      <c r="M49" s="15" t="n">
        <f aca="false">IF(AND(M9=1,MOD(M7-$B$5,12)=0),Hypothèses!$C$51,0)*$G$4</f>
        <v>0</v>
      </c>
      <c r="N49" s="15" t="n">
        <f aca="false">IF(AND(N9=1,MOD(N7-$B$5,12)=0),Hypothèses!$C$51,0)*$G$4</f>
        <v>0</v>
      </c>
      <c r="O49" s="15" t="n">
        <f aca="false">IF(AND(O9=1,MOD(O7-$B$5,12)=0),Hypothèses!$C$51,0)*$G$4</f>
        <v>0</v>
      </c>
      <c r="P49" s="15" t="n">
        <f aca="false">IF(AND(P9=1,MOD(P7-$B$5,12)=0),Hypothèses!$C$51,0)*$G$4</f>
        <v>0</v>
      </c>
      <c r="Q49" s="15" t="n">
        <f aca="false">IF(AND(Q9=1,MOD(Q7-$B$5,12)=0),Hypothèses!$C$51,0)*$G$4</f>
        <v>0</v>
      </c>
      <c r="R49" s="15" t="n">
        <f aca="false">IF(AND(R9=1,MOD(R7-$B$5,12)=0),Hypothèses!$C$51,0)*$G$4</f>
        <v>0</v>
      </c>
      <c r="S49" s="15" t="n">
        <f aca="false">IF(AND(S9=1,MOD(S7-$B$5,12)=0),Hypothèses!$C$51,0)*$G$4</f>
        <v>0</v>
      </c>
      <c r="T49" s="15" t="n">
        <f aca="false">IF(AND(T9=1,MOD(T7-$B$5,12)=0),Hypothèses!$C$51,0)*$G$4</f>
        <v>0</v>
      </c>
      <c r="U49" s="15" t="n">
        <f aca="false">IF(AND(U9=1,MOD(U7-$B$5,12)=0),Hypothèses!$C$51,0)*$G$4</f>
        <v>0</v>
      </c>
      <c r="V49" s="15" t="n">
        <f aca="false">IF(AND(V9=1,MOD(V7-$B$5,12)=0),Hypothèses!$C$51,0)*$G$4</f>
        <v>0</v>
      </c>
      <c r="W49" s="15" t="n">
        <f aca="false">IF(AND(W9=1,MOD(W7-$B$5,12)=0),Hypothèses!$C$51,0)*$G$4</f>
        <v>0</v>
      </c>
      <c r="X49" s="15" t="n">
        <f aca="false">IF(AND(X9=1,MOD(X7-$B$5,12)=0),Hypothèses!$C$51,0)*$G$4</f>
        <v>8000</v>
      </c>
      <c r="Y49" s="15" t="n">
        <f aca="false">IF(AND(Y9=1,MOD(Y7-$B$5,12)=0),Hypothèses!$C$51,0)*$G$4</f>
        <v>0</v>
      </c>
      <c r="Z49" s="15" t="n">
        <f aca="false">IF(AND(Z9=1,MOD(Z7-$B$5,12)=0),Hypothèses!$C$51,0)*$G$4</f>
        <v>0</v>
      </c>
      <c r="AA49" s="15" t="n">
        <f aca="false">IF(AND(AA9=1,MOD(AA7-$B$5,12)=0),Hypothèses!$C$51,0)*$G$4</f>
        <v>0</v>
      </c>
      <c r="AB49" s="15" t="n">
        <f aca="false">IF(AND(AB9=1,MOD(AB7-$B$5,12)=0),Hypothèses!$C$51,0)*$G$4</f>
        <v>0</v>
      </c>
      <c r="AC49" s="15" t="n">
        <f aca="false">IF(AND(AC9=1,MOD(AC7-$B$5,12)=0),Hypothèses!$C$51,0)*$G$4</f>
        <v>0</v>
      </c>
      <c r="AD49" s="15" t="n">
        <f aca="false">IF(AND(AD9=1,MOD(AD7-$B$5,12)=0),Hypothèses!$C$51,0)*$G$4</f>
        <v>0</v>
      </c>
      <c r="AE49" s="15" t="n">
        <f aca="false">IF(AND(AE9=1,MOD(AE7-$B$5,12)=0),Hypothèses!$C$51,0)*$G$4</f>
        <v>0</v>
      </c>
      <c r="AF49" s="15" t="n">
        <f aca="false">IF(AND(AF9=1,MOD(AF7-$B$5,12)=0),Hypothèses!$C$51,0)*$G$4</f>
        <v>0</v>
      </c>
      <c r="AG49" s="15" t="n">
        <f aca="false">IF(AND(AG9=1,MOD(AG7-$B$5,12)=0),Hypothèses!$C$51,0)*$G$4</f>
        <v>0</v>
      </c>
      <c r="AH49" s="15" t="n">
        <f aca="false">IF(AND(AH9=1,MOD(AH7-$B$5,12)=0),Hypothèses!$C$51,0)*$G$4</f>
        <v>0</v>
      </c>
      <c r="AI49" s="15" t="n">
        <f aca="false">IF(AND(AI9=1,MOD(AI7-$B$5,12)=0),Hypothèses!$C$51,0)*$G$4</f>
        <v>0</v>
      </c>
      <c r="AJ49" s="15" t="n">
        <f aca="false">IF(AND(AJ9=1,MOD(AJ7-$B$5,12)=0),Hypothèses!$C$51,0)*$G$4</f>
        <v>8000</v>
      </c>
      <c r="AK49" s="15" t="n">
        <f aca="false">IF(AND(AK9=1,MOD(AK7-$B$5,12)=0),Hypothèses!$C$51,0)*$G$4</f>
        <v>0</v>
      </c>
      <c r="AL49" s="15" t="n">
        <f aca="false">IF(AND(AL9=1,MOD(AL7-$B$5,12)=0),Hypothèses!$C$51,0)*$G$4</f>
        <v>0</v>
      </c>
      <c r="AN49" s="15" t="n">
        <f aca="false">SUM(C49:N49)</f>
        <v>8000</v>
      </c>
      <c r="AO49" s="15" t="n">
        <f aca="false">SUM(O49:Z49)</f>
        <v>8000</v>
      </c>
      <c r="AP49" s="15" t="n">
        <f aca="false">SUM(AA49:AL49)</f>
        <v>8000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IF(C7=2,Hypothèses!$C$52,0)</f>
        <v>0</v>
      </c>
      <c r="D50" s="15" t="n">
        <f aca="false">IF(D7=2,Hypothèses!$C$52,0)</f>
        <v>2500</v>
      </c>
      <c r="E50" s="15" t="n">
        <f aca="false">IF(E7=2,Hypothèses!$C$52,0)</f>
        <v>0</v>
      </c>
      <c r="F50" s="15" t="n">
        <f aca="false">IF(F7=2,Hypothèses!$C$52,0)</f>
        <v>0</v>
      </c>
      <c r="G50" s="15" t="n">
        <f aca="false">IF(G7=2,Hypothèses!$C$52,0)</f>
        <v>0</v>
      </c>
      <c r="H50" s="15" t="n">
        <f aca="false">IF(H7=2,Hypothèses!$C$52,0)</f>
        <v>0</v>
      </c>
      <c r="I50" s="15" t="n">
        <f aca="false">IF(I7=2,Hypothèses!$C$52,0)</f>
        <v>0</v>
      </c>
      <c r="J50" s="15" t="n">
        <f aca="false">IF(J7=2,Hypothèses!$C$52,0)</f>
        <v>0</v>
      </c>
      <c r="K50" s="15" t="n">
        <f aca="false">IF(K7=2,Hypothèses!$C$52,0)</f>
        <v>0</v>
      </c>
      <c r="L50" s="15" t="n">
        <f aca="false">IF(L7=2,Hypothèses!$C$52,0)</f>
        <v>0</v>
      </c>
      <c r="M50" s="15" t="n">
        <f aca="false">IF(M7=2,Hypothèses!$C$52,0)</f>
        <v>0</v>
      </c>
      <c r="N50" s="15" t="n">
        <f aca="false">IF(N7=2,Hypothèses!$C$52,0)</f>
        <v>0</v>
      </c>
      <c r="O50" s="15" t="n">
        <f aca="false">IF(O7=2,Hypothèses!$C$52,0)</f>
        <v>0</v>
      </c>
      <c r="P50" s="15" t="n">
        <f aca="false">IF(P7=2,Hypothèses!$C$52,0)</f>
        <v>0</v>
      </c>
      <c r="Q50" s="15" t="n">
        <f aca="false">IF(Q7=2,Hypothèses!$C$52,0)</f>
        <v>0</v>
      </c>
      <c r="R50" s="15" t="n">
        <f aca="false">IF(R7=2,Hypothèses!$C$52,0)</f>
        <v>0</v>
      </c>
      <c r="S50" s="15" t="n">
        <f aca="false">IF(S7=2,Hypothèses!$C$52,0)</f>
        <v>0</v>
      </c>
      <c r="T50" s="15" t="n">
        <f aca="false">IF(T7=2,Hypothèses!$C$52,0)</f>
        <v>0</v>
      </c>
      <c r="U50" s="15" t="n">
        <f aca="false">IF(U7=2,Hypothèses!$C$52,0)</f>
        <v>0</v>
      </c>
      <c r="V50" s="15" t="n">
        <f aca="false">IF(V7=2,Hypothèses!$C$52,0)</f>
        <v>0</v>
      </c>
      <c r="W50" s="15" t="n">
        <f aca="false">IF(W7=2,Hypothèses!$C$52,0)</f>
        <v>0</v>
      </c>
      <c r="X50" s="15" t="n">
        <f aca="false">IF(X7=2,Hypothèses!$C$52,0)</f>
        <v>0</v>
      </c>
      <c r="Y50" s="15" t="n">
        <f aca="false">IF(Y7=2,Hypothèses!$C$52,0)</f>
        <v>0</v>
      </c>
      <c r="Z50" s="15" t="n">
        <f aca="false">IF(Z7=2,Hypothèses!$C$52,0)</f>
        <v>0</v>
      </c>
      <c r="AA50" s="15" t="n">
        <f aca="false">IF(AA7=2,Hypothèses!$C$52,0)</f>
        <v>0</v>
      </c>
      <c r="AB50" s="15" t="n">
        <f aca="false">IF(AB7=2,Hypothèses!$C$52,0)</f>
        <v>0</v>
      </c>
      <c r="AC50" s="15" t="n">
        <f aca="false">IF(AC7=2,Hypothèses!$C$52,0)</f>
        <v>0</v>
      </c>
      <c r="AD50" s="15" t="n">
        <f aca="false">IF(AD7=2,Hypothèses!$C$52,0)</f>
        <v>0</v>
      </c>
      <c r="AE50" s="15" t="n">
        <f aca="false">IF(AE7=2,Hypothèses!$C$52,0)</f>
        <v>0</v>
      </c>
      <c r="AF50" s="15" t="n">
        <f aca="false">IF(AF7=2,Hypothèses!$C$52,0)</f>
        <v>0</v>
      </c>
      <c r="AG50" s="15" t="n">
        <f aca="false">IF(AG7=2,Hypothèses!$C$52,0)</f>
        <v>0</v>
      </c>
      <c r="AH50" s="15" t="n">
        <f aca="false">IF(AH7=2,Hypothèses!$C$52,0)</f>
        <v>0</v>
      </c>
      <c r="AI50" s="15" t="n">
        <f aca="false">IF(AI7=2,Hypothèses!$C$52,0)</f>
        <v>0</v>
      </c>
      <c r="AJ50" s="15" t="n">
        <f aca="false">IF(AJ7=2,Hypothèses!$C$52,0)</f>
        <v>0</v>
      </c>
      <c r="AK50" s="15" t="n">
        <f aca="false">IF(AK7=2,Hypothèses!$C$52,0)</f>
        <v>0</v>
      </c>
      <c r="AL50" s="15" t="n">
        <f aca="false">IF(AL7=2,Hypothèses!$C$52,0)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12811.1111111111</v>
      </c>
      <c r="D51" s="40" t="n">
        <f aca="false">SUM(D40:D50)</f>
        <v>15311.1111111111</v>
      </c>
      <c r="E51" s="40" t="n">
        <f aca="false">SUM(E40:E50)</f>
        <v>12811.1111111111</v>
      </c>
      <c r="F51" s="40" t="n">
        <f aca="false">SUM(F40:F50)</f>
        <v>12811.1111111111</v>
      </c>
      <c r="G51" s="40" t="n">
        <f aca="false">SUM(G40:G50)</f>
        <v>12811.1111111111</v>
      </c>
      <c r="H51" s="40" t="n">
        <f aca="false">SUM(H40:H50)</f>
        <v>12811.1111111111</v>
      </c>
      <c r="I51" s="40" t="n">
        <f aca="false">SUM(I40:I50)</f>
        <v>12811.1111111111</v>
      </c>
      <c r="J51" s="40" t="n">
        <f aca="false">SUM(J40:J50)</f>
        <v>12811.1111111111</v>
      </c>
      <c r="K51" s="40" t="n">
        <f aca="false">SUM(K40:K50)</f>
        <v>12811.1111111111</v>
      </c>
      <c r="L51" s="40" t="n">
        <f aca="false">SUM(L40:L50)</f>
        <v>10350</v>
      </c>
      <c r="M51" s="40" t="n">
        <f aca="false">SUM(M40:M50)</f>
        <v>2350</v>
      </c>
      <c r="N51" s="40" t="n">
        <f aca="false">SUM(N40:N50)</f>
        <v>2350</v>
      </c>
      <c r="O51" s="40" t="n">
        <f aca="false">SUM(O40:O50)</f>
        <v>13350</v>
      </c>
      <c r="P51" s="40" t="n">
        <f aca="false">SUM(P40:P50)</f>
        <v>13350</v>
      </c>
      <c r="Q51" s="40" t="n">
        <f aca="false">SUM(Q40:Q50)</f>
        <v>13350</v>
      </c>
      <c r="R51" s="40" t="n">
        <f aca="false">SUM(R40:R50)</f>
        <v>17850</v>
      </c>
      <c r="S51" s="40" t="n">
        <f aca="false">SUM(S40:S50)</f>
        <v>17850</v>
      </c>
      <c r="T51" s="40" t="n">
        <f aca="false">SUM(T40:T50)</f>
        <v>17850</v>
      </c>
      <c r="U51" s="40" t="n">
        <f aca="false">SUM(U40:U50)</f>
        <v>17850</v>
      </c>
      <c r="V51" s="40" t="n">
        <f aca="false">SUM(V40:V50)</f>
        <v>17850</v>
      </c>
      <c r="W51" s="40" t="n">
        <f aca="false">SUM(W40:W50)</f>
        <v>17850</v>
      </c>
      <c r="X51" s="40" t="n">
        <f aca="false">SUM(X40:X50)</f>
        <v>25850</v>
      </c>
      <c r="Y51" s="40" t="n">
        <f aca="false">SUM(Y40:Y50)</f>
        <v>17850</v>
      </c>
      <c r="Z51" s="40" t="n">
        <f aca="false">SUM(Z40:Z50)</f>
        <v>24350</v>
      </c>
      <c r="AA51" s="40" t="n">
        <f aca="false">SUM(AA40:AA50)</f>
        <v>24350</v>
      </c>
      <c r="AB51" s="40" t="n">
        <f aca="false">SUM(AB40:AB50)</f>
        <v>24350</v>
      </c>
      <c r="AC51" s="40" t="n">
        <f aca="false">SUM(AC40:AC50)</f>
        <v>24350</v>
      </c>
      <c r="AD51" s="40" t="n">
        <f aca="false">SUM(AD40:AD50)</f>
        <v>24350</v>
      </c>
      <c r="AE51" s="40" t="n">
        <f aca="false">SUM(AE40:AE50)</f>
        <v>24350</v>
      </c>
      <c r="AF51" s="40" t="n">
        <f aca="false">SUM(AF40:AF50)</f>
        <v>24350</v>
      </c>
      <c r="AG51" s="40" t="n">
        <f aca="false">SUM(AG40:AG50)</f>
        <v>24350</v>
      </c>
      <c r="AH51" s="40" t="n">
        <f aca="false">SUM(AH40:AH50)</f>
        <v>24350</v>
      </c>
      <c r="AI51" s="40" t="n">
        <f aca="false">SUM(AI40:AI50)</f>
        <v>24350</v>
      </c>
      <c r="AJ51" s="40" t="n">
        <f aca="false">SUM(AJ40:AJ50)</f>
        <v>32350</v>
      </c>
      <c r="AK51" s="40" t="n">
        <f aca="false">SUM(AK40:AK50)</f>
        <v>24350</v>
      </c>
      <c r="AL51" s="40" t="n">
        <f aca="false">SUM(AL40:AL50)</f>
        <v>24350</v>
      </c>
      <c r="AN51" s="40" t="n">
        <f aca="false">SUM(C51:N51)</f>
        <v>132850</v>
      </c>
      <c r="AO51" s="40" t="n">
        <f aca="false">SUM(O51:Z51)</f>
        <v>215200</v>
      </c>
      <c r="AP51" s="40" t="n">
        <f aca="false">SUM(AA51:AL51)</f>
        <v>300200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-12811.1111111111</v>
      </c>
      <c r="D52" s="40" t="n">
        <f aca="false">D37-D39-D51</f>
        <v>-15311.1111111111</v>
      </c>
      <c r="E52" s="40" t="n">
        <f aca="false">E37-E39-E51</f>
        <v>-12811.1111111111</v>
      </c>
      <c r="F52" s="40" t="n">
        <f aca="false">F37-F39-F51</f>
        <v>-12467.7049444444</v>
      </c>
      <c r="G52" s="40" t="n">
        <f aca="false">G37-G39-G51</f>
        <v>-12488.3093144444</v>
      </c>
      <c r="H52" s="40" t="n">
        <f aca="false">H37-H39-H51</f>
        <v>-12507.6774222444</v>
      </c>
      <c r="I52" s="40" t="n">
        <f aca="false">I37-I39-I51</f>
        <v>-12525.8834435764</v>
      </c>
      <c r="J52" s="40" t="n">
        <f aca="false">J37-J39-J51</f>
        <v>-12542.9971036285</v>
      </c>
      <c r="K52" s="40" t="n">
        <f aca="false">K37-K39-K51</f>
        <v>-12559.0839440775</v>
      </c>
      <c r="L52" s="40" t="n">
        <f aca="false">L37-L39-L51</f>
        <v>-11824.4023857625</v>
      </c>
      <c r="M52" s="40" t="n">
        <f aca="false">M37-M39-M51</f>
        <v>-3564.51046091881</v>
      </c>
      <c r="N52" s="40" t="n">
        <f aca="false">N37-N39-N51</f>
        <v>-3317.61313231732</v>
      </c>
      <c r="O52" s="40" t="n">
        <f aca="false">O37-O39-O51</f>
        <v>-17510.7170590348</v>
      </c>
      <c r="P52" s="40" t="n">
        <f aca="false">P37-P39-P51</f>
        <v>-16744.1657894164</v>
      </c>
      <c r="Q52" s="40" t="n">
        <f aca="false">Q37-Q39-Q51</f>
        <v>-16015.9420832789</v>
      </c>
      <c r="R52" s="40" t="n">
        <f aca="false">R37-R39-R51</f>
        <v>-19824.1295624483</v>
      </c>
      <c r="S52" s="40" t="n">
        <f aca="false">S37-S39-S51</f>
        <v>-19166.9076676592</v>
      </c>
      <c r="T52" s="40" t="n">
        <f aca="false">T37-T39-T51</f>
        <v>-18542.5468676096</v>
      </c>
      <c r="U52" s="40" t="n">
        <f aca="false">U37-U39-U51</f>
        <v>-17949.4041075624</v>
      </c>
      <c r="V52" s="40" t="n">
        <f aca="false">V37-V39-V51</f>
        <v>-17385.9184855176</v>
      </c>
      <c r="W52" s="40" t="n">
        <f aca="false">W37-W39-W51</f>
        <v>-16850.6071445751</v>
      </c>
      <c r="X52" s="40" t="n">
        <f aca="false">X37-X39-X51</f>
        <v>-24342.0613706797</v>
      </c>
      <c r="Y52" s="40" t="n">
        <f aca="false">Y37-Y39-Y51</f>
        <v>-15858.942885479</v>
      </c>
      <c r="Z52" s="40" t="n">
        <f aca="false">Z37-Z39-Z51</f>
        <v>-21899.9803245384</v>
      </c>
      <c r="AA52" s="40" t="n">
        <f aca="false">AA37-AA39-AA51</f>
        <v>-26605.4504749782</v>
      </c>
      <c r="AB52" s="40" t="n">
        <f aca="false">AB37-AB39-AB51</f>
        <v>-25375.6471178959</v>
      </c>
      <c r="AC52" s="40" t="n">
        <f aca="false">AC37-AC39-AC51</f>
        <v>-24207.3339286678</v>
      </c>
      <c r="AD52" s="40" t="n">
        <f aca="false">AD37-AD39-AD51</f>
        <v>-23097.4363989011</v>
      </c>
      <c r="AE52" s="40" t="n">
        <f aca="false">AE37-AE39-AE51</f>
        <v>-22043.0337456227</v>
      </c>
      <c r="AF52" s="40" t="n">
        <f aca="false">AF37-AF39-AF51</f>
        <v>-21041.3512250082</v>
      </c>
      <c r="AG52" s="40" t="n">
        <f aca="false">AG37-AG39-AG51</f>
        <v>-20089.7528304245</v>
      </c>
      <c r="AH52" s="40" t="n">
        <f aca="false">AH37-AH39-AH51</f>
        <v>-19185.7343555699</v>
      </c>
      <c r="AI52" s="40" t="n">
        <f aca="false">AI37-AI39-AI51</f>
        <v>-18326.9168044581</v>
      </c>
      <c r="AJ52" s="40" t="n">
        <f aca="false">AJ37-AJ39-AJ51</f>
        <v>-25511.0401309018</v>
      </c>
      <c r="AK52" s="40" t="n">
        <f aca="false">AK37-AK39-AK51</f>
        <v>-16735.9572910234</v>
      </c>
      <c r="AL52" s="40" t="n">
        <f aca="false">AL37-AL39-AL51</f>
        <v>-15999.6285931389</v>
      </c>
      <c r="AN52" s="40" t="n">
        <f aca="false">SUM(C52:N52)</f>
        <v>-134731.515484748</v>
      </c>
      <c r="AO52" s="40" t="n">
        <f aca="false">SUM(O52:Z52)</f>
        <v>-222091.323347799</v>
      </c>
      <c r="AP52" s="40" t="n">
        <f aca="false">SUM(AA52:AL52)</f>
        <v>-258219.28289659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0</v>
      </c>
      <c r="Z53" s="13" t="n">
        <f aca="false">IF(Z52&gt;0,1,0)</f>
        <v>0</v>
      </c>
      <c r="AA53" s="13" t="n">
        <f aca="false">IF(AA52&gt;0,1,0)</f>
        <v>0</v>
      </c>
      <c r="AB53" s="13" t="n">
        <f aca="false">IF(AB52&gt;0,1,0)</f>
        <v>0</v>
      </c>
      <c r="AC53" s="13" t="n">
        <f aca="false">IF(AC52&gt;0,1,0)</f>
        <v>0</v>
      </c>
      <c r="AD53" s="13" t="n">
        <f aca="false">IF(AD52&gt;0,1,0)</f>
        <v>0</v>
      </c>
      <c r="AE53" s="13" t="n">
        <f aca="false">IF(AE52&gt;0,1,0)</f>
        <v>0</v>
      </c>
      <c r="AF53" s="13" t="n">
        <f aca="false">IF(AF52&gt;0,1,0)</f>
        <v>0</v>
      </c>
      <c r="AG53" s="13" t="n">
        <f aca="false">IF(AG52&gt;0,1,0)</f>
        <v>0</v>
      </c>
      <c r="AH53" s="13" t="n">
        <f aca="false">IF(AH52&gt;0,1,0)</f>
        <v>0</v>
      </c>
      <c r="AI53" s="13" t="n">
        <f aca="false">IF(AI52&gt;0,1,0)</f>
        <v>0</v>
      </c>
      <c r="AJ53" s="13" t="n">
        <f aca="false">IF(AJ52&gt;0,1,0)</f>
        <v>0</v>
      </c>
      <c r="AK53" s="13" t="n">
        <f aca="false">IF(AK52&gt;0,1,0)</f>
        <v>0</v>
      </c>
      <c r="AL53" s="13" t="n">
        <f aca="false">IF(AL52&gt;0,1,0)</f>
        <v>0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0</v>
      </c>
      <c r="G55" s="15" t="n">
        <f aca="false">F27</f>
        <v>119.166666666667</v>
      </c>
      <c r="H55" s="15" t="n">
        <f aca="false">G27</f>
        <v>112.016666666667</v>
      </c>
      <c r="I55" s="15" t="n">
        <f aca="false">H27</f>
        <v>105.295666666667</v>
      </c>
      <c r="J55" s="15" t="n">
        <f aca="false">I27</f>
        <v>98.9779266666667</v>
      </c>
      <c r="K55" s="15" t="n">
        <f aca="false">J27</f>
        <v>93.0392510666667</v>
      </c>
      <c r="L55" s="15" t="n">
        <f aca="false">K27</f>
        <v>87.4568960026667</v>
      </c>
      <c r="M55" s="15" t="n">
        <f aca="false">L27</f>
        <v>182.389606758089</v>
      </c>
      <c r="N55" s="15" t="n">
        <f aca="false">M27</f>
        <v>272.57568197574</v>
      </c>
      <c r="O55" s="15" t="n">
        <f aca="false">N27</f>
        <v>358.252453432509</v>
      </c>
      <c r="P55" s="15" t="n">
        <f aca="false">O27</f>
        <v>638.25649742755</v>
      </c>
      <c r="Q55" s="15" t="n">
        <f aca="false">P27</f>
        <v>904.260339222839</v>
      </c>
      <c r="R55" s="15" t="n">
        <f aca="false">Q27</f>
        <v>1156.96398892836</v>
      </c>
      <c r="S55" s="15" t="n">
        <f aca="false">R27</f>
        <v>1397.03245614861</v>
      </c>
      <c r="T55" s="15" t="n">
        <f aca="false">S27</f>
        <v>1625.09750000785</v>
      </c>
      <c r="U55" s="15" t="n">
        <f aca="false">T27</f>
        <v>1841.75929167412</v>
      </c>
      <c r="V55" s="15" t="n">
        <f aca="false">U27</f>
        <v>2047.58799375708</v>
      </c>
      <c r="W55" s="15" t="n">
        <f aca="false">V27</f>
        <v>2243.1252607359</v>
      </c>
      <c r="X55" s="15" t="n">
        <f aca="false">W27</f>
        <v>2428.88566436577</v>
      </c>
      <c r="Y55" s="15" t="n">
        <f aca="false">X27</f>
        <v>2605.35804781415</v>
      </c>
      <c r="Z55" s="15" t="n">
        <f aca="false">Y27</f>
        <v>2773.00681209011</v>
      </c>
      <c r="AA55" s="15" t="n">
        <f aca="false">Z27</f>
        <v>2932.27313815227</v>
      </c>
      <c r="AB55" s="15" t="n">
        <f aca="false">AA27</f>
        <v>3381.49281457799</v>
      </c>
      <c r="AC55" s="15" t="n">
        <f aca="false">AB27</f>
        <v>3808.25150718242</v>
      </c>
      <c r="AD55" s="15" t="n">
        <f aca="false">AC27</f>
        <v>4213.67226515663</v>
      </c>
      <c r="AE55" s="15" t="n">
        <f aca="false">AD27</f>
        <v>4598.82198523213</v>
      </c>
      <c r="AF55" s="15" t="n">
        <f aca="false">AE27</f>
        <v>4964.71421930386</v>
      </c>
      <c r="AG55" s="15" t="n">
        <f aca="false">AF27</f>
        <v>5312.311841672</v>
      </c>
      <c r="AH55" s="15" t="n">
        <f aca="false">AG27</f>
        <v>5642.52958292174</v>
      </c>
      <c r="AI55" s="15" t="n">
        <f aca="false">AH27</f>
        <v>5956.23643710898</v>
      </c>
      <c r="AJ55" s="15" t="n">
        <f aca="false">AI27</f>
        <v>6254.25794858687</v>
      </c>
      <c r="AK55" s="15" t="n">
        <f aca="false">AJ27</f>
        <v>6537.37838449086</v>
      </c>
      <c r="AL55" s="15" t="n">
        <f aca="false">AK27</f>
        <v>6806.34279859965</v>
      </c>
      <c r="AN55" s="15" t="n">
        <f aca="false">SUM(C55:N55)</f>
        <v>1070.91836246983</v>
      </c>
      <c r="AO55" s="15" t="n">
        <f aca="false">SUM(O55:Z55)</f>
        <v>20019.5863056048</v>
      </c>
      <c r="AP55" s="15" t="n">
        <f aca="false">SUM(AA55:AL55)</f>
        <v>60408.2829229854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(C36+C39+C43+C44+C45+C47+C48+C49+C50)*Hypothèses!$C$15</f>
        <v>2562.22222222222</v>
      </c>
      <c r="E56" s="15" t="n">
        <f aca="false">(D36+D39+D43+D44+D45+D47+D48+D49+D50)*Hypothèses!$C$15</f>
        <v>3062.22222222222</v>
      </c>
      <c r="F56" s="15" t="n">
        <f aca="false">(E36+E39+E43+E44+E45+E47+E48+E49+E50)*Hypothèses!$C$15</f>
        <v>2562.22222222222</v>
      </c>
      <c r="G56" s="15" t="n">
        <f aca="false">(F36+F39+F43+F44+F45+F47+F48+F49+F50)*Hypothèses!$C$15</f>
        <v>2607.72222222222</v>
      </c>
      <c r="H56" s="15" t="n">
        <f aca="false">(G36+G39+G43+G44+G45+G47+G48+G49+G50)*Hypothèses!$C$15</f>
        <v>2604.99222222222</v>
      </c>
      <c r="I56" s="15" t="n">
        <f aca="false">(H36+H39+H43+H44+H45+H47+H48+H49+H50)*Hypothèses!$C$15</f>
        <v>2602.42602222222</v>
      </c>
      <c r="J56" s="15" t="n">
        <f aca="false">(I36+I39+I43+I44+I45+I47+I48+I49+I50)*Hypothèses!$C$15</f>
        <v>2600.01379422222</v>
      </c>
      <c r="K56" s="15" t="n">
        <f aca="false">(J36+J39+J43+J44+J45+J47+J48+J49+J50)*Hypothèses!$C$15</f>
        <v>2597.74629990222</v>
      </c>
      <c r="L56" s="15" t="n">
        <f aca="false">(K36+K39+K43+K44+K45+K47+K48+K49+K50)*Hypothèses!$C$15</f>
        <v>2595.61485524142</v>
      </c>
      <c r="M56" s="15" t="n">
        <f aca="false">(L36+L39+L43+L44+L45+L47+L48+L49+L50)*Hypothèses!$C$15</f>
        <v>2509.63966803491</v>
      </c>
      <c r="N56" s="15" t="n">
        <f aca="false">(M36+M39+M43+M44+M45+M47+M48+M49+M50)*Hypothèses!$C$15</f>
        <v>944.074351299828</v>
      </c>
      <c r="O56" s="15" t="n">
        <f aca="false">(N36+N39+N43+N44+N45+N47+N48+N49+N50)*Hypothèses!$C$15</f>
        <v>976.787300401503</v>
      </c>
      <c r="P56" s="15" t="n">
        <f aca="false">(O36+O39+O43+O44+O45+O47+O48+O49+O50)*Hypothèses!$C$15</f>
        <v>1883.69793538143</v>
      </c>
      <c r="Q56" s="15" t="n">
        <f aca="false">(P36+P39+P43+P44+P45+P47+P48+P49+P50)*Hypothèses!$C$15</f>
        <v>1985.26303861236</v>
      </c>
      <c r="R56" s="15" t="n">
        <f aca="false">(Q36+Q39+Q43+Q44+Q45+Q47+Q48+Q49+Q50)*Hypothèses!$C$15</f>
        <v>2081.74988668174</v>
      </c>
      <c r="S56" s="15" t="n">
        <f aca="false">(R36+R39+R43+R44+R45+R47+R48+R49+R50)*Hypothèses!$C$15</f>
        <v>2173.41239234765</v>
      </c>
      <c r="T56" s="15" t="n">
        <f aca="false">(S36+S39+S43+S44+S45+S47+S48+S49+S50)*Hypothèses!$C$15</f>
        <v>2260.49177273027</v>
      </c>
      <c r="U56" s="15" t="n">
        <f aca="false">(T36+T39+T43+T44+T45+T47+T48+T49+T50)*Hypothèses!$C$15</f>
        <v>2343.21718409376</v>
      </c>
      <c r="V56" s="15" t="n">
        <f aca="false">(U36+U39+U43+U44+U45+U47+U48+U49+U50)*Hypothèses!$C$15</f>
        <v>2421.80632488907</v>
      </c>
      <c r="W56" s="15" t="n">
        <f aca="false">(V36+V39+V43+V44+V45+V47+V48+V49+V50)*Hypothèses!$C$15</f>
        <v>2496.46600864461</v>
      </c>
      <c r="X56" s="15" t="n">
        <f aca="false">(W36+W39+W43+W44+W45+W47+W48+W49+W50)*Hypothèses!$C$15</f>
        <v>2567.39270821238</v>
      </c>
      <c r="Y56" s="15" t="n">
        <f aca="false">(X36+X39+X43+X44+X45+X47+X48+X49+X50)*Hypothèses!$C$15</f>
        <v>4234.77307280177</v>
      </c>
      <c r="Z56" s="15" t="n">
        <f aca="false">(Y36+Y39+Y43+Y44+Y45+Y47+Y48+Y49+Y50)*Hypothèses!$C$15</f>
        <v>2698.78441916168</v>
      </c>
      <c r="AA56" s="15" t="n">
        <f aca="false">(Z36+Z39+Z43+Z44+Z45+Z47+Z48+Z49+Z50)*Hypothèses!$C$15</f>
        <v>2759.59519820359</v>
      </c>
      <c r="AB56" s="15" t="n">
        <f aca="false">(AA36+AA39+AA43+AA44+AA45+AA47+AA48+AA49+AA50)*Hypothèses!$C$15</f>
        <v>4131.11543829341</v>
      </c>
      <c r="AC56" s="15" t="n">
        <f aca="false">(AB36+AB39+AB43+AB44+AB45+AB47+AB48+AB49+AB50)*Hypothèses!$C$15</f>
        <v>4294.05966637874</v>
      </c>
      <c r="AD56" s="15" t="n">
        <f aca="false">(AC36+AC39+AC43+AC44+AC45+AC47+AC48+AC49+AC50)*Hypothèses!$C$15</f>
        <v>4448.85668305981</v>
      </c>
      <c r="AE56" s="15" t="n">
        <f aca="false">(AD36+AD39+AD43+AD44+AD45+AD47+AD48+AD49+AD50)*Hypothèses!$C$15</f>
        <v>4595.91384890682</v>
      </c>
      <c r="AF56" s="15" t="n">
        <f aca="false">(AE36+AE39+AE43+AE44+AE45+AE47+AE48+AE49+AE50)*Hypothèses!$C$15</f>
        <v>4735.61815646147</v>
      </c>
      <c r="AG56" s="15" t="n">
        <f aca="false">(AF36+AF39+AF43+AF44+AF45+AF47+AF48+AF49+AF50)*Hypothèses!$C$15</f>
        <v>4868.3372486384</v>
      </c>
      <c r="AH56" s="15" t="n">
        <f aca="false">(AG36+AG39+AG43+AG44+AG45+AG47+AG48+AG49+AG50)*Hypothèses!$C$15</f>
        <v>4994.42038620648</v>
      </c>
      <c r="AI56" s="15" t="n">
        <f aca="false">(AH36+AH39+AH43+AH44+AH45+AH47+AH48+AH49+AH50)*Hypothèses!$C$15</f>
        <v>5114.19936689616</v>
      </c>
      <c r="AJ56" s="15" t="n">
        <f aca="false">(AI36+AI39+AI43+AI44+AI45+AI47+AI48+AI49+AI50)*Hypothèses!$C$15</f>
        <v>5227.98939855135</v>
      </c>
      <c r="AK56" s="15" t="n">
        <f aca="false">(AJ36+AJ39+AJ43+AJ44+AJ45+AJ47+AJ48+AJ49+AJ50)*Hypothèses!$C$15</f>
        <v>6936.08992862378</v>
      </c>
      <c r="AL56" s="15" t="n">
        <f aca="false">(AK36+AK39+AK43+AK44+AK45+AK47+AK48+AK49+AK50)*Hypothèses!$C$15</f>
        <v>5438.78543219259</v>
      </c>
      <c r="AN56" s="15" t="n">
        <f aca="false">SUM(C56:N56)</f>
        <v>27248.8961020339</v>
      </c>
      <c r="AO56" s="15" t="n">
        <f aca="false">SUM(O56:Z56)</f>
        <v>28123.8420439582</v>
      </c>
      <c r="AP56" s="15" t="n">
        <f aca="false">SUM(AA56:AL56)</f>
        <v>57544.9807524126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Hypothèses!$C$56*(IF(C7=Hypothèses!$C$57,Hypothèses!$C$58,0)+IF(C7=Hypothèses!$C$59,Hypothèses!$C$60,0)+IF(C7=Hypothèses!$C$61,Hypothèses!$C$62,0))</f>
        <v>0</v>
      </c>
      <c r="D57" s="15" t="n">
        <f aca="false">Hypothèses!$C$56*(IF(D7=Hypothèses!$C$57,Hypothèses!$C$58,0)+IF(D7=Hypothèses!$C$59,Hypothèses!$C$60,0)+IF(D7=Hypothèses!$C$61,Hypothèses!$C$62,0))</f>
        <v>0</v>
      </c>
      <c r="E57" s="15" t="n">
        <f aca="false">Hypothèses!$C$56*(IF(E7=Hypothèses!$C$57,Hypothèses!$C$58,0)+IF(E7=Hypothèses!$C$59,Hypothèses!$C$60,0)+IF(E7=Hypothèses!$C$61,Hypothèses!$C$62,0))</f>
        <v>0</v>
      </c>
      <c r="F57" s="15" t="n">
        <f aca="false">Hypothèses!$C$56*(IF(F7=Hypothèses!$C$57,Hypothèses!$C$58,0)+IF(F7=Hypothèses!$C$59,Hypothèses!$C$60,0)+IF(F7=Hypothèses!$C$61,Hypothèses!$C$62,0))</f>
        <v>0</v>
      </c>
      <c r="G57" s="15" t="n">
        <f aca="false">Hypothèses!$C$56*(IF(G7=Hypothèses!$C$57,Hypothèses!$C$58,0)+IF(G7=Hypothèses!$C$59,Hypothèses!$C$60,0)+IF(G7=Hypothèses!$C$61,Hypothèses!$C$62,0))</f>
        <v>0</v>
      </c>
      <c r="H57" s="15" t="n">
        <f aca="false">Hypothèses!$C$56*(IF(H7=Hypothèses!$C$57,Hypothèses!$C$58,0)+IF(H7=Hypothèses!$C$59,Hypothèses!$C$60,0)+IF(H7=Hypothèses!$C$61,Hypothèses!$C$62,0))</f>
        <v>0</v>
      </c>
      <c r="I57" s="15" t="n">
        <f aca="false">Hypothèses!$C$56*(IF(I7=Hypothèses!$C$57,Hypothèses!$C$58,0)+IF(I7=Hypothèses!$C$59,Hypothèses!$C$60,0)+IF(I7=Hypothèses!$C$61,Hypothèses!$C$62,0))</f>
        <v>0</v>
      </c>
      <c r="J57" s="15" t="n">
        <f aca="false">Hypothèses!$C$56*(IF(J7=Hypothèses!$C$57,Hypothèses!$C$58,0)+IF(J7=Hypothèses!$C$59,Hypothèses!$C$60,0)+IF(J7=Hypothèses!$C$61,Hypothèses!$C$62,0))</f>
        <v>0</v>
      </c>
      <c r="K57" s="15" t="n">
        <f aca="false">Hypothèses!$C$56*(IF(K7=Hypothèses!$C$57,Hypothèses!$C$58,0)+IF(K7=Hypothèses!$C$59,Hypothèses!$C$60,0)+IF(K7=Hypothèses!$C$61,Hypothèses!$C$62,0))</f>
        <v>0</v>
      </c>
      <c r="L57" s="15" t="n">
        <f aca="false">Hypothèses!$C$56*(IF(L7=Hypothèses!$C$57,Hypothèses!$C$58,0)+IF(L7=Hypothèses!$C$59,Hypothèses!$C$60,0)+IF(L7=Hypothèses!$C$61,Hypothèses!$C$62,0))</f>
        <v>0</v>
      </c>
      <c r="M57" s="15" t="n">
        <f aca="false">Hypothèses!$C$56*(IF(M7=Hypothèses!$C$57,Hypothèses!$C$58,0)+IF(M7=Hypothèses!$C$59,Hypothèses!$C$60,0)+IF(M7=Hypothèses!$C$61,Hypothèses!$C$62,0))</f>
        <v>0</v>
      </c>
      <c r="N57" s="15" t="n">
        <f aca="false">Hypothèses!$C$56*(IF(N7=Hypothèses!$C$57,Hypothèses!$C$58,0)+IF(N7=Hypothèses!$C$59,Hypothèses!$C$60,0)+IF(N7=Hypothèses!$C$61,Hypothèses!$C$62,0))</f>
        <v>0</v>
      </c>
      <c r="O57" s="15" t="n">
        <f aca="false">Hypothèses!$C$56*(IF(O7=Hypothèses!$C$57,Hypothèses!$C$58,0)+IF(O7=Hypothèses!$C$59,Hypothèses!$C$60,0)+IF(O7=Hypothèses!$C$61,Hypothèses!$C$62,0))</f>
        <v>0</v>
      </c>
      <c r="P57" s="15" t="n">
        <f aca="false">Hypothèses!$C$56*(IF(P7=Hypothèses!$C$57,Hypothèses!$C$58,0)+IF(P7=Hypothèses!$C$59,Hypothèses!$C$60,0)+IF(P7=Hypothèses!$C$61,Hypothèses!$C$62,0))</f>
        <v>0</v>
      </c>
      <c r="Q57" s="15" t="n">
        <f aca="false">Hypothèses!$C$56*(IF(Q7=Hypothèses!$C$57,Hypothèses!$C$58,0)+IF(Q7=Hypothèses!$C$59,Hypothèses!$C$60,0)+IF(Q7=Hypothèses!$C$61,Hypothèses!$C$62,0))</f>
        <v>0</v>
      </c>
      <c r="R57" s="15" t="n">
        <f aca="false">Hypothèses!$C$56*(IF(R7=Hypothèses!$C$57,Hypothèses!$C$58,0)+IF(R7=Hypothèses!$C$59,Hypothèses!$C$60,0)+IF(R7=Hypothèses!$C$61,Hypothèses!$C$62,0))</f>
        <v>0</v>
      </c>
      <c r="S57" s="15" t="n">
        <f aca="false">Hypothèses!$C$56*(IF(S7=Hypothèses!$C$57,Hypothèses!$C$58,0)+IF(S7=Hypothèses!$C$59,Hypothèses!$C$60,0)+IF(S7=Hypothèses!$C$61,Hypothèses!$C$62,0))</f>
        <v>0</v>
      </c>
      <c r="T57" s="15" t="n">
        <f aca="false">Hypothèses!$C$56*(IF(T7=Hypothèses!$C$57,Hypothèses!$C$58,0)+IF(T7=Hypothèses!$C$59,Hypothèses!$C$60,0)+IF(T7=Hypothèses!$C$61,Hypothèses!$C$62,0))</f>
        <v>0</v>
      </c>
      <c r="U57" s="15" t="n">
        <f aca="false">Hypothèses!$C$56*(IF(U7=Hypothèses!$C$57,Hypothèses!$C$58,0)+IF(U7=Hypothèses!$C$59,Hypothèses!$C$60,0)+IF(U7=Hypothèses!$C$61,Hypothèses!$C$62,0))</f>
        <v>0</v>
      </c>
      <c r="V57" s="15" t="n">
        <f aca="false">Hypothèses!$C$56*(IF(V7=Hypothèses!$C$57,Hypothèses!$C$58,0)+IF(V7=Hypothèses!$C$59,Hypothèses!$C$60,0)+IF(V7=Hypothèses!$C$61,Hypothèses!$C$62,0))</f>
        <v>0</v>
      </c>
      <c r="W57" s="15" t="n">
        <f aca="false">Hypothèses!$C$56*(IF(W7=Hypothèses!$C$57,Hypothèses!$C$58,0)+IF(W7=Hypothèses!$C$59,Hypothèses!$C$60,0)+IF(W7=Hypothèses!$C$61,Hypothèses!$C$62,0))</f>
        <v>0</v>
      </c>
      <c r="X57" s="15" t="n">
        <f aca="false">Hypothèses!$C$56*(IF(X7=Hypothèses!$C$57,Hypothèses!$C$58,0)+IF(X7=Hypothèses!$C$59,Hypothèses!$C$60,0)+IF(X7=Hypothèses!$C$61,Hypothèses!$C$62,0))</f>
        <v>0</v>
      </c>
      <c r="Y57" s="15" t="n">
        <f aca="false">Hypothèses!$C$56*(IF(Y7=Hypothèses!$C$57,Hypothèses!$C$58,0)+IF(Y7=Hypothèses!$C$59,Hypothèses!$C$60,0)+IF(Y7=Hypothèses!$C$61,Hypothèses!$C$62,0))</f>
        <v>0</v>
      </c>
      <c r="Z57" s="15" t="n">
        <f aca="false">Hypothèses!$C$56*(IF(Z7=Hypothèses!$C$57,Hypothèses!$C$58,0)+IF(Z7=Hypothèses!$C$59,Hypothèses!$C$60,0)+IF(Z7=Hypothèses!$C$61,Hypothèses!$C$62,0))</f>
        <v>0</v>
      </c>
      <c r="AA57" s="15" t="n">
        <f aca="false">Hypothèses!$C$56*(IF(AA7=Hypothèses!$C$57,Hypothèses!$C$58,0)+IF(AA7=Hypothèses!$C$59,Hypothèses!$C$60,0)+IF(AA7=Hypothèses!$C$61,Hypothèses!$C$62,0))</f>
        <v>0</v>
      </c>
      <c r="AB57" s="15" t="n">
        <f aca="false">Hypothèses!$C$56*(IF(AB7=Hypothèses!$C$57,Hypothèses!$C$58,0)+IF(AB7=Hypothèses!$C$59,Hypothèses!$C$60,0)+IF(AB7=Hypothèses!$C$61,Hypothèses!$C$62,0))</f>
        <v>0</v>
      </c>
      <c r="AC57" s="15" t="n">
        <f aca="false">Hypothèses!$C$56*(IF(AC7=Hypothèses!$C$57,Hypothèses!$C$58,0)+IF(AC7=Hypothèses!$C$59,Hypothèses!$C$60,0)+IF(AC7=Hypothèses!$C$61,Hypothèses!$C$62,0))</f>
        <v>0</v>
      </c>
      <c r="AD57" s="15" t="n">
        <f aca="false">Hypothèses!$C$56*(IF(AD7=Hypothèses!$C$57,Hypothèses!$C$58,0)+IF(AD7=Hypothèses!$C$59,Hypothèses!$C$60,0)+IF(AD7=Hypothèses!$C$61,Hypothèses!$C$62,0))</f>
        <v>0</v>
      </c>
      <c r="AE57" s="15" t="n">
        <f aca="false">Hypothèses!$C$56*(IF(AE7=Hypothèses!$C$57,Hypothèses!$C$58,0)+IF(AE7=Hypothèses!$C$59,Hypothèses!$C$60,0)+IF(AE7=Hypothèses!$C$61,Hypothèses!$C$62,0))</f>
        <v>0</v>
      </c>
      <c r="AF57" s="15" t="n">
        <f aca="false">Hypothèses!$C$56*(IF(AF7=Hypothèses!$C$57,Hypothèses!$C$58,0)+IF(AF7=Hypothèses!$C$59,Hypothèses!$C$60,0)+IF(AF7=Hypothèses!$C$61,Hypothèses!$C$62,0))</f>
        <v>0</v>
      </c>
      <c r="AG57" s="15" t="n">
        <f aca="false">Hypothèses!$C$56*(IF(AG7=Hypothèses!$C$57,Hypothèses!$C$58,0)+IF(AG7=Hypothèses!$C$59,Hypothèses!$C$60,0)+IF(AG7=Hypothèses!$C$61,Hypothèses!$C$62,0))</f>
        <v>0</v>
      </c>
      <c r="AH57" s="15" t="n">
        <f aca="false">Hypothèses!$C$56*(IF(AH7=Hypothèses!$C$57,Hypothèses!$C$58,0)+IF(AH7=Hypothèses!$C$59,Hypothèses!$C$60,0)+IF(AH7=Hypothèses!$C$61,Hypothèses!$C$62,0))</f>
        <v>0</v>
      </c>
      <c r="AI57" s="15" t="n">
        <f aca="false">Hypothèses!$C$56*(IF(AI7=Hypothèses!$C$57,Hypothèses!$C$58,0)+IF(AI7=Hypothèses!$C$59,Hypothèses!$C$60,0)+IF(AI7=Hypothèses!$C$61,Hypothèses!$C$62,0))</f>
        <v>0</v>
      </c>
      <c r="AJ57" s="15" t="n">
        <f aca="false">Hypothèses!$C$56*(IF(AJ7=Hypothèses!$C$57,Hypothèses!$C$58,0)+IF(AJ7=Hypothèses!$C$59,Hypothèses!$C$60,0)+IF(AJ7=Hypothèses!$C$61,Hypothèses!$C$62,0))</f>
        <v>0</v>
      </c>
      <c r="AK57" s="15" t="n">
        <f aca="false">Hypothèses!$C$56*(IF(AK7=Hypothèses!$C$57,Hypothèses!$C$58,0)+IF(AK7=Hypothèses!$C$59,Hypothèses!$C$60,0)+IF(AK7=Hypothèses!$C$61,Hypothèses!$C$62,0))</f>
        <v>0</v>
      </c>
      <c r="AL57" s="15" t="n">
        <f aca="false">Hypothèses!$C$56*(IF(AL7=Hypothèses!$C$57,Hypothèses!$C$58,0)+IF(AL7=Hypothèses!$C$59,Hypothèses!$C$60,0)+IF(AL7=Hypothèses!$C$61,Hypothèses!$C$62,0))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Hypothèses!$C$54</f>
        <v>0</v>
      </c>
      <c r="D58" s="15" t="n">
        <f aca="false">C60</f>
        <v>-12811.1111111111</v>
      </c>
      <c r="E58" s="15" t="n">
        <f aca="false">D60</f>
        <v>-25560</v>
      </c>
      <c r="F58" s="15" t="n">
        <f aca="false">E60</f>
        <v>-35308.8888888889</v>
      </c>
      <c r="G58" s="15" t="n">
        <f aca="false">F60</f>
        <v>-45097.5882777778</v>
      </c>
      <c r="H58" s="15" t="n">
        <f aca="false">G60</f>
        <v>-54987.5657033333</v>
      </c>
      <c r="I58" s="15" t="n">
        <f aca="false">H60</f>
        <v>-64899.0778166889</v>
      </c>
      <c r="J58" s="15" t="n">
        <f aca="false">I60</f>
        <v>-74830.8325365765</v>
      </c>
      <c r="K58" s="15" t="n">
        <f aca="false">J60</f>
        <v>-84781.6153066041</v>
      </c>
      <c r="L58" s="15" t="n">
        <f aca="false">K60</f>
        <v>-94750.2844437634</v>
      </c>
      <c r="M58" s="15" t="n">
        <f aca="false">L60</f>
        <v>-103887.787055664</v>
      </c>
      <c r="N58" s="15" t="n">
        <f aca="false">M60</f>
        <v>-104857.92328697</v>
      </c>
      <c r="O58" s="15" t="n">
        <f aca="false">N60</f>
        <v>-107152.950345599</v>
      </c>
      <c r="P58" s="15" t="n">
        <f aca="false">O60</f>
        <v>-123419.641190186</v>
      </c>
      <c r="Q58" s="15" t="n">
        <f aca="false">P60</f>
        <v>-138032.19040921</v>
      </c>
      <c r="R58" s="15" t="n">
        <f aca="false">Q60</f>
        <v>-151833.30508395</v>
      </c>
      <c r="S58" s="15" t="n">
        <f aca="false">R60</f>
        <v>-169363.556941619</v>
      </c>
      <c r="T58" s="15" t="n">
        <f aca="false">S60</f>
        <v>-186161.489123072</v>
      </c>
      <c r="U58" s="15" t="n">
        <f aca="false">T60</f>
        <v>-202263.717612118</v>
      </c>
      <c r="V58" s="15" t="n">
        <f aca="false">U60</f>
        <v>-217705.027593379</v>
      </c>
      <c r="W58" s="15" t="n">
        <f aca="false">V60</f>
        <v>-232518.464992243</v>
      </c>
      <c r="X58" s="15" t="n">
        <f aca="false">W60</f>
        <v>-246735.423437831</v>
      </c>
      <c r="Y58" s="15" t="n">
        <f aca="false">X60</f>
        <v>-268385.726877807</v>
      </c>
      <c r="Z58" s="15" t="n">
        <f aca="false">Y60</f>
        <v>-279897.70806245</v>
      </c>
      <c r="AA58" s="15" t="n">
        <f aca="false">Z60</f>
        <v>-298998.283104527</v>
      </c>
      <c r="AB58" s="15" t="n">
        <f aca="false">AA60</f>
        <v>-322462.548561168</v>
      </c>
      <c r="AC58" s="15" t="n">
        <f aca="false">AB60</f>
        <v>-343356.486578309</v>
      </c>
      <c r="AD58" s="15" t="n">
        <f aca="false">AC60</f>
        <v>-362948.613527927</v>
      </c>
      <c r="AE58" s="15" t="n">
        <f aca="false">AD60</f>
        <v>-381304.019963398</v>
      </c>
      <c r="AF58" s="15" t="n">
        <f aca="false">AE60</f>
        <v>-398484.541910428</v>
      </c>
      <c r="AG58" s="15" t="n">
        <f aca="false">AF60</f>
        <v>-414548.92359344</v>
      </c>
      <c r="AH58" s="15" t="n">
        <f aca="false">AG60</f>
        <v>-429552.972025635</v>
      </c>
      <c r="AI58" s="15" t="n">
        <f aca="false">AH60</f>
        <v>-443549.703869553</v>
      </c>
      <c r="AJ58" s="15" t="n">
        <f aca="false">AI60</f>
        <v>-456589.484954609</v>
      </c>
      <c r="AK58" s="15" t="n">
        <f aca="false">AJ60</f>
        <v>-476720.162818745</v>
      </c>
      <c r="AL58" s="15" t="n">
        <f aca="false">AK60</f>
        <v>-486387.192623008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-12811.1111111111</v>
      </c>
      <c r="D59" s="15" t="n">
        <f aca="false">D31-D36-D39-D51-D55+D56+D57</f>
        <v>-12748.8888888889</v>
      </c>
      <c r="E59" s="15" t="n">
        <f aca="false">E31-E36-E39-E51-E55+E56+E57</f>
        <v>-9748.88888888889</v>
      </c>
      <c r="F59" s="15" t="n">
        <f aca="false">F31-F36-F39-F51-F55+F56+F57</f>
        <v>-9788.69938888889</v>
      </c>
      <c r="G59" s="15" t="n">
        <f aca="false">G31-G36-G39-G51-G55+G56+G57</f>
        <v>-9889.97742555556</v>
      </c>
      <c r="H59" s="15" t="n">
        <f aca="false">H31-H36-H39-H51-H55+H56+H57</f>
        <v>-9911.51211335556</v>
      </c>
      <c r="I59" s="15" t="n">
        <f aca="false">I31-I36-I39-I51-I55+I56+I57</f>
        <v>-9931.75471988756</v>
      </c>
      <c r="J59" s="15" t="n">
        <f aca="false">J31-J36-J39-J51-J55+J56+J57</f>
        <v>-9950.78277002764</v>
      </c>
      <c r="K59" s="15" t="n">
        <f aca="false">K31-K36-K39-K51-K55+K56+K57</f>
        <v>-9968.66913715931</v>
      </c>
      <c r="L59" s="15" t="n">
        <f aca="false">L31-L36-L39-L51-L55+L56+L57</f>
        <v>-9137.50261190081</v>
      </c>
      <c r="M59" s="15" t="n">
        <f aca="false">M31-M36-M39-M51-M55+M56+M57</f>
        <v>-970.136231305771</v>
      </c>
      <c r="N59" s="15" t="n">
        <f aca="false">N31-N36-N39-N51-N55+N56+N57</f>
        <v>-2295.02705862937</v>
      </c>
      <c r="O59" s="15" t="n">
        <f aca="false">O31-O36-O39-O51-O55+O56+O57</f>
        <v>-16266.6908445868</v>
      </c>
      <c r="P59" s="15" t="n">
        <f aca="false">P31-P36-P39-P51-P55+P56+P57</f>
        <v>-14612.5492190241</v>
      </c>
      <c r="Q59" s="15" t="n">
        <f aca="false">Q31-Q36-Q39-Q51-Q55+Q56+Q57</f>
        <v>-13801.1146747396</v>
      </c>
      <c r="R59" s="15" t="n">
        <f aca="false">R31-R36-R39-R51-R55+R56+R57</f>
        <v>-17530.2518576693</v>
      </c>
      <c r="S59" s="15" t="n">
        <f aca="false">S31-S36-S39-S51-S55+S56+S57</f>
        <v>-16797.9321814525</v>
      </c>
      <c r="T59" s="15" t="n">
        <f aca="false">T31-T36-T39-T51-T55+T56+T57</f>
        <v>-16102.2284890465</v>
      </c>
      <c r="U59" s="15" t="n">
        <f aca="false">U31-U36-U39-U51-U55+U56+U57</f>
        <v>-15441.3099812609</v>
      </c>
      <c r="V59" s="15" t="n">
        <f aca="false">V31-V36-V39-V51-V55+V56+V57</f>
        <v>-14813.4373988645</v>
      </c>
      <c r="W59" s="15" t="n">
        <f aca="false">W31-W36-W39-W51-W55+W56+W57</f>
        <v>-14216.9584455879</v>
      </c>
      <c r="X59" s="15" t="n">
        <f aca="false">X31-X36-X39-X51-X55+X56+X57</f>
        <v>-21650.3034399752</v>
      </c>
      <c r="Y59" s="15" t="n">
        <f aca="false">Y31-Y36-Y39-Y51-Y55+Y56+Y57</f>
        <v>-11511.9811846431</v>
      </c>
      <c r="Z59" s="15" t="n">
        <f aca="false">Z31-Z36-Z39-Z51-Z55+Z56+Z57</f>
        <v>-19100.5750420776</v>
      </c>
      <c r="AA59" s="15" t="n">
        <f aca="false">AA31-AA36-AA39-AA51-AA55+AA56+AA57</f>
        <v>-23464.2654566404</v>
      </c>
      <c r="AB59" s="15" t="n">
        <f aca="false">AB31-AB36-AB39-AB51-AB55+AB56+AB57</f>
        <v>-20893.9380171417</v>
      </c>
      <c r="AC59" s="15" t="n">
        <f aca="false">AC31-AC36-AC39-AC51-AC55+AC56+AC57</f>
        <v>-19592.126949618</v>
      </c>
      <c r="AD59" s="15" t="n">
        <f aca="false">AD31-AD36-AD39-AD51-AD55+AD56+AD57</f>
        <v>-18355.4064354704</v>
      </c>
      <c r="AE59" s="15" t="n">
        <f aca="false">AE31-AE36-AE39-AE51-AE55+AE56+AE57</f>
        <v>-17180.5219470302</v>
      </c>
      <c r="AF59" s="15" t="n">
        <f aca="false">AF31-AF36-AF39-AF51-AF55+AF56+AF57</f>
        <v>-16064.381683012</v>
      </c>
      <c r="AG59" s="15" t="n">
        <f aca="false">AG31-AG36-AG39-AG51-AG55+AG56+AG57</f>
        <v>-15004.0484321948</v>
      </c>
      <c r="AH59" s="15" t="n">
        <f aca="false">AH31-AH36-AH39-AH51-AH55+AH56+AH57</f>
        <v>-13996.7318439184</v>
      </c>
      <c r="AI59" s="15" t="n">
        <f aca="false">AI31-AI36-AI39-AI51-AI55+AI56+AI57</f>
        <v>-13039.7810850558</v>
      </c>
      <c r="AJ59" s="15" t="n">
        <f aca="false">AJ31-AJ36-AJ39-AJ51-AJ55+AJ56+AJ57</f>
        <v>-20130.6778641363</v>
      </c>
      <c r="AK59" s="15" t="n">
        <f aca="false">AK31-AK36-AK39-AK51-AK55+AK56+AK57</f>
        <v>-9667.02980426282</v>
      </c>
      <c r="AL59" s="15" t="n">
        <f aca="false">AL31-AL36-AL39-AL51-AL55+AL56+AL57</f>
        <v>-10446.564147383</v>
      </c>
      <c r="AN59" s="15" t="n">
        <f aca="false">SUM(C59:N59)</f>
        <v>-107152.950345599</v>
      </c>
      <c r="AO59" s="15" t="n">
        <f aca="false">SUM(O59:Z59)</f>
        <v>-191845.332758928</v>
      </c>
      <c r="AP59" s="15" t="n">
        <f aca="false">SUM(AA59:AL59)</f>
        <v>-197835.473665864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-12811.1111111111</v>
      </c>
      <c r="D60" s="40" t="n">
        <f aca="false">D58+D59</f>
        <v>-25560</v>
      </c>
      <c r="E60" s="40" t="n">
        <f aca="false">E58+E59</f>
        <v>-35308.8888888889</v>
      </c>
      <c r="F60" s="40" t="n">
        <f aca="false">F58+F59</f>
        <v>-45097.5882777778</v>
      </c>
      <c r="G60" s="40" t="n">
        <f aca="false">G58+G59</f>
        <v>-54987.5657033333</v>
      </c>
      <c r="H60" s="40" t="n">
        <f aca="false">H58+H59</f>
        <v>-64899.0778166889</v>
      </c>
      <c r="I60" s="40" t="n">
        <f aca="false">I58+I59</f>
        <v>-74830.8325365765</v>
      </c>
      <c r="J60" s="40" t="n">
        <f aca="false">J58+J59</f>
        <v>-84781.6153066041</v>
      </c>
      <c r="K60" s="40" t="n">
        <f aca="false">K58+K59</f>
        <v>-94750.2844437634</v>
      </c>
      <c r="L60" s="40" t="n">
        <f aca="false">L58+L59</f>
        <v>-103887.787055664</v>
      </c>
      <c r="M60" s="40" t="n">
        <f aca="false">M58+M59</f>
        <v>-104857.92328697</v>
      </c>
      <c r="N60" s="40" t="n">
        <f aca="false">N58+N59</f>
        <v>-107152.950345599</v>
      </c>
      <c r="O60" s="40" t="n">
        <f aca="false">O58+O59</f>
        <v>-123419.641190186</v>
      </c>
      <c r="P60" s="40" t="n">
        <f aca="false">P58+P59</f>
        <v>-138032.19040921</v>
      </c>
      <c r="Q60" s="40" t="n">
        <f aca="false">Q58+Q59</f>
        <v>-151833.30508395</v>
      </c>
      <c r="R60" s="40" t="n">
        <f aca="false">R58+R59</f>
        <v>-169363.556941619</v>
      </c>
      <c r="S60" s="40" t="n">
        <f aca="false">S58+S59</f>
        <v>-186161.489123072</v>
      </c>
      <c r="T60" s="40" t="n">
        <f aca="false">T58+T59</f>
        <v>-202263.717612118</v>
      </c>
      <c r="U60" s="40" t="n">
        <f aca="false">U58+U59</f>
        <v>-217705.027593379</v>
      </c>
      <c r="V60" s="40" t="n">
        <f aca="false">V58+V59</f>
        <v>-232518.464992243</v>
      </c>
      <c r="W60" s="40" t="n">
        <f aca="false">W58+W59</f>
        <v>-246735.423437831</v>
      </c>
      <c r="X60" s="40" t="n">
        <f aca="false">X58+X59</f>
        <v>-268385.726877807</v>
      </c>
      <c r="Y60" s="40" t="n">
        <f aca="false">Y58+Y59</f>
        <v>-279897.70806245</v>
      </c>
      <c r="Z60" s="40" t="n">
        <f aca="false">Z58+Z59</f>
        <v>-298998.283104527</v>
      </c>
      <c r="AA60" s="40" t="n">
        <f aca="false">AA58+AA59</f>
        <v>-322462.548561168</v>
      </c>
      <c r="AB60" s="40" t="n">
        <f aca="false">AB58+AB59</f>
        <v>-343356.486578309</v>
      </c>
      <c r="AC60" s="40" t="n">
        <f aca="false">AC58+AC59</f>
        <v>-362948.613527927</v>
      </c>
      <c r="AD60" s="40" t="n">
        <f aca="false">AD58+AD59</f>
        <v>-381304.019963398</v>
      </c>
      <c r="AE60" s="40" t="n">
        <f aca="false">AE58+AE59</f>
        <v>-398484.541910428</v>
      </c>
      <c r="AF60" s="40" t="n">
        <f aca="false">AF58+AF59</f>
        <v>-414548.92359344</v>
      </c>
      <c r="AG60" s="40" t="n">
        <f aca="false">AG58+AG59</f>
        <v>-429552.972025635</v>
      </c>
      <c r="AH60" s="40" t="n">
        <f aca="false">AH58+AH59</f>
        <v>-443549.703869553</v>
      </c>
      <c r="AI60" s="40" t="n">
        <f aca="false">AI58+AI59</f>
        <v>-456589.484954609</v>
      </c>
      <c r="AJ60" s="40" t="n">
        <f aca="false">AJ58+AJ59</f>
        <v>-476720.162818745</v>
      </c>
      <c r="AK60" s="40" t="n">
        <f aca="false">AK58+AK59</f>
        <v>-486387.192623008</v>
      </c>
      <c r="AL60" s="40" t="n">
        <f aca="false">AL58+AL59</f>
        <v>-496833.756770391</v>
      </c>
      <c r="AN60" s="40" t="n">
        <f aca="false">N60</f>
        <v>-107152.950345599</v>
      </c>
      <c r="AO60" s="40" t="n">
        <f aca="false">Z60</f>
        <v>-298998.283104527</v>
      </c>
      <c r="AP60" s="40" t="n">
        <f aca="false">AL60</f>
        <v>-496833.756770391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-12811.1111111111</v>
      </c>
      <c r="D62" s="40" t="n">
        <f aca="false">D60-D61</f>
        <v>-25560</v>
      </c>
      <c r="E62" s="40" t="n">
        <f aca="false">E60-E61</f>
        <v>-35308.8888888889</v>
      </c>
      <c r="F62" s="40" t="n">
        <f aca="false">F60-F61</f>
        <v>-45097.5882777778</v>
      </c>
      <c r="G62" s="40" t="n">
        <f aca="false">G60-G61</f>
        <v>-54987.5657033333</v>
      </c>
      <c r="H62" s="40" t="n">
        <f aca="false">H60-H61</f>
        <v>-64899.0778166889</v>
      </c>
      <c r="I62" s="40" t="n">
        <f aca="false">I60-I61</f>
        <v>-74830.8325365765</v>
      </c>
      <c r="J62" s="40" t="n">
        <f aca="false">J60-J61</f>
        <v>-84781.6153066041</v>
      </c>
      <c r="K62" s="40" t="n">
        <f aca="false">K60-K61</f>
        <v>-94750.2844437634</v>
      </c>
      <c r="L62" s="40" t="n">
        <f aca="false">L60-L61</f>
        <v>-103887.787055664</v>
      </c>
      <c r="M62" s="40" t="n">
        <f aca="false">M60-M61</f>
        <v>-104857.92328697</v>
      </c>
      <c r="N62" s="40" t="n">
        <f aca="false">N60-N61</f>
        <v>-107152.950345599</v>
      </c>
      <c r="O62" s="40" t="n">
        <f aca="false">O60-O61</f>
        <v>-123419.641190186</v>
      </c>
      <c r="P62" s="40" t="n">
        <f aca="false">P60-P61</f>
        <v>-138032.19040921</v>
      </c>
      <c r="Q62" s="40" t="n">
        <f aca="false">Q60-Q61</f>
        <v>-151833.30508395</v>
      </c>
      <c r="R62" s="40" t="n">
        <f aca="false">R60-R61</f>
        <v>-169363.556941619</v>
      </c>
      <c r="S62" s="40" t="n">
        <f aca="false">S60-S61</f>
        <v>-186161.489123072</v>
      </c>
      <c r="T62" s="40" t="n">
        <f aca="false">T60-T61</f>
        <v>-202263.717612118</v>
      </c>
      <c r="U62" s="40" t="n">
        <f aca="false">U60-U61</f>
        <v>-217705.027593379</v>
      </c>
      <c r="V62" s="40" t="n">
        <f aca="false">V60-V61</f>
        <v>-232518.464992243</v>
      </c>
      <c r="W62" s="40" t="n">
        <f aca="false">W60-W61</f>
        <v>-246735.423437831</v>
      </c>
      <c r="X62" s="40" t="n">
        <f aca="false">X60-X61</f>
        <v>-268385.726877807</v>
      </c>
      <c r="Y62" s="40" t="n">
        <f aca="false">Y60-Y61</f>
        <v>-279897.70806245</v>
      </c>
      <c r="Z62" s="40" t="n">
        <f aca="false">Z60-Z61</f>
        <v>-298998.283104527</v>
      </c>
      <c r="AA62" s="40" t="n">
        <f aca="false">AA60-AA61</f>
        <v>-322462.548561168</v>
      </c>
      <c r="AB62" s="40" t="n">
        <f aca="false">AB60-AB61</f>
        <v>-343356.486578309</v>
      </c>
      <c r="AC62" s="40" t="n">
        <f aca="false">AC60-AC61</f>
        <v>-362948.613527927</v>
      </c>
      <c r="AD62" s="40" t="n">
        <f aca="false">AD60-AD61</f>
        <v>-381304.019963398</v>
      </c>
      <c r="AE62" s="40" t="n">
        <f aca="false">AE60-AE61</f>
        <v>-398484.541910428</v>
      </c>
      <c r="AF62" s="40" t="n">
        <f aca="false">AF60-AF61</f>
        <v>-414548.92359344</v>
      </c>
      <c r="AG62" s="40" t="n">
        <f aca="false">AG60-AG61</f>
        <v>-429552.972025635</v>
      </c>
      <c r="AH62" s="40" t="n">
        <f aca="false">AH60-AH61</f>
        <v>-443549.703869553</v>
      </c>
      <c r="AI62" s="40" t="n">
        <f aca="false">AI60-AI61</f>
        <v>-456589.484954609</v>
      </c>
      <c r="AJ62" s="40" t="n">
        <f aca="false">AJ60-AJ61</f>
        <v>-476720.162818745</v>
      </c>
      <c r="AK62" s="40" t="n">
        <f aca="false">AK60-AK61</f>
        <v>-486387.192623008</v>
      </c>
      <c r="AL62" s="40" t="n">
        <f aca="false">AL60-AL61</f>
        <v>-496833.756770391</v>
      </c>
      <c r="AN62" s="40" t="n">
        <f aca="false">N62</f>
        <v>-107152.950345599</v>
      </c>
      <c r="AO62" s="40" t="n">
        <f aca="false">Z62</f>
        <v>-298998.283104527</v>
      </c>
      <c r="AP62" s="40" t="n">
        <f aca="false">AL62</f>
        <v>-496833.756770391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-12811.1111111111</v>
      </c>
      <c r="D63" s="15" t="n">
        <f aca="false">MIN(C63,D62)</f>
        <v>-25560</v>
      </c>
      <c r="E63" s="15" t="n">
        <f aca="false">MIN(D63,E62)</f>
        <v>-35308.8888888889</v>
      </c>
      <c r="F63" s="15" t="n">
        <f aca="false">MIN(E63,F62)</f>
        <v>-45097.5882777778</v>
      </c>
      <c r="G63" s="15" t="n">
        <f aca="false">MIN(F63,G62)</f>
        <v>-54987.5657033333</v>
      </c>
      <c r="H63" s="15" t="n">
        <f aca="false">MIN(G63,H62)</f>
        <v>-64899.0778166889</v>
      </c>
      <c r="I63" s="15" t="n">
        <f aca="false">MIN(H63,I62)</f>
        <v>-74830.8325365765</v>
      </c>
      <c r="J63" s="15" t="n">
        <f aca="false">MIN(I63,J62)</f>
        <v>-84781.6153066041</v>
      </c>
      <c r="K63" s="15" t="n">
        <f aca="false">MIN(J63,K62)</f>
        <v>-94750.2844437634</v>
      </c>
      <c r="L63" s="15" t="n">
        <f aca="false">MIN(K63,L62)</f>
        <v>-103887.787055664</v>
      </c>
      <c r="M63" s="15" t="n">
        <f aca="false">MIN(L63,M62)</f>
        <v>-104857.92328697</v>
      </c>
      <c r="N63" s="15" t="n">
        <f aca="false">MIN(M63,N62)</f>
        <v>-107152.950345599</v>
      </c>
      <c r="O63" s="15" t="n">
        <f aca="false">MIN(N63,O62)</f>
        <v>-123419.641190186</v>
      </c>
      <c r="P63" s="15" t="n">
        <f aca="false">MIN(O63,P62)</f>
        <v>-138032.19040921</v>
      </c>
      <c r="Q63" s="15" t="n">
        <f aca="false">MIN(P63,Q62)</f>
        <v>-151833.30508395</v>
      </c>
      <c r="R63" s="15" t="n">
        <f aca="false">MIN(Q63,R62)</f>
        <v>-169363.556941619</v>
      </c>
      <c r="S63" s="15" t="n">
        <f aca="false">MIN(R63,S62)</f>
        <v>-186161.489123072</v>
      </c>
      <c r="T63" s="15" t="n">
        <f aca="false">MIN(S63,T62)</f>
        <v>-202263.717612118</v>
      </c>
      <c r="U63" s="15" t="n">
        <f aca="false">MIN(T63,U62)</f>
        <v>-217705.027593379</v>
      </c>
      <c r="V63" s="15" t="n">
        <f aca="false">MIN(U63,V62)</f>
        <v>-232518.464992243</v>
      </c>
      <c r="W63" s="15" t="n">
        <f aca="false">MIN(V63,W62)</f>
        <v>-246735.423437831</v>
      </c>
      <c r="X63" s="15" t="n">
        <f aca="false">MIN(W63,X62)</f>
        <v>-268385.726877807</v>
      </c>
      <c r="Y63" s="15" t="n">
        <f aca="false">MIN(X63,Y62)</f>
        <v>-279897.70806245</v>
      </c>
      <c r="Z63" s="15" t="n">
        <f aca="false">MIN(Y63,Z62)</f>
        <v>-298998.283104527</v>
      </c>
      <c r="AA63" s="15" t="n">
        <f aca="false">MIN(Z63,AA62)</f>
        <v>-322462.548561168</v>
      </c>
      <c r="AB63" s="15" t="n">
        <f aca="false">MIN(AA63,AB62)</f>
        <v>-343356.486578309</v>
      </c>
      <c r="AC63" s="15" t="n">
        <f aca="false">MIN(AB63,AC62)</f>
        <v>-362948.613527927</v>
      </c>
      <c r="AD63" s="15" t="n">
        <f aca="false">MIN(AC63,AD62)</f>
        <v>-381304.019963398</v>
      </c>
      <c r="AE63" s="15" t="n">
        <f aca="false">MIN(AD63,AE62)</f>
        <v>-398484.541910428</v>
      </c>
      <c r="AF63" s="15" t="n">
        <f aca="false">MIN(AE63,AF62)</f>
        <v>-414548.92359344</v>
      </c>
      <c r="AG63" s="15" t="n">
        <f aca="false">MIN(AF63,AG62)</f>
        <v>-429552.972025635</v>
      </c>
      <c r="AH63" s="15" t="n">
        <f aca="false">MIN(AG63,AH62)</f>
        <v>-443549.703869553</v>
      </c>
      <c r="AI63" s="15" t="n">
        <f aca="false">MIN(AH63,AI62)</f>
        <v>-456589.484954609</v>
      </c>
      <c r="AJ63" s="15" t="n">
        <f aca="false">MIN(AI63,AJ62)</f>
        <v>-476720.162818745</v>
      </c>
      <c r="AK63" s="15" t="n">
        <f aca="false">MIN(AJ63,AK62)</f>
        <v>-486387.192623008</v>
      </c>
      <c r="AL63" s="15" t="n">
        <f aca="false">MIN(AK63,AL62)</f>
        <v>-496833.756770391</v>
      </c>
      <c r="AN63" s="15" t="n">
        <f aca="false">N63</f>
        <v>-107152.950345599</v>
      </c>
      <c r="AO63" s="15" t="n">
        <f aca="false">Z63</f>
        <v>-298998.283104527</v>
      </c>
      <c r="AP63" s="15" t="n">
        <f aca="false">AL63</f>
        <v>-496833.756770391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0</v>
      </c>
      <c r="AG64" s="13" t="n">
        <f aca="false">IF(AND(AG9=1,AG62&gt;0),1,0)</f>
        <v>0</v>
      </c>
      <c r="AH64" s="13" t="n">
        <f aca="false">IF(AND(AH9=1,AH62&gt;0),1,0)</f>
        <v>0</v>
      </c>
      <c r="AI64" s="13" t="n">
        <f aca="false">IF(AND(AI9=1,AI62&gt;0),1,0)</f>
        <v>0</v>
      </c>
      <c r="AJ64" s="13" t="n">
        <f aca="false">IF(AND(AJ9=1,AJ62&gt;0),1,0)</f>
        <v>0</v>
      </c>
      <c r="AK64" s="13" t="n">
        <f aca="false">IF(AND(AK9=1,AK62&gt;0),1,0)</f>
        <v>0</v>
      </c>
      <c r="AL64" s="13" t="n">
        <f aca="false">IF(AND(AL9=1,AL62&gt;0),1,0)</f>
        <v>0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0</v>
      </c>
      <c r="F66" s="15" t="n">
        <f aca="false">F28*12</f>
        <v>7150</v>
      </c>
      <c r="G66" s="15" t="n">
        <f aca="false">G28*12</f>
        <v>6721</v>
      </c>
      <c r="H66" s="15" t="n">
        <f aca="false">H28*12</f>
        <v>6317.74</v>
      </c>
      <c r="I66" s="15" t="n">
        <f aca="false">I28*12</f>
        <v>5938.6756</v>
      </c>
      <c r="J66" s="15" t="n">
        <f aca="false">J28*12</f>
        <v>5582.355064</v>
      </c>
      <c r="K66" s="15" t="n">
        <f aca="false">K28*12</f>
        <v>5247.41376016</v>
      </c>
      <c r="L66" s="15" t="n">
        <f aca="false">L28*12</f>
        <v>10943.3764054853</v>
      </c>
      <c r="M66" s="15" t="n">
        <f aca="false">M28*12</f>
        <v>16354.5409185444</v>
      </c>
      <c r="N66" s="15" t="n">
        <f aca="false">N28*12</f>
        <v>21495.1472059505</v>
      </c>
      <c r="O66" s="15" t="n">
        <f aca="false">O28*12</f>
        <v>38295.389845653</v>
      </c>
      <c r="P66" s="15" t="n">
        <f aca="false">P28*12</f>
        <v>54255.6203533703</v>
      </c>
      <c r="Q66" s="15" t="n">
        <f aca="false">Q28*12</f>
        <v>69417.8393357018</v>
      </c>
      <c r="R66" s="15" t="n">
        <f aca="false">R28*12</f>
        <v>83821.9473689167</v>
      </c>
      <c r="S66" s="15" t="n">
        <f aca="false">S28*12</f>
        <v>97505.8500004709</v>
      </c>
      <c r="T66" s="15" t="n">
        <f aca="false">T28*12</f>
        <v>110505.557500447</v>
      </c>
      <c r="U66" s="15" t="n">
        <f aca="false">U28*12</f>
        <v>122855.279625425</v>
      </c>
      <c r="V66" s="15" t="n">
        <f aca="false">V28*12</f>
        <v>134587.515644154</v>
      </c>
      <c r="W66" s="15" t="n">
        <f aca="false">W28*12</f>
        <v>145733.139861946</v>
      </c>
      <c r="X66" s="15" t="n">
        <f aca="false">X28*12</f>
        <v>156321.482868849</v>
      </c>
      <c r="Y66" s="15" t="n">
        <f aca="false">Y28*12</f>
        <v>166380.408725406</v>
      </c>
      <c r="Z66" s="15" t="n">
        <f aca="false">Z28*12</f>
        <v>175936.388289136</v>
      </c>
      <c r="AA66" s="15" t="n">
        <f aca="false">AA28*12</f>
        <v>202889.568874679</v>
      </c>
      <c r="AB66" s="15" t="n">
        <f aca="false">AB28*12</f>
        <v>228495.090430945</v>
      </c>
      <c r="AC66" s="15" t="n">
        <f aca="false">AC28*12</f>
        <v>252820.335909398</v>
      </c>
      <c r="AD66" s="15" t="n">
        <f aca="false">AD28*12</f>
        <v>275929.319113928</v>
      </c>
      <c r="AE66" s="15" t="n">
        <f aca="false">AE28*12</f>
        <v>297882.853158232</v>
      </c>
      <c r="AF66" s="15" t="n">
        <f aca="false">AF28*12</f>
        <v>318738.71050032</v>
      </c>
      <c r="AG66" s="15" t="n">
        <f aca="false">AG28*12</f>
        <v>338551.774975304</v>
      </c>
      <c r="AH66" s="15" t="n">
        <f aca="false">AH28*12</f>
        <v>357374.186226539</v>
      </c>
      <c r="AI66" s="15" t="n">
        <f aca="false">AI28*12</f>
        <v>375255.476915212</v>
      </c>
      <c r="AJ66" s="15" t="n">
        <f aca="false">AJ28*12</f>
        <v>392242.703069451</v>
      </c>
      <c r="AK66" s="15" t="n">
        <f aca="false">AK28*12</f>
        <v>408380.567915979</v>
      </c>
      <c r="AL66" s="15" t="n">
        <f aca="false">AL28*12</f>
        <v>423711.53952018</v>
      </c>
      <c r="AN66" s="15" t="n">
        <f aca="false">N66</f>
        <v>21495.1472059505</v>
      </c>
      <c r="AO66" s="15" t="n">
        <f aca="false">Z66</f>
        <v>175936.388289136</v>
      </c>
      <c r="AP66" s="15" t="n">
        <f aca="false">AL66</f>
        <v>423711.53952018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0</v>
      </c>
      <c r="F67" s="19" t="n">
        <f aca="false">IF(F18&gt;0,F28/F18,0)</f>
        <v>59.5833333333333</v>
      </c>
      <c r="G67" s="19" t="n">
        <f aca="false">IF(G18&gt;0,G28/G18,0)</f>
        <v>59.5833333333333</v>
      </c>
      <c r="H67" s="19" t="n">
        <f aca="false">IF(H18&gt;0,H28/H18,0)</f>
        <v>59.5833333333333</v>
      </c>
      <c r="I67" s="19" t="n">
        <f aca="false">IF(I18&gt;0,I28/I18,0)</f>
        <v>59.5833333333333</v>
      </c>
      <c r="J67" s="19" t="n">
        <f aca="false">IF(J18&gt;0,J28/J18,0)</f>
        <v>59.5833333333333</v>
      </c>
      <c r="K67" s="19" t="n">
        <f aca="false">IF(K18&gt;0,K28/K18,0)</f>
        <v>59.5833333333333</v>
      </c>
      <c r="L67" s="19" t="n">
        <f aca="false">IF(L18&gt;0,L28/L18,0)</f>
        <v>59.5833333333333</v>
      </c>
      <c r="M67" s="19" t="n">
        <f aca="false">IF(M18&gt;0,M28/M18,0)</f>
        <v>59.5833333333333</v>
      </c>
      <c r="N67" s="19" t="n">
        <f aca="false">IF(N18&gt;0,N28/N18,0)</f>
        <v>59.5833333333333</v>
      </c>
      <c r="O67" s="19" t="n">
        <f aca="false">IF(O18&gt;0,O28/O18,0)</f>
        <v>59.5833333333333</v>
      </c>
      <c r="P67" s="19" t="n">
        <f aca="false">IF(P18&gt;0,P28/P18,0)</f>
        <v>59.5833333333333</v>
      </c>
      <c r="Q67" s="19" t="n">
        <f aca="false">IF(Q18&gt;0,Q28/Q18,0)</f>
        <v>59.5833333333333</v>
      </c>
      <c r="R67" s="19" t="n">
        <f aca="false">IF(R18&gt;0,R28/R18,0)</f>
        <v>59.5833333333333</v>
      </c>
      <c r="S67" s="19" t="n">
        <f aca="false">IF(S18&gt;0,S28/S18,0)</f>
        <v>59.5833333333333</v>
      </c>
      <c r="T67" s="19" t="n">
        <f aca="false">IF(T18&gt;0,T28/T18,0)</f>
        <v>59.5833333333333</v>
      </c>
      <c r="U67" s="19" t="n">
        <f aca="false">IF(U18&gt;0,U28/U18,0)</f>
        <v>59.5833333333333</v>
      </c>
      <c r="V67" s="19" t="n">
        <f aca="false">IF(V18&gt;0,V28/V18,0)</f>
        <v>59.5833333333333</v>
      </c>
      <c r="W67" s="19" t="n">
        <f aca="false">IF(W18&gt;0,W28/W18,0)</f>
        <v>59.5833333333334</v>
      </c>
      <c r="X67" s="19" t="n">
        <f aca="false">IF(X18&gt;0,X28/X18,0)</f>
        <v>59.5833333333333</v>
      </c>
      <c r="Y67" s="19" t="n">
        <f aca="false">IF(Y18&gt;0,Y28/Y18,0)</f>
        <v>59.5833333333333</v>
      </c>
      <c r="Z67" s="19" t="n">
        <f aca="false">IF(Z18&gt;0,Z28/Z18,0)</f>
        <v>59.5833333333333</v>
      </c>
      <c r="AA67" s="19" t="n">
        <f aca="false">IF(AA18&gt;0,AA28/AA18,0)</f>
        <v>59.5833333333333</v>
      </c>
      <c r="AB67" s="19" t="n">
        <f aca="false">IF(AB18&gt;0,AB28/AB18,0)</f>
        <v>59.5833333333333</v>
      </c>
      <c r="AC67" s="19" t="n">
        <f aca="false">IF(AC18&gt;0,AC28/AC18,0)</f>
        <v>59.5833333333333</v>
      </c>
      <c r="AD67" s="19" t="n">
        <f aca="false">IF(AD18&gt;0,AD28/AD18,0)</f>
        <v>59.5833333333333</v>
      </c>
      <c r="AE67" s="19" t="n">
        <f aca="false">IF(AE18&gt;0,AE28/AE18,0)</f>
        <v>59.5833333333333</v>
      </c>
      <c r="AF67" s="19" t="n">
        <f aca="false">IF(AF18&gt;0,AF28/AF18,0)</f>
        <v>59.5833333333333</v>
      </c>
      <c r="AG67" s="19" t="n">
        <f aca="false">IF(AG18&gt;0,AG28/AG18,0)</f>
        <v>59.5833333333333</v>
      </c>
      <c r="AH67" s="19" t="n">
        <f aca="false">IF(AH18&gt;0,AH28/AH18,0)</f>
        <v>59.5833333333333</v>
      </c>
      <c r="AI67" s="19" t="n">
        <f aca="false">IF(AI18&gt;0,AI28/AI18,0)</f>
        <v>59.5833333333333</v>
      </c>
      <c r="AJ67" s="19" t="n">
        <f aca="false">IF(AJ18&gt;0,AJ28/AJ18,0)</f>
        <v>59.5833333333333</v>
      </c>
      <c r="AK67" s="19" t="n">
        <f aca="false">IF(AK18&gt;0,AK28/AK18,0)</f>
        <v>59.5833333333333</v>
      </c>
      <c r="AL67" s="19" t="n">
        <f aca="false">IF(AL18&gt;0,AL28/AL18,0)</f>
        <v>59.5833333333333</v>
      </c>
      <c r="AN67" s="19" t="n">
        <f aca="false">N67</f>
        <v>59.5833333333333</v>
      </c>
      <c r="AO67" s="19" t="n">
        <f aca="false">Z67</f>
        <v>59.5833333333333</v>
      </c>
      <c r="AP67" s="19" t="n">
        <f aca="false">AL67</f>
        <v>59.5833333333333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0</v>
      </c>
      <c r="F68" s="19" t="n">
        <f aca="false">IF(F18&gt;0,F36/F18,0)</f>
        <v>22.75</v>
      </c>
      <c r="G68" s="19" t="n">
        <f aca="false">IF(G18&gt;0,G36/G18,0)</f>
        <v>22.75</v>
      </c>
      <c r="H68" s="19" t="n">
        <f aca="false">IF(H18&gt;0,H36/H18,0)</f>
        <v>22.75</v>
      </c>
      <c r="I68" s="19" t="n">
        <f aca="false">IF(I18&gt;0,I36/I18,0)</f>
        <v>22.75</v>
      </c>
      <c r="J68" s="19" t="n">
        <f aca="false">IF(J18&gt;0,J36/J18,0)</f>
        <v>22.75</v>
      </c>
      <c r="K68" s="19" t="n">
        <f aca="false">IF(K18&gt;0,K36/K18,0)</f>
        <v>22.75</v>
      </c>
      <c r="L68" s="19" t="n">
        <f aca="false">IF(L18&gt;0,L36/L18,0)</f>
        <v>22.75</v>
      </c>
      <c r="M68" s="19" t="n">
        <f aca="false">IF(M18&gt;0,M36/M18,0)</f>
        <v>22.75</v>
      </c>
      <c r="N68" s="19" t="n">
        <f aca="false">IF(N18&gt;0,N36/N18,0)</f>
        <v>22.75</v>
      </c>
      <c r="O68" s="19" t="n">
        <f aca="false">IF(O18&gt;0,O36/O18,0)</f>
        <v>22.75</v>
      </c>
      <c r="P68" s="19" t="n">
        <f aca="false">IF(P18&gt;0,P36/P18,0)</f>
        <v>22.75</v>
      </c>
      <c r="Q68" s="19" t="n">
        <f aca="false">IF(Q18&gt;0,Q36/Q18,0)</f>
        <v>22.75</v>
      </c>
      <c r="R68" s="19" t="n">
        <f aca="false">IF(R18&gt;0,R36/R18,0)</f>
        <v>22.75</v>
      </c>
      <c r="S68" s="19" t="n">
        <f aca="false">IF(S18&gt;0,S36/S18,0)</f>
        <v>22.75</v>
      </c>
      <c r="T68" s="19" t="n">
        <f aca="false">IF(T18&gt;0,T36/T18,0)</f>
        <v>22.75</v>
      </c>
      <c r="U68" s="19" t="n">
        <f aca="false">IF(U18&gt;0,U36/U18,0)</f>
        <v>22.75</v>
      </c>
      <c r="V68" s="19" t="n">
        <f aca="false">IF(V18&gt;0,V36/V18,0)</f>
        <v>22.75</v>
      </c>
      <c r="W68" s="19" t="n">
        <f aca="false">IF(W18&gt;0,W36/W18,0)</f>
        <v>22.75</v>
      </c>
      <c r="X68" s="19" t="n">
        <f aca="false">IF(X18&gt;0,X36/X18,0)</f>
        <v>22.75</v>
      </c>
      <c r="Y68" s="19" t="n">
        <f aca="false">IF(Y18&gt;0,Y36/Y18,0)</f>
        <v>22.75</v>
      </c>
      <c r="Z68" s="19" t="n">
        <f aca="false">IF(Z18&gt;0,Z36/Z18,0)</f>
        <v>22.75</v>
      </c>
      <c r="AA68" s="19" t="n">
        <f aca="false">IF(AA18&gt;0,AA36/AA18,0)</f>
        <v>22.75</v>
      </c>
      <c r="AB68" s="19" t="n">
        <f aca="false">IF(AB18&gt;0,AB36/AB18,0)</f>
        <v>22.75</v>
      </c>
      <c r="AC68" s="19" t="n">
        <f aca="false">IF(AC18&gt;0,AC36/AC18,0)</f>
        <v>22.75</v>
      </c>
      <c r="AD68" s="19" t="n">
        <f aca="false">IF(AD18&gt;0,AD36/AD18,0)</f>
        <v>22.75</v>
      </c>
      <c r="AE68" s="19" t="n">
        <f aca="false">IF(AE18&gt;0,AE36/AE18,0)</f>
        <v>22.75</v>
      </c>
      <c r="AF68" s="19" t="n">
        <f aca="false">IF(AF18&gt;0,AF36/AF18,0)</f>
        <v>22.75</v>
      </c>
      <c r="AG68" s="19" t="n">
        <f aca="false">IF(AG18&gt;0,AG36/AG18,0)</f>
        <v>22.75</v>
      </c>
      <c r="AH68" s="19" t="n">
        <f aca="false">IF(AH18&gt;0,AH36/AH18,0)</f>
        <v>22.75</v>
      </c>
      <c r="AI68" s="19" t="n">
        <f aca="false">IF(AI18&gt;0,AI36/AI18,0)</f>
        <v>22.75</v>
      </c>
      <c r="AJ68" s="19" t="n">
        <f aca="false">IF(AJ18&gt;0,AJ36/AJ18,0)</f>
        <v>22.75</v>
      </c>
      <c r="AK68" s="19" t="n">
        <f aca="false">IF(AK18&gt;0,AK36/AK18,0)</f>
        <v>22.75</v>
      </c>
      <c r="AL68" s="19" t="n">
        <f aca="false">IF(AL18&gt;0,AL36/AL18,0)</f>
        <v>22.75</v>
      </c>
      <c r="AN68" s="19" t="n">
        <f aca="false">N68</f>
        <v>22.75</v>
      </c>
      <c r="AO68" s="19" t="n">
        <f aca="false">Z68</f>
        <v>22.75</v>
      </c>
      <c r="AP68" s="19" t="n">
        <f aca="false">AL68</f>
        <v>22.75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0</v>
      </c>
      <c r="F69" s="19" t="n">
        <f aca="false">IF(F18&gt;0,F37/F18,0)</f>
        <v>34.3406166666667</v>
      </c>
      <c r="G69" s="19" t="n">
        <f aca="false">IF(G18&gt;0,G37/G18,0)</f>
        <v>34.3406166666667</v>
      </c>
      <c r="H69" s="19" t="n">
        <f aca="false">IF(H18&gt;0,H37/H18,0)</f>
        <v>34.3406166666667</v>
      </c>
      <c r="I69" s="19" t="n">
        <f aca="false">IF(I18&gt;0,I37/I18,0)</f>
        <v>34.3406166666667</v>
      </c>
      <c r="J69" s="19" t="n">
        <f aca="false">IF(J18&gt;0,J37/J18,0)</f>
        <v>34.3406166666667</v>
      </c>
      <c r="K69" s="19" t="n">
        <f aca="false">IF(K18&gt;0,K37/K18,0)</f>
        <v>34.3406166666667</v>
      </c>
      <c r="L69" s="19" t="n">
        <f aca="false">IF(L18&gt;0,L37/L18,0)</f>
        <v>34.3406166666667</v>
      </c>
      <c r="M69" s="19" t="n">
        <f aca="false">IF(M18&gt;0,M37/M18,0)</f>
        <v>34.3406166666667</v>
      </c>
      <c r="N69" s="19" t="n">
        <f aca="false">IF(N18&gt;0,N37/N18,0)</f>
        <v>34.3406166666667</v>
      </c>
      <c r="O69" s="19" t="n">
        <f aca="false">IF(O18&gt;0,O37/O18,0)</f>
        <v>34.3406166666667</v>
      </c>
      <c r="P69" s="19" t="n">
        <f aca="false">IF(P18&gt;0,P37/P18,0)</f>
        <v>34.3406166666667</v>
      </c>
      <c r="Q69" s="19" t="n">
        <f aca="false">IF(Q18&gt;0,Q37/Q18,0)</f>
        <v>34.3406166666667</v>
      </c>
      <c r="R69" s="19" t="n">
        <f aca="false">IF(R18&gt;0,R37/R18,0)</f>
        <v>34.3406166666667</v>
      </c>
      <c r="S69" s="19" t="n">
        <f aca="false">IF(S18&gt;0,S37/S18,0)</f>
        <v>34.3406166666667</v>
      </c>
      <c r="T69" s="19" t="n">
        <f aca="false">IF(T18&gt;0,T37/T18,0)</f>
        <v>34.3406166666667</v>
      </c>
      <c r="U69" s="19" t="n">
        <f aca="false">IF(U18&gt;0,U37/U18,0)</f>
        <v>34.3406166666667</v>
      </c>
      <c r="V69" s="19" t="n">
        <f aca="false">IF(V18&gt;0,V37/V18,0)</f>
        <v>34.3406166666667</v>
      </c>
      <c r="W69" s="19" t="n">
        <f aca="false">IF(W18&gt;0,W37/W18,0)</f>
        <v>34.3406166666667</v>
      </c>
      <c r="X69" s="19" t="n">
        <f aca="false">IF(X18&gt;0,X37/X18,0)</f>
        <v>34.3406166666667</v>
      </c>
      <c r="Y69" s="19" t="n">
        <f aca="false">IF(Y18&gt;0,Y37/Y18,0)</f>
        <v>34.3406166666667</v>
      </c>
      <c r="Z69" s="19" t="n">
        <f aca="false">IF(Z18&gt;0,Z37/Z18,0)</f>
        <v>34.3406166666667</v>
      </c>
      <c r="AA69" s="19" t="n">
        <f aca="false">IF(AA18&gt;0,AA37/AA18,0)</f>
        <v>34.3406166666667</v>
      </c>
      <c r="AB69" s="19" t="n">
        <f aca="false">IF(AB18&gt;0,AB37/AB18,0)</f>
        <v>34.3406166666667</v>
      </c>
      <c r="AC69" s="19" t="n">
        <f aca="false">IF(AC18&gt;0,AC37/AC18,0)</f>
        <v>34.3406166666667</v>
      </c>
      <c r="AD69" s="19" t="n">
        <f aca="false">IF(AD18&gt;0,AD37/AD18,0)</f>
        <v>34.3406166666667</v>
      </c>
      <c r="AE69" s="19" t="n">
        <f aca="false">IF(AE18&gt;0,AE37/AE18,0)</f>
        <v>34.3406166666667</v>
      </c>
      <c r="AF69" s="19" t="n">
        <f aca="false">IF(AF18&gt;0,AF37/AF18,0)</f>
        <v>34.3406166666667</v>
      </c>
      <c r="AG69" s="19" t="n">
        <f aca="false">IF(AG18&gt;0,AG37/AG18,0)</f>
        <v>34.3406166666667</v>
      </c>
      <c r="AH69" s="19" t="n">
        <f aca="false">IF(AH18&gt;0,AH37/AH18,0)</f>
        <v>34.3406166666667</v>
      </c>
      <c r="AI69" s="19" t="n">
        <f aca="false">IF(AI18&gt;0,AI37/AI18,0)</f>
        <v>34.3406166666667</v>
      </c>
      <c r="AJ69" s="19" t="n">
        <f aca="false">IF(AJ18&gt;0,AJ37/AJ18,0)</f>
        <v>34.3406166666667</v>
      </c>
      <c r="AK69" s="19" t="n">
        <f aca="false">IF(AK18&gt;0,AK37/AK18,0)</f>
        <v>34.3406166666667</v>
      </c>
      <c r="AL69" s="19" t="n">
        <f aca="false">IF(AL18&gt;0,AL37/AL18,0)</f>
        <v>34.3406166666667</v>
      </c>
      <c r="AN69" s="19" t="n">
        <f aca="false">N69</f>
        <v>34.3406166666667</v>
      </c>
      <c r="AO69" s="19" t="n">
        <f aca="false">Z69</f>
        <v>34.3406166666667</v>
      </c>
      <c r="AP69" s="19" t="n">
        <f aca="false">AL69</f>
        <v>34.3406166666667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</v>
      </c>
      <c r="F70" s="17" t="n">
        <f aca="false">IF(F28&gt;0,F37/F28,0)</f>
        <v>0.576346013986014</v>
      </c>
      <c r="G70" s="17" t="n">
        <f aca="false">IF(G28&gt;0,G37/G28,0)</f>
        <v>0.576346013986014</v>
      </c>
      <c r="H70" s="17" t="n">
        <f aca="false">IF(H28&gt;0,H37/H28,0)</f>
        <v>0.576346013986014</v>
      </c>
      <c r="I70" s="17" t="n">
        <f aca="false">IF(I28&gt;0,I37/I28,0)</f>
        <v>0.576346013986014</v>
      </c>
      <c r="J70" s="17" t="n">
        <f aca="false">IF(J28&gt;0,J37/J28,0)</f>
        <v>0.576346013986014</v>
      </c>
      <c r="K70" s="17" t="n">
        <f aca="false">IF(K28&gt;0,K37/K28,0)</f>
        <v>0.576346013986014</v>
      </c>
      <c r="L70" s="17" t="n">
        <f aca="false">IF(L28&gt;0,L37/L28,0)</f>
        <v>0.576346013986014</v>
      </c>
      <c r="M70" s="17" t="n">
        <f aca="false">IF(M28&gt;0,M37/M28,0)</f>
        <v>0.576346013986014</v>
      </c>
      <c r="N70" s="17" t="n">
        <f aca="false">IF(N28&gt;0,N37/N28,0)</f>
        <v>0.576346013986014</v>
      </c>
      <c r="O70" s="17" t="n">
        <f aca="false">IF(O28&gt;0,O37/O28,0)</f>
        <v>0.576346013986014</v>
      </c>
      <c r="P70" s="17" t="n">
        <f aca="false">IF(P28&gt;0,P37/P28,0)</f>
        <v>0.576346013986014</v>
      </c>
      <c r="Q70" s="17" t="n">
        <f aca="false">IF(Q28&gt;0,Q37/Q28,0)</f>
        <v>0.576346013986014</v>
      </c>
      <c r="R70" s="17" t="n">
        <f aca="false">IF(R28&gt;0,R37/R28,0)</f>
        <v>0.576346013986014</v>
      </c>
      <c r="S70" s="17" t="n">
        <f aca="false">IF(S28&gt;0,S37/S28,0)</f>
        <v>0.576346013986014</v>
      </c>
      <c r="T70" s="17" t="n">
        <f aca="false">IF(T28&gt;0,T37/T28,0)</f>
        <v>0.576346013986014</v>
      </c>
      <c r="U70" s="17" t="n">
        <f aca="false">IF(U28&gt;0,U37/U28,0)</f>
        <v>0.576346013986014</v>
      </c>
      <c r="V70" s="17" t="n">
        <f aca="false">IF(V28&gt;0,V37/V28,0)</f>
        <v>0.576346013986014</v>
      </c>
      <c r="W70" s="17" t="n">
        <f aca="false">IF(W28&gt;0,W37/W28,0)</f>
        <v>0.576346013986014</v>
      </c>
      <c r="X70" s="17" t="n">
        <f aca="false">IF(X28&gt;0,X37/X28,0)</f>
        <v>0.576346013986014</v>
      </c>
      <c r="Y70" s="17" t="n">
        <f aca="false">IF(Y28&gt;0,Y37/Y28,0)</f>
        <v>0.576346013986014</v>
      </c>
      <c r="Z70" s="17" t="n">
        <f aca="false">IF(Z28&gt;0,Z37/Z28,0)</f>
        <v>0.576346013986014</v>
      </c>
      <c r="AA70" s="17" t="n">
        <f aca="false">IF(AA28&gt;0,AA37/AA28,0)</f>
        <v>0.576346013986014</v>
      </c>
      <c r="AB70" s="17" t="n">
        <f aca="false">IF(AB28&gt;0,AB37/AB28,0)</f>
        <v>0.576346013986014</v>
      </c>
      <c r="AC70" s="17" t="n">
        <f aca="false">IF(AC28&gt;0,AC37/AC28,0)</f>
        <v>0.576346013986014</v>
      </c>
      <c r="AD70" s="17" t="n">
        <f aca="false">IF(AD28&gt;0,AD37/AD28,0)</f>
        <v>0.576346013986014</v>
      </c>
      <c r="AE70" s="17" t="n">
        <f aca="false">IF(AE28&gt;0,AE37/AE28,0)</f>
        <v>0.576346013986014</v>
      </c>
      <c r="AF70" s="17" t="n">
        <f aca="false">IF(AF28&gt;0,AF37/AF28,0)</f>
        <v>0.576346013986014</v>
      </c>
      <c r="AG70" s="17" t="n">
        <f aca="false">IF(AG28&gt;0,AG37/AG28,0)</f>
        <v>0.576346013986014</v>
      </c>
      <c r="AH70" s="17" t="n">
        <f aca="false">IF(AH28&gt;0,AH37/AH28,0)</f>
        <v>0.576346013986014</v>
      </c>
      <c r="AI70" s="17" t="n">
        <f aca="false">IF(AI28&gt;0,AI37/AI28,0)</f>
        <v>0.576346013986014</v>
      </c>
      <c r="AJ70" s="17" t="n">
        <f aca="false">IF(AJ28&gt;0,AJ37/AJ28,0)</f>
        <v>0.576346013986014</v>
      </c>
      <c r="AK70" s="17" t="n">
        <f aca="false">IF(AK28&gt;0,AK37/AK28,0)</f>
        <v>0.576346013986014</v>
      </c>
      <c r="AL70" s="17" t="n">
        <f aca="false">IF(AL28&gt;0,AL37/AL28,0)</f>
        <v>0.576346013986014</v>
      </c>
      <c r="AN70" s="17" t="n">
        <f aca="false">N70</f>
        <v>0.576346013986014</v>
      </c>
      <c r="AO70" s="17" t="n">
        <f aca="false">Z70</f>
        <v>0.576346013986014</v>
      </c>
      <c r="AP70" s="17" t="n">
        <f aca="false">AL70</f>
        <v>0.576346013986014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0</v>
      </c>
      <c r="J71" s="15" t="n">
        <f aca="false">IF(J14&gt;0,J39/J14,0)</f>
        <v>0</v>
      </c>
      <c r="K71" s="15" t="n">
        <f aca="false">IF(K14&gt;0,K39/K14,0)</f>
        <v>0</v>
      </c>
      <c r="L71" s="15" t="n">
        <f aca="false">IF(L14&gt;0,L39/L14,0)</f>
        <v>240</v>
      </c>
      <c r="M71" s="15" t="n">
        <f aca="false">IF(M14&gt;0,M39/M14,0)</f>
        <v>240</v>
      </c>
      <c r="N71" s="15" t="n">
        <f aca="false">IF(N14&gt;0,N39/N14,0)</f>
        <v>240</v>
      </c>
      <c r="O71" s="15" t="n">
        <f aca="false">IF(O14&gt;0,O39/O14,0)</f>
        <v>240</v>
      </c>
      <c r="P71" s="15" t="n">
        <f aca="false">IF(P14&gt;0,P39/P14,0)</f>
        <v>240</v>
      </c>
      <c r="Q71" s="15" t="n">
        <f aca="false">IF(Q14&gt;0,Q39/Q14,0)</f>
        <v>240</v>
      </c>
      <c r="R71" s="15" t="n">
        <f aca="false">IF(R14&gt;0,R39/R14,0)</f>
        <v>240</v>
      </c>
      <c r="S71" s="15" t="n">
        <f aca="false">IF(S14&gt;0,S39/S14,0)</f>
        <v>240</v>
      </c>
      <c r="T71" s="15" t="n">
        <f aca="false">IF(T14&gt;0,T39/T14,0)</f>
        <v>240</v>
      </c>
      <c r="U71" s="15" t="n">
        <f aca="false">IF(U14&gt;0,U39/U14,0)</f>
        <v>240</v>
      </c>
      <c r="V71" s="15" t="n">
        <f aca="false">IF(V14&gt;0,V39/V14,0)</f>
        <v>240</v>
      </c>
      <c r="W71" s="15" t="n">
        <f aca="false">IF(W14&gt;0,W39/W14,0)</f>
        <v>240</v>
      </c>
      <c r="X71" s="15" t="n">
        <f aca="false">IF(X14&gt;0,X39/X14,0)</f>
        <v>240</v>
      </c>
      <c r="Y71" s="15" t="n">
        <f aca="false">IF(Y14&gt;0,Y39/Y14,0)</f>
        <v>240</v>
      </c>
      <c r="Z71" s="15" t="n">
        <f aca="false">IF(Z14&gt;0,Z39/Z14,0)</f>
        <v>240</v>
      </c>
      <c r="AA71" s="15" t="n">
        <f aca="false">IF(AA14&gt;0,AA39/AA14,0)</f>
        <v>240</v>
      </c>
      <c r="AB71" s="15" t="n">
        <f aca="false">IF(AB14&gt;0,AB39/AB14,0)</f>
        <v>240</v>
      </c>
      <c r="AC71" s="15" t="n">
        <f aca="false">IF(AC14&gt;0,AC39/AC14,0)</f>
        <v>240</v>
      </c>
      <c r="AD71" s="15" t="n">
        <f aca="false">IF(AD14&gt;0,AD39/AD14,0)</f>
        <v>240</v>
      </c>
      <c r="AE71" s="15" t="n">
        <f aca="false">IF(AE14&gt;0,AE39/AE14,0)</f>
        <v>240</v>
      </c>
      <c r="AF71" s="15" t="n">
        <f aca="false">IF(AF14&gt;0,AF39/AF14,0)</f>
        <v>240</v>
      </c>
      <c r="AG71" s="15" t="n">
        <f aca="false">IF(AG14&gt;0,AG39/AG14,0)</f>
        <v>240</v>
      </c>
      <c r="AH71" s="15" t="n">
        <f aca="false">IF(AH14&gt;0,AH39/AH14,0)</f>
        <v>240</v>
      </c>
      <c r="AI71" s="15" t="n">
        <f aca="false">IF(AI14&gt;0,AI39/AI14,0)</f>
        <v>240</v>
      </c>
      <c r="AJ71" s="15" t="n">
        <f aca="false">IF(AJ14&gt;0,AJ39/AJ14,0)</f>
        <v>240</v>
      </c>
      <c r="AK71" s="15" t="n">
        <f aca="false">IF(AK14&gt;0,AK39/AK14,0)</f>
        <v>240</v>
      </c>
      <c r="AL71" s="15" t="n">
        <f aca="false">IF(AL14&gt;0,AL39/AL14,0)</f>
        <v>240</v>
      </c>
      <c r="AN71" s="15" t="n">
        <f aca="false">N71</f>
        <v>240</v>
      </c>
      <c r="AO71" s="15" t="n">
        <f aca="false">Z71</f>
        <v>240</v>
      </c>
      <c r="AP71" s="15" t="n">
        <f aca="false">AL71</f>
        <v>240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IF(C69&gt;0,Hypothèses!$C$23*$E$4/C69,0)</f>
        <v>0</v>
      </c>
      <c r="D72" s="38" t="n">
        <f aca="false">IF(D69&gt;0,Hypothèses!$C$23*$E$4/D69,0)</f>
        <v>0</v>
      </c>
      <c r="E72" s="38" t="n">
        <f aca="false">IF(E69&gt;0,Hypothèses!$C$23*$E$4/E69,0)</f>
        <v>0</v>
      </c>
      <c r="F72" s="38" t="n">
        <f aca="false">IF(F69&gt;0,Hypothèses!$C$23*$E$4/F69,0)</f>
        <v>6.98880868475959</v>
      </c>
      <c r="G72" s="38" t="n">
        <f aca="false">IF(G69&gt;0,Hypothèses!$C$23*$E$4/G69,0)</f>
        <v>6.98880868475959</v>
      </c>
      <c r="H72" s="38" t="n">
        <f aca="false">IF(H69&gt;0,Hypothèses!$C$23*$E$4/H69,0)</f>
        <v>6.98880868475959</v>
      </c>
      <c r="I72" s="38" t="n">
        <f aca="false">IF(I69&gt;0,Hypothèses!$C$23*$E$4/I69,0)</f>
        <v>6.98880868475959</v>
      </c>
      <c r="J72" s="38" t="n">
        <f aca="false">IF(J69&gt;0,Hypothèses!$C$23*$E$4/J69,0)</f>
        <v>6.98880868475959</v>
      </c>
      <c r="K72" s="38" t="n">
        <f aca="false">IF(K69&gt;0,Hypothèses!$C$23*$E$4/K69,0)</f>
        <v>6.98880868475959</v>
      </c>
      <c r="L72" s="38" t="n">
        <f aca="false">IF(L69&gt;0,Hypothèses!$C$23*$E$4/L69,0)</f>
        <v>6.98880868475959</v>
      </c>
      <c r="M72" s="38" t="n">
        <f aca="false">IF(M69&gt;0,Hypothèses!$C$23*$E$4/M69,0)</f>
        <v>6.98880868475959</v>
      </c>
      <c r="N72" s="38" t="n">
        <f aca="false">IF(N69&gt;0,Hypothèses!$C$23*$E$4/N69,0)</f>
        <v>6.98880868475959</v>
      </c>
      <c r="O72" s="38" t="n">
        <f aca="false">IF(O69&gt;0,Hypothèses!$C$23*$E$4/O69,0)</f>
        <v>6.98880868475959</v>
      </c>
      <c r="P72" s="38" t="n">
        <f aca="false">IF(P69&gt;0,Hypothèses!$C$23*$E$4/P69,0)</f>
        <v>6.98880868475959</v>
      </c>
      <c r="Q72" s="38" t="n">
        <f aca="false">IF(Q69&gt;0,Hypothèses!$C$23*$E$4/Q69,0)</f>
        <v>6.98880868475959</v>
      </c>
      <c r="R72" s="38" t="n">
        <f aca="false">IF(R69&gt;0,Hypothèses!$C$23*$E$4/R69,0)</f>
        <v>6.98880868475959</v>
      </c>
      <c r="S72" s="38" t="n">
        <f aca="false">IF(S69&gt;0,Hypothèses!$C$23*$E$4/S69,0)</f>
        <v>6.98880868475959</v>
      </c>
      <c r="T72" s="38" t="n">
        <f aca="false">IF(T69&gt;0,Hypothèses!$C$23*$E$4/T69,0)</f>
        <v>6.98880868475959</v>
      </c>
      <c r="U72" s="38" t="n">
        <f aca="false">IF(U69&gt;0,Hypothèses!$C$23*$E$4/U69,0)</f>
        <v>6.98880868475959</v>
      </c>
      <c r="V72" s="38" t="n">
        <f aca="false">IF(V69&gt;0,Hypothèses!$C$23*$E$4/V69,0)</f>
        <v>6.98880868475959</v>
      </c>
      <c r="W72" s="38" t="n">
        <f aca="false">IF(W69&gt;0,Hypothèses!$C$23*$E$4/W69,0)</f>
        <v>6.98880868475959</v>
      </c>
      <c r="X72" s="38" t="n">
        <f aca="false">IF(X69&gt;0,Hypothèses!$C$23*$E$4/X69,0)</f>
        <v>6.98880868475959</v>
      </c>
      <c r="Y72" s="38" t="n">
        <f aca="false">IF(Y69&gt;0,Hypothèses!$C$23*$E$4/Y69,0)</f>
        <v>6.98880868475959</v>
      </c>
      <c r="Z72" s="38" t="n">
        <f aca="false">IF(Z69&gt;0,Hypothèses!$C$23*$E$4/Z69,0)</f>
        <v>6.98880868475959</v>
      </c>
      <c r="AA72" s="38" t="n">
        <f aca="false">IF(AA69&gt;0,Hypothèses!$C$23*$E$4/AA69,0)</f>
        <v>6.98880868475959</v>
      </c>
      <c r="AB72" s="38" t="n">
        <f aca="false">IF(AB69&gt;0,Hypothèses!$C$23*$E$4/AB69,0)</f>
        <v>6.98880868475959</v>
      </c>
      <c r="AC72" s="38" t="n">
        <f aca="false">IF(AC69&gt;0,Hypothèses!$C$23*$E$4/AC69,0)</f>
        <v>6.98880868475959</v>
      </c>
      <c r="AD72" s="38" t="n">
        <f aca="false">IF(AD69&gt;0,Hypothèses!$C$23*$E$4/AD69,0)</f>
        <v>6.98880868475959</v>
      </c>
      <c r="AE72" s="38" t="n">
        <f aca="false">IF(AE69&gt;0,Hypothèses!$C$23*$E$4/AE69,0)</f>
        <v>6.98880868475959</v>
      </c>
      <c r="AF72" s="38" t="n">
        <f aca="false">IF(AF69&gt;0,Hypothèses!$C$23*$E$4/AF69,0)</f>
        <v>6.98880868475959</v>
      </c>
      <c r="AG72" s="38" t="n">
        <f aca="false">IF(AG69&gt;0,Hypothèses!$C$23*$E$4/AG69,0)</f>
        <v>6.98880868475959</v>
      </c>
      <c r="AH72" s="38" t="n">
        <f aca="false">IF(AH69&gt;0,Hypothèses!$C$23*$E$4/AH69,0)</f>
        <v>6.98880868475959</v>
      </c>
      <c r="AI72" s="38" t="n">
        <f aca="false">IF(AI69&gt;0,Hypothèses!$C$23*$E$4/AI69,0)</f>
        <v>6.98880868475959</v>
      </c>
      <c r="AJ72" s="38" t="n">
        <f aca="false">IF(AJ69&gt;0,Hypothèses!$C$23*$E$4/AJ69,0)</f>
        <v>6.98880868475959</v>
      </c>
      <c r="AK72" s="38" t="n">
        <f aca="false">IF(AK69&gt;0,Hypothèses!$C$23*$E$4/AK69,0)</f>
        <v>6.98880868475959</v>
      </c>
      <c r="AL72" s="38" t="n">
        <f aca="false">IF(AL69&gt;0,Hypothèses!$C$23*$E$4/AL69,0)</f>
        <v>6.98880868475959</v>
      </c>
      <c r="AN72" s="38" t="n">
        <f aca="false">N72</f>
        <v>6.98880868475959</v>
      </c>
      <c r="AO72" s="38" t="n">
        <f aca="false">Z72</f>
        <v>6.98880868475959</v>
      </c>
      <c r="AP72" s="38" t="n">
        <f aca="false">AL72</f>
        <v>6.98880868475959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IF(Hypothèses!$C$26*$D$4&gt;0,C69/(Hypothèses!$C$26*$D$4),0)</f>
        <v>0</v>
      </c>
      <c r="D73" s="15" t="n">
        <f aca="false">IF(Hypothèses!$C$26*$D$4&gt;0,D69/(Hypothèses!$C$26*$D$4),0)</f>
        <v>0</v>
      </c>
      <c r="E73" s="15" t="n">
        <f aca="false">IF(Hypothèses!$C$26*$D$4&gt;0,E69/(Hypothèses!$C$26*$D$4),0)</f>
        <v>0</v>
      </c>
      <c r="F73" s="15" t="n">
        <f aca="false">IF(Hypothèses!$C$26*$D$4&gt;0,F69/(Hypothèses!$C$26*$D$4),0)</f>
        <v>572.343611111111</v>
      </c>
      <c r="G73" s="15" t="n">
        <f aca="false">IF(Hypothèses!$C$26*$D$4&gt;0,G69/(Hypothèses!$C$26*$D$4),0)</f>
        <v>572.343611111111</v>
      </c>
      <c r="H73" s="15" t="n">
        <f aca="false">IF(Hypothèses!$C$26*$D$4&gt;0,H69/(Hypothèses!$C$26*$D$4),0)</f>
        <v>572.343611111111</v>
      </c>
      <c r="I73" s="15" t="n">
        <f aca="false">IF(Hypothèses!$C$26*$D$4&gt;0,I69/(Hypothèses!$C$26*$D$4),0)</f>
        <v>572.343611111111</v>
      </c>
      <c r="J73" s="15" t="n">
        <f aca="false">IF(Hypothèses!$C$26*$D$4&gt;0,J69/(Hypothèses!$C$26*$D$4),0)</f>
        <v>572.343611111111</v>
      </c>
      <c r="K73" s="15" t="n">
        <f aca="false">IF(Hypothèses!$C$26*$D$4&gt;0,K69/(Hypothèses!$C$26*$D$4),0)</f>
        <v>572.343611111111</v>
      </c>
      <c r="L73" s="15" t="n">
        <f aca="false">IF(Hypothèses!$C$26*$D$4&gt;0,L69/(Hypothèses!$C$26*$D$4),0)</f>
        <v>572.343611111111</v>
      </c>
      <c r="M73" s="15" t="n">
        <f aca="false">IF(Hypothèses!$C$26*$D$4&gt;0,M69/(Hypothèses!$C$26*$D$4),0)</f>
        <v>572.343611111111</v>
      </c>
      <c r="N73" s="15" t="n">
        <f aca="false">IF(Hypothèses!$C$26*$D$4&gt;0,N69/(Hypothèses!$C$26*$D$4),0)</f>
        <v>572.343611111111</v>
      </c>
      <c r="O73" s="15" t="n">
        <f aca="false">IF(Hypothèses!$C$26*$D$4&gt;0,O69/(Hypothèses!$C$26*$D$4),0)</f>
        <v>572.343611111111</v>
      </c>
      <c r="P73" s="15" t="n">
        <f aca="false">IF(Hypothèses!$C$26*$D$4&gt;0,P69/(Hypothèses!$C$26*$D$4),0)</f>
        <v>572.343611111111</v>
      </c>
      <c r="Q73" s="15" t="n">
        <f aca="false">IF(Hypothèses!$C$26*$D$4&gt;0,Q69/(Hypothèses!$C$26*$D$4),0)</f>
        <v>572.343611111111</v>
      </c>
      <c r="R73" s="15" t="n">
        <f aca="false">IF(Hypothèses!$C$26*$D$4&gt;0,R69/(Hypothèses!$C$26*$D$4),0)</f>
        <v>572.343611111111</v>
      </c>
      <c r="S73" s="15" t="n">
        <f aca="false">IF(Hypothèses!$C$26*$D$4&gt;0,S69/(Hypothèses!$C$26*$D$4),0)</f>
        <v>572.343611111111</v>
      </c>
      <c r="T73" s="15" t="n">
        <f aca="false">IF(Hypothèses!$C$26*$D$4&gt;0,T69/(Hypothèses!$C$26*$D$4),0)</f>
        <v>572.343611111111</v>
      </c>
      <c r="U73" s="15" t="n">
        <f aca="false">IF(Hypothèses!$C$26*$D$4&gt;0,U69/(Hypothèses!$C$26*$D$4),0)</f>
        <v>572.343611111111</v>
      </c>
      <c r="V73" s="15" t="n">
        <f aca="false">IF(Hypothèses!$C$26*$D$4&gt;0,V69/(Hypothèses!$C$26*$D$4),0)</f>
        <v>572.343611111111</v>
      </c>
      <c r="W73" s="15" t="n">
        <f aca="false">IF(Hypothèses!$C$26*$D$4&gt;0,W69/(Hypothèses!$C$26*$D$4),0)</f>
        <v>572.343611111111</v>
      </c>
      <c r="X73" s="15" t="n">
        <f aca="false">IF(Hypothèses!$C$26*$D$4&gt;0,X69/(Hypothèses!$C$26*$D$4),0)</f>
        <v>572.343611111111</v>
      </c>
      <c r="Y73" s="15" t="n">
        <f aca="false">IF(Hypothèses!$C$26*$D$4&gt;0,Y69/(Hypothèses!$C$26*$D$4),0)</f>
        <v>572.343611111111</v>
      </c>
      <c r="Z73" s="15" t="n">
        <f aca="false">IF(Hypothèses!$C$26*$D$4&gt;0,Z69/(Hypothèses!$C$26*$D$4),0)</f>
        <v>572.343611111111</v>
      </c>
      <c r="AA73" s="15" t="n">
        <f aca="false">IF(Hypothèses!$C$26*$D$4&gt;0,AA69/(Hypothèses!$C$26*$D$4),0)</f>
        <v>572.343611111111</v>
      </c>
      <c r="AB73" s="15" t="n">
        <f aca="false">IF(Hypothèses!$C$26*$D$4&gt;0,AB69/(Hypothèses!$C$26*$D$4),0)</f>
        <v>572.343611111111</v>
      </c>
      <c r="AC73" s="15" t="n">
        <f aca="false">IF(Hypothèses!$C$26*$D$4&gt;0,AC69/(Hypothèses!$C$26*$D$4),0)</f>
        <v>572.343611111111</v>
      </c>
      <c r="AD73" s="15" t="n">
        <f aca="false">IF(Hypothèses!$C$26*$D$4&gt;0,AD69/(Hypothèses!$C$26*$D$4),0)</f>
        <v>572.343611111111</v>
      </c>
      <c r="AE73" s="15" t="n">
        <f aca="false">IF(Hypothèses!$C$26*$D$4&gt;0,AE69/(Hypothèses!$C$26*$D$4),0)</f>
        <v>572.343611111111</v>
      </c>
      <c r="AF73" s="15" t="n">
        <f aca="false">IF(Hypothèses!$C$26*$D$4&gt;0,AF69/(Hypothèses!$C$26*$D$4),0)</f>
        <v>572.343611111111</v>
      </c>
      <c r="AG73" s="15" t="n">
        <f aca="false">IF(Hypothèses!$C$26*$D$4&gt;0,AG69/(Hypothèses!$C$26*$D$4),0)</f>
        <v>572.343611111111</v>
      </c>
      <c r="AH73" s="15" t="n">
        <f aca="false">IF(Hypothèses!$C$26*$D$4&gt;0,AH69/(Hypothèses!$C$26*$D$4),0)</f>
        <v>572.343611111111</v>
      </c>
      <c r="AI73" s="15" t="n">
        <f aca="false">IF(Hypothèses!$C$26*$D$4&gt;0,AI69/(Hypothèses!$C$26*$D$4),0)</f>
        <v>572.343611111111</v>
      </c>
      <c r="AJ73" s="15" t="n">
        <f aca="false">IF(Hypothèses!$C$26*$D$4&gt;0,AJ69/(Hypothèses!$C$26*$D$4),0)</f>
        <v>572.343611111111</v>
      </c>
      <c r="AK73" s="15" t="n">
        <f aca="false">IF(Hypothèses!$C$26*$D$4&gt;0,AK69/(Hypothèses!$C$26*$D$4),0)</f>
        <v>572.343611111111</v>
      </c>
      <c r="AL73" s="15" t="n">
        <f aca="false">IF(Hypothèses!$C$26*$D$4&gt;0,AL69/(Hypothèses!$C$26*$D$4),0)</f>
        <v>572.343611111111</v>
      </c>
      <c r="AN73" s="15" t="n">
        <f aca="false">N73</f>
        <v>572.343611111111</v>
      </c>
      <c r="AO73" s="15" t="n">
        <f aca="false">Z73</f>
        <v>572.343611111111</v>
      </c>
      <c r="AP73" s="15" t="n">
        <f aca="false">AL73</f>
        <v>572.343611111111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IF(Hypothèses!$C$23*$E$4&gt;0,C73/(Hypothèses!$C$23*$E$4),0)</f>
        <v>0</v>
      </c>
      <c r="D74" s="41" t="n">
        <f aca="false">IF(Hypothèses!$C$23*$E$4&gt;0,D73/(Hypothèses!$C$23*$E$4),0)</f>
        <v>0</v>
      </c>
      <c r="E74" s="41" t="n">
        <f aca="false">IF(Hypothèses!$C$23*$E$4&gt;0,E73/(Hypothèses!$C$23*$E$4),0)</f>
        <v>0</v>
      </c>
      <c r="F74" s="41" t="n">
        <f aca="false">IF(Hypothèses!$C$23*$E$4&gt;0,F73/(Hypothèses!$C$23*$E$4),0)</f>
        <v>2.3847650462963</v>
      </c>
      <c r="G74" s="41" t="n">
        <f aca="false">IF(Hypothèses!$C$23*$E$4&gt;0,G73/(Hypothèses!$C$23*$E$4),0)</f>
        <v>2.3847650462963</v>
      </c>
      <c r="H74" s="41" t="n">
        <f aca="false">IF(Hypothèses!$C$23*$E$4&gt;0,H73/(Hypothèses!$C$23*$E$4),0)</f>
        <v>2.3847650462963</v>
      </c>
      <c r="I74" s="41" t="n">
        <f aca="false">IF(Hypothèses!$C$23*$E$4&gt;0,I73/(Hypothèses!$C$23*$E$4),0)</f>
        <v>2.3847650462963</v>
      </c>
      <c r="J74" s="41" t="n">
        <f aca="false">IF(Hypothèses!$C$23*$E$4&gt;0,J73/(Hypothèses!$C$23*$E$4),0)</f>
        <v>2.3847650462963</v>
      </c>
      <c r="K74" s="41" t="n">
        <f aca="false">IF(Hypothèses!$C$23*$E$4&gt;0,K73/(Hypothèses!$C$23*$E$4),0)</f>
        <v>2.3847650462963</v>
      </c>
      <c r="L74" s="41" t="n">
        <f aca="false">IF(Hypothèses!$C$23*$E$4&gt;0,L73/(Hypothèses!$C$23*$E$4),0)</f>
        <v>2.3847650462963</v>
      </c>
      <c r="M74" s="41" t="n">
        <f aca="false">IF(Hypothèses!$C$23*$E$4&gt;0,M73/(Hypothèses!$C$23*$E$4),0)</f>
        <v>2.3847650462963</v>
      </c>
      <c r="N74" s="41" t="n">
        <f aca="false">IF(Hypothèses!$C$23*$E$4&gt;0,N73/(Hypothèses!$C$23*$E$4),0)</f>
        <v>2.3847650462963</v>
      </c>
      <c r="O74" s="41" t="n">
        <f aca="false">IF(Hypothèses!$C$23*$E$4&gt;0,O73/(Hypothèses!$C$23*$E$4),0)</f>
        <v>2.3847650462963</v>
      </c>
      <c r="P74" s="41" t="n">
        <f aca="false">IF(Hypothèses!$C$23*$E$4&gt;0,P73/(Hypothèses!$C$23*$E$4),0)</f>
        <v>2.3847650462963</v>
      </c>
      <c r="Q74" s="41" t="n">
        <f aca="false">IF(Hypothèses!$C$23*$E$4&gt;0,Q73/(Hypothèses!$C$23*$E$4),0)</f>
        <v>2.3847650462963</v>
      </c>
      <c r="R74" s="41" t="n">
        <f aca="false">IF(Hypothèses!$C$23*$E$4&gt;0,R73/(Hypothèses!$C$23*$E$4),0)</f>
        <v>2.3847650462963</v>
      </c>
      <c r="S74" s="41" t="n">
        <f aca="false">IF(Hypothèses!$C$23*$E$4&gt;0,S73/(Hypothèses!$C$23*$E$4),0)</f>
        <v>2.3847650462963</v>
      </c>
      <c r="T74" s="41" t="n">
        <f aca="false">IF(Hypothèses!$C$23*$E$4&gt;0,T73/(Hypothèses!$C$23*$E$4),0)</f>
        <v>2.3847650462963</v>
      </c>
      <c r="U74" s="41" t="n">
        <f aca="false">IF(Hypothèses!$C$23*$E$4&gt;0,U73/(Hypothèses!$C$23*$E$4),0)</f>
        <v>2.3847650462963</v>
      </c>
      <c r="V74" s="41" t="n">
        <f aca="false">IF(Hypothèses!$C$23*$E$4&gt;0,V73/(Hypothèses!$C$23*$E$4),0)</f>
        <v>2.3847650462963</v>
      </c>
      <c r="W74" s="41" t="n">
        <f aca="false">IF(Hypothèses!$C$23*$E$4&gt;0,W73/(Hypothèses!$C$23*$E$4),0)</f>
        <v>2.3847650462963</v>
      </c>
      <c r="X74" s="41" t="n">
        <f aca="false">IF(Hypothèses!$C$23*$E$4&gt;0,X73/(Hypothèses!$C$23*$E$4),0)</f>
        <v>2.3847650462963</v>
      </c>
      <c r="Y74" s="41" t="n">
        <f aca="false">IF(Hypothèses!$C$23*$E$4&gt;0,Y73/(Hypothèses!$C$23*$E$4),0)</f>
        <v>2.3847650462963</v>
      </c>
      <c r="Z74" s="41" t="n">
        <f aca="false">IF(Hypothèses!$C$23*$E$4&gt;0,Z73/(Hypothèses!$C$23*$E$4),0)</f>
        <v>2.3847650462963</v>
      </c>
      <c r="AA74" s="41" t="n">
        <f aca="false">IF(Hypothèses!$C$23*$E$4&gt;0,AA73/(Hypothèses!$C$23*$E$4),0)</f>
        <v>2.3847650462963</v>
      </c>
      <c r="AB74" s="41" t="n">
        <f aca="false">IF(Hypothèses!$C$23*$E$4&gt;0,AB73/(Hypothèses!$C$23*$E$4),0)</f>
        <v>2.3847650462963</v>
      </c>
      <c r="AC74" s="41" t="n">
        <f aca="false">IF(Hypothèses!$C$23*$E$4&gt;0,AC73/(Hypothèses!$C$23*$E$4),0)</f>
        <v>2.3847650462963</v>
      </c>
      <c r="AD74" s="41" t="n">
        <f aca="false">IF(Hypothèses!$C$23*$E$4&gt;0,AD73/(Hypothèses!$C$23*$E$4),0)</f>
        <v>2.3847650462963</v>
      </c>
      <c r="AE74" s="41" t="n">
        <f aca="false">IF(Hypothèses!$C$23*$E$4&gt;0,AE73/(Hypothèses!$C$23*$E$4),0)</f>
        <v>2.3847650462963</v>
      </c>
      <c r="AF74" s="41" t="n">
        <f aca="false">IF(Hypothèses!$C$23*$E$4&gt;0,AF73/(Hypothèses!$C$23*$E$4),0)</f>
        <v>2.3847650462963</v>
      </c>
      <c r="AG74" s="41" t="n">
        <f aca="false">IF(Hypothèses!$C$23*$E$4&gt;0,AG73/(Hypothèses!$C$23*$E$4),0)</f>
        <v>2.3847650462963</v>
      </c>
      <c r="AH74" s="41" t="n">
        <f aca="false">IF(Hypothèses!$C$23*$E$4&gt;0,AH73/(Hypothèses!$C$23*$E$4),0)</f>
        <v>2.3847650462963</v>
      </c>
      <c r="AI74" s="41" t="n">
        <f aca="false">IF(Hypothèses!$C$23*$E$4&gt;0,AI73/(Hypothèses!$C$23*$E$4),0)</f>
        <v>2.3847650462963</v>
      </c>
      <c r="AJ74" s="41" t="n">
        <f aca="false">IF(Hypothèses!$C$23*$E$4&gt;0,AJ73/(Hypothèses!$C$23*$E$4),0)</f>
        <v>2.3847650462963</v>
      </c>
      <c r="AK74" s="41" t="n">
        <f aca="false">IF(Hypothèses!$C$23*$E$4&gt;0,AK73/(Hypothèses!$C$23*$E$4),0)</f>
        <v>2.3847650462963</v>
      </c>
      <c r="AL74" s="41" t="n">
        <f aca="false">IF(Hypothèses!$C$23*$E$4&gt;0,AL73/(Hypothèses!$C$23*$E$4),0)</f>
        <v>2.3847650462963</v>
      </c>
      <c r="AN74" s="41" t="n">
        <f aca="false">N74</f>
        <v>2.3847650462963</v>
      </c>
      <c r="AO74" s="41" t="n">
        <f aca="false">Z74</f>
        <v>2.3847650462963</v>
      </c>
      <c r="AP74" s="41" t="n">
        <f aca="false">AL74</f>
        <v>2.3847650462963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916A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278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29.0354627</v>
      </c>
      <c r="K13" s="38" t="n">
        <f aca="false">J18</f>
        <v>48.745108073</v>
      </c>
      <c r="L13" s="38" t="n">
        <f aca="false">K18</f>
        <v>68.25765699227</v>
      </c>
      <c r="M13" s="38" t="n">
        <f aca="false">L18</f>
        <v>87.5750804223473</v>
      </c>
      <c r="N13" s="38" t="n">
        <f aca="false">M18</f>
        <v>106.699329618124</v>
      </c>
      <c r="O13" s="38" t="n">
        <f aca="false">N18</f>
        <v>125.632336321943</v>
      </c>
      <c r="P13" s="38" t="n">
        <f aca="false">O18</f>
        <v>191.04267962539</v>
      </c>
      <c r="Q13" s="38" t="n">
        <f aca="false">P18</f>
        <v>255.798919495803</v>
      </c>
      <c r="R13" s="38" t="n">
        <f aca="false">Q18</f>
        <v>319.907596967511</v>
      </c>
      <c r="S13" s="38" t="n">
        <f aca="false">R18</f>
        <v>383.375187664503</v>
      </c>
      <c r="T13" s="38" t="n">
        <f aca="false">S18</f>
        <v>446.208102454524</v>
      </c>
      <c r="U13" s="38" t="n">
        <f aca="false">T18</f>
        <v>508.412688096646</v>
      </c>
      <c r="V13" s="38" t="n">
        <f aca="false">U18</f>
        <v>569.995227882346</v>
      </c>
      <c r="W13" s="38" t="n">
        <f aca="false">V18</f>
        <v>630.961942270189</v>
      </c>
      <c r="X13" s="38" t="n">
        <f aca="false">W18</f>
        <v>691.318989514154</v>
      </c>
      <c r="Y13" s="38" t="n">
        <f aca="false">X18</f>
        <v>751.072466285679</v>
      </c>
      <c r="Z13" s="38" t="n">
        <f aca="false">Y18</f>
        <v>810.228408289489</v>
      </c>
      <c r="AA13" s="38" t="n">
        <f aca="false">Z18</f>
        <v>868.792790873261</v>
      </c>
      <c r="AB13" s="38" t="n">
        <f aca="false">AA18</f>
        <v>1026.77152963119</v>
      </c>
      <c r="AC13" s="38" t="n">
        <f aca="false">AB18</f>
        <v>1183.17048100155</v>
      </c>
      <c r="AD13" s="38" t="n">
        <f aca="false">AC18</f>
        <v>1338.0054428582</v>
      </c>
      <c r="AE13" s="38" t="n">
        <f aca="false">AD18</f>
        <v>1491.29205509629</v>
      </c>
      <c r="AF13" s="38" t="n">
        <f aca="false">AE18</f>
        <v>1643.04580121199</v>
      </c>
      <c r="AG13" s="38" t="n">
        <f aca="false">AF18</f>
        <v>1793.28200986654</v>
      </c>
      <c r="AH13" s="38" t="n">
        <f aca="false">AG18</f>
        <v>1942.01585643454</v>
      </c>
      <c r="AI13" s="38" t="n">
        <f aca="false">AH18</f>
        <v>2089.26236453686</v>
      </c>
      <c r="AJ13" s="38" t="n">
        <f aca="false">AI18</f>
        <v>2235.03640755816</v>
      </c>
      <c r="AK13" s="38" t="n">
        <f aca="false">AJ18</f>
        <v>2379.35271014924</v>
      </c>
      <c r="AL13" s="38" t="n">
        <f aca="false">AK18</f>
        <v>2522.22584971442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0.580709254</v>
      </c>
      <c r="K16" s="38" t="n">
        <f aca="false">K9*K13*Hypothèses!$D$24</f>
        <v>0.97490216146</v>
      </c>
      <c r="L16" s="38" t="n">
        <f aca="false">L9*L13*Hypothèses!$D$24</f>
        <v>1.3651531398454</v>
      </c>
      <c r="M16" s="38" t="n">
        <f aca="false">M9*M13*Hypothèses!$D$24</f>
        <v>1.75150160844695</v>
      </c>
      <c r="N16" s="38" t="n">
        <f aca="false">N9*N13*Hypothèses!$D$24</f>
        <v>2.13398659236248</v>
      </c>
      <c r="O16" s="38" t="n">
        <f aca="false">O9*O13*Hypothèses!$D$24</f>
        <v>2.51264672643885</v>
      </c>
      <c r="P16" s="38" t="n">
        <f aca="false">P9*P13*Hypothèses!$D$24</f>
        <v>3.8208535925078</v>
      </c>
      <c r="Q16" s="38" t="n">
        <f aca="false">Q9*Q13*Hypothèses!$D$24</f>
        <v>5.11597838991605</v>
      </c>
      <c r="R16" s="38" t="n">
        <f aca="false">R9*R13*Hypothèses!$D$24</f>
        <v>6.39815193935023</v>
      </c>
      <c r="S16" s="38" t="n">
        <f aca="false">S9*S13*Hypothèses!$D$24</f>
        <v>7.66750375329006</v>
      </c>
      <c r="T16" s="38" t="n">
        <f aca="false">T9*T13*Hypothèses!$D$24</f>
        <v>8.92416204909049</v>
      </c>
      <c r="U16" s="38" t="n">
        <f aca="false">U9*U13*Hypothèses!$D$24</f>
        <v>10.1682537619329</v>
      </c>
      <c r="V16" s="38" t="n">
        <f aca="false">V9*V13*Hypothèses!$D$24</f>
        <v>11.3999045576469</v>
      </c>
      <c r="W16" s="38" t="n">
        <f aca="false">W9*W13*Hypothèses!$D$24</f>
        <v>12.6192388454038</v>
      </c>
      <c r="X16" s="38" t="n">
        <f aca="false">X9*X13*Hypothèses!$D$24</f>
        <v>13.8263797902831</v>
      </c>
      <c r="Y16" s="38" t="n">
        <f aca="false">Y9*Y13*Hypothèses!$D$24</f>
        <v>15.0214493257136</v>
      </c>
      <c r="Z16" s="38" t="n">
        <f aca="false">Z9*Z13*Hypothèses!$D$24</f>
        <v>16.2045681657898</v>
      </c>
      <c r="AA16" s="38" t="n">
        <f aca="false">AA9*AA13*Hypothèses!$D$24</f>
        <v>17.3758558174652</v>
      </c>
      <c r="AB16" s="38" t="n">
        <f aca="false">AB9*AB13*Hypothèses!$D$24</f>
        <v>20.5354305926239</v>
      </c>
      <c r="AC16" s="38" t="n">
        <f aca="false">AC9*AC13*Hypothèses!$D$24</f>
        <v>23.663409620031</v>
      </c>
      <c r="AD16" s="38" t="n">
        <f aca="false">AD9*AD13*Hypothèses!$D$24</f>
        <v>26.760108857164</v>
      </c>
      <c r="AE16" s="38" t="n">
        <f aca="false">AE9*AE13*Hypothèses!$D$24</f>
        <v>29.8258411019257</v>
      </c>
      <c r="AF16" s="38" t="n">
        <f aca="false">AF9*AF13*Hypothèses!$D$24</f>
        <v>32.8609160242398</v>
      </c>
      <c r="AG16" s="38" t="n">
        <f aca="false">AG9*AG13*Hypothèses!$D$24</f>
        <v>35.8656401973307</v>
      </c>
      <c r="AH16" s="38" t="n">
        <f aca="false">AH9*AH13*Hypothèses!$D$24</f>
        <v>38.8403171286907</v>
      </c>
      <c r="AI16" s="38" t="n">
        <f aca="false">AI9*AI13*Hypothèses!$D$24</f>
        <v>41.7852472907372</v>
      </c>
      <c r="AJ16" s="38" t="n">
        <f aca="false">AJ9*AJ13*Hypothèses!$D$24</f>
        <v>44.7007281511631</v>
      </c>
      <c r="AK16" s="38" t="n">
        <f aca="false">AK9*AK13*Hypothèses!$D$24</f>
        <v>47.5870542029848</v>
      </c>
      <c r="AL16" s="38" t="n">
        <f aca="false">AL9*AL13*Hypothèses!$D$24</f>
        <v>50.4445169942883</v>
      </c>
      <c r="AN16" s="38" t="n">
        <f aca="false">SUM(C16:N16)</f>
        <v>6.98878735611482</v>
      </c>
      <c r="AO16" s="38" t="n">
        <f aca="false">SUM(O16:Z16)</f>
        <v>113.679090897364</v>
      </c>
      <c r="AP16" s="38" t="n">
        <f aca="false">SUM(AA16:AL16)</f>
        <v>410.245065978645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0.871063881</v>
      </c>
      <c r="K17" s="38" t="n">
        <f aca="false">K13*Hypothèses!$D$26*$D$4</f>
        <v>1.46235324219</v>
      </c>
      <c r="L17" s="38" t="n">
        <f aca="false">L13*Hypothèses!$D$26*$D$4</f>
        <v>2.0477297097681</v>
      </c>
      <c r="M17" s="38" t="n">
        <f aca="false">M13*Hypothèses!$D$26*$D$4</f>
        <v>2.62725241267042</v>
      </c>
      <c r="N17" s="38" t="n">
        <f aca="false">N13*Hypothèses!$D$26*$D$4</f>
        <v>3.20097988854371</v>
      </c>
      <c r="O17" s="38" t="n">
        <f aca="false">O13*Hypothèses!$D$26*$D$4</f>
        <v>3.76897008965828</v>
      </c>
      <c r="P17" s="38" t="n">
        <f aca="false">P13*Hypothèses!$D$26*$D$4</f>
        <v>5.73128038876169</v>
      </c>
      <c r="Q17" s="38" t="n">
        <f aca="false">Q13*Hypothèses!$D$26*$D$4</f>
        <v>7.67396758487408</v>
      </c>
      <c r="R17" s="38" t="n">
        <f aca="false">R13*Hypothèses!$D$26*$D$4</f>
        <v>9.59722790902534</v>
      </c>
      <c r="S17" s="38" t="n">
        <f aca="false">S13*Hypothèses!$D$26*$D$4</f>
        <v>11.5012556299351</v>
      </c>
      <c r="T17" s="38" t="n">
        <f aca="false">T13*Hypothèses!$D$26*$D$4</f>
        <v>13.3862430736357</v>
      </c>
      <c r="U17" s="38" t="n">
        <f aca="false">U13*Hypothèses!$D$26*$D$4</f>
        <v>15.2523806428994</v>
      </c>
      <c r="V17" s="38" t="n">
        <f aca="false">V13*Hypothèses!$D$26*$D$4</f>
        <v>17.0998568364704</v>
      </c>
      <c r="W17" s="38" t="n">
        <f aca="false">W13*Hypothèses!$D$26*$D$4</f>
        <v>18.9288582681057</v>
      </c>
      <c r="X17" s="38" t="n">
        <f aca="false">X13*Hypothèses!$D$26*$D$4</f>
        <v>20.7395696854246</v>
      </c>
      <c r="Y17" s="38" t="n">
        <f aca="false">Y13*Hypothèses!$D$26*$D$4</f>
        <v>22.5321739885704</v>
      </c>
      <c r="Z17" s="38" t="n">
        <f aca="false">Z13*Hypothèses!$D$26*$D$4</f>
        <v>24.3068522486847</v>
      </c>
      <c r="AA17" s="38" t="n">
        <f aca="false">AA13*Hypothèses!$D$26*$D$4</f>
        <v>26.0637837261978</v>
      </c>
      <c r="AB17" s="38" t="n">
        <f aca="false">AB13*Hypothèses!$D$26*$D$4</f>
        <v>30.8031458889358</v>
      </c>
      <c r="AC17" s="38" t="n">
        <f aca="false">AC13*Hypothèses!$D$26*$D$4</f>
        <v>35.4951144300465</v>
      </c>
      <c r="AD17" s="38" t="n">
        <f aca="false">AD13*Hypothèses!$D$26*$D$4</f>
        <v>40.140163285746</v>
      </c>
      <c r="AE17" s="38" t="n">
        <f aca="false">AE13*Hypothèses!$D$26*$D$4</f>
        <v>44.7387616528886</v>
      </c>
      <c r="AF17" s="38" t="n">
        <f aca="false">AF13*Hypothèses!$D$26*$D$4</f>
        <v>49.2913740363597</v>
      </c>
      <c r="AG17" s="38" t="n">
        <f aca="false">AG13*Hypothèses!$D$26*$D$4</f>
        <v>53.7984602959961</v>
      </c>
      <c r="AH17" s="38" t="n">
        <f aca="false">AH13*Hypothèses!$D$26*$D$4</f>
        <v>58.2604756930361</v>
      </c>
      <c r="AI17" s="38" t="n">
        <f aca="false">AI13*Hypothèses!$D$26*$D$4</f>
        <v>62.6778709361058</v>
      </c>
      <c r="AJ17" s="38" t="n">
        <f aca="false">AJ13*Hypothèses!$D$26*$D$4</f>
        <v>67.0510922267447</v>
      </c>
      <c r="AK17" s="38" t="n">
        <f aca="false">AK13*Hypothèses!$D$26*$D$4</f>
        <v>71.3805813044773</v>
      </c>
      <c r="AL17" s="38" t="n">
        <f aca="false">AL13*Hypothèses!$D$26*$D$4</f>
        <v>75.6667754914325</v>
      </c>
      <c r="AN17" s="38" t="n">
        <f aca="false">SUM(C17:N17)</f>
        <v>11.3564510341722</v>
      </c>
      <c r="AO17" s="38" t="n">
        <f aca="false">SUM(O17:Z17)</f>
        <v>170.518636346045</v>
      </c>
      <c r="AP17" s="38" t="n">
        <f aca="false">SUM(AA17:AL17)</f>
        <v>615.367598967967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29.0354627</v>
      </c>
      <c r="J18" s="39" t="n">
        <f aca="false">J13+J14+J15+J16-J17</f>
        <v>48.745108073</v>
      </c>
      <c r="K18" s="39" t="n">
        <f aca="false">K13+K14+K15+K16-K17</f>
        <v>68.25765699227</v>
      </c>
      <c r="L18" s="39" t="n">
        <f aca="false">L13+L14+L15+L16-L17</f>
        <v>87.5750804223473</v>
      </c>
      <c r="M18" s="39" t="n">
        <f aca="false">M13+M14+M15+M16-M17</f>
        <v>106.699329618124</v>
      </c>
      <c r="N18" s="39" t="n">
        <f aca="false">N13+N14+N15+N16-N17</f>
        <v>125.632336321943</v>
      </c>
      <c r="O18" s="39" t="n">
        <f aca="false">O13+O14+O15+O16-O17</f>
        <v>191.04267962539</v>
      </c>
      <c r="P18" s="39" t="n">
        <f aca="false">P13+P14+P15+P16-P17</f>
        <v>255.798919495803</v>
      </c>
      <c r="Q18" s="39" t="n">
        <f aca="false">Q13+Q14+Q15+Q16-Q17</f>
        <v>319.907596967511</v>
      </c>
      <c r="R18" s="39" t="n">
        <f aca="false">R13+R14+R15+R16-R17</f>
        <v>383.375187664503</v>
      </c>
      <c r="S18" s="39" t="n">
        <f aca="false">S13+S14+S15+S16-S17</f>
        <v>446.208102454524</v>
      </c>
      <c r="T18" s="39" t="n">
        <f aca="false">T13+T14+T15+T16-T17</f>
        <v>508.412688096646</v>
      </c>
      <c r="U18" s="39" t="n">
        <f aca="false">U13+U14+U15+U16-U17</f>
        <v>569.995227882346</v>
      </c>
      <c r="V18" s="39" t="n">
        <f aca="false">V13+V14+V15+V16-V17</f>
        <v>630.961942270189</v>
      </c>
      <c r="W18" s="39" t="n">
        <f aca="false">W13+W14+W15+W16-W17</f>
        <v>691.318989514154</v>
      </c>
      <c r="X18" s="39" t="n">
        <f aca="false">X13+X14+X15+X16-X17</f>
        <v>751.072466285679</v>
      </c>
      <c r="Y18" s="39" t="n">
        <f aca="false">Y13+Y14+Y15+Y16-Y17</f>
        <v>810.228408289489</v>
      </c>
      <c r="Z18" s="39" t="n">
        <f aca="false">Z13+Z14+Z15+Z16-Z17</f>
        <v>868.792790873261</v>
      </c>
      <c r="AA18" s="39" t="n">
        <f aca="false">AA13+AA14+AA15+AA16-AA17</f>
        <v>1026.77152963119</v>
      </c>
      <c r="AB18" s="39" t="n">
        <f aca="false">AB13+AB14+AB15+AB16-AB17</f>
        <v>1183.17048100155</v>
      </c>
      <c r="AC18" s="39" t="n">
        <f aca="false">AC13+AC14+AC15+AC16-AC17</f>
        <v>1338.0054428582</v>
      </c>
      <c r="AD18" s="39" t="n">
        <f aca="false">AD13+AD14+AD15+AD16-AD17</f>
        <v>1491.29205509629</v>
      </c>
      <c r="AE18" s="39" t="n">
        <f aca="false">AE13+AE14+AE15+AE16-AE17</f>
        <v>1643.04580121199</v>
      </c>
      <c r="AF18" s="39" t="n">
        <f aca="false">AF13+AF14+AF15+AF16-AF17</f>
        <v>1793.28200986654</v>
      </c>
      <c r="AG18" s="39" t="n">
        <f aca="false">AG13+AG14+AG15+AG16-AG17</f>
        <v>1942.01585643454</v>
      </c>
      <c r="AH18" s="39" t="n">
        <f aca="false">AH13+AH14+AH15+AH16-AH17</f>
        <v>2089.26236453686</v>
      </c>
      <c r="AI18" s="39" t="n">
        <f aca="false">AI13+AI14+AI15+AI16-AI17</f>
        <v>2235.03640755816</v>
      </c>
      <c r="AJ18" s="39" t="n">
        <f aca="false">AJ13+AJ14+AJ15+AJ16-AJ17</f>
        <v>2379.35271014924</v>
      </c>
      <c r="AK18" s="39" t="n">
        <f aca="false">AK13+AK14+AK15+AK16-AK17</f>
        <v>2522.22584971442</v>
      </c>
      <c r="AL18" s="39" t="n">
        <f aca="false">AL13+AL14+AL15+AL16-AL17</f>
        <v>2663.67025788394</v>
      </c>
      <c r="AN18" s="39" t="n">
        <f aca="false">N18</f>
        <v>125.632336321943</v>
      </c>
      <c r="AO18" s="39" t="n">
        <f aca="false">Z18</f>
        <v>868.792790873261</v>
      </c>
      <c r="AP18" s="39" t="n">
        <f aca="false">AL18</f>
        <v>2663.67025788394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7.258865675</v>
      </c>
      <c r="J19" s="38" t="n">
        <f aca="false">J18*Hypothèses!$D$16</f>
        <v>12.18627701825</v>
      </c>
      <c r="K19" s="38" t="n">
        <f aca="false">K18*Hypothèses!$D$16</f>
        <v>17.0644142480675</v>
      </c>
      <c r="L19" s="38" t="n">
        <f aca="false">L18*Hypothèses!$D$16</f>
        <v>21.8937701055868</v>
      </c>
      <c r="M19" s="38" t="n">
        <f aca="false">M18*Hypothèses!$D$16</f>
        <v>26.674832404531</v>
      </c>
      <c r="N19" s="38" t="n">
        <f aca="false">N18*Hypothèses!$D$16</f>
        <v>31.4080840804856</v>
      </c>
      <c r="O19" s="38" t="n">
        <f aca="false">O18*Hypothèses!$D$16</f>
        <v>47.7606699063475</v>
      </c>
      <c r="P19" s="38" t="n">
        <f aca="false">P18*Hypothèses!$D$16</f>
        <v>63.9497298739506</v>
      </c>
      <c r="Q19" s="38" t="n">
        <f aca="false">Q18*Hypothèses!$D$16</f>
        <v>79.9768992418778</v>
      </c>
      <c r="R19" s="38" t="n">
        <f aca="false">R18*Hypothèses!$D$16</f>
        <v>95.8437969161257</v>
      </c>
      <c r="S19" s="38" t="n">
        <f aca="false">S18*Hypothèses!$D$16</f>
        <v>111.552025613631</v>
      </c>
      <c r="T19" s="38" t="n">
        <f aca="false">T18*Hypothèses!$D$16</f>
        <v>127.103172024161</v>
      </c>
      <c r="U19" s="38" t="n">
        <f aca="false">U18*Hypothèses!$D$16</f>
        <v>142.498806970587</v>
      </c>
      <c r="V19" s="38" t="n">
        <f aca="false">V18*Hypothèses!$D$16</f>
        <v>157.740485567547</v>
      </c>
      <c r="W19" s="38" t="n">
        <f aca="false">W18*Hypothèses!$D$16</f>
        <v>172.829747378538</v>
      </c>
      <c r="X19" s="38" t="n">
        <f aca="false">X18*Hypothèses!$D$16</f>
        <v>187.76811657142</v>
      </c>
      <c r="Y19" s="38" t="n">
        <f aca="false">Y18*Hypothèses!$D$16</f>
        <v>202.557102072372</v>
      </c>
      <c r="Z19" s="38" t="n">
        <f aca="false">Z18*Hypothèses!$D$16</f>
        <v>217.198197718315</v>
      </c>
      <c r="AA19" s="38" t="n">
        <f aca="false">AA18*Hypothèses!$D$16</f>
        <v>256.692882407799</v>
      </c>
      <c r="AB19" s="38" t="n">
        <f aca="false">AB18*Hypothèses!$D$16</f>
        <v>295.792620250387</v>
      </c>
      <c r="AC19" s="38" t="n">
        <f aca="false">AC18*Hypothèses!$D$16</f>
        <v>334.50136071455</v>
      </c>
      <c r="AD19" s="38" t="n">
        <f aca="false">AD18*Hypothèses!$D$16</f>
        <v>372.823013774071</v>
      </c>
      <c r="AE19" s="38" t="n">
        <f aca="false">AE18*Hypothèses!$D$16</f>
        <v>410.761450302997</v>
      </c>
      <c r="AF19" s="38" t="n">
        <f aca="false">AF18*Hypothèses!$D$16</f>
        <v>448.320502466634</v>
      </c>
      <c r="AG19" s="38" t="n">
        <f aca="false">AG18*Hypothèses!$D$16</f>
        <v>485.503964108634</v>
      </c>
      <c r="AH19" s="38" t="n">
        <f aca="false">AH18*Hypothèses!$D$16</f>
        <v>522.315591134215</v>
      </c>
      <c r="AI19" s="38" t="n">
        <f aca="false">AI18*Hypothèses!$D$16</f>
        <v>558.759101889539</v>
      </c>
      <c r="AJ19" s="38" t="n">
        <f aca="false">AJ18*Hypothèses!$D$16</f>
        <v>594.838177537311</v>
      </c>
      <c r="AK19" s="38" t="n">
        <f aca="false">AK18*Hypothèses!$D$16</f>
        <v>630.556462428604</v>
      </c>
      <c r="AL19" s="38" t="n">
        <f aca="false">AL18*Hypothèses!$D$16</f>
        <v>665.917564470985</v>
      </c>
      <c r="AN19" s="38" t="n">
        <f aca="false">N19</f>
        <v>31.4080840804856</v>
      </c>
      <c r="AO19" s="38" t="n">
        <f aca="false">Z19</f>
        <v>217.198197718315</v>
      </c>
      <c r="AP19" s="38" t="n">
        <f aca="false">AL19</f>
        <v>665.917564470985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17.42127762</v>
      </c>
      <c r="J20" s="38" t="n">
        <f aca="false">J18*Hypothèses!$D$17</f>
        <v>29.2470648438</v>
      </c>
      <c r="K20" s="38" t="n">
        <f aca="false">K18*Hypothèses!$D$17</f>
        <v>40.954594195362</v>
      </c>
      <c r="L20" s="38" t="n">
        <f aca="false">L18*Hypothèses!$D$17</f>
        <v>52.5450482534084</v>
      </c>
      <c r="M20" s="38" t="n">
        <f aca="false">M18*Hypothèses!$D$17</f>
        <v>64.0195977708743</v>
      </c>
      <c r="N20" s="38" t="n">
        <f aca="false">N18*Hypothèses!$D$17</f>
        <v>75.3794017931655</v>
      </c>
      <c r="O20" s="38" t="n">
        <f aca="false">O18*Hypothèses!$D$17</f>
        <v>114.625607775234</v>
      </c>
      <c r="P20" s="38" t="n">
        <f aca="false">P18*Hypothèses!$D$17</f>
        <v>153.479351697482</v>
      </c>
      <c r="Q20" s="38" t="n">
        <f aca="false">Q18*Hypothèses!$D$17</f>
        <v>191.944558180507</v>
      </c>
      <c r="R20" s="38" t="n">
        <f aca="false">R18*Hypothèses!$D$17</f>
        <v>230.025112598702</v>
      </c>
      <c r="S20" s="38" t="n">
        <f aca="false">S18*Hypothèses!$D$17</f>
        <v>267.724861472715</v>
      </c>
      <c r="T20" s="38" t="n">
        <f aca="false">T18*Hypothèses!$D$17</f>
        <v>305.047612857988</v>
      </c>
      <c r="U20" s="38" t="n">
        <f aca="false">U18*Hypothèses!$D$17</f>
        <v>341.997136729408</v>
      </c>
      <c r="V20" s="38" t="n">
        <f aca="false">V18*Hypothèses!$D$17</f>
        <v>378.577165362113</v>
      </c>
      <c r="W20" s="38" t="n">
        <f aca="false">W18*Hypothèses!$D$17</f>
        <v>414.791393708492</v>
      </c>
      <c r="X20" s="38" t="n">
        <f aca="false">X18*Hypothèses!$D$17</f>
        <v>450.643479771407</v>
      </c>
      <c r="Y20" s="38" t="n">
        <f aca="false">Y18*Hypothèses!$D$17</f>
        <v>486.137044973693</v>
      </c>
      <c r="Z20" s="38" t="n">
        <f aca="false">Z18*Hypothèses!$D$17</f>
        <v>521.275674523956</v>
      </c>
      <c r="AA20" s="38" t="n">
        <f aca="false">AA18*Hypothèses!$D$17</f>
        <v>616.062917778717</v>
      </c>
      <c r="AB20" s="38" t="n">
        <f aca="false">AB18*Hypothèses!$D$17</f>
        <v>709.90228860093</v>
      </c>
      <c r="AC20" s="38" t="n">
        <f aca="false">AC18*Hypothèses!$D$17</f>
        <v>802.80326571492</v>
      </c>
      <c r="AD20" s="38" t="n">
        <f aca="false">AD18*Hypothèses!$D$17</f>
        <v>894.775233057771</v>
      </c>
      <c r="AE20" s="38" t="n">
        <f aca="false">AE18*Hypothèses!$D$17</f>
        <v>985.827480727194</v>
      </c>
      <c r="AF20" s="38" t="n">
        <f aca="false">AF18*Hypothèses!$D$17</f>
        <v>1075.96920591992</v>
      </c>
      <c r="AG20" s="38" t="n">
        <f aca="false">AG18*Hypothèses!$D$17</f>
        <v>1165.20951386072</v>
      </c>
      <c r="AH20" s="38" t="n">
        <f aca="false">AH18*Hypothèses!$D$17</f>
        <v>1253.55741872212</v>
      </c>
      <c r="AI20" s="38" t="n">
        <f aca="false">AI18*Hypothèses!$D$17</f>
        <v>1341.02184453489</v>
      </c>
      <c r="AJ20" s="38" t="n">
        <f aca="false">AJ18*Hypothèses!$D$17</f>
        <v>1427.61162608955</v>
      </c>
      <c r="AK20" s="38" t="n">
        <f aca="false">AK18*Hypothèses!$D$17</f>
        <v>1513.33550982865</v>
      </c>
      <c r="AL20" s="38" t="n">
        <f aca="false">AL18*Hypothèses!$D$17</f>
        <v>1598.20215473036</v>
      </c>
      <c r="AN20" s="38" t="n">
        <f aca="false">N20</f>
        <v>75.3794017931655</v>
      </c>
      <c r="AO20" s="38" t="n">
        <f aca="false">Z20</f>
        <v>521.275674523956</v>
      </c>
      <c r="AP20" s="38" t="n">
        <f aca="false">AL20</f>
        <v>1598.20215473036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4.355319405</v>
      </c>
      <c r="J21" s="38" t="n">
        <f aca="false">J18*Hypothèses!$D$18</f>
        <v>7.31176621095</v>
      </c>
      <c r="K21" s="38" t="n">
        <f aca="false">K18*Hypothèses!$D$18</f>
        <v>10.2386485488405</v>
      </c>
      <c r="L21" s="38" t="n">
        <f aca="false">L18*Hypothèses!$D$18</f>
        <v>13.1362620633521</v>
      </c>
      <c r="M21" s="38" t="n">
        <f aca="false">M18*Hypothèses!$D$18</f>
        <v>16.0048994427186</v>
      </c>
      <c r="N21" s="38" t="n">
        <f aca="false">N18*Hypothèses!$D$18</f>
        <v>18.8448504482914</v>
      </c>
      <c r="O21" s="38" t="n">
        <f aca="false">O18*Hypothèses!$D$18</f>
        <v>28.6564019438085</v>
      </c>
      <c r="P21" s="38" t="n">
        <f aca="false">P18*Hypothèses!$D$18</f>
        <v>38.3698379243704</v>
      </c>
      <c r="Q21" s="38" t="n">
        <f aca="false">Q18*Hypothèses!$D$18</f>
        <v>47.9861395451267</v>
      </c>
      <c r="R21" s="38" t="n">
        <f aca="false">R18*Hypothèses!$D$18</f>
        <v>57.5062781496754</v>
      </c>
      <c r="S21" s="38" t="n">
        <f aca="false">S18*Hypothèses!$D$18</f>
        <v>66.9312153681787</v>
      </c>
      <c r="T21" s="38" t="n">
        <f aca="false">T18*Hypothèses!$D$18</f>
        <v>76.2619032144969</v>
      </c>
      <c r="U21" s="38" t="n">
        <f aca="false">U18*Hypothèses!$D$18</f>
        <v>85.4992841823519</v>
      </c>
      <c r="V21" s="38" t="n">
        <f aca="false">V18*Hypothèses!$D$18</f>
        <v>94.6442913405284</v>
      </c>
      <c r="W21" s="38" t="n">
        <f aca="false">W18*Hypothèses!$D$18</f>
        <v>103.697848427123</v>
      </c>
      <c r="X21" s="38" t="n">
        <f aca="false">X18*Hypothèses!$D$18</f>
        <v>112.660869942852</v>
      </c>
      <c r="Y21" s="38" t="n">
        <f aca="false">Y18*Hypothèses!$D$18</f>
        <v>121.534261243423</v>
      </c>
      <c r="Z21" s="38" t="n">
        <f aca="false">Z18*Hypothèses!$D$18</f>
        <v>130.318918630989</v>
      </c>
      <c r="AA21" s="38" t="n">
        <f aca="false">AA18*Hypothèses!$D$18</f>
        <v>154.015729444679</v>
      </c>
      <c r="AB21" s="38" t="n">
        <f aca="false">AB18*Hypothèses!$D$18</f>
        <v>177.475572150232</v>
      </c>
      <c r="AC21" s="38" t="n">
        <f aca="false">AC18*Hypothèses!$D$18</f>
        <v>200.70081642873</v>
      </c>
      <c r="AD21" s="38" t="n">
        <f aca="false">AD18*Hypothèses!$D$18</f>
        <v>223.693808264443</v>
      </c>
      <c r="AE21" s="38" t="n">
        <f aca="false">AE18*Hypothèses!$D$18</f>
        <v>246.456870181798</v>
      </c>
      <c r="AF21" s="38" t="n">
        <f aca="false">AF18*Hypothèses!$D$18</f>
        <v>268.99230147998</v>
      </c>
      <c r="AG21" s="38" t="n">
        <f aca="false">AG18*Hypothèses!$D$18</f>
        <v>291.302378465181</v>
      </c>
      <c r="AH21" s="38" t="n">
        <f aca="false">AH18*Hypothèses!$D$18</f>
        <v>313.389354680529</v>
      </c>
      <c r="AI21" s="38" t="n">
        <f aca="false">AI18*Hypothèses!$D$18</f>
        <v>335.255461133724</v>
      </c>
      <c r="AJ21" s="38" t="n">
        <f aca="false">AJ18*Hypothèses!$D$18</f>
        <v>356.902906522386</v>
      </c>
      <c r="AK21" s="38" t="n">
        <f aca="false">AK18*Hypothèses!$D$18</f>
        <v>378.333877457162</v>
      </c>
      <c r="AL21" s="38" t="n">
        <f aca="false">AL18*Hypothèses!$D$18</f>
        <v>399.550538682591</v>
      </c>
      <c r="AN21" s="38" t="n">
        <f aca="false">N21</f>
        <v>18.8448504482914</v>
      </c>
      <c r="AO21" s="38" t="n">
        <f aca="false">Z21</f>
        <v>130.318918630989</v>
      </c>
      <c r="AP21" s="38" t="n">
        <f aca="false">AL21</f>
        <v>399.550538682591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70.325</v>
      </c>
      <c r="G23" s="15" t="n">
        <f aca="false">G19*Hypothèses!$D$12*$C$4</f>
        <v>68.21525</v>
      </c>
      <c r="H23" s="15" t="n">
        <f aca="false">H19*Hypothèses!$D$12*$C$4</f>
        <v>66.1687925</v>
      </c>
      <c r="I23" s="15" t="n">
        <f aca="false">I19*Hypothèses!$D$12*$C$4</f>
        <v>210.507104575</v>
      </c>
      <c r="J23" s="15" t="n">
        <f aca="false">J19*Hypothèses!$D$12*$C$4</f>
        <v>353.40203352925</v>
      </c>
      <c r="K23" s="15" t="n">
        <f aca="false">K19*Hypothèses!$D$12*$C$4</f>
        <v>494.868013193957</v>
      </c>
      <c r="L23" s="15" t="n">
        <f aca="false">L19*Hypothèses!$D$12*$C$4</f>
        <v>634.919333062018</v>
      </c>
      <c r="M23" s="15" t="n">
        <f aca="false">M19*Hypothèses!$D$12*$C$4</f>
        <v>773.570139731398</v>
      </c>
      <c r="N23" s="15" t="n">
        <f aca="false">N19*Hypothèses!$D$12*$C$4</f>
        <v>910.834438334084</v>
      </c>
      <c r="O23" s="15" t="n">
        <f aca="false">O19*Hypothèses!$D$12*$C$4</f>
        <v>1385.05942728408</v>
      </c>
      <c r="P23" s="15" t="n">
        <f aca="false">P19*Hypothèses!$D$12*$C$4</f>
        <v>1854.54216634457</v>
      </c>
      <c r="Q23" s="15" t="n">
        <f aca="false">Q19*Hypothèses!$D$12*$C$4</f>
        <v>2319.33007801446</v>
      </c>
      <c r="R23" s="15" t="n">
        <f aca="false">R19*Hypothèses!$D$12*$C$4</f>
        <v>2779.47011056765</v>
      </c>
      <c r="S23" s="15" t="n">
        <f aca="false">S19*Hypothèses!$D$12*$C$4</f>
        <v>3235.0087427953</v>
      </c>
      <c r="T23" s="15" t="n">
        <f aca="false">T19*Hypothèses!$D$12*$C$4</f>
        <v>3685.99198870068</v>
      </c>
      <c r="U23" s="15" t="n">
        <f aca="false">U19*Hypothèses!$D$12*$C$4</f>
        <v>4132.46540214701</v>
      </c>
      <c r="V23" s="15" t="n">
        <f aca="false">V19*Hypothèses!$D$12*$C$4</f>
        <v>4574.47408145887</v>
      </c>
      <c r="W23" s="15" t="n">
        <f aca="false">W19*Hypothèses!$D$12*$C$4</f>
        <v>5012.06267397762</v>
      </c>
      <c r="X23" s="15" t="n">
        <f aca="false">X19*Hypothèses!$D$12*$C$4</f>
        <v>5445.27538057117</v>
      </c>
      <c r="Y23" s="15" t="n">
        <f aca="false">Y19*Hypothèses!$D$12*$C$4</f>
        <v>5874.15596009879</v>
      </c>
      <c r="Z23" s="15" t="n">
        <f aca="false">Z19*Hypothèses!$D$12*$C$4</f>
        <v>6298.74773383114</v>
      </c>
      <c r="AA23" s="15" t="n">
        <f aca="false">AA19*Hypothèses!$D$12*$C$4</f>
        <v>7444.09358982616</v>
      </c>
      <c r="AB23" s="15" t="n">
        <f aca="false">AB19*Hypothèses!$D$12*$C$4</f>
        <v>8577.98598726123</v>
      </c>
      <c r="AC23" s="15" t="n">
        <f aca="false">AC19*Hypothèses!$D$12*$C$4</f>
        <v>9700.53946072195</v>
      </c>
      <c r="AD23" s="15" t="n">
        <f aca="false">AD19*Hypothèses!$D$12*$C$4</f>
        <v>10811.8673994481</v>
      </c>
      <c r="AE23" s="15" t="n">
        <f aca="false">AE19*Hypothèses!$D$12*$C$4</f>
        <v>11912.0820587869</v>
      </c>
      <c r="AF23" s="15" t="n">
        <f aca="false">AF19*Hypothèses!$D$12*$C$4</f>
        <v>13001.2945715324</v>
      </c>
      <c r="AG23" s="15" t="n">
        <f aca="false">AG19*Hypothèses!$D$12*$C$4</f>
        <v>14079.6149591504</v>
      </c>
      <c r="AH23" s="15" t="n">
        <f aca="false">AH19*Hypothèses!$D$12*$C$4</f>
        <v>15147.1521428922</v>
      </c>
      <c r="AI23" s="15" t="n">
        <f aca="false">AI19*Hypothèses!$D$12*$C$4</f>
        <v>16204.0139547966</v>
      </c>
      <c r="AJ23" s="15" t="n">
        <f aca="false">AJ19*Hypothèses!$D$12*$C$4</f>
        <v>17250.307148582</v>
      </c>
      <c r="AK23" s="15" t="n">
        <f aca="false">AK19*Hypothèses!$D$12*$C$4</f>
        <v>18286.1374104295</v>
      </c>
      <c r="AL23" s="15" t="n">
        <f aca="false">AL19*Hypothèses!$D$12*$C$4</f>
        <v>19311.6093696586</v>
      </c>
      <c r="AN23" s="15" t="n">
        <f aca="false">SUM(C23:N23)</f>
        <v>3655.31010492571</v>
      </c>
      <c r="AO23" s="15" t="n">
        <f aca="false">SUM(O23:Z23)</f>
        <v>46596.5837457913</v>
      </c>
      <c r="AP23" s="15" t="n">
        <f aca="false">SUM(AA23:AL23)</f>
        <v>161726.698053086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459.78</v>
      </c>
      <c r="G24" s="15" t="n">
        <f aca="false">G20*Hypothèses!$D$13*$C$4</f>
        <v>445.9866</v>
      </c>
      <c r="H24" s="15" t="n">
        <f aca="false">H20*Hypothèses!$D$13*$C$4</f>
        <v>432.607002</v>
      </c>
      <c r="I24" s="15" t="n">
        <f aca="false">I20*Hypothèses!$D$13*$C$4</f>
        <v>1376.28093198</v>
      </c>
      <c r="J24" s="15" t="n">
        <f aca="false">J20*Hypothèses!$D$13*$C$4</f>
        <v>2310.5181226602</v>
      </c>
      <c r="K24" s="15" t="n">
        <f aca="false">K20*Hypothèses!$D$13*$C$4</f>
        <v>3235.4129414336</v>
      </c>
      <c r="L24" s="15" t="n">
        <f aca="false">L20*Hypothèses!$D$13*$C$4</f>
        <v>4151.05881201926</v>
      </c>
      <c r="M24" s="15" t="n">
        <f aca="false">M20*Hypothèses!$D$13*$C$4</f>
        <v>5057.54822389907</v>
      </c>
      <c r="N24" s="15" t="n">
        <f aca="false">N20*Hypothèses!$D$13*$C$4</f>
        <v>5954.97274166008</v>
      </c>
      <c r="O24" s="15" t="n">
        <f aca="false">O20*Hypothèses!$D$13*$C$4</f>
        <v>9055.42301424348</v>
      </c>
      <c r="P24" s="15" t="n">
        <f aca="false">P20*Hypothèses!$D$13*$C$4</f>
        <v>12124.868784101</v>
      </c>
      <c r="Q24" s="15" t="n">
        <f aca="false">Q20*Hypothèses!$D$13*$C$4</f>
        <v>15163.62009626</v>
      </c>
      <c r="R24" s="15" t="n">
        <f aca="false">R20*Hypothèses!$D$13*$C$4</f>
        <v>18171.9838952974</v>
      </c>
      <c r="S24" s="15" t="n">
        <f aca="false">S20*Hypothèses!$D$13*$C$4</f>
        <v>21150.2640563445</v>
      </c>
      <c r="T24" s="15" t="n">
        <f aca="false">T20*Hypothèses!$D$13*$C$4</f>
        <v>24098.761415781</v>
      </c>
      <c r="U24" s="15" t="n">
        <f aca="false">U20*Hypothèses!$D$13*$C$4</f>
        <v>27017.7738016232</v>
      </c>
      <c r="V24" s="15" t="n">
        <f aca="false">V20*Hypothèses!$D$13*$C$4</f>
        <v>29907.596063607</v>
      </c>
      <c r="W24" s="15" t="n">
        <f aca="false">W20*Hypothèses!$D$13*$C$4</f>
        <v>32768.5201029709</v>
      </c>
      <c r="X24" s="15" t="n">
        <f aca="false">X20*Hypothèses!$D$13*$C$4</f>
        <v>35600.8349019412</v>
      </c>
      <c r="Y24" s="15" t="n">
        <f aca="false">Y20*Hypothèses!$D$13*$C$4</f>
        <v>38404.8265529218</v>
      </c>
      <c r="Z24" s="15" t="n">
        <f aca="false">Z20*Hypothèses!$D$13*$C$4</f>
        <v>41180.7782873925</v>
      </c>
      <c r="AA24" s="15" t="n">
        <f aca="false">AA20*Hypothèses!$D$13*$C$4</f>
        <v>48668.9705045186</v>
      </c>
      <c r="AB24" s="15" t="n">
        <f aca="false">AB20*Hypothèses!$D$13*$C$4</f>
        <v>56082.2807994734</v>
      </c>
      <c r="AC24" s="15" t="n">
        <f aca="false">AC20*Hypothèses!$D$13*$C$4</f>
        <v>63421.4579914787</v>
      </c>
      <c r="AD24" s="15" t="n">
        <f aca="false">AD20*Hypothèses!$D$13*$C$4</f>
        <v>70687.2434115639</v>
      </c>
      <c r="AE24" s="15" t="n">
        <f aca="false">AE20*Hypothèses!$D$13*$C$4</f>
        <v>77880.3709774483</v>
      </c>
      <c r="AF24" s="15" t="n">
        <f aca="false">AF20*Hypothèses!$D$13*$C$4</f>
        <v>85001.5672676738</v>
      </c>
      <c r="AG24" s="15" t="n">
        <f aca="false">AG20*Hypothèses!$D$13*$C$4</f>
        <v>92051.5515949971</v>
      </c>
      <c r="AH24" s="15" t="n">
        <f aca="false">AH20*Hypothèses!$D$13*$C$4</f>
        <v>99031.0360790471</v>
      </c>
      <c r="AI24" s="15" t="n">
        <f aca="false">AI20*Hypothèses!$D$13*$C$4</f>
        <v>105940.725718257</v>
      </c>
      <c r="AJ24" s="15" t="n">
        <f aca="false">AJ20*Hypothèses!$D$13*$C$4</f>
        <v>112781.318461074</v>
      </c>
      <c r="AK24" s="15" t="n">
        <f aca="false">AK20*Hypothèses!$D$13*$C$4</f>
        <v>119553.505276463</v>
      </c>
      <c r="AL24" s="15" t="n">
        <f aca="false">AL20*Hypothèses!$D$13*$C$4</f>
        <v>126257.970223699</v>
      </c>
      <c r="AN24" s="15" t="n">
        <f aca="false">SUM(C24:N24)</f>
        <v>23898.1653756522</v>
      </c>
      <c r="AO24" s="15" t="n">
        <f aca="false">SUM(O24:Z24)</f>
        <v>304645.250972484</v>
      </c>
      <c r="AP24" s="15" t="n">
        <f aca="false">SUM(AA24:AL24)</f>
        <v>1057357.99830569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187.695</v>
      </c>
      <c r="G25" s="15" t="n">
        <f aca="false">G21*Hypothèses!$D$14*$C$4</f>
        <v>182.06415</v>
      </c>
      <c r="H25" s="15" t="n">
        <f aca="false">H21*Hypothèses!$D$14*$C$4</f>
        <v>176.6022255</v>
      </c>
      <c r="I25" s="15" t="n">
        <f aca="false">I21*Hypothèses!$D$14*$C$4</f>
        <v>561.836203245</v>
      </c>
      <c r="J25" s="15" t="n">
        <f aca="false">J21*Hypothèses!$D$14*$C$4</f>
        <v>943.21784121255</v>
      </c>
      <c r="K25" s="15" t="n">
        <f aca="false">K21*Hypothèses!$D$14*$C$4</f>
        <v>1320.78566280042</v>
      </c>
      <c r="L25" s="15" t="n">
        <f aca="false">L21*Hypothèses!$D$14*$C$4</f>
        <v>1694.57780617242</v>
      </c>
      <c r="M25" s="15" t="n">
        <f aca="false">M21*Hypothèses!$D$14*$C$4</f>
        <v>2064.6320281107</v>
      </c>
      <c r="N25" s="15" t="n">
        <f aca="false">N21*Hypothèses!$D$14*$C$4</f>
        <v>2430.98570782959</v>
      </c>
      <c r="O25" s="15" t="n">
        <f aca="false">O21*Hypothèses!$D$14*$C$4</f>
        <v>3696.67585075129</v>
      </c>
      <c r="P25" s="15" t="n">
        <f aca="false">P21*Hypothèses!$D$14*$C$4</f>
        <v>4949.70909224378</v>
      </c>
      <c r="Q25" s="15" t="n">
        <f aca="false">Q21*Hypothèses!$D$14*$C$4</f>
        <v>6190.21200132134</v>
      </c>
      <c r="R25" s="15" t="n">
        <f aca="false">R21*Hypothèses!$D$14*$C$4</f>
        <v>7418.30988130813</v>
      </c>
      <c r="S25" s="15" t="n">
        <f aca="false">S21*Hypothèses!$D$14*$C$4</f>
        <v>8634.12678249505</v>
      </c>
      <c r="T25" s="15" t="n">
        <f aca="false">T21*Hypothèses!$D$14*$C$4</f>
        <v>9837.7855146701</v>
      </c>
      <c r="U25" s="15" t="n">
        <f aca="false">U21*Hypothèses!$D$14*$C$4</f>
        <v>11029.4076595234</v>
      </c>
      <c r="V25" s="15" t="n">
        <f aca="false">V21*Hypothèses!$D$14*$C$4</f>
        <v>12209.1135829282</v>
      </c>
      <c r="W25" s="15" t="n">
        <f aca="false">W21*Hypothèses!$D$14*$C$4</f>
        <v>13377.0224470989</v>
      </c>
      <c r="X25" s="15" t="n">
        <f aca="false">X21*Hypothèses!$D$14*$C$4</f>
        <v>14533.2522226279</v>
      </c>
      <c r="Y25" s="15" t="n">
        <f aca="false">Y21*Hypothèses!$D$14*$C$4</f>
        <v>15677.9197004016</v>
      </c>
      <c r="Z25" s="15" t="n">
        <f aca="false">Z21*Hypothèses!$D$14*$C$4</f>
        <v>16811.1405033976</v>
      </c>
      <c r="AA25" s="15" t="n">
        <f aca="false">AA21*Hypothèses!$D$14*$C$4</f>
        <v>19868.0290983636</v>
      </c>
      <c r="AB25" s="15" t="n">
        <f aca="false">AB21*Hypothèses!$D$14*$C$4</f>
        <v>22894.34880738</v>
      </c>
      <c r="AC25" s="15" t="n">
        <f aca="false">AC21*Hypothèses!$D$14*$C$4</f>
        <v>25890.4053193062</v>
      </c>
      <c r="AD25" s="15" t="n">
        <f aca="false">AD21*Hypothèses!$D$14*$C$4</f>
        <v>28856.5012661131</v>
      </c>
      <c r="AE25" s="15" t="n">
        <f aca="false">AE21*Hypothèses!$D$14*$C$4</f>
        <v>31792.936253452</v>
      </c>
      <c r="AF25" s="15" t="n">
        <f aca="false">AF21*Hypothèses!$D$14*$C$4</f>
        <v>34700.0068909175</v>
      </c>
      <c r="AG25" s="15" t="n">
        <f aca="false">AG21*Hypothèses!$D$14*$C$4</f>
        <v>37578.0068220083</v>
      </c>
      <c r="AH25" s="15" t="n">
        <f aca="false">AH21*Hypothèses!$D$14*$C$4</f>
        <v>40427.2267537882</v>
      </c>
      <c r="AI25" s="15" t="n">
        <f aca="false">AI21*Hypothèses!$D$14*$C$4</f>
        <v>43247.9544862503</v>
      </c>
      <c r="AJ25" s="15" t="n">
        <f aca="false">AJ21*Hypothèses!$D$14*$C$4</f>
        <v>46040.4749413878</v>
      </c>
      <c r="AK25" s="15" t="n">
        <f aca="false">AK21*Hypothèses!$D$14*$C$4</f>
        <v>48805.0701919739</v>
      </c>
      <c r="AL25" s="15" t="n">
        <f aca="false">AL21*Hypothèses!$D$14*$C$4</f>
        <v>51542.0194900542</v>
      </c>
      <c r="AN25" s="15" t="n">
        <f aca="false">SUM(C25:N25)</f>
        <v>9755.89662487068</v>
      </c>
      <c r="AO25" s="15" t="n">
        <f aca="false">SUM(O25:Z25)</f>
        <v>124364.675238767</v>
      </c>
      <c r="AP25" s="15" t="n">
        <f aca="false">SUM(AA25:AL25)</f>
        <v>431642.980320995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717.8</v>
      </c>
      <c r="G26" s="40" t="n">
        <f aca="false">G23+G24+G25</f>
        <v>696.266</v>
      </c>
      <c r="H26" s="40" t="n">
        <f aca="false">H23+H24+H25</f>
        <v>675.37802</v>
      </c>
      <c r="I26" s="40" t="n">
        <f aca="false">I23+I24+I25</f>
        <v>2148.6242398</v>
      </c>
      <c r="J26" s="40" t="n">
        <f aca="false">J23+J24+J25</f>
        <v>3607.137997402</v>
      </c>
      <c r="K26" s="40" t="n">
        <f aca="false">K23+K24+K25</f>
        <v>5051.06661742798</v>
      </c>
      <c r="L26" s="40" t="n">
        <f aca="false">L23+L24+L25</f>
        <v>6480.5559512537</v>
      </c>
      <c r="M26" s="40" t="n">
        <f aca="false">M23+M24+M25</f>
        <v>7895.75039174116</v>
      </c>
      <c r="N26" s="40" t="n">
        <f aca="false">N23+N24+N25</f>
        <v>9296.79288782375</v>
      </c>
      <c r="O26" s="40" t="n">
        <f aca="false">O23+O24+O25</f>
        <v>14137.1582922788</v>
      </c>
      <c r="P26" s="40" t="n">
        <f aca="false">P23+P24+P25</f>
        <v>18929.1200426894</v>
      </c>
      <c r="Q26" s="40" t="n">
        <f aca="false">Q23+Q24+Q25</f>
        <v>23673.1621755958</v>
      </c>
      <c r="R26" s="40" t="n">
        <f aca="false">R23+R24+R25</f>
        <v>28369.7638871732</v>
      </c>
      <c r="S26" s="40" t="n">
        <f aca="false">S23+S24+S25</f>
        <v>33019.3995816348</v>
      </c>
      <c r="T26" s="40" t="n">
        <f aca="false">T23+T24+T25</f>
        <v>37622.5389191518</v>
      </c>
      <c r="U26" s="40" t="n">
        <f aca="false">U23+U24+U25</f>
        <v>42179.6468632936</v>
      </c>
      <c r="V26" s="40" t="n">
        <f aca="false">V23+V24+V25</f>
        <v>46691.183727994</v>
      </c>
      <c r="W26" s="40" t="n">
        <f aca="false">W23+W24+W25</f>
        <v>51157.6052240474</v>
      </c>
      <c r="X26" s="40" t="n">
        <f aca="false">X23+X24+X25</f>
        <v>55579.3625051402</v>
      </c>
      <c r="Y26" s="40" t="n">
        <f aca="false">Y23+Y24+Y25</f>
        <v>59956.9022134222</v>
      </c>
      <c r="Z26" s="40" t="n">
        <f aca="false">Z23+Z24+Z25</f>
        <v>64290.6665246213</v>
      </c>
      <c r="AA26" s="40" t="n">
        <f aca="false">AA23+AA24+AA25</f>
        <v>75981.0931927084</v>
      </c>
      <c r="AB26" s="40" t="n">
        <f aca="false">AB23+AB24+AB25</f>
        <v>87554.6155941146</v>
      </c>
      <c r="AC26" s="40" t="n">
        <f aca="false">AC23+AC24+AC25</f>
        <v>99012.4027715068</v>
      </c>
      <c r="AD26" s="40" t="n">
        <f aca="false">AD23+AD24+AD25</f>
        <v>110355.612077125</v>
      </c>
      <c r="AE26" s="40" t="n">
        <f aca="false">AE23+AE24+AE25</f>
        <v>121585.389289687</v>
      </c>
      <c r="AF26" s="40" t="n">
        <f aca="false">AF23+AF24+AF25</f>
        <v>132702.868730124</v>
      </c>
      <c r="AG26" s="40" t="n">
        <f aca="false">AG23+AG24+AG25</f>
        <v>143709.173376156</v>
      </c>
      <c r="AH26" s="40" t="n">
        <f aca="false">AH23+AH24+AH25</f>
        <v>154605.414975728</v>
      </c>
      <c r="AI26" s="40" t="n">
        <f aca="false">AI23+AI24+AI25</f>
        <v>165392.694159304</v>
      </c>
      <c r="AJ26" s="40" t="n">
        <f aca="false">AJ23+AJ24+AJ25</f>
        <v>176072.100551044</v>
      </c>
      <c r="AK26" s="40" t="n">
        <f aca="false">AK23+AK24+AK25</f>
        <v>186644.712878867</v>
      </c>
      <c r="AL26" s="40" t="n">
        <f aca="false">AL23+AL24+AL25</f>
        <v>197111.599083411</v>
      </c>
      <c r="AN26" s="40" t="n">
        <f aca="false">SUM(C26:N26)</f>
        <v>37309.3721054486</v>
      </c>
      <c r="AO26" s="40" t="n">
        <f aca="false">SUM(O26:Z26)</f>
        <v>475606.509957043</v>
      </c>
      <c r="AP26" s="40" t="n">
        <f aca="false">SUM(AA26:AL26)</f>
        <v>1650727.67667978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119.633333333333</v>
      </c>
      <c r="G27" s="15" t="n">
        <f aca="false">G26*Hypothèses!$D$15/(1+Hypothèses!$D$15)</f>
        <v>116.044333333333</v>
      </c>
      <c r="H27" s="15" t="n">
        <f aca="false">H26*Hypothèses!$D$15/(1+Hypothèses!$D$15)</f>
        <v>112.563003333333</v>
      </c>
      <c r="I27" s="15" t="n">
        <f aca="false">I26*Hypothèses!$D$15/(1+Hypothèses!$D$15)</f>
        <v>358.104039966667</v>
      </c>
      <c r="J27" s="15" t="n">
        <f aca="false">J26*Hypothèses!$D$15/(1+Hypothèses!$D$15)</f>
        <v>601.189666233667</v>
      </c>
      <c r="K27" s="15" t="n">
        <f aca="false">K26*Hypothèses!$D$15/(1+Hypothèses!$D$15)</f>
        <v>841.844436237997</v>
      </c>
      <c r="L27" s="15" t="n">
        <f aca="false">L26*Hypothèses!$D$15/(1+Hypothèses!$D$15)</f>
        <v>1080.09265854228</v>
      </c>
      <c r="M27" s="15" t="n">
        <f aca="false">M26*Hypothèses!$D$15/(1+Hypothèses!$D$15)</f>
        <v>1315.95839862353</v>
      </c>
      <c r="N27" s="15" t="n">
        <f aca="false">N26*Hypothèses!$D$15/(1+Hypothèses!$D$15)</f>
        <v>1549.46548130396</v>
      </c>
      <c r="O27" s="15" t="n">
        <f aca="false">O26*Hypothèses!$D$15/(1+Hypothèses!$D$15)</f>
        <v>2356.19304871314</v>
      </c>
      <c r="P27" s="15" t="n">
        <f aca="false">P26*Hypothèses!$D$15/(1+Hypothèses!$D$15)</f>
        <v>3154.85334044823</v>
      </c>
      <c r="Q27" s="15" t="n">
        <f aca="false">Q26*Hypothèses!$D$15/(1+Hypothèses!$D$15)</f>
        <v>3945.52702926597</v>
      </c>
      <c r="R27" s="15" t="n">
        <f aca="false">R26*Hypothèses!$D$15/(1+Hypothèses!$D$15)</f>
        <v>4728.29398119554</v>
      </c>
      <c r="S27" s="15" t="n">
        <f aca="false">S26*Hypothèses!$D$15/(1+Hypothèses!$D$15)</f>
        <v>5503.2332636058</v>
      </c>
      <c r="T27" s="15" t="n">
        <f aca="false">T26*Hypothèses!$D$15/(1+Hypothèses!$D$15)</f>
        <v>6270.42315319197</v>
      </c>
      <c r="U27" s="15" t="n">
        <f aca="false">U26*Hypothèses!$D$15/(1+Hypothèses!$D$15)</f>
        <v>7029.94114388227</v>
      </c>
      <c r="V27" s="15" t="n">
        <f aca="false">V26*Hypothèses!$D$15/(1+Hypothèses!$D$15)</f>
        <v>7781.86395466566</v>
      </c>
      <c r="W27" s="15" t="n">
        <f aca="false">W26*Hypothèses!$D$15/(1+Hypothèses!$D$15)</f>
        <v>8526.26753734123</v>
      </c>
      <c r="X27" s="15" t="n">
        <f aca="false">X26*Hypothèses!$D$15/(1+Hypothèses!$D$15)</f>
        <v>9263.22708419004</v>
      </c>
      <c r="Y27" s="15" t="n">
        <f aca="false">Y26*Hypothèses!$D$15/(1+Hypothèses!$D$15)</f>
        <v>9992.81703557036</v>
      </c>
      <c r="Z27" s="15" t="n">
        <f aca="false">Z26*Hypothèses!$D$15/(1+Hypothèses!$D$15)</f>
        <v>10715.1110874369</v>
      </c>
      <c r="AA27" s="15" t="n">
        <f aca="false">AA26*Hypothèses!$D$15/(1+Hypothèses!$D$15)</f>
        <v>12663.5155321181</v>
      </c>
      <c r="AB27" s="15" t="n">
        <f aca="false">AB26*Hypothèses!$D$15/(1+Hypothèses!$D$15)</f>
        <v>14592.4359323524</v>
      </c>
      <c r="AC27" s="15" t="n">
        <f aca="false">AC26*Hypothèses!$D$15/(1+Hypothèses!$D$15)</f>
        <v>16502.0671285845</v>
      </c>
      <c r="AD27" s="15" t="n">
        <f aca="false">AD26*Hypothèses!$D$15/(1+Hypothèses!$D$15)</f>
        <v>18392.6020128542</v>
      </c>
      <c r="AE27" s="15" t="n">
        <f aca="false">AE26*Hypothèses!$D$15/(1+Hypothèses!$D$15)</f>
        <v>20264.2315482812</v>
      </c>
      <c r="AF27" s="15" t="n">
        <f aca="false">AF26*Hypothèses!$D$15/(1+Hypothèses!$D$15)</f>
        <v>22117.1447883539</v>
      </c>
      <c r="AG27" s="15" t="n">
        <f aca="false">AG26*Hypothèses!$D$15/(1+Hypothèses!$D$15)</f>
        <v>23951.528896026</v>
      </c>
      <c r="AH27" s="15" t="n">
        <f aca="false">AH26*Hypothèses!$D$15/(1+Hypothèses!$D$15)</f>
        <v>25767.5691626213</v>
      </c>
      <c r="AI27" s="15" t="n">
        <f aca="false">AI26*Hypothèses!$D$15/(1+Hypothèses!$D$15)</f>
        <v>27565.4490265506</v>
      </c>
      <c r="AJ27" s="15" t="n">
        <f aca="false">AJ26*Hypothèses!$D$15/(1+Hypothèses!$D$15)</f>
        <v>29345.3500918407</v>
      </c>
      <c r="AK27" s="15" t="n">
        <f aca="false">AK26*Hypothèses!$D$15/(1+Hypothèses!$D$15)</f>
        <v>31107.4521464778</v>
      </c>
      <c r="AL27" s="15" t="n">
        <f aca="false">AL26*Hypothèses!$D$15/(1+Hypothèses!$D$15)</f>
        <v>32851.9331805686</v>
      </c>
      <c r="AN27" s="15" t="n">
        <f aca="false">SUM(C27:N27)</f>
        <v>6218.22868424143</v>
      </c>
      <c r="AO27" s="15" t="n">
        <f aca="false">SUM(O27:Z27)</f>
        <v>79267.7516595071</v>
      </c>
      <c r="AP27" s="15" t="n">
        <f aca="false">SUM(AA27:AL27)</f>
        <v>275121.279446629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598.166666666667</v>
      </c>
      <c r="G28" s="40" t="n">
        <f aca="false">G26-G27</f>
        <v>580.221666666667</v>
      </c>
      <c r="H28" s="40" t="n">
        <f aca="false">H26-H27</f>
        <v>562.815016666667</v>
      </c>
      <c r="I28" s="40" t="n">
        <f aca="false">I26-I27</f>
        <v>1790.52019983333</v>
      </c>
      <c r="J28" s="40" t="n">
        <f aca="false">J26-J27</f>
        <v>3005.94833116833</v>
      </c>
      <c r="K28" s="40" t="n">
        <f aca="false">K26-K27</f>
        <v>4209.22218118998</v>
      </c>
      <c r="L28" s="40" t="n">
        <f aca="false">L26-L27</f>
        <v>5400.46329271142</v>
      </c>
      <c r="M28" s="40" t="n">
        <f aca="false">M26-M27</f>
        <v>6579.79199311764</v>
      </c>
      <c r="N28" s="40" t="n">
        <f aca="false">N26-N27</f>
        <v>7747.32740651979</v>
      </c>
      <c r="O28" s="40" t="n">
        <f aca="false">O26-O27</f>
        <v>11780.9652435657</v>
      </c>
      <c r="P28" s="40" t="n">
        <f aca="false">P26-P27</f>
        <v>15774.2667022412</v>
      </c>
      <c r="Q28" s="40" t="n">
        <f aca="false">Q26-Q27</f>
        <v>19727.6351463299</v>
      </c>
      <c r="R28" s="40" t="n">
        <f aca="false">R26-R27</f>
        <v>23641.4699059777</v>
      </c>
      <c r="S28" s="40" t="n">
        <f aca="false">S26-S27</f>
        <v>27516.166318029</v>
      </c>
      <c r="T28" s="40" t="n">
        <f aca="false">T26-T27</f>
        <v>31352.1157659598</v>
      </c>
      <c r="U28" s="40" t="n">
        <f aca="false">U26-U27</f>
        <v>35149.7057194113</v>
      </c>
      <c r="V28" s="40" t="n">
        <f aca="false">V26-V27</f>
        <v>38909.3197733283</v>
      </c>
      <c r="W28" s="40" t="n">
        <f aca="false">W26-W27</f>
        <v>42631.3376867061</v>
      </c>
      <c r="X28" s="40" t="n">
        <f aca="false">X26-X27</f>
        <v>46316.1354209502</v>
      </c>
      <c r="Y28" s="40" t="n">
        <f aca="false">Y26-Y27</f>
        <v>49964.0851778518</v>
      </c>
      <c r="Z28" s="40" t="n">
        <f aca="false">Z26-Z27</f>
        <v>53575.5554371844</v>
      </c>
      <c r="AA28" s="40" t="n">
        <f aca="false">AA26-AA27</f>
        <v>63317.5776605903</v>
      </c>
      <c r="AB28" s="40" t="n">
        <f aca="false">AB26-AB27</f>
        <v>72962.1796617622</v>
      </c>
      <c r="AC28" s="40" t="n">
        <f aca="false">AC26-AC27</f>
        <v>82510.3356429224</v>
      </c>
      <c r="AD28" s="40" t="n">
        <f aca="false">AD26-AD27</f>
        <v>91963.0100642709</v>
      </c>
      <c r="AE28" s="40" t="n">
        <f aca="false">AE26-AE27</f>
        <v>101321.157741406</v>
      </c>
      <c r="AF28" s="40" t="n">
        <f aca="false">AF26-AF27</f>
        <v>110585.72394177</v>
      </c>
      <c r="AG28" s="40" t="n">
        <f aca="false">AG26-AG27</f>
        <v>119757.64448013</v>
      </c>
      <c r="AH28" s="40" t="n">
        <f aca="false">AH26-AH27</f>
        <v>128837.845813106</v>
      </c>
      <c r="AI28" s="40" t="n">
        <f aca="false">AI26-AI27</f>
        <v>137827.245132753</v>
      </c>
      <c r="AJ28" s="40" t="n">
        <f aca="false">AJ26-AJ27</f>
        <v>146726.750459203</v>
      </c>
      <c r="AK28" s="40" t="n">
        <f aca="false">AK26-AK27</f>
        <v>155537.260732389</v>
      </c>
      <c r="AL28" s="40" t="n">
        <f aca="false">AL26-AL27</f>
        <v>164259.665902843</v>
      </c>
      <c r="AN28" s="40" t="n">
        <f aca="false">SUM(C28:N28)</f>
        <v>31091.1434212072</v>
      </c>
      <c r="AO28" s="40" t="n">
        <f aca="false">SUM(O28:Z28)</f>
        <v>396338.758297536</v>
      </c>
      <c r="AP28" s="40" t="n">
        <f aca="false">SUM(AA28:AL28)</f>
        <v>1375606.39723315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7.178</v>
      </c>
      <c r="G29" s="15" t="n">
        <f aca="false">G26*Hypothèses!$D$27</f>
        <v>6.96266</v>
      </c>
      <c r="H29" s="15" t="n">
        <f aca="false">H26*Hypothèses!$D$27</f>
        <v>6.7537802</v>
      </c>
      <c r="I29" s="15" t="n">
        <f aca="false">I26*Hypothèses!$D$27</f>
        <v>21.486242398</v>
      </c>
      <c r="J29" s="15" t="n">
        <f aca="false">J26*Hypothèses!$D$27</f>
        <v>36.07137997402</v>
      </c>
      <c r="K29" s="15" t="n">
        <f aca="false">K26*Hypothèses!$D$27</f>
        <v>50.5106661742798</v>
      </c>
      <c r="L29" s="15" t="n">
        <f aca="false">L26*Hypothèses!$D$27</f>
        <v>64.805559512537</v>
      </c>
      <c r="M29" s="15" t="n">
        <f aca="false">M26*Hypothèses!$D$27</f>
        <v>78.9575039174116</v>
      </c>
      <c r="N29" s="15" t="n">
        <f aca="false">N26*Hypothèses!$D$27</f>
        <v>92.9679288782375</v>
      </c>
      <c r="O29" s="15" t="n">
        <f aca="false">O26*Hypothèses!$D$27</f>
        <v>141.371582922788</v>
      </c>
      <c r="P29" s="15" t="n">
        <f aca="false">P26*Hypothèses!$D$27</f>
        <v>189.291200426894</v>
      </c>
      <c r="Q29" s="15" t="n">
        <f aca="false">Q26*Hypothèses!$D$27</f>
        <v>236.731621755958</v>
      </c>
      <c r="R29" s="15" t="n">
        <f aca="false">R26*Hypothèses!$D$27</f>
        <v>283.697638871732</v>
      </c>
      <c r="S29" s="15" t="n">
        <f aca="false">S26*Hypothèses!$D$27</f>
        <v>330.193995816348</v>
      </c>
      <c r="T29" s="15" t="n">
        <f aca="false">T26*Hypothèses!$D$27</f>
        <v>376.225389191518</v>
      </c>
      <c r="U29" s="15" t="n">
        <f aca="false">U26*Hypothèses!$D$27</f>
        <v>421.796468632936</v>
      </c>
      <c r="V29" s="15" t="n">
        <f aca="false">V26*Hypothèses!$D$27</f>
        <v>466.91183727994</v>
      </c>
      <c r="W29" s="15" t="n">
        <f aca="false">W26*Hypothèses!$D$27</f>
        <v>511.576052240474</v>
      </c>
      <c r="X29" s="15" t="n">
        <f aca="false">X26*Hypothèses!$D$27</f>
        <v>555.793625051402</v>
      </c>
      <c r="Y29" s="15" t="n">
        <f aca="false">Y26*Hypothèses!$D$27</f>
        <v>599.569022134222</v>
      </c>
      <c r="Z29" s="15" t="n">
        <f aca="false">Z26*Hypothèses!$D$27</f>
        <v>642.906665246213</v>
      </c>
      <c r="AA29" s="15" t="n">
        <f aca="false">AA26*Hypothèses!$D$27</f>
        <v>759.810931927084</v>
      </c>
      <c r="AB29" s="15" t="n">
        <f aca="false">AB26*Hypothèses!$D$27</f>
        <v>875.546155941147</v>
      </c>
      <c r="AC29" s="15" t="n">
        <f aca="false">AC26*Hypothèses!$D$27</f>
        <v>990.124027715068</v>
      </c>
      <c r="AD29" s="15" t="n">
        <f aca="false">AD26*Hypothèses!$D$27</f>
        <v>1103.55612077125</v>
      </c>
      <c r="AE29" s="15" t="n">
        <f aca="false">AE26*Hypothèses!$D$27</f>
        <v>1215.85389289687</v>
      </c>
      <c r="AF29" s="15" t="n">
        <f aca="false">AF26*Hypothèses!$D$27</f>
        <v>1327.02868730124</v>
      </c>
      <c r="AG29" s="15" t="n">
        <f aca="false">AG26*Hypothèses!$D$27</f>
        <v>1437.09173376156</v>
      </c>
      <c r="AH29" s="15" t="n">
        <f aca="false">AH26*Hypothèses!$D$27</f>
        <v>1546.05414975728</v>
      </c>
      <c r="AI29" s="15" t="n">
        <f aca="false">AI26*Hypothèses!$D$27</f>
        <v>1653.92694159304</v>
      </c>
      <c r="AJ29" s="15" t="n">
        <f aca="false">AJ26*Hypothèses!$D$27</f>
        <v>1760.72100551044</v>
      </c>
      <c r="AK29" s="15" t="n">
        <f aca="false">AK26*Hypothèses!$D$27</f>
        <v>1866.44712878867</v>
      </c>
      <c r="AL29" s="15" t="n">
        <f aca="false">AL26*Hypothèses!$D$27</f>
        <v>1971.11599083411</v>
      </c>
      <c r="AN29" s="15" t="n">
        <f aca="false">SUM(C29:N29)</f>
        <v>373.093721054486</v>
      </c>
      <c r="AO29" s="15" t="n">
        <f aca="false">SUM(O29:Z29)</f>
        <v>4756.06509957043</v>
      </c>
      <c r="AP29" s="15" t="n">
        <f aca="false">SUM(AA29:AL29)</f>
        <v>16507.2767667977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13.08433</v>
      </c>
      <c r="G30" s="15" t="n">
        <f aca="false">(G26-G29)*Hypothèses!$D$28+G18*Hypothèses!$D$29</f>
        <v>12.6918001</v>
      </c>
      <c r="H30" s="15" t="n">
        <f aca="false">(H26-H29)*Hypothèses!$D$28+H18*Hypothèses!$D$29</f>
        <v>12.311046097</v>
      </c>
      <c r="I30" s="15" t="n">
        <f aca="false">(I26-I29)*Hypothèses!$D$28+I18*Hypothèses!$D$29</f>
        <v>39.16593563603</v>
      </c>
      <c r="J30" s="15" t="n">
        <f aca="false">(J26-J29)*Hypothèses!$D$28+J18*Hypothèses!$D$29</f>
        <v>65.7522762796697</v>
      </c>
      <c r="K30" s="15" t="n">
        <f aca="false">(K26-K29)*Hypothèses!$D$28+K18*Hypothèses!$D$29</f>
        <v>92.072753516873</v>
      </c>
      <c r="L30" s="15" t="n">
        <f aca="false">(L26-L29)*Hypothèses!$D$28+L18*Hypothèses!$D$29</f>
        <v>118.130025981704</v>
      </c>
      <c r="M30" s="15" t="n">
        <f aca="false">(M26-M29)*Hypothèses!$D$28+M18*Hypothèses!$D$29</f>
        <v>143.926725721887</v>
      </c>
      <c r="N30" s="15" t="n">
        <f aca="false">(N26-N29)*Hypothèses!$D$28+N18*Hypothèses!$D$29</f>
        <v>169.465458464668</v>
      </c>
      <c r="O30" s="15" t="n">
        <f aca="false">(O26-O29)*Hypothèses!$D$28+O18*Hypothèses!$D$29</f>
        <v>257.697470546688</v>
      </c>
      <c r="P30" s="15" t="n">
        <f aca="false">(P26-P29)*Hypothèses!$D$28+P18*Hypothèses!$D$29</f>
        <v>345.047162507888</v>
      </c>
      <c r="Q30" s="15" t="n">
        <f aca="false">(Q26-Q29)*Hypothèses!$D$28+Q18*Hypothèses!$D$29</f>
        <v>431.523357549476</v>
      </c>
      <c r="R30" s="15" t="n">
        <f aca="false">(R26-R29)*Hypothèses!$D$28+R18*Hypothèses!$D$29</f>
        <v>517.134790640648</v>
      </c>
      <c r="S30" s="15" t="n">
        <f aca="false">(S26-S29)*Hypothèses!$D$28+S18*Hypothèses!$D$29</f>
        <v>601.890109400908</v>
      </c>
      <c r="T30" s="15" t="n">
        <f aca="false">(T26-T29)*Hypothèses!$D$28+T18*Hypothèses!$D$29</f>
        <v>685.797874973566</v>
      </c>
      <c r="U30" s="15" t="n">
        <f aca="false">(U26-U29)*Hypothèses!$D$28+U18*Hypothèses!$D$29</f>
        <v>768.866562890496</v>
      </c>
      <c r="V30" s="15" t="n">
        <f aca="false">(V26-V29)*Hypothèses!$D$28+V18*Hypothèses!$D$29</f>
        <v>851.104563928258</v>
      </c>
      <c r="W30" s="15" t="n">
        <f aca="false">(W26-W29)*Hypothèses!$D$28+W18*Hypothèses!$D$29</f>
        <v>932.520184955642</v>
      </c>
      <c r="X30" s="15" t="n">
        <f aca="false">(X26-X29)*Hypothèses!$D$28+X18*Hypothèses!$D$29</f>
        <v>1013.12164977275</v>
      </c>
      <c r="Y30" s="15" t="n">
        <f aca="false">(Y26-Y29)*Hypothèses!$D$28+Y18*Hypothèses!$D$29</f>
        <v>1092.91709994169</v>
      </c>
      <c r="Z30" s="15" t="n">
        <f aca="false">(Z26-Z29)*Hypothèses!$D$28+Z18*Hypothèses!$D$29</f>
        <v>1171.91459560894</v>
      </c>
      <c r="AA30" s="15" t="n">
        <f aca="false">(AA26-AA29)*Hypothèses!$D$28+AA18*Hypothèses!$D$29</f>
        <v>1385.01211631952</v>
      </c>
      <c r="AB30" s="15" t="n">
        <f aca="false">(AB26-AB29)*Hypothèses!$D$28+AB18*Hypothèses!$D$29</f>
        <v>1595.97866182299</v>
      </c>
      <c r="AC30" s="15" t="n">
        <f aca="false">(AC26-AC29)*Hypothèses!$D$28+AC18*Hypothèses!$D$29</f>
        <v>1804.83554187143</v>
      </c>
      <c r="AD30" s="15" t="n">
        <f aca="false">(AD26-AD29)*Hypothèses!$D$28+AD18*Hypothèses!$D$29</f>
        <v>2011.60385311938</v>
      </c>
      <c r="AE30" s="15" t="n">
        <f aca="false">(AE26-AE29)*Hypothèses!$D$28+AE18*Hypothèses!$D$29</f>
        <v>2216.30448125485</v>
      </c>
      <c r="AF30" s="15" t="n">
        <f aca="false">(AF26-AF29)*Hypothèses!$D$28+AF18*Hypothèses!$D$29</f>
        <v>2418.95810310897</v>
      </c>
      <c r="AG30" s="15" t="n">
        <f aca="false">(AG26-AG29)*Hypothèses!$D$28+AG18*Hypothèses!$D$29</f>
        <v>2619.58518874455</v>
      </c>
      <c r="AH30" s="15" t="n">
        <f aca="false">(AH26-AH29)*Hypothèses!$D$28+AH18*Hypothèses!$D$29</f>
        <v>2818.20600352377</v>
      </c>
      <c r="AI30" s="15" t="n">
        <f aca="false">(AI26-AI29)*Hypothèses!$D$28+AI18*Hypothèses!$D$29</f>
        <v>3014.8406101552</v>
      </c>
      <c r="AJ30" s="15" t="n">
        <f aca="false">(AJ26-AJ29)*Hypothèses!$D$28+AJ18*Hypothèses!$D$29</f>
        <v>3209.50887072031</v>
      </c>
      <c r="AK30" s="15" t="n">
        <f aca="false">(AK26-AK29)*Hypothèses!$D$28+AK18*Hypothèses!$D$29</f>
        <v>3402.23044867978</v>
      </c>
      <c r="AL30" s="15" t="n">
        <f aca="false">(AL26-AL29)*Hypothèses!$D$28+AL18*Hypothèses!$D$29</f>
        <v>3593.02481085964</v>
      </c>
      <c r="AN30" s="15" t="n">
        <f aca="false">SUM(C30:N30)</f>
        <v>680.089351797833</v>
      </c>
      <c r="AO30" s="15" t="n">
        <f aca="false">SUM(O30:Z30)</f>
        <v>8669.53542271696</v>
      </c>
      <c r="AP30" s="15" t="n">
        <f aca="false">SUM(AA30:AL30)</f>
        <v>30090.0886901804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697.53767</v>
      </c>
      <c r="G31" s="40" t="n">
        <f aca="false">G26-G29-G30</f>
        <v>676.6115399</v>
      </c>
      <c r="H31" s="40" t="n">
        <f aca="false">H26-H29-H30</f>
        <v>656.313193703</v>
      </c>
      <c r="I31" s="40" t="n">
        <f aca="false">I26-I29-I30</f>
        <v>2087.97206176597</v>
      </c>
      <c r="J31" s="40" t="n">
        <f aca="false">J26-J29-J30</f>
        <v>3505.31434114831</v>
      </c>
      <c r="K31" s="40" t="n">
        <f aca="false">K26-K29-K30</f>
        <v>4908.48319773683</v>
      </c>
      <c r="L31" s="40" t="n">
        <f aca="false">L26-L29-L30</f>
        <v>6297.62036575946</v>
      </c>
      <c r="M31" s="40" t="n">
        <f aca="false">M26-M29-M30</f>
        <v>7672.86616210186</v>
      </c>
      <c r="N31" s="40" t="n">
        <f aca="false">N26-N29-N30</f>
        <v>9034.35950048085</v>
      </c>
      <c r="O31" s="40" t="n">
        <f aca="false">O26-O29-O30</f>
        <v>13738.0892388094</v>
      </c>
      <c r="P31" s="40" t="n">
        <f aca="false">P26-P29-P30</f>
        <v>18394.7816797546</v>
      </c>
      <c r="Q31" s="40" t="n">
        <f aca="false">Q26-Q29-Q30</f>
        <v>23004.9071962904</v>
      </c>
      <c r="R31" s="40" t="n">
        <f aca="false">R26-R29-R30</f>
        <v>27568.9314576608</v>
      </c>
      <c r="S31" s="40" t="n">
        <f aca="false">S26-S29-S30</f>
        <v>32087.3154764176</v>
      </c>
      <c r="T31" s="40" t="n">
        <f aca="false">T26-T29-T30</f>
        <v>36560.5156549867</v>
      </c>
      <c r="U31" s="40" t="n">
        <f aca="false">U26-U29-U30</f>
        <v>40988.9838317702</v>
      </c>
      <c r="V31" s="40" t="n">
        <f aca="false">V26-V29-V30</f>
        <v>45373.1673267858</v>
      </c>
      <c r="W31" s="40" t="n">
        <f aca="false">W26-W29-W30</f>
        <v>49713.5089868513</v>
      </c>
      <c r="X31" s="40" t="n">
        <f aca="false">X26-X29-X30</f>
        <v>54010.4472303161</v>
      </c>
      <c r="Y31" s="40" t="n">
        <f aca="false">Y26-Y29-Y30</f>
        <v>58264.4160913463</v>
      </c>
      <c r="Z31" s="40" t="n">
        <f aca="false">Z26-Z29-Z30</f>
        <v>62475.8452637661</v>
      </c>
      <c r="AA31" s="40" t="n">
        <f aca="false">AA26-AA29-AA30</f>
        <v>73836.2701444618</v>
      </c>
      <c r="AB31" s="40" t="n">
        <f aca="false">AB26-AB29-AB30</f>
        <v>85083.0907763505</v>
      </c>
      <c r="AC31" s="40" t="n">
        <f aca="false">AC26-AC29-AC30</f>
        <v>96217.4432019204</v>
      </c>
      <c r="AD31" s="40" t="n">
        <f aca="false">AD26-AD29-AD30</f>
        <v>107240.452103234</v>
      </c>
      <c r="AE31" s="40" t="n">
        <f aca="false">AE26-AE29-AE30</f>
        <v>118153.230915535</v>
      </c>
      <c r="AF31" s="40" t="n">
        <f aca="false">AF26-AF29-AF30</f>
        <v>128956.881939713</v>
      </c>
      <c r="AG31" s="40" t="n">
        <f aca="false">AG26-AG29-AG30</f>
        <v>139652.49645365</v>
      </c>
      <c r="AH31" s="40" t="n">
        <f aca="false">AH26-AH29-AH30</f>
        <v>150241.154822447</v>
      </c>
      <c r="AI31" s="40" t="n">
        <f aca="false">AI26-AI29-AI30</f>
        <v>160723.926607555</v>
      </c>
      <c r="AJ31" s="40" t="n">
        <f aca="false">AJ26-AJ29-AJ30</f>
        <v>171101.870674813</v>
      </c>
      <c r="AK31" s="40" t="n">
        <f aca="false">AK26-AK29-AK30</f>
        <v>181376.035301398</v>
      </c>
      <c r="AL31" s="40" t="n">
        <f aca="false">AL26-AL29-AL30</f>
        <v>191547.458281718</v>
      </c>
      <c r="AN31" s="40" t="n">
        <f aca="false">SUM(C31:N31)</f>
        <v>36256.1890325963</v>
      </c>
      <c r="AO31" s="40" t="n">
        <f aca="false">SUM(O31:Z31)</f>
        <v>462180.909434755</v>
      </c>
      <c r="AP31" s="40" t="n">
        <f aca="false">SUM(AA31:AL31)</f>
        <v>1604130.3112228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95.157</v>
      </c>
      <c r="G33" s="15" t="n">
        <f aca="false">(G19*Hypothèses!$D$31+G20*Hypothèses!$D$32+G21*Hypothèses!$D$33)*Hypothèses!$D$34*$F$4</f>
        <v>92.30229</v>
      </c>
      <c r="H33" s="15" t="n">
        <f aca="false">(H19*Hypothèses!$D$31+H20*Hypothèses!$D$32+H21*Hypothèses!$D$33)*Hypothèses!$D$34*$F$4</f>
        <v>89.5332213</v>
      </c>
      <c r="I33" s="15" t="n">
        <f aca="false">(I19*Hypothèses!$D$31+I20*Hypothèses!$D$32+I21*Hypothèses!$D$33)*Hypothèses!$D$34*$F$4</f>
        <v>284.837889087</v>
      </c>
      <c r="J33" s="15" t="n">
        <f aca="false">(J19*Hypothèses!$D$31+J20*Hypothèses!$D$32+J21*Hypothèses!$D$33)*Hypothèses!$D$34*$F$4</f>
        <v>478.18951019613</v>
      </c>
      <c r="K33" s="15" t="n">
        <f aca="false">(K19*Hypothèses!$D$31+K20*Hypothèses!$D$32+K21*Hypothèses!$D$33)*Hypothèses!$D$34*$F$4</f>
        <v>669.607615094169</v>
      </c>
      <c r="L33" s="15" t="n">
        <f aca="false">(L19*Hypothèses!$D$31+L20*Hypothèses!$D$32+L21*Hypothèses!$D$33)*Hypothèses!$D$34*$F$4</f>
        <v>859.111538943227</v>
      </c>
      <c r="M33" s="15" t="n">
        <f aca="false">(M19*Hypothèses!$D$31+M20*Hypothèses!$D$32+M21*Hypothèses!$D$33)*Hypothèses!$D$34*$F$4</f>
        <v>1046.72042355379</v>
      </c>
      <c r="N33" s="15" t="n">
        <f aca="false">(N19*Hypothèses!$D$31+N20*Hypothèses!$D$32+N21*Hypothèses!$D$33)*Hypothèses!$D$34*$F$4</f>
        <v>1232.45321931826</v>
      </c>
      <c r="O33" s="15" t="n">
        <f aca="false">(O19*Hypothèses!$D$31+O20*Hypothèses!$D$32+O21*Hypothèses!$D$33)*Hypothèses!$D$34*$F$4</f>
        <v>1874.12868712507</v>
      </c>
      <c r="P33" s="15" t="n">
        <f aca="false">(P19*Hypothèses!$D$31+P20*Hypothèses!$D$32+P21*Hypothèses!$D$33)*Hypothèses!$D$34*$F$4</f>
        <v>2509.38740025382</v>
      </c>
      <c r="Q33" s="15" t="n">
        <f aca="false">(Q19*Hypothèses!$D$31+Q20*Hypothèses!$D$32+Q21*Hypothèses!$D$33)*Hypothèses!$D$34*$F$4</f>
        <v>3138.29352625128</v>
      </c>
      <c r="R33" s="15" t="n">
        <f aca="false">(R19*Hypothèses!$D$31+R20*Hypothèses!$D$32+R21*Hypothèses!$D$33)*Hypothèses!$D$34*$F$4</f>
        <v>3760.91059098877</v>
      </c>
      <c r="S33" s="15" t="n">
        <f aca="false">(S19*Hypothèses!$D$31+S20*Hypothèses!$D$32+S21*Hypothèses!$D$33)*Hypothèses!$D$34*$F$4</f>
        <v>4377.30148507889</v>
      </c>
      <c r="T33" s="15" t="n">
        <f aca="false">(T19*Hypothèses!$D$31+T20*Hypothèses!$D$32+T21*Hypothèses!$D$33)*Hypothèses!$D$34*$F$4</f>
        <v>4987.52847022809</v>
      </c>
      <c r="U33" s="15" t="n">
        <f aca="false">(U19*Hypothèses!$D$31+U20*Hypothèses!$D$32+U21*Hypothèses!$D$33)*Hypothèses!$D$34*$F$4</f>
        <v>5591.65318552581</v>
      </c>
      <c r="V33" s="15" t="n">
        <f aca="false">(V19*Hypothèses!$D$31+V20*Hypothèses!$D$32+V21*Hypothèses!$D$33)*Hypothèses!$D$34*$F$4</f>
        <v>6189.73665367056</v>
      </c>
      <c r="W33" s="15" t="n">
        <f aca="false">(W19*Hypothèses!$D$31+W20*Hypothèses!$D$32+W21*Hypothèses!$D$33)*Hypothèses!$D$34*$F$4</f>
        <v>6781.83928713385</v>
      </c>
      <c r="X33" s="15" t="n">
        <f aca="false">(X19*Hypothèses!$D$31+X20*Hypothèses!$D$32+X21*Hypothèses!$D$33)*Hypothèses!$D$34*$F$4</f>
        <v>7368.02089426251</v>
      </c>
      <c r="Y33" s="15" t="n">
        <f aca="false">(Y19*Hypothèses!$D$31+Y20*Hypothèses!$D$32+Y21*Hypothèses!$D$33)*Hypothèses!$D$34*$F$4</f>
        <v>7948.34068531989</v>
      </c>
      <c r="Z33" s="15" t="n">
        <f aca="false">(Z19*Hypothèses!$D$31+Z20*Hypothèses!$D$32+Z21*Hypothèses!$D$33)*Hypothèses!$D$34*$F$4</f>
        <v>8522.85727846668</v>
      </c>
      <c r="AA33" s="15" t="n">
        <f aca="false">(AA19*Hypothèses!$D$31+AA20*Hypothèses!$D$32+AA21*Hypothèses!$D$33)*Hypothèses!$D$34*$F$4</f>
        <v>10072.628705682</v>
      </c>
      <c r="AB33" s="15" t="n">
        <f aca="false">(AB19*Hypothèses!$D$31+AB20*Hypothèses!$D$32+AB21*Hypothèses!$D$33)*Hypothèses!$D$34*$F$4</f>
        <v>11606.9024186252</v>
      </c>
      <c r="AC33" s="15" t="n">
        <f aca="false">(AC19*Hypothèses!$D$31+AC20*Hypothèses!$D$32+AC21*Hypothèses!$D$33)*Hypothèses!$D$34*$F$4</f>
        <v>13125.8333944389</v>
      </c>
      <c r="AD33" s="15" t="n">
        <f aca="false">(AD19*Hypothèses!$D$31+AD20*Hypothèses!$D$32+AD21*Hypothèses!$D$33)*Hypothèses!$D$34*$F$4</f>
        <v>14629.5750604946</v>
      </c>
      <c r="AE33" s="15" t="n">
        <f aca="false">(AE19*Hypothèses!$D$31+AE20*Hypothèses!$D$32+AE21*Hypothèses!$D$33)*Hypothèses!$D$34*$F$4</f>
        <v>16118.2793098896</v>
      </c>
      <c r="AF33" s="15" t="n">
        <f aca="false">(AF19*Hypothèses!$D$31+AF20*Hypothèses!$D$32+AF21*Hypothèses!$D$33)*Hypothèses!$D$34*$F$4</f>
        <v>17592.0965167907</v>
      </c>
      <c r="AG33" s="15" t="n">
        <f aca="false">(AG19*Hypothèses!$D$31+AG20*Hypothèses!$D$32+AG21*Hypothèses!$D$33)*Hypothèses!$D$34*$F$4</f>
        <v>19051.1755516228</v>
      </c>
      <c r="AH33" s="15" t="n">
        <f aca="false">(AH19*Hypothèses!$D$31+AH20*Hypothèses!$D$32+AH21*Hypothèses!$D$33)*Hypothèses!$D$34*$F$4</f>
        <v>20495.6637961066</v>
      </c>
      <c r="AI33" s="15" t="n">
        <f aca="false">(AI19*Hypothèses!$D$31+AI20*Hypothèses!$D$32+AI21*Hypothèses!$D$33)*Hypothèses!$D$34*$F$4</f>
        <v>21925.7071581455</v>
      </c>
      <c r="AJ33" s="15" t="n">
        <f aca="false">(AJ19*Hypothèses!$D$31+AJ20*Hypothèses!$D$32+AJ21*Hypothèses!$D$33)*Hypothèses!$D$34*$F$4</f>
        <v>23341.4500865641</v>
      </c>
      <c r="AK33" s="15" t="n">
        <f aca="false">(AK19*Hypothèses!$D$31+AK20*Hypothèses!$D$32+AK21*Hypothèses!$D$33)*Hypothèses!$D$34*$F$4</f>
        <v>24743.0355856984</v>
      </c>
      <c r="AL33" s="15" t="n">
        <f aca="false">(AL19*Hypothèses!$D$31+AL20*Hypothèses!$D$32+AL21*Hypothèses!$D$33)*Hypothèses!$D$34*$F$4</f>
        <v>26130.6052298414</v>
      </c>
      <c r="AN33" s="15" t="n">
        <f aca="false">SUM(C33:N33)</f>
        <v>4946.01270749258</v>
      </c>
      <c r="AO33" s="15" t="n">
        <f aca="false">SUM(O33:Z33)</f>
        <v>63049.9981443052</v>
      </c>
      <c r="AP33" s="15" t="n">
        <f aca="false">SUM(AA33:AL33)</f>
        <v>218832.9528139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43.55319405</v>
      </c>
      <c r="J34" s="15" t="n">
        <f aca="false">J18*Hypothèses!$D$35</f>
        <v>73.1176621095</v>
      </c>
      <c r="K34" s="15" t="n">
        <f aca="false">K18*Hypothèses!$D$35</f>
        <v>102.386485488405</v>
      </c>
      <c r="L34" s="15" t="n">
        <f aca="false">L18*Hypothèses!$D$35</f>
        <v>131.362620633521</v>
      </c>
      <c r="M34" s="15" t="n">
        <f aca="false">M18*Hypothèses!$D$35</f>
        <v>160.048994427186</v>
      </c>
      <c r="N34" s="15" t="n">
        <f aca="false">N18*Hypothèses!$D$35</f>
        <v>188.448504482914</v>
      </c>
      <c r="O34" s="15" t="n">
        <f aca="false">O18*Hypothèses!$D$35</f>
        <v>286.564019438085</v>
      </c>
      <c r="P34" s="15" t="n">
        <f aca="false">P18*Hypothèses!$D$35</f>
        <v>383.698379243704</v>
      </c>
      <c r="Q34" s="15" t="n">
        <f aca="false">Q18*Hypothèses!$D$35</f>
        <v>479.861395451267</v>
      </c>
      <c r="R34" s="15" t="n">
        <f aca="false">R18*Hypothèses!$D$35</f>
        <v>575.062781496754</v>
      </c>
      <c r="S34" s="15" t="n">
        <f aca="false">S18*Hypothèses!$D$35</f>
        <v>669.312153681787</v>
      </c>
      <c r="T34" s="15" t="n">
        <f aca="false">T18*Hypothèses!$D$35</f>
        <v>762.619032144969</v>
      </c>
      <c r="U34" s="15" t="n">
        <f aca="false">U18*Hypothèses!$D$35</f>
        <v>854.992841823519</v>
      </c>
      <c r="V34" s="15" t="n">
        <f aca="false">V18*Hypothèses!$D$35</f>
        <v>946.442913405284</v>
      </c>
      <c r="W34" s="15" t="n">
        <f aca="false">W18*Hypothèses!$D$35</f>
        <v>1036.97848427123</v>
      </c>
      <c r="X34" s="15" t="n">
        <f aca="false">X18*Hypothèses!$D$35</f>
        <v>1126.60869942852</v>
      </c>
      <c r="Y34" s="15" t="n">
        <f aca="false">Y18*Hypothèses!$D$35</f>
        <v>1215.34261243423</v>
      </c>
      <c r="Z34" s="15" t="n">
        <f aca="false">Z18*Hypothèses!$D$35</f>
        <v>1303.18918630989</v>
      </c>
      <c r="AA34" s="15" t="n">
        <f aca="false">AA18*Hypothèses!$D$35</f>
        <v>1540.15729444679</v>
      </c>
      <c r="AB34" s="15" t="n">
        <f aca="false">AB18*Hypothèses!$D$35</f>
        <v>1774.75572150232</v>
      </c>
      <c r="AC34" s="15" t="n">
        <f aca="false">AC18*Hypothèses!$D$35</f>
        <v>2007.0081642873</v>
      </c>
      <c r="AD34" s="15" t="n">
        <f aca="false">AD18*Hypothèses!$D$35</f>
        <v>2236.93808264443</v>
      </c>
      <c r="AE34" s="15" t="n">
        <f aca="false">AE18*Hypothèses!$D$35</f>
        <v>2464.56870181798</v>
      </c>
      <c r="AF34" s="15" t="n">
        <f aca="false">AF18*Hypothèses!$D$35</f>
        <v>2689.9230147998</v>
      </c>
      <c r="AG34" s="15" t="n">
        <f aca="false">AG18*Hypothèses!$D$35</f>
        <v>2913.02378465181</v>
      </c>
      <c r="AH34" s="15" t="n">
        <f aca="false">AH18*Hypothèses!$D$35</f>
        <v>3133.89354680529</v>
      </c>
      <c r="AI34" s="15" t="n">
        <f aca="false">AI18*Hypothèses!$D$35</f>
        <v>3352.55461133724</v>
      </c>
      <c r="AJ34" s="15" t="n">
        <f aca="false">AJ18*Hypothèses!$D$35</f>
        <v>3569.02906522386</v>
      </c>
      <c r="AK34" s="15" t="n">
        <f aca="false">AK18*Hypothèses!$D$35</f>
        <v>3783.33877457162</v>
      </c>
      <c r="AL34" s="15" t="n">
        <f aca="false">AL18*Hypothèses!$D$35</f>
        <v>3995.50538682591</v>
      </c>
      <c r="AN34" s="15" t="n">
        <f aca="false">SUM(C34:N34)</f>
        <v>756.271056191526</v>
      </c>
      <c r="AO34" s="15" t="n">
        <f aca="false">SUM(O34:Z34)</f>
        <v>9640.67249912924</v>
      </c>
      <c r="AP34" s="15" t="n">
        <f aca="false">SUM(AA34:AL34)</f>
        <v>33460.6961489144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87.1063881</v>
      </c>
      <c r="J35" s="15" t="n">
        <f aca="false">J18*Hypothèses!$D$36</f>
        <v>146.235324219</v>
      </c>
      <c r="K35" s="15" t="n">
        <f aca="false">K18*Hypothèses!$D$36</f>
        <v>204.77297097681</v>
      </c>
      <c r="L35" s="15" t="n">
        <f aca="false">L18*Hypothèses!$D$36</f>
        <v>262.725241267042</v>
      </c>
      <c r="M35" s="15" t="n">
        <f aca="false">M18*Hypothèses!$D$36</f>
        <v>320.097988854371</v>
      </c>
      <c r="N35" s="15" t="n">
        <f aca="false">N18*Hypothèses!$D$36</f>
        <v>376.897008965828</v>
      </c>
      <c r="O35" s="15" t="n">
        <f aca="false">O18*Hypothèses!$D$36</f>
        <v>573.128038876169</v>
      </c>
      <c r="P35" s="15" t="n">
        <f aca="false">P18*Hypothèses!$D$36</f>
        <v>767.396758487408</v>
      </c>
      <c r="Q35" s="15" t="n">
        <f aca="false">Q18*Hypothèses!$D$36</f>
        <v>959.722790902534</v>
      </c>
      <c r="R35" s="15" t="n">
        <f aca="false">R18*Hypothèses!$D$36</f>
        <v>1150.12556299351</v>
      </c>
      <c r="S35" s="15" t="n">
        <f aca="false">S18*Hypothèses!$D$36</f>
        <v>1338.62430736357</v>
      </c>
      <c r="T35" s="15" t="n">
        <f aca="false">T18*Hypothèses!$D$36</f>
        <v>1525.23806428994</v>
      </c>
      <c r="U35" s="15" t="n">
        <f aca="false">U18*Hypothèses!$D$36</f>
        <v>1709.98568364704</v>
      </c>
      <c r="V35" s="15" t="n">
        <f aca="false">V18*Hypothèses!$D$36</f>
        <v>1892.88582681057</v>
      </c>
      <c r="W35" s="15" t="n">
        <f aca="false">W18*Hypothèses!$D$36</f>
        <v>2073.95696854246</v>
      </c>
      <c r="X35" s="15" t="n">
        <f aca="false">X18*Hypothèses!$D$36</f>
        <v>2253.21739885704</v>
      </c>
      <c r="Y35" s="15" t="n">
        <f aca="false">Y18*Hypothèses!$D$36</f>
        <v>2430.68522486847</v>
      </c>
      <c r="Z35" s="15" t="n">
        <f aca="false">Z18*Hypothèses!$D$36</f>
        <v>2606.37837261978</v>
      </c>
      <c r="AA35" s="15" t="n">
        <f aca="false">AA18*Hypothèses!$D$36</f>
        <v>3080.31458889358</v>
      </c>
      <c r="AB35" s="15" t="n">
        <f aca="false">AB18*Hypothèses!$D$36</f>
        <v>3549.51144300465</v>
      </c>
      <c r="AC35" s="15" t="n">
        <f aca="false">AC18*Hypothèses!$D$36</f>
        <v>4014.0163285746</v>
      </c>
      <c r="AD35" s="15" t="n">
        <f aca="false">AD18*Hypothèses!$D$36</f>
        <v>4473.87616528886</v>
      </c>
      <c r="AE35" s="15" t="n">
        <f aca="false">AE18*Hypothèses!$D$36</f>
        <v>4929.13740363597</v>
      </c>
      <c r="AF35" s="15" t="n">
        <f aca="false">AF18*Hypothèses!$D$36</f>
        <v>5379.84602959961</v>
      </c>
      <c r="AG35" s="15" t="n">
        <f aca="false">AG18*Hypothèses!$D$36</f>
        <v>5826.04756930361</v>
      </c>
      <c r="AH35" s="15" t="n">
        <f aca="false">AH18*Hypothèses!$D$36</f>
        <v>6267.78709361058</v>
      </c>
      <c r="AI35" s="15" t="n">
        <f aca="false">AI18*Hypothèses!$D$36</f>
        <v>6705.10922267447</v>
      </c>
      <c r="AJ35" s="15" t="n">
        <f aca="false">AJ18*Hypothèses!$D$36</f>
        <v>7138.05813044773</v>
      </c>
      <c r="AK35" s="15" t="n">
        <f aca="false">AK18*Hypothèses!$D$36</f>
        <v>7566.67754914325</v>
      </c>
      <c r="AL35" s="15" t="n">
        <f aca="false">AL18*Hypothèses!$D$36</f>
        <v>7991.01077365182</v>
      </c>
      <c r="AN35" s="15" t="n">
        <f aca="false">SUM(C35:N35)</f>
        <v>1512.54211238305</v>
      </c>
      <c r="AO35" s="15" t="n">
        <f aca="false">SUM(O35:Z35)</f>
        <v>19281.3449982585</v>
      </c>
      <c r="AP35" s="15" t="n">
        <f aca="false">SUM(AA35:AL35)</f>
        <v>66921.3922978287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138.807</v>
      </c>
      <c r="G36" s="40" t="n">
        <f aca="false">G33+G34+G35</f>
        <v>134.64279</v>
      </c>
      <c r="H36" s="40" t="n">
        <f aca="false">H33+H34+H35</f>
        <v>130.6035063</v>
      </c>
      <c r="I36" s="40" t="n">
        <f aca="false">I33+I34+I35</f>
        <v>415.497471237</v>
      </c>
      <c r="J36" s="40" t="n">
        <f aca="false">J33+J34+J35</f>
        <v>697.54249652463</v>
      </c>
      <c r="K36" s="40" t="n">
        <f aca="false">K33+K34+K35</f>
        <v>976.767071559384</v>
      </c>
      <c r="L36" s="40" t="n">
        <f aca="false">L33+L34+L35</f>
        <v>1253.19940084379</v>
      </c>
      <c r="M36" s="40" t="n">
        <f aca="false">M33+M34+M35</f>
        <v>1526.86740683535</v>
      </c>
      <c r="N36" s="40" t="n">
        <f aca="false">N33+N34+N35</f>
        <v>1797.798732767</v>
      </c>
      <c r="O36" s="40" t="n">
        <f aca="false">O33+O34+O35</f>
        <v>2733.82074543933</v>
      </c>
      <c r="P36" s="40" t="n">
        <f aca="false">P33+P34+P35</f>
        <v>3660.48253798494</v>
      </c>
      <c r="Q36" s="40" t="n">
        <f aca="false">Q33+Q34+Q35</f>
        <v>4577.87771260508</v>
      </c>
      <c r="R36" s="40" t="n">
        <f aca="false">R33+R34+R35</f>
        <v>5486.09893547903</v>
      </c>
      <c r="S36" s="40" t="n">
        <f aca="false">S33+S34+S35</f>
        <v>6385.23794612425</v>
      </c>
      <c r="T36" s="40" t="n">
        <f aca="false">T33+T34+T35</f>
        <v>7275.385566663</v>
      </c>
      <c r="U36" s="40" t="n">
        <f aca="false">U33+U34+U35</f>
        <v>8156.63171099637</v>
      </c>
      <c r="V36" s="40" t="n">
        <f aca="false">V33+V34+V35</f>
        <v>9029.06539388641</v>
      </c>
      <c r="W36" s="40" t="n">
        <f aca="false">W33+W34+W35</f>
        <v>9892.77473994754</v>
      </c>
      <c r="X36" s="40" t="n">
        <f aca="false">X33+X34+X35</f>
        <v>10747.8469925481</v>
      </c>
      <c r="Y36" s="40" t="n">
        <f aca="false">Y33+Y34+Y35</f>
        <v>11594.3685226226</v>
      </c>
      <c r="Z36" s="40" t="n">
        <f aca="false">Z33+Z34+Z35</f>
        <v>12432.4248373964</v>
      </c>
      <c r="AA36" s="40" t="n">
        <f aca="false">AA33+AA34+AA35</f>
        <v>14693.1005890224</v>
      </c>
      <c r="AB36" s="40" t="n">
        <f aca="false">AB33+AB34+AB35</f>
        <v>16931.1695831322</v>
      </c>
      <c r="AC36" s="40" t="n">
        <f aca="false">AC33+AC34+AC35</f>
        <v>19146.8578873009</v>
      </c>
      <c r="AD36" s="40" t="n">
        <f aca="false">AD33+AD34+AD35</f>
        <v>21340.3893084278</v>
      </c>
      <c r="AE36" s="40" t="n">
        <f aca="false">AE33+AE34+AE35</f>
        <v>23511.9854153436</v>
      </c>
      <c r="AF36" s="40" t="n">
        <f aca="false">AF33+AF34+AF35</f>
        <v>25661.8655611901</v>
      </c>
      <c r="AG36" s="40" t="n">
        <f aca="false">AG33+AG34+AG35</f>
        <v>27790.2469055782</v>
      </c>
      <c r="AH36" s="40" t="n">
        <f aca="false">AH33+AH34+AH35</f>
        <v>29897.3444365225</v>
      </c>
      <c r="AI36" s="40" t="n">
        <f aca="false">AI33+AI34+AI35</f>
        <v>31983.3709921572</v>
      </c>
      <c r="AJ36" s="40" t="n">
        <f aca="false">AJ33+AJ34+AJ35</f>
        <v>34048.5372822357</v>
      </c>
      <c r="AK36" s="40" t="n">
        <f aca="false">AK33+AK34+AK35</f>
        <v>36093.0519094133</v>
      </c>
      <c r="AL36" s="40" t="n">
        <f aca="false">AL33+AL34+AL35</f>
        <v>38117.1213903192</v>
      </c>
      <c r="AN36" s="40" t="n">
        <f aca="false">SUM(C36:N36)</f>
        <v>7214.82587606715</v>
      </c>
      <c r="AO36" s="40" t="n">
        <f aca="false">SUM(O36:Z36)</f>
        <v>91972.0156416929</v>
      </c>
      <c r="AP36" s="40" t="n">
        <f aca="false">SUM(AA36:AL36)</f>
        <v>319215.041260643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440.29367</v>
      </c>
      <c r="G37" s="40" t="n">
        <f aca="false">G28-G36-G30-G29/(1+Hypothèses!$D$15)</f>
        <v>427.0848599</v>
      </c>
      <c r="H37" s="40" t="n">
        <f aca="false">H28-H36-H30-H29/(1+Hypothèses!$D$15)</f>
        <v>414.272314103</v>
      </c>
      <c r="I37" s="40" t="n">
        <f aca="false">I28-I36-I30-I29/(1+Hypothèses!$D$15)</f>
        <v>1317.95159096197</v>
      </c>
      <c r="J37" s="40" t="n">
        <f aca="false">J28-J36-J30-J29/(1+Hypothèses!$D$15)</f>
        <v>2212.59407505235</v>
      </c>
      <c r="K37" s="40" t="n">
        <f aca="false">K28-K36-K30-K29/(1+Hypothèses!$D$15)</f>
        <v>3098.29013430183</v>
      </c>
      <c r="L37" s="40" t="n">
        <f aca="false">L28-L36-L30-L29/(1+Hypothèses!$D$15)</f>
        <v>3975.12923295881</v>
      </c>
      <c r="M37" s="40" t="n">
        <f aca="false">M28-M36-M30-M29/(1+Hypothèses!$D$15)</f>
        <v>4843.19994062922</v>
      </c>
      <c r="N37" s="40" t="n">
        <f aca="false">N28-N36-N30-N29/(1+Hypothèses!$D$15)</f>
        <v>5702.58994122293</v>
      </c>
      <c r="O37" s="40" t="n">
        <f aca="false">O28-O36-O30-O29/(1+Hypothèses!$D$15)</f>
        <v>8671.63737514403</v>
      </c>
      <c r="P37" s="40" t="n">
        <f aca="false">P28-P36-P30-P29/(1+Hypothèses!$D$15)</f>
        <v>11610.9943347259</v>
      </c>
      <c r="Q37" s="40" t="n">
        <f aca="false">Q28-Q36-Q30-Q29/(1+Hypothèses!$D$15)</f>
        <v>14520.957724712</v>
      </c>
      <c r="R37" s="40" t="n">
        <f aca="false">R28-R36-R30-R29/(1+Hypothèses!$D$15)</f>
        <v>17401.8214807982</v>
      </c>
      <c r="S37" s="40" t="n">
        <f aca="false">S28-S36-S30-S29/(1+Hypothèses!$D$15)</f>
        <v>20253.8765993236</v>
      </c>
      <c r="T37" s="40" t="n">
        <f aca="false">T28-T36-T30-T29/(1+Hypothèses!$D$15)</f>
        <v>23077.4111666637</v>
      </c>
      <c r="U37" s="40" t="n">
        <f aca="false">U28-U36-U30-U29/(1+Hypothèses!$D$15)</f>
        <v>25872.7103883304</v>
      </c>
      <c r="V37" s="40" t="n">
        <f aca="false">V28-V36-V30-V29/(1+Hypothèses!$D$15)</f>
        <v>28640.0566177804</v>
      </c>
      <c r="W37" s="40" t="n">
        <f aca="false">W28-W36-W30-W29/(1+Hypothèses!$D$15)</f>
        <v>31379.7293849359</v>
      </c>
      <c r="X37" s="40" t="n">
        <f aca="false">X28-X36-X30-X29/(1+Hypothèses!$D$15)</f>
        <v>34092.0054244199</v>
      </c>
      <c r="Y37" s="40" t="n">
        <f aca="false">Y28-Y36-Y30-Y29/(1+Hypothèses!$D$15)</f>
        <v>36777.158703509</v>
      </c>
      <c r="Z37" s="40" t="n">
        <f aca="false">Z28-Z36-Z30-Z29/(1+Hypothèses!$D$15)</f>
        <v>39435.4604498073</v>
      </c>
      <c r="AA37" s="40" t="n">
        <f aca="false">AA28-AA36-AA30-AA29/(1+Hypothèses!$D$15)</f>
        <v>46606.2891786425</v>
      </c>
      <c r="AB37" s="40" t="n">
        <f aca="false">AB28-AB36-AB30-AB29/(1+Hypothèses!$D$15)</f>
        <v>53705.4096201894</v>
      </c>
      <c r="AC37" s="40" t="n">
        <f aca="false">AC28-AC36-AC30-AC29/(1+Hypothèses!$D$15)</f>
        <v>60733.5388573209</v>
      </c>
      <c r="AD37" s="40" t="n">
        <f aca="false">AD28-AD36-AD30-AD29/(1+Hypothèses!$D$15)</f>
        <v>67691.386802081</v>
      </c>
      <c r="AE37" s="40" t="n">
        <f aca="false">AE28-AE36-AE30-AE29/(1+Hypothèses!$D$15)</f>
        <v>74579.6562673935</v>
      </c>
      <c r="AF37" s="40" t="n">
        <f aca="false">AF28-AF36-AF30-AF29/(1+Hypothèses!$D$15)</f>
        <v>81399.0430380529</v>
      </c>
      <c r="AG37" s="40" t="n">
        <f aca="false">AG28-AG36-AG30-AG29/(1+Hypothèses!$D$15)</f>
        <v>88150.2359410057</v>
      </c>
      <c r="AH37" s="40" t="n">
        <f aca="false">AH28-AH36-AH30-AH29/(1+Hypothèses!$D$15)</f>
        <v>94833.916914929</v>
      </c>
      <c r="AI37" s="40" t="n">
        <f aca="false">AI28-AI36-AI30-AI29/(1+Hypothèses!$D$15)</f>
        <v>101450.761079113</v>
      </c>
      <c r="AJ37" s="40" t="n">
        <f aca="false">AJ28-AJ36-AJ30-AJ29/(1+Hypothèses!$D$15)</f>
        <v>108001.436801655</v>
      </c>
      <c r="AK37" s="40" t="n">
        <f aca="false">AK28-AK36-AK30-AK29/(1+Hypothèses!$D$15)</f>
        <v>114486.605766972</v>
      </c>
      <c r="AL37" s="40" t="n">
        <f aca="false">AL28-AL36-AL30-AL29/(1+Hypothèses!$D$15)</f>
        <v>120906.923042636</v>
      </c>
      <c r="AN37" s="40" t="n">
        <f aca="false">SUM(C37:N37)</f>
        <v>22885.3167591301</v>
      </c>
      <c r="AO37" s="40" t="n">
        <f aca="false">SUM(O37:Z37)</f>
        <v>291733.81965015</v>
      </c>
      <c r="AP37" s="40" t="n">
        <f aca="false">SUM(AA37:AL37)</f>
        <v>1012545.20330999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-13887.7556666667</v>
      </c>
      <c r="F52" s="40" t="n">
        <f aca="false">F37-F39-F51</f>
        <v>-13901.3729966667</v>
      </c>
      <c r="G52" s="40" t="n">
        <f aca="false">G37-G39-G51</f>
        <v>-13914.5818067667</v>
      </c>
      <c r="H52" s="40" t="n">
        <f aca="false">H37-H39-H51</f>
        <v>-13927.3943525637</v>
      </c>
      <c r="I52" s="40" t="n">
        <f aca="false">I37-I39-I51</f>
        <v>-9332.04840903803</v>
      </c>
      <c r="J52" s="40" t="n">
        <f aca="false">J37-J39-J51</f>
        <v>-3437.40592494765</v>
      </c>
      <c r="K52" s="40" t="n">
        <f aca="false">K37-K39-K51</f>
        <v>-2551.70986569817</v>
      </c>
      <c r="L52" s="40" t="n">
        <f aca="false">L37-L39-L51</f>
        <v>-1674.87076704119</v>
      </c>
      <c r="M52" s="40" t="n">
        <f aca="false">M37-M39-M51</f>
        <v>-806.800059370781</v>
      </c>
      <c r="N52" s="40" t="n">
        <f aca="false">N37-N39-N51</f>
        <v>52.5899412229264</v>
      </c>
      <c r="O52" s="40" t="n">
        <f aca="false">O37-O39-O51</f>
        <v>-18478.362624856</v>
      </c>
      <c r="P52" s="40" t="n">
        <f aca="false">P37-P39-P51</f>
        <v>-15539.0056652741</v>
      </c>
      <c r="Q52" s="40" t="n">
        <f aca="false">Q37-Q39-Q51</f>
        <v>-12629.042275288</v>
      </c>
      <c r="R52" s="40" t="n">
        <f aca="false">R37-R39-R51</f>
        <v>-9748.17851920179</v>
      </c>
      <c r="S52" s="40" t="n">
        <f aca="false">S37-S39-S51</f>
        <v>-6896.12340067644</v>
      </c>
      <c r="T52" s="40" t="n">
        <f aca="false">T37-T39-T51</f>
        <v>-4072.58883333634</v>
      </c>
      <c r="U52" s="40" t="n">
        <f aca="false">U37-U39-U51</f>
        <v>-12777.2896116696</v>
      </c>
      <c r="V52" s="40" t="n">
        <f aca="false">V37-V39-V51</f>
        <v>-5009.94338221962</v>
      </c>
      <c r="W52" s="40" t="n">
        <f aca="false">W37-W39-W51</f>
        <v>-2270.2706150641</v>
      </c>
      <c r="X52" s="40" t="n">
        <f aca="false">X37-X39-X51</f>
        <v>442.005424419891</v>
      </c>
      <c r="Y52" s="40" t="n">
        <f aca="false">Y37-Y39-Y51</f>
        <v>3127.15870350902</v>
      </c>
      <c r="Z52" s="40" t="n">
        <f aca="false">Z37-Z39-Z51</f>
        <v>5785.46044980725</v>
      </c>
      <c r="AA52" s="40" t="n">
        <f aca="false">AA37-AA39-AA51</f>
        <v>-2043.71082135748</v>
      </c>
      <c r="AB52" s="40" t="n">
        <f aca="false">AB37-AB39-AB51</f>
        <v>5055.40962018942</v>
      </c>
      <c r="AC52" s="40" t="n">
        <f aca="false">AC37-AC39-AC51</f>
        <v>12083.5388573209</v>
      </c>
      <c r="AD52" s="40" t="n">
        <f aca="false">AD37-AD39-AD51</f>
        <v>19041.386802081</v>
      </c>
      <c r="AE52" s="40" t="n">
        <f aca="false">AE37-AE39-AE51</f>
        <v>25929.6562673935</v>
      </c>
      <c r="AF52" s="40" t="n">
        <f aca="false">AF37-AF39-AF51</f>
        <v>32749.0430380529</v>
      </c>
      <c r="AG52" s="40" t="n">
        <f aca="false">AG37-AG39-AG51</f>
        <v>34500.2359410057</v>
      </c>
      <c r="AH52" s="40" t="n">
        <f aca="false">AH37-AH39-AH51</f>
        <v>46183.916914929</v>
      </c>
      <c r="AI52" s="40" t="n">
        <f aca="false">AI37-AI39-AI51</f>
        <v>52800.7610791131</v>
      </c>
      <c r="AJ52" s="40" t="n">
        <f aca="false">AJ37-AJ39-AJ51</f>
        <v>59351.4368016552</v>
      </c>
      <c r="AK52" s="40" t="n">
        <f aca="false">AK37-AK39-AK51</f>
        <v>65836.605766972</v>
      </c>
      <c r="AL52" s="40" t="n">
        <f aca="false">AL37-AL39-AL51</f>
        <v>72256.9230426356</v>
      </c>
      <c r="AN52" s="40" t="n">
        <f aca="false">SUM(C52:N52)</f>
        <v>-104564.68324087</v>
      </c>
      <c r="AO52" s="40" t="n">
        <f aca="false">SUM(O52:Z52)</f>
        <v>-78066.1803498498</v>
      </c>
      <c r="AP52" s="40" t="n">
        <f aca="false">SUM(AA52:AL52)</f>
        <v>423745.203309991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1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1</v>
      </c>
      <c r="Y53" s="13" t="n">
        <f aca="false">IF(Y52&gt;0,1,0)</f>
        <v>1</v>
      </c>
      <c r="Z53" s="13" t="n">
        <f aca="false">IF(Z52&gt;0,1,0)</f>
        <v>1</v>
      </c>
      <c r="AA53" s="13" t="n">
        <f aca="false">IF(AA52&gt;0,1,0)</f>
        <v>0</v>
      </c>
      <c r="AB53" s="13" t="n">
        <f aca="false">IF(AB52&gt;0,1,0)</f>
        <v>1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119.633333333333</v>
      </c>
      <c r="H55" s="15" t="n">
        <f aca="false">G27</f>
        <v>116.044333333333</v>
      </c>
      <c r="I55" s="15" t="n">
        <f aca="false">H27</f>
        <v>112.563003333333</v>
      </c>
      <c r="J55" s="15" t="n">
        <f aca="false">I27</f>
        <v>358.104039966667</v>
      </c>
      <c r="K55" s="15" t="n">
        <f aca="false">J27</f>
        <v>601.189666233667</v>
      </c>
      <c r="L55" s="15" t="n">
        <f aca="false">K27</f>
        <v>841.844436237997</v>
      </c>
      <c r="M55" s="15" t="n">
        <f aca="false">L27</f>
        <v>1080.09265854228</v>
      </c>
      <c r="N55" s="15" t="n">
        <f aca="false">M27</f>
        <v>1315.95839862353</v>
      </c>
      <c r="O55" s="15" t="n">
        <f aca="false">N27</f>
        <v>1549.46548130396</v>
      </c>
      <c r="P55" s="15" t="n">
        <f aca="false">O27</f>
        <v>2356.19304871314</v>
      </c>
      <c r="Q55" s="15" t="n">
        <f aca="false">P27</f>
        <v>3154.85334044823</v>
      </c>
      <c r="R55" s="15" t="n">
        <f aca="false">Q27</f>
        <v>3945.52702926597</v>
      </c>
      <c r="S55" s="15" t="n">
        <f aca="false">R27</f>
        <v>4728.29398119554</v>
      </c>
      <c r="T55" s="15" t="n">
        <f aca="false">S27</f>
        <v>5503.2332636058</v>
      </c>
      <c r="U55" s="15" t="n">
        <f aca="false">T27</f>
        <v>6270.42315319197</v>
      </c>
      <c r="V55" s="15" t="n">
        <f aca="false">U27</f>
        <v>7029.94114388227</v>
      </c>
      <c r="W55" s="15" t="n">
        <f aca="false">V27</f>
        <v>7781.86395466566</v>
      </c>
      <c r="X55" s="15" t="n">
        <f aca="false">W27</f>
        <v>8526.26753734123</v>
      </c>
      <c r="Y55" s="15" t="n">
        <f aca="false">X27</f>
        <v>9263.22708419004</v>
      </c>
      <c r="Z55" s="15" t="n">
        <f aca="false">Y27</f>
        <v>9992.81703557036</v>
      </c>
      <c r="AA55" s="15" t="n">
        <f aca="false">Z27</f>
        <v>10715.1110874369</v>
      </c>
      <c r="AB55" s="15" t="n">
        <f aca="false">AA27</f>
        <v>12663.5155321181</v>
      </c>
      <c r="AC55" s="15" t="n">
        <f aca="false">AB27</f>
        <v>14592.4359323524</v>
      </c>
      <c r="AD55" s="15" t="n">
        <f aca="false">AC27</f>
        <v>16502.0671285845</v>
      </c>
      <c r="AE55" s="15" t="n">
        <f aca="false">AD27</f>
        <v>18392.6020128542</v>
      </c>
      <c r="AF55" s="15" t="n">
        <f aca="false">AE27</f>
        <v>20264.2315482812</v>
      </c>
      <c r="AG55" s="15" t="n">
        <f aca="false">AF27</f>
        <v>22117.1447883539</v>
      </c>
      <c r="AH55" s="15" t="n">
        <f aca="false">AG27</f>
        <v>23951.528896026</v>
      </c>
      <c r="AI55" s="15" t="n">
        <f aca="false">AH27</f>
        <v>25767.5691626213</v>
      </c>
      <c r="AJ55" s="15" t="n">
        <f aca="false">AI27</f>
        <v>27565.4490265506</v>
      </c>
      <c r="AK55" s="15" t="n">
        <f aca="false">AJ27</f>
        <v>29345.3500918407</v>
      </c>
      <c r="AL55" s="15" t="n">
        <f aca="false">AK27</f>
        <v>31107.4521464778</v>
      </c>
      <c r="AN55" s="15" t="n">
        <f aca="false">SUM(C55:N55)</f>
        <v>4668.76320293747</v>
      </c>
      <c r="AO55" s="15" t="n">
        <f aca="false">SUM(O55:Z55)</f>
        <v>70102.1060533742</v>
      </c>
      <c r="AP55" s="15" t="n">
        <f aca="false">SUM(AA55:AL55)</f>
        <v>252984.457353497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2896.09473333333</v>
      </c>
      <c r="H56" s="15" t="n">
        <f aca="false">(G36+G39+G43+G44+G45+G47+G48+G49+G50)*Hypothèses!$D$15</f>
        <v>2895.26189133333</v>
      </c>
      <c r="I56" s="15" t="n">
        <f aca="false">(H36+H39+H43+H44+H45+H47+H48+H49+H50)*Hypothèses!$D$15</f>
        <v>2894.45403459333</v>
      </c>
      <c r="J56" s="15" t="n">
        <f aca="false">(I36+I39+I43+I44+I45+I47+I48+I49+I50)*Hypothèses!$D$15</f>
        <v>2183.0994942474</v>
      </c>
      <c r="K56" s="15" t="n">
        <f aca="false">(J36+J39+J43+J44+J45+J47+J48+J49+J50)*Hypothèses!$D$15</f>
        <v>1239.50849930493</v>
      </c>
      <c r="L56" s="15" t="n">
        <f aca="false">(K36+K39+K43+K44+K45+K47+K48+K49+K50)*Hypothèses!$D$15</f>
        <v>1295.35341431188</v>
      </c>
      <c r="M56" s="15" t="n">
        <f aca="false">(L36+L39+L43+L44+L45+L47+L48+L49+L50)*Hypothèses!$D$15</f>
        <v>1350.63988016876</v>
      </c>
      <c r="N56" s="15" t="n">
        <f aca="false">(M36+M39+M43+M44+M45+M47+M48+M49+M50)*Hypothèses!$D$15</f>
        <v>1405.37348136707</v>
      </c>
      <c r="O56" s="15" t="n">
        <f aca="false">(N36+N39+N43+N44+N45+N47+N48+N49+N50)*Hypothèses!$D$15</f>
        <v>1459.5597465534</v>
      </c>
      <c r="P56" s="15" t="n">
        <f aca="false">(O36+O39+O43+O44+O45+O47+O48+O49+O50)*Hypothèses!$D$15</f>
        <v>3046.76414908787</v>
      </c>
      <c r="Q56" s="15" t="n">
        <f aca="false">(P36+P39+P43+P44+P45+P47+P48+P49+P50)*Hypothèses!$D$15</f>
        <v>3232.09650759699</v>
      </c>
      <c r="R56" s="15" t="n">
        <f aca="false">(Q36+Q39+Q43+Q44+Q45+Q47+Q48+Q49+Q50)*Hypothèses!$D$15</f>
        <v>3415.57554252102</v>
      </c>
      <c r="S56" s="15" t="n">
        <f aca="false">(R36+R39+R43+R44+R45+R47+R48+R49+R50)*Hypothèses!$D$15</f>
        <v>3597.21978709581</v>
      </c>
      <c r="T56" s="15" t="n">
        <f aca="false">(S36+S39+S43+S44+S45+S47+S48+S49+S50)*Hypothèses!$D$15</f>
        <v>3777.04758922485</v>
      </c>
      <c r="U56" s="15" t="n">
        <f aca="false">(T36+T39+T43+T44+T45+T47+T48+T49+T50)*Hypothèses!$D$15</f>
        <v>3955.0771133326</v>
      </c>
      <c r="V56" s="15" t="n">
        <f aca="false">(U36+U39+U43+U44+U45+U47+U48+U49+U50)*Hypothèses!$D$15</f>
        <v>5131.32634219927</v>
      </c>
      <c r="W56" s="15" t="n">
        <f aca="false">(V36+V39+V43+V44+V45+V47+V48+V49+V50)*Hypothèses!$D$15</f>
        <v>4305.81307877728</v>
      </c>
      <c r="X56" s="15" t="n">
        <f aca="false">(W36+W39+W43+W44+W45+W47+W48+W49+W50)*Hypothèses!$D$15</f>
        <v>4478.55494798951</v>
      </c>
      <c r="Y56" s="15" t="n">
        <f aca="false">(X36+X39+X43+X44+X45+X47+X48+X49+X50)*Hypothèses!$D$15</f>
        <v>4649.56939850961</v>
      </c>
      <c r="Z56" s="15" t="n">
        <f aca="false">(Y36+Y39+Y43+Y44+Y45+Y47+Y48+Y49+Y50)*Hypothèses!$D$15</f>
        <v>4818.87370452452</v>
      </c>
      <c r="AA56" s="15" t="n">
        <f aca="false">(Z36+Z39+Z43+Z44+Z45+Z47+Z48+Z49+Z50)*Hypothèses!$D$15</f>
        <v>4986.48496747927</v>
      </c>
      <c r="AB56" s="15" t="n">
        <f aca="false">(AA36+AA39+AA43+AA44+AA45+AA47+AA48+AA49+AA50)*Hypothèses!$D$15</f>
        <v>8438.62011780448</v>
      </c>
      <c r="AC56" s="15" t="n">
        <f aca="false">(AB36+AB39+AB43+AB44+AB45+AB47+AB48+AB49+AB50)*Hypothèses!$D$15</f>
        <v>8886.23391662643</v>
      </c>
      <c r="AD56" s="15" t="n">
        <f aca="false">(AC36+AC39+AC43+AC44+AC45+AC47+AC48+AC49+AC50)*Hypothèses!$D$15</f>
        <v>9329.37157746017</v>
      </c>
      <c r="AE56" s="15" t="n">
        <f aca="false">(AD36+AD39+AD43+AD44+AD45+AD47+AD48+AD49+AD50)*Hypothèses!$D$15</f>
        <v>9768.07786168557</v>
      </c>
      <c r="AF56" s="15" t="n">
        <f aca="false">(AE36+AE39+AE43+AE44+AE45+AE47+AE48+AE49+AE50)*Hypothèses!$D$15</f>
        <v>10202.3970830687</v>
      </c>
      <c r="AG56" s="15" t="n">
        <f aca="false">(AF36+AF39+AF43+AF44+AF45+AF47+AF48+AF49+AF50)*Hypothèses!$D$15</f>
        <v>10632.373112238</v>
      </c>
      <c r="AH56" s="15" t="n">
        <f aca="false">(AG36+AG39+AG43+AG44+AG45+AG47+AG48+AG49+AG50)*Hypothèses!$D$15</f>
        <v>12058.0493811156</v>
      </c>
      <c r="AI56" s="15" t="n">
        <f aca="false">(AH36+AH39+AH43+AH44+AH45+AH47+AH48+AH49+AH50)*Hypothèses!$D$15</f>
        <v>11479.4688873045</v>
      </c>
      <c r="AJ56" s="15" t="n">
        <f aca="false">(AI36+AI39+AI43+AI44+AI45+AI47+AI48+AI49+AI50)*Hypothèses!$D$15</f>
        <v>11896.6741984314</v>
      </c>
      <c r="AK56" s="15" t="n">
        <f aca="false">(AJ36+AJ39+AJ43+AJ44+AJ45+AJ47+AJ48+AJ49+AJ50)*Hypothèses!$D$15</f>
        <v>12309.7074564471</v>
      </c>
      <c r="AL56" s="15" t="n">
        <f aca="false">(AK36+AK39+AK43+AK44+AK45+AK47+AK48+AK49+AK50)*Hypothèses!$D$15</f>
        <v>12718.6103818827</v>
      </c>
      <c r="AN56" s="15" t="n">
        <f aca="false">SUM(C56:N56)</f>
        <v>25293.40542866</v>
      </c>
      <c r="AO56" s="15" t="n">
        <f aca="false">SUM(O56:Z56)</f>
        <v>45867.4779074127</v>
      </c>
      <c r="AP56" s="15" t="n">
        <f aca="false">SUM(AA56:AL56)</f>
        <v>122706.068941544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-38712.3223333333</v>
      </c>
      <c r="G58" s="15" t="n">
        <f aca="false">F60</f>
        <v>-49721.63833</v>
      </c>
      <c r="H58" s="15" t="n">
        <f aca="false">G60</f>
        <v>-60744.8748467667</v>
      </c>
      <c r="I58" s="15" t="n">
        <f aca="false">H60</f>
        <v>-71781.6142680303</v>
      </c>
      <c r="J58" s="15" t="n">
        <f aca="false">I60</f>
        <v>-77977.2486462414</v>
      </c>
      <c r="K58" s="15" t="n">
        <f aca="false">J60</f>
        <v>-78994.481347337</v>
      </c>
      <c r="L58" s="15" t="n">
        <f aca="false">K60</f>
        <v>-80074.4463880883</v>
      </c>
      <c r="M58" s="15" t="n">
        <f aca="false">L60</f>
        <v>-80226.5164450987</v>
      </c>
      <c r="N58" s="15" t="n">
        <f aca="false">M60</f>
        <v>-79459.9704682057</v>
      </c>
      <c r="O58" s="15" t="n">
        <f aca="false">N60</f>
        <v>-77783.9946177483</v>
      </c>
      <c r="P58" s="15" t="n">
        <f aca="false">O60</f>
        <v>-94019.6318591289</v>
      </c>
      <c r="Q58" s="15" t="n">
        <f aca="false">P60</f>
        <v>-105744.761616984</v>
      </c>
      <c r="R58" s="15" t="n">
        <f aca="false">Q60</f>
        <v>-114390.48896615</v>
      </c>
      <c r="S58" s="15" t="n">
        <f aca="false">R60</f>
        <v>-119987.607930714</v>
      </c>
      <c r="T58" s="15" t="n">
        <f aca="false">S60</f>
        <v>-122566.60459452</v>
      </c>
      <c r="U58" s="15" t="n">
        <f aca="false">T60</f>
        <v>-122157.660180577</v>
      </c>
      <c r="V58" s="15" t="n">
        <f aca="false">U60</f>
        <v>-130290.654099663</v>
      </c>
      <c r="W58" s="15" t="n">
        <f aca="false">V60</f>
        <v>-129495.166968446</v>
      </c>
      <c r="X58" s="15" t="n">
        <f aca="false">W60</f>
        <v>-126800.483597431</v>
      </c>
      <c r="Y58" s="15" t="n">
        <f aca="false">X60</f>
        <v>-121235.595949015</v>
      </c>
      <c r="Z58" s="15" t="n">
        <f aca="false">Y60</f>
        <v>-112829.206065972</v>
      </c>
      <c r="AA58" s="15" t="n">
        <f aca="false">Z60</f>
        <v>-101609.728970648</v>
      </c>
      <c r="AB58" s="15" t="n">
        <f aca="false">AA60</f>
        <v>-96845.1855351658</v>
      </c>
      <c r="AC58" s="15" t="n">
        <f aca="false">AB60</f>
        <v>-81568.1597562611</v>
      </c>
      <c r="AD58" s="15" t="n">
        <f aca="false">AC60</f>
        <v>-58853.7764573676</v>
      </c>
      <c r="AE58" s="15" t="n">
        <f aca="false">AD60</f>
        <v>-28776.4092136853</v>
      </c>
      <c r="AF58" s="15" t="n">
        <f aca="false">AE60</f>
        <v>8590.31213533805</v>
      </c>
      <c r="AG58" s="15" t="n">
        <f aca="false">AF60</f>
        <v>53173.4940486489</v>
      </c>
      <c r="AH58" s="15" t="n">
        <f aca="false">AG60</f>
        <v>99900.9719206044</v>
      </c>
      <c r="AI58" s="15" t="n">
        <f aca="false">AH60</f>
        <v>159701.302791618</v>
      </c>
      <c r="AJ58" s="15" t="n">
        <f aca="false">AI60</f>
        <v>225503.758131699</v>
      </c>
      <c r="AK58" s="15" t="n">
        <f aca="false">AJ60</f>
        <v>298238.316696158</v>
      </c>
      <c r="AL58" s="15" t="n">
        <f aca="false">AK60</f>
        <v>377835.657452749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-10397.3223333333</v>
      </c>
      <c r="F59" s="15" t="n">
        <f aca="false">F31-F36-F39-F51-F55+F56+F57</f>
        <v>-11009.3159966667</v>
      </c>
      <c r="G59" s="15" t="n">
        <f aca="false">G31-G36-G39-G51-G55+G56+G57</f>
        <v>-11023.2365167667</v>
      </c>
      <c r="H59" s="15" t="n">
        <f aca="false">H31-H36-H39-H51-H55+H56+H57</f>
        <v>-11036.7394212637</v>
      </c>
      <c r="I59" s="15" t="n">
        <f aca="false">I31-I36-I39-I51-I55+I56+I57</f>
        <v>-6195.63437821103</v>
      </c>
      <c r="J59" s="15" t="n">
        <f aca="false">J31-J36-J39-J51-J55+J56+J57</f>
        <v>-1017.23270109559</v>
      </c>
      <c r="K59" s="15" t="n">
        <f aca="false">K31-K36-K39-K51-K55+K56+K57</f>
        <v>-1079.9650407513</v>
      </c>
      <c r="L59" s="15" t="n">
        <f aca="false">L31-L36-L39-L51-L55+L56+L57</f>
        <v>-152.070057010453</v>
      </c>
      <c r="M59" s="15" t="n">
        <f aca="false">M31-M36-M39-M51-M55+M56+M57</f>
        <v>766.545976892986</v>
      </c>
      <c r="N59" s="15" t="n">
        <f aca="false">N31-N36-N39-N51-N55+N56+N57</f>
        <v>1675.97585045739</v>
      </c>
      <c r="O59" s="15" t="n">
        <f aca="false">O31-O36-O39-O51-O55+O56+O57</f>
        <v>-16235.6372413805</v>
      </c>
      <c r="P59" s="15" t="n">
        <f aca="false">P31-P36-P39-P51-P55+P56+P57</f>
        <v>-11725.1297578556</v>
      </c>
      <c r="Q59" s="15" t="n">
        <f aca="false">Q31-Q36-Q39-Q51-Q55+Q56+Q57</f>
        <v>-8645.72734916593</v>
      </c>
      <c r="R59" s="15" t="n">
        <f aca="false">R31-R36-R39-R51-R55+R56+R57</f>
        <v>-5597.11896456316</v>
      </c>
      <c r="S59" s="15" t="n">
        <f aca="false">S31-S36-S39-S51-S55+S56+S57</f>
        <v>-2578.99666380642</v>
      </c>
      <c r="T59" s="15" t="n">
        <f aca="false">T31-T36-T39-T51-T55+T56+T57</f>
        <v>408.944413942756</v>
      </c>
      <c r="U59" s="15" t="n">
        <f aca="false">U31-U36-U39-U51-U55+U56+U57</f>
        <v>-8132.99391908557</v>
      </c>
      <c r="V59" s="15" t="n">
        <f aca="false">V31-V36-V39-V51-V55+V56+V57</f>
        <v>795.487131216386</v>
      </c>
      <c r="W59" s="15" t="n">
        <f aca="false">W31-W36-W39-W51-W55+W56+W57</f>
        <v>2694.68337101534</v>
      </c>
      <c r="X59" s="15" t="n">
        <f aca="false">X31-X36-X39-X51-X55+X56+X57</f>
        <v>5564.8876484163</v>
      </c>
      <c r="Y59" s="15" t="n">
        <f aca="false">Y31-Y36-Y39-Y51-Y55+Y56+Y57</f>
        <v>8406.38988304325</v>
      </c>
      <c r="Z59" s="15" t="n">
        <f aca="false">Z31-Z36-Z39-Z51-Z55+Z56+Z57</f>
        <v>11219.4770953239</v>
      </c>
      <c r="AA59" s="15" t="n">
        <f aca="false">AA31-AA36-AA39-AA51-AA55+AA56+AA57</f>
        <v>4764.54343548179</v>
      </c>
      <c r="AB59" s="15" t="n">
        <f aca="false">AB31-AB36-AB39-AB51-AB55+AB56+AB57</f>
        <v>15277.0257789048</v>
      </c>
      <c r="AC59" s="15" t="n">
        <f aca="false">AC31-AC36-AC39-AC51-AC55+AC56+AC57</f>
        <v>22714.3832988935</v>
      </c>
      <c r="AD59" s="15" t="n">
        <f aca="false">AD31-AD36-AD39-AD51-AD55+AD56+AD57</f>
        <v>30077.3672436823</v>
      </c>
      <c r="AE59" s="15" t="n">
        <f aca="false">AE31-AE36-AE39-AE51-AE55+AE56+AE57</f>
        <v>37366.7213490233</v>
      </c>
      <c r="AF59" s="15" t="n">
        <f aca="false">AF31-AF36-AF39-AF51-AF55+AF56+AF57</f>
        <v>44583.1819133108</v>
      </c>
      <c r="AG59" s="15" t="n">
        <f aca="false">AG31-AG36-AG39-AG51-AG55+AG56+AG57</f>
        <v>46727.4778719555</v>
      </c>
      <c r="AH59" s="15" t="n">
        <f aca="false">AH31-AH36-AH39-AH51-AH55+AH56+AH57</f>
        <v>59800.3308710137</v>
      </c>
      <c r="AI59" s="15" t="n">
        <f aca="false">AI31-AI36-AI39-AI51-AI55+AI56+AI57</f>
        <v>65802.4553400814</v>
      </c>
      <c r="AJ59" s="15" t="n">
        <f aca="false">AJ31-AJ36-AJ39-AJ51-AJ55+AJ56+AJ57</f>
        <v>72734.5585644583</v>
      </c>
      <c r="AK59" s="15" t="n">
        <f aca="false">AK31-AK36-AK39-AK51-AK55+AK56+AK57</f>
        <v>79597.3407565915</v>
      </c>
      <c r="AL59" s="15" t="n">
        <f aca="false">AL31-AL36-AL39-AL51-AL55+AL56+AL57</f>
        <v>86391.4951268034</v>
      </c>
      <c r="AN59" s="15" t="n">
        <f aca="false">SUM(C59:N59)</f>
        <v>-77783.9946177483</v>
      </c>
      <c r="AO59" s="15" t="n">
        <f aca="false">SUM(O59:Z59)</f>
        <v>-23825.7343528993</v>
      </c>
      <c r="AP59" s="15" t="n">
        <f aca="false">SUM(AA59:AL59)</f>
        <v>565836.8815502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-38712.3223333333</v>
      </c>
      <c r="F60" s="40" t="n">
        <f aca="false">F58+F59</f>
        <v>-49721.63833</v>
      </c>
      <c r="G60" s="40" t="n">
        <f aca="false">G58+G59</f>
        <v>-60744.8748467667</v>
      </c>
      <c r="H60" s="40" t="n">
        <f aca="false">H58+H59</f>
        <v>-71781.6142680303</v>
      </c>
      <c r="I60" s="40" t="n">
        <f aca="false">I58+I59</f>
        <v>-77977.2486462414</v>
      </c>
      <c r="J60" s="40" t="n">
        <f aca="false">J58+J59</f>
        <v>-78994.481347337</v>
      </c>
      <c r="K60" s="40" t="n">
        <f aca="false">K58+K59</f>
        <v>-80074.4463880883</v>
      </c>
      <c r="L60" s="40" t="n">
        <f aca="false">L58+L59</f>
        <v>-80226.5164450987</v>
      </c>
      <c r="M60" s="40" t="n">
        <f aca="false">M58+M59</f>
        <v>-79459.9704682057</v>
      </c>
      <c r="N60" s="40" t="n">
        <f aca="false">N58+N59</f>
        <v>-77783.9946177483</v>
      </c>
      <c r="O60" s="40" t="n">
        <f aca="false">O58+O59</f>
        <v>-94019.6318591289</v>
      </c>
      <c r="P60" s="40" t="n">
        <f aca="false">P58+P59</f>
        <v>-105744.761616984</v>
      </c>
      <c r="Q60" s="40" t="n">
        <f aca="false">Q58+Q59</f>
        <v>-114390.48896615</v>
      </c>
      <c r="R60" s="40" t="n">
        <f aca="false">R58+R59</f>
        <v>-119987.607930714</v>
      </c>
      <c r="S60" s="40" t="n">
        <f aca="false">S58+S59</f>
        <v>-122566.60459452</v>
      </c>
      <c r="T60" s="40" t="n">
        <f aca="false">T58+T59</f>
        <v>-122157.660180577</v>
      </c>
      <c r="U60" s="40" t="n">
        <f aca="false">U58+U59</f>
        <v>-130290.654099663</v>
      </c>
      <c r="V60" s="40" t="n">
        <f aca="false">V58+V59</f>
        <v>-129495.166968446</v>
      </c>
      <c r="W60" s="40" t="n">
        <f aca="false">W58+W59</f>
        <v>-126800.483597431</v>
      </c>
      <c r="X60" s="40" t="n">
        <f aca="false">X58+X59</f>
        <v>-121235.595949015</v>
      </c>
      <c r="Y60" s="40" t="n">
        <f aca="false">Y58+Y59</f>
        <v>-112829.206065972</v>
      </c>
      <c r="Z60" s="40" t="n">
        <f aca="false">Z58+Z59</f>
        <v>-101609.728970648</v>
      </c>
      <c r="AA60" s="40" t="n">
        <f aca="false">AA58+AA59</f>
        <v>-96845.1855351658</v>
      </c>
      <c r="AB60" s="40" t="n">
        <f aca="false">AB58+AB59</f>
        <v>-81568.1597562611</v>
      </c>
      <c r="AC60" s="40" t="n">
        <f aca="false">AC58+AC59</f>
        <v>-58853.7764573676</v>
      </c>
      <c r="AD60" s="40" t="n">
        <f aca="false">AD58+AD59</f>
        <v>-28776.4092136853</v>
      </c>
      <c r="AE60" s="40" t="n">
        <f aca="false">AE58+AE59</f>
        <v>8590.31213533805</v>
      </c>
      <c r="AF60" s="40" t="n">
        <f aca="false">AF58+AF59</f>
        <v>53173.4940486489</v>
      </c>
      <c r="AG60" s="40" t="n">
        <f aca="false">AG58+AG59</f>
        <v>99900.9719206044</v>
      </c>
      <c r="AH60" s="40" t="n">
        <f aca="false">AH58+AH59</f>
        <v>159701.302791618</v>
      </c>
      <c r="AI60" s="40" t="n">
        <f aca="false">AI58+AI59</f>
        <v>225503.758131699</v>
      </c>
      <c r="AJ60" s="40" t="n">
        <f aca="false">AJ58+AJ59</f>
        <v>298238.316696158</v>
      </c>
      <c r="AK60" s="40" t="n">
        <f aca="false">AK58+AK59</f>
        <v>377835.657452749</v>
      </c>
      <c r="AL60" s="40" t="n">
        <f aca="false">AL58+AL59</f>
        <v>464227.152579553</v>
      </c>
      <c r="AN60" s="40" t="n">
        <f aca="false">N60</f>
        <v>-77783.9946177483</v>
      </c>
      <c r="AO60" s="40" t="n">
        <f aca="false">Z60</f>
        <v>-101609.728970648</v>
      </c>
      <c r="AP60" s="40" t="n">
        <f aca="false">AL60</f>
        <v>464227.152579553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-38712.3223333333</v>
      </c>
      <c r="F62" s="40" t="n">
        <f aca="false">F60-F61</f>
        <v>-49721.63833</v>
      </c>
      <c r="G62" s="40" t="n">
        <f aca="false">G60-G61</f>
        <v>-60744.8748467667</v>
      </c>
      <c r="H62" s="40" t="n">
        <f aca="false">H60-H61</f>
        <v>-71781.6142680303</v>
      </c>
      <c r="I62" s="40" t="n">
        <f aca="false">I60-I61</f>
        <v>-77977.2486462414</v>
      </c>
      <c r="J62" s="40" t="n">
        <f aca="false">J60-J61</f>
        <v>-78994.481347337</v>
      </c>
      <c r="K62" s="40" t="n">
        <f aca="false">K60-K61</f>
        <v>-80074.4463880883</v>
      </c>
      <c r="L62" s="40" t="n">
        <f aca="false">L60-L61</f>
        <v>-80226.5164450987</v>
      </c>
      <c r="M62" s="40" t="n">
        <f aca="false">M60-M61</f>
        <v>-79459.9704682057</v>
      </c>
      <c r="N62" s="40" t="n">
        <f aca="false">N60-N61</f>
        <v>-77783.9946177483</v>
      </c>
      <c r="O62" s="40" t="n">
        <f aca="false">O60-O61</f>
        <v>-94019.6318591289</v>
      </c>
      <c r="P62" s="40" t="n">
        <f aca="false">P60-P61</f>
        <v>-105744.761616984</v>
      </c>
      <c r="Q62" s="40" t="n">
        <f aca="false">Q60-Q61</f>
        <v>-114390.48896615</v>
      </c>
      <c r="R62" s="40" t="n">
        <f aca="false">R60-R61</f>
        <v>-119987.607930714</v>
      </c>
      <c r="S62" s="40" t="n">
        <f aca="false">S60-S61</f>
        <v>-122566.60459452</v>
      </c>
      <c r="T62" s="40" t="n">
        <f aca="false">T60-T61</f>
        <v>-122157.660180577</v>
      </c>
      <c r="U62" s="40" t="n">
        <f aca="false">U60-U61</f>
        <v>-130290.654099663</v>
      </c>
      <c r="V62" s="40" t="n">
        <f aca="false">V60-V61</f>
        <v>-129495.166968446</v>
      </c>
      <c r="W62" s="40" t="n">
        <f aca="false">W60-W61</f>
        <v>-126800.483597431</v>
      </c>
      <c r="X62" s="40" t="n">
        <f aca="false">X60-X61</f>
        <v>-121235.595949015</v>
      </c>
      <c r="Y62" s="40" t="n">
        <f aca="false">Y60-Y61</f>
        <v>-112829.206065972</v>
      </c>
      <c r="Z62" s="40" t="n">
        <f aca="false">Z60-Z61</f>
        <v>-101609.728970648</v>
      </c>
      <c r="AA62" s="40" t="n">
        <f aca="false">AA60-AA61</f>
        <v>-96845.1855351658</v>
      </c>
      <c r="AB62" s="40" t="n">
        <f aca="false">AB60-AB61</f>
        <v>-81568.1597562611</v>
      </c>
      <c r="AC62" s="40" t="n">
        <f aca="false">AC60-AC61</f>
        <v>-58853.7764573676</v>
      </c>
      <c r="AD62" s="40" t="n">
        <f aca="false">AD60-AD61</f>
        <v>-28776.4092136853</v>
      </c>
      <c r="AE62" s="40" t="n">
        <f aca="false">AE60-AE61</f>
        <v>8590.31213533805</v>
      </c>
      <c r="AF62" s="40" t="n">
        <f aca="false">AF60-AF61</f>
        <v>53173.4940486489</v>
      </c>
      <c r="AG62" s="40" t="n">
        <f aca="false">AG60-AG61</f>
        <v>99900.9719206044</v>
      </c>
      <c r="AH62" s="40" t="n">
        <f aca="false">AH60-AH61</f>
        <v>159701.302791618</v>
      </c>
      <c r="AI62" s="40" t="n">
        <f aca="false">AI60-AI61</f>
        <v>225503.758131699</v>
      </c>
      <c r="AJ62" s="40" t="n">
        <f aca="false">AJ60-AJ61</f>
        <v>298238.316696158</v>
      </c>
      <c r="AK62" s="40" t="n">
        <f aca="false">AK60-AK61</f>
        <v>377835.657452749</v>
      </c>
      <c r="AL62" s="40" t="n">
        <f aca="false">AL60-AL61</f>
        <v>464227.152579553</v>
      </c>
      <c r="AN62" s="40" t="n">
        <f aca="false">N62</f>
        <v>-77783.9946177483</v>
      </c>
      <c r="AO62" s="40" t="n">
        <f aca="false">Z62</f>
        <v>-101609.728970648</v>
      </c>
      <c r="AP62" s="40" t="n">
        <f aca="false">AL62</f>
        <v>464227.152579553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-38712.3223333333</v>
      </c>
      <c r="F63" s="15" t="n">
        <f aca="false">MIN(E63,F62)</f>
        <v>-49721.63833</v>
      </c>
      <c r="G63" s="15" t="n">
        <f aca="false">MIN(F63,G62)</f>
        <v>-60744.8748467667</v>
      </c>
      <c r="H63" s="15" t="n">
        <f aca="false">MIN(G63,H62)</f>
        <v>-71781.6142680303</v>
      </c>
      <c r="I63" s="15" t="n">
        <f aca="false">MIN(H63,I62)</f>
        <v>-77977.2486462414</v>
      </c>
      <c r="J63" s="15" t="n">
        <f aca="false">MIN(I63,J62)</f>
        <v>-78994.481347337</v>
      </c>
      <c r="K63" s="15" t="n">
        <f aca="false">MIN(J63,K62)</f>
        <v>-80074.4463880883</v>
      </c>
      <c r="L63" s="15" t="n">
        <f aca="false">MIN(K63,L62)</f>
        <v>-80226.5164450987</v>
      </c>
      <c r="M63" s="15" t="n">
        <f aca="false">MIN(L63,M62)</f>
        <v>-80226.5164450987</v>
      </c>
      <c r="N63" s="15" t="n">
        <f aca="false">MIN(M63,N62)</f>
        <v>-80226.5164450987</v>
      </c>
      <c r="O63" s="15" t="n">
        <f aca="false">MIN(N63,O62)</f>
        <v>-94019.6318591289</v>
      </c>
      <c r="P63" s="15" t="n">
        <f aca="false">MIN(O63,P62)</f>
        <v>-105744.761616984</v>
      </c>
      <c r="Q63" s="15" t="n">
        <f aca="false">MIN(P63,Q62)</f>
        <v>-114390.48896615</v>
      </c>
      <c r="R63" s="15" t="n">
        <f aca="false">MIN(Q63,R62)</f>
        <v>-119987.607930714</v>
      </c>
      <c r="S63" s="15" t="n">
        <f aca="false">MIN(R63,S62)</f>
        <v>-122566.60459452</v>
      </c>
      <c r="T63" s="15" t="n">
        <f aca="false">MIN(S63,T62)</f>
        <v>-122566.60459452</v>
      </c>
      <c r="U63" s="15" t="n">
        <f aca="false">MIN(T63,U62)</f>
        <v>-130290.654099663</v>
      </c>
      <c r="V63" s="15" t="n">
        <f aca="false">MIN(U63,V62)</f>
        <v>-130290.654099663</v>
      </c>
      <c r="W63" s="15" t="n">
        <f aca="false">MIN(V63,W62)</f>
        <v>-130290.654099663</v>
      </c>
      <c r="X63" s="15" t="n">
        <f aca="false">MIN(W63,X62)</f>
        <v>-130290.654099663</v>
      </c>
      <c r="Y63" s="15" t="n">
        <f aca="false">MIN(X63,Y62)</f>
        <v>-130290.654099663</v>
      </c>
      <c r="Z63" s="15" t="n">
        <f aca="false">MIN(Y63,Z62)</f>
        <v>-130290.654099663</v>
      </c>
      <c r="AA63" s="15" t="n">
        <f aca="false">MIN(Z63,AA62)</f>
        <v>-130290.654099663</v>
      </c>
      <c r="AB63" s="15" t="n">
        <f aca="false">MIN(AA63,AB62)</f>
        <v>-130290.654099663</v>
      </c>
      <c r="AC63" s="15" t="n">
        <f aca="false">MIN(AB63,AC62)</f>
        <v>-130290.654099663</v>
      </c>
      <c r="AD63" s="15" t="n">
        <f aca="false">MIN(AC63,AD62)</f>
        <v>-130290.654099663</v>
      </c>
      <c r="AE63" s="15" t="n">
        <f aca="false">MIN(AD63,AE62)</f>
        <v>-130290.654099663</v>
      </c>
      <c r="AF63" s="15" t="n">
        <f aca="false">MIN(AE63,AF62)</f>
        <v>-130290.654099663</v>
      </c>
      <c r="AG63" s="15" t="n">
        <f aca="false">MIN(AF63,AG62)</f>
        <v>-130290.654099663</v>
      </c>
      <c r="AH63" s="15" t="n">
        <f aca="false">MIN(AG63,AH62)</f>
        <v>-130290.654099663</v>
      </c>
      <c r="AI63" s="15" t="n">
        <f aca="false">MIN(AH63,AI62)</f>
        <v>-130290.654099663</v>
      </c>
      <c r="AJ63" s="15" t="n">
        <f aca="false">MIN(AI63,AJ62)</f>
        <v>-130290.654099663</v>
      </c>
      <c r="AK63" s="15" t="n">
        <f aca="false">MIN(AJ63,AK62)</f>
        <v>-130290.654099663</v>
      </c>
      <c r="AL63" s="15" t="n">
        <f aca="false">MIN(AK63,AL62)</f>
        <v>-130290.654099663</v>
      </c>
      <c r="AN63" s="15" t="n">
        <f aca="false">N63</f>
        <v>-80226.5164450987</v>
      </c>
      <c r="AO63" s="15" t="n">
        <f aca="false">Z63</f>
        <v>-130290.654099663</v>
      </c>
      <c r="AP63" s="15" t="n">
        <f aca="false">AL63</f>
        <v>-130290.654099663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1</v>
      </c>
      <c r="AF64" s="13" t="n">
        <f aca="false">IF(AND(AF9=1,AF62&gt;0),1,0)</f>
        <v>1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7178</v>
      </c>
      <c r="G66" s="15" t="n">
        <f aca="false">G28*12</f>
        <v>6962.66</v>
      </c>
      <c r="H66" s="15" t="n">
        <f aca="false">H28*12</f>
        <v>6753.7802</v>
      </c>
      <c r="I66" s="15" t="n">
        <f aca="false">I28*12</f>
        <v>21486.242398</v>
      </c>
      <c r="J66" s="15" t="n">
        <f aca="false">J28*12</f>
        <v>36071.37997402</v>
      </c>
      <c r="K66" s="15" t="n">
        <f aca="false">K28*12</f>
        <v>50510.6661742798</v>
      </c>
      <c r="L66" s="15" t="n">
        <f aca="false">L28*12</f>
        <v>64805.559512537</v>
      </c>
      <c r="M66" s="15" t="n">
        <f aca="false">M28*12</f>
        <v>78957.5039174116</v>
      </c>
      <c r="N66" s="15" t="n">
        <f aca="false">N28*12</f>
        <v>92967.9288782375</v>
      </c>
      <c r="O66" s="15" t="n">
        <f aca="false">O28*12</f>
        <v>141371.582922788</v>
      </c>
      <c r="P66" s="15" t="n">
        <f aca="false">P28*12</f>
        <v>189291.200426894</v>
      </c>
      <c r="Q66" s="15" t="n">
        <f aca="false">Q28*12</f>
        <v>236731.621755958</v>
      </c>
      <c r="R66" s="15" t="n">
        <f aca="false">R28*12</f>
        <v>283697.638871732</v>
      </c>
      <c r="S66" s="15" t="n">
        <f aca="false">S28*12</f>
        <v>330193.995816348</v>
      </c>
      <c r="T66" s="15" t="n">
        <f aca="false">T28*12</f>
        <v>376225.389191518</v>
      </c>
      <c r="U66" s="15" t="n">
        <f aca="false">U28*12</f>
        <v>421796.468632936</v>
      </c>
      <c r="V66" s="15" t="n">
        <f aca="false">V28*12</f>
        <v>466911.83727994</v>
      </c>
      <c r="W66" s="15" t="n">
        <f aca="false">W28*12</f>
        <v>511576.052240474</v>
      </c>
      <c r="X66" s="15" t="n">
        <f aca="false">X28*12</f>
        <v>555793.625051403</v>
      </c>
      <c r="Y66" s="15" t="n">
        <f aca="false">Y28*12</f>
        <v>599569.022134222</v>
      </c>
      <c r="Z66" s="15" t="n">
        <f aca="false">Z28*12</f>
        <v>642906.665246213</v>
      </c>
      <c r="AA66" s="15" t="n">
        <f aca="false">AA28*12</f>
        <v>759810.931927084</v>
      </c>
      <c r="AB66" s="15" t="n">
        <f aca="false">AB28*12</f>
        <v>875546.155941146</v>
      </c>
      <c r="AC66" s="15" t="n">
        <f aca="false">AC28*12</f>
        <v>990124.027715068</v>
      </c>
      <c r="AD66" s="15" t="n">
        <f aca="false">AD28*12</f>
        <v>1103556.12077125</v>
      </c>
      <c r="AE66" s="15" t="n">
        <f aca="false">AE28*12</f>
        <v>1215853.89289687</v>
      </c>
      <c r="AF66" s="15" t="n">
        <f aca="false">AF28*12</f>
        <v>1327028.68730124</v>
      </c>
      <c r="AG66" s="15" t="n">
        <f aca="false">AG28*12</f>
        <v>1437091.73376156</v>
      </c>
      <c r="AH66" s="15" t="n">
        <f aca="false">AH28*12</f>
        <v>1546054.14975728</v>
      </c>
      <c r="AI66" s="15" t="n">
        <f aca="false">AI28*12</f>
        <v>1653926.94159304</v>
      </c>
      <c r="AJ66" s="15" t="n">
        <f aca="false">AJ28*12</f>
        <v>1760721.00551044</v>
      </c>
      <c r="AK66" s="15" t="n">
        <f aca="false">AK28*12</f>
        <v>1866447.12878867</v>
      </c>
      <c r="AL66" s="15" t="n">
        <f aca="false">AL28*12</f>
        <v>1971115.99083411</v>
      </c>
      <c r="AN66" s="15" t="n">
        <f aca="false">N66</f>
        <v>92967.9288782375</v>
      </c>
      <c r="AO66" s="15" t="n">
        <f aca="false">Z66</f>
        <v>642906.665246213</v>
      </c>
      <c r="AP66" s="15" t="n">
        <f aca="false">AL66</f>
        <v>1971115.99083411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3.3046125782367</v>
      </c>
      <c r="F72" s="38" t="n">
        <f aca="false">IF(F69&gt;0,Hypothèses!$D$23*$E$4/F69,0)</f>
        <v>3.3046125782367</v>
      </c>
      <c r="G72" s="38" t="n">
        <f aca="false">IF(G69&gt;0,Hypothèses!$D$23*$E$4/G69,0)</f>
        <v>3.3046125782367</v>
      </c>
      <c r="H72" s="38" t="n">
        <f aca="false">IF(H69&gt;0,Hypothèses!$D$23*$E$4/H69,0)</f>
        <v>3.3046125782367</v>
      </c>
      <c r="I72" s="38" t="n">
        <f aca="false">IF(I69&gt;0,Hypothèses!$D$23*$E$4/I69,0)</f>
        <v>3.3046125782367</v>
      </c>
      <c r="J72" s="38" t="n">
        <f aca="false">IF(J69&gt;0,Hypothèses!$D$23*$E$4/J69,0)</f>
        <v>3.3046125782367</v>
      </c>
      <c r="K72" s="38" t="n">
        <f aca="false">IF(K69&gt;0,Hypothèses!$D$23*$E$4/K69,0)</f>
        <v>3.3046125782367</v>
      </c>
      <c r="L72" s="38" t="n">
        <f aca="false">IF(L69&gt;0,Hypothèses!$D$23*$E$4/L69,0)</f>
        <v>3.3046125782367</v>
      </c>
      <c r="M72" s="38" t="n">
        <f aca="false">IF(M69&gt;0,Hypothèses!$D$23*$E$4/M69,0)</f>
        <v>3.3046125782367</v>
      </c>
      <c r="N72" s="38" t="n">
        <f aca="false">IF(N69&gt;0,Hypothèses!$D$23*$E$4/N69,0)</f>
        <v>3.3046125782367</v>
      </c>
      <c r="O72" s="38" t="n">
        <f aca="false">IF(O69&gt;0,Hypothèses!$D$23*$E$4/O69,0)</f>
        <v>3.3046125782367</v>
      </c>
      <c r="P72" s="38" t="n">
        <f aca="false">IF(P69&gt;0,Hypothèses!$D$23*$E$4/P69,0)</f>
        <v>3.3046125782367</v>
      </c>
      <c r="Q72" s="38" t="n">
        <f aca="false">IF(Q69&gt;0,Hypothèses!$D$23*$E$4/Q69,0)</f>
        <v>3.3046125782367</v>
      </c>
      <c r="R72" s="38" t="n">
        <f aca="false">IF(R69&gt;0,Hypothèses!$D$23*$E$4/R69,0)</f>
        <v>3.3046125782367</v>
      </c>
      <c r="S72" s="38" t="n">
        <f aca="false">IF(S69&gt;0,Hypothèses!$D$23*$E$4/S69,0)</f>
        <v>3.3046125782367</v>
      </c>
      <c r="T72" s="38" t="n">
        <f aca="false">IF(T69&gt;0,Hypothèses!$D$23*$E$4/T69,0)</f>
        <v>3.3046125782367</v>
      </c>
      <c r="U72" s="38" t="n">
        <f aca="false">IF(U69&gt;0,Hypothèses!$D$23*$E$4/U69,0)</f>
        <v>3.3046125782367</v>
      </c>
      <c r="V72" s="38" t="n">
        <f aca="false">IF(V69&gt;0,Hypothèses!$D$23*$E$4/V69,0)</f>
        <v>3.3046125782367</v>
      </c>
      <c r="W72" s="38" t="n">
        <f aca="false">IF(W69&gt;0,Hypothèses!$D$23*$E$4/W69,0)</f>
        <v>3.3046125782367</v>
      </c>
      <c r="X72" s="38" t="n">
        <f aca="false">IF(X69&gt;0,Hypothèses!$D$23*$E$4/X69,0)</f>
        <v>3.3046125782367</v>
      </c>
      <c r="Y72" s="38" t="n">
        <f aca="false">IF(Y69&gt;0,Hypothèses!$D$23*$E$4/Y69,0)</f>
        <v>3.3046125782367</v>
      </c>
      <c r="Z72" s="38" t="n">
        <f aca="false">IF(Z69&gt;0,Hypothèses!$D$23*$E$4/Z69,0)</f>
        <v>3.3046125782367</v>
      </c>
      <c r="AA72" s="38" t="n">
        <f aca="false">IF(AA69&gt;0,Hypothèses!$D$23*$E$4/AA69,0)</f>
        <v>3.3046125782367</v>
      </c>
      <c r="AB72" s="38" t="n">
        <f aca="false">IF(AB69&gt;0,Hypothèses!$D$23*$E$4/AB69,0)</f>
        <v>3.3046125782367</v>
      </c>
      <c r="AC72" s="38" t="n">
        <f aca="false">IF(AC69&gt;0,Hypothèses!$D$23*$E$4/AC69,0)</f>
        <v>3.3046125782367</v>
      </c>
      <c r="AD72" s="38" t="n">
        <f aca="false">IF(AD69&gt;0,Hypothèses!$D$23*$E$4/AD69,0)</f>
        <v>3.3046125782367</v>
      </c>
      <c r="AE72" s="38" t="n">
        <f aca="false">IF(AE69&gt;0,Hypothèses!$D$23*$E$4/AE69,0)</f>
        <v>3.3046125782367</v>
      </c>
      <c r="AF72" s="38" t="n">
        <f aca="false">IF(AF69&gt;0,Hypothèses!$D$23*$E$4/AF69,0)</f>
        <v>3.3046125782367</v>
      </c>
      <c r="AG72" s="38" t="n">
        <f aca="false">IF(AG69&gt;0,Hypothèses!$D$23*$E$4/AG69,0)</f>
        <v>3.3046125782367</v>
      </c>
      <c r="AH72" s="38" t="n">
        <f aca="false">IF(AH69&gt;0,Hypothèses!$D$23*$E$4/AH69,0)</f>
        <v>3.3046125782367</v>
      </c>
      <c r="AI72" s="38" t="n">
        <f aca="false">IF(AI69&gt;0,Hypothèses!$D$23*$E$4/AI69,0)</f>
        <v>3.3046125782367</v>
      </c>
      <c r="AJ72" s="38" t="n">
        <f aca="false">IF(AJ69&gt;0,Hypothèses!$D$23*$E$4/AJ69,0)</f>
        <v>3.3046125782367</v>
      </c>
      <c r="AK72" s="38" t="n">
        <f aca="false">IF(AK69&gt;0,Hypothèses!$D$23*$E$4/AK69,0)</f>
        <v>3.3046125782367</v>
      </c>
      <c r="AL72" s="38" t="n">
        <f aca="false">IF(AL69&gt;0,Hypothèses!$D$23*$E$4/AL69,0)</f>
        <v>3.3046125782367</v>
      </c>
      <c r="AN72" s="38" t="n">
        <f aca="false">N72</f>
        <v>3.3046125782367</v>
      </c>
      <c r="AO72" s="38" t="n">
        <f aca="false">Z72</f>
        <v>3.3046125782367</v>
      </c>
      <c r="AP72" s="38" t="n">
        <f aca="false">AL72</f>
        <v>3.3046125782367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1513.03666666667</v>
      </c>
      <c r="F73" s="15" t="n">
        <f aca="false">IF(Hypothèses!$D$26*$D$4&gt;0,F69/(Hypothèses!$D$26*$D$4),0)</f>
        <v>1513.03666666667</v>
      </c>
      <c r="G73" s="15" t="n">
        <f aca="false">IF(Hypothèses!$D$26*$D$4&gt;0,G69/(Hypothèses!$D$26*$D$4),0)</f>
        <v>1513.03666666667</v>
      </c>
      <c r="H73" s="15" t="n">
        <f aca="false">IF(Hypothèses!$D$26*$D$4&gt;0,H69/(Hypothèses!$D$26*$D$4),0)</f>
        <v>1513.03666666667</v>
      </c>
      <c r="I73" s="15" t="n">
        <f aca="false">IF(Hypothèses!$D$26*$D$4&gt;0,I69/(Hypothèses!$D$26*$D$4),0)</f>
        <v>1513.03666666667</v>
      </c>
      <c r="J73" s="15" t="n">
        <f aca="false">IF(Hypothèses!$D$26*$D$4&gt;0,J69/(Hypothèses!$D$26*$D$4),0)</f>
        <v>1513.03666666667</v>
      </c>
      <c r="K73" s="15" t="n">
        <f aca="false">IF(Hypothèses!$D$26*$D$4&gt;0,K69/(Hypothèses!$D$26*$D$4),0)</f>
        <v>1513.03666666667</v>
      </c>
      <c r="L73" s="15" t="n">
        <f aca="false">IF(Hypothèses!$D$26*$D$4&gt;0,L69/(Hypothèses!$D$26*$D$4),0)</f>
        <v>1513.03666666667</v>
      </c>
      <c r="M73" s="15" t="n">
        <f aca="false">IF(Hypothèses!$D$26*$D$4&gt;0,M69/(Hypothèses!$D$26*$D$4),0)</f>
        <v>1513.03666666667</v>
      </c>
      <c r="N73" s="15" t="n">
        <f aca="false">IF(Hypothèses!$D$26*$D$4&gt;0,N69/(Hypothèses!$D$26*$D$4),0)</f>
        <v>1513.03666666667</v>
      </c>
      <c r="O73" s="15" t="n">
        <f aca="false">IF(Hypothèses!$D$26*$D$4&gt;0,O69/(Hypothèses!$D$26*$D$4),0)</f>
        <v>1513.03666666667</v>
      </c>
      <c r="P73" s="15" t="n">
        <f aca="false">IF(Hypothèses!$D$26*$D$4&gt;0,P69/(Hypothèses!$D$26*$D$4),0)</f>
        <v>1513.03666666667</v>
      </c>
      <c r="Q73" s="15" t="n">
        <f aca="false">IF(Hypothèses!$D$26*$D$4&gt;0,Q69/(Hypothèses!$D$26*$D$4),0)</f>
        <v>1513.03666666667</v>
      </c>
      <c r="R73" s="15" t="n">
        <f aca="false">IF(Hypothèses!$D$26*$D$4&gt;0,R69/(Hypothèses!$D$26*$D$4),0)</f>
        <v>1513.03666666667</v>
      </c>
      <c r="S73" s="15" t="n">
        <f aca="false">IF(Hypothèses!$D$26*$D$4&gt;0,S69/(Hypothèses!$D$26*$D$4),0)</f>
        <v>1513.03666666667</v>
      </c>
      <c r="T73" s="15" t="n">
        <f aca="false">IF(Hypothèses!$D$26*$D$4&gt;0,T69/(Hypothèses!$D$26*$D$4),0)</f>
        <v>1513.03666666667</v>
      </c>
      <c r="U73" s="15" t="n">
        <f aca="false">IF(Hypothèses!$D$26*$D$4&gt;0,U69/(Hypothèses!$D$26*$D$4),0)</f>
        <v>1513.03666666667</v>
      </c>
      <c r="V73" s="15" t="n">
        <f aca="false">IF(Hypothèses!$D$26*$D$4&gt;0,V69/(Hypothèses!$D$26*$D$4),0)</f>
        <v>1513.03666666667</v>
      </c>
      <c r="W73" s="15" t="n">
        <f aca="false">IF(Hypothèses!$D$26*$D$4&gt;0,W69/(Hypothèses!$D$26*$D$4),0)</f>
        <v>1513.03666666667</v>
      </c>
      <c r="X73" s="15" t="n">
        <f aca="false">IF(Hypothèses!$D$26*$D$4&gt;0,X69/(Hypothèses!$D$26*$D$4),0)</f>
        <v>1513.03666666667</v>
      </c>
      <c r="Y73" s="15" t="n">
        <f aca="false">IF(Hypothèses!$D$26*$D$4&gt;0,Y69/(Hypothèses!$D$26*$D$4),0)</f>
        <v>1513.03666666667</v>
      </c>
      <c r="Z73" s="15" t="n">
        <f aca="false">IF(Hypothèses!$D$26*$D$4&gt;0,Z69/(Hypothèses!$D$26*$D$4),0)</f>
        <v>1513.03666666667</v>
      </c>
      <c r="AA73" s="15" t="n">
        <f aca="false">IF(Hypothèses!$D$26*$D$4&gt;0,AA69/(Hypothèses!$D$26*$D$4),0)</f>
        <v>1513.03666666667</v>
      </c>
      <c r="AB73" s="15" t="n">
        <f aca="false">IF(Hypothèses!$D$26*$D$4&gt;0,AB69/(Hypothèses!$D$26*$D$4),0)</f>
        <v>1513.03666666667</v>
      </c>
      <c r="AC73" s="15" t="n">
        <f aca="false">IF(Hypothèses!$D$26*$D$4&gt;0,AC69/(Hypothèses!$D$26*$D$4),0)</f>
        <v>1513.03666666667</v>
      </c>
      <c r="AD73" s="15" t="n">
        <f aca="false">IF(Hypothèses!$D$26*$D$4&gt;0,AD69/(Hypothèses!$D$26*$D$4),0)</f>
        <v>1513.03666666667</v>
      </c>
      <c r="AE73" s="15" t="n">
        <f aca="false">IF(Hypothèses!$D$26*$D$4&gt;0,AE69/(Hypothèses!$D$26*$D$4),0)</f>
        <v>1513.03666666667</v>
      </c>
      <c r="AF73" s="15" t="n">
        <f aca="false">IF(Hypothèses!$D$26*$D$4&gt;0,AF69/(Hypothèses!$D$26*$D$4),0)</f>
        <v>1513.03666666667</v>
      </c>
      <c r="AG73" s="15" t="n">
        <f aca="false">IF(Hypothèses!$D$26*$D$4&gt;0,AG69/(Hypothèses!$D$26*$D$4),0)</f>
        <v>1513.03666666667</v>
      </c>
      <c r="AH73" s="15" t="n">
        <f aca="false">IF(Hypothèses!$D$26*$D$4&gt;0,AH69/(Hypothèses!$D$26*$D$4),0)</f>
        <v>1513.03666666667</v>
      </c>
      <c r="AI73" s="15" t="n">
        <f aca="false">IF(Hypothèses!$D$26*$D$4&gt;0,AI69/(Hypothèses!$D$26*$D$4),0)</f>
        <v>1513.03666666667</v>
      </c>
      <c r="AJ73" s="15" t="n">
        <f aca="false">IF(Hypothèses!$D$26*$D$4&gt;0,AJ69/(Hypothèses!$D$26*$D$4),0)</f>
        <v>1513.03666666667</v>
      </c>
      <c r="AK73" s="15" t="n">
        <f aca="false">IF(Hypothèses!$D$26*$D$4&gt;0,AK69/(Hypothèses!$D$26*$D$4),0)</f>
        <v>1513.03666666667</v>
      </c>
      <c r="AL73" s="15" t="n">
        <f aca="false">IF(Hypothèses!$D$26*$D$4&gt;0,AL69/(Hypothèses!$D$26*$D$4),0)</f>
        <v>1513.03666666667</v>
      </c>
      <c r="AN73" s="15" t="n">
        <f aca="false">N73</f>
        <v>1513.03666666667</v>
      </c>
      <c r="AO73" s="15" t="n">
        <f aca="false">Z73</f>
        <v>1513.03666666667</v>
      </c>
      <c r="AP73" s="15" t="n">
        <f aca="false">AL73</f>
        <v>1513.03666666667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10.0869111111111</v>
      </c>
      <c r="F74" s="41" t="n">
        <f aca="false">IF(Hypothèses!$D$23*$E$4&gt;0,F73/(Hypothèses!$D$23*$E$4),0)</f>
        <v>10.0869111111111</v>
      </c>
      <c r="G74" s="41" t="n">
        <f aca="false">IF(Hypothèses!$D$23*$E$4&gt;0,G73/(Hypothèses!$D$23*$E$4),0)</f>
        <v>10.0869111111111</v>
      </c>
      <c r="H74" s="41" t="n">
        <f aca="false">IF(Hypothèses!$D$23*$E$4&gt;0,H73/(Hypothèses!$D$23*$E$4),0)</f>
        <v>10.0869111111111</v>
      </c>
      <c r="I74" s="41" t="n">
        <f aca="false">IF(Hypothèses!$D$23*$E$4&gt;0,I73/(Hypothèses!$D$23*$E$4),0)</f>
        <v>10.0869111111111</v>
      </c>
      <c r="J74" s="41" t="n">
        <f aca="false">IF(Hypothèses!$D$23*$E$4&gt;0,J73/(Hypothèses!$D$23*$E$4),0)</f>
        <v>10.0869111111111</v>
      </c>
      <c r="K74" s="41" t="n">
        <f aca="false">IF(Hypothèses!$D$23*$E$4&gt;0,K73/(Hypothèses!$D$23*$E$4),0)</f>
        <v>10.0869111111111</v>
      </c>
      <c r="L74" s="41" t="n">
        <f aca="false">IF(Hypothèses!$D$23*$E$4&gt;0,L73/(Hypothèses!$D$23*$E$4),0)</f>
        <v>10.0869111111111</v>
      </c>
      <c r="M74" s="41" t="n">
        <f aca="false">IF(Hypothèses!$D$23*$E$4&gt;0,M73/(Hypothèses!$D$23*$E$4),0)</f>
        <v>10.0869111111111</v>
      </c>
      <c r="N74" s="41" t="n">
        <f aca="false">IF(Hypothèses!$D$23*$E$4&gt;0,N73/(Hypothèses!$D$23*$E$4),0)</f>
        <v>10.0869111111111</v>
      </c>
      <c r="O74" s="41" t="n">
        <f aca="false">IF(Hypothèses!$D$23*$E$4&gt;0,O73/(Hypothèses!$D$23*$E$4),0)</f>
        <v>10.0869111111111</v>
      </c>
      <c r="P74" s="41" t="n">
        <f aca="false">IF(Hypothèses!$D$23*$E$4&gt;0,P73/(Hypothèses!$D$23*$E$4),0)</f>
        <v>10.0869111111111</v>
      </c>
      <c r="Q74" s="41" t="n">
        <f aca="false">IF(Hypothèses!$D$23*$E$4&gt;0,Q73/(Hypothèses!$D$23*$E$4),0)</f>
        <v>10.0869111111111</v>
      </c>
      <c r="R74" s="41" t="n">
        <f aca="false">IF(Hypothèses!$D$23*$E$4&gt;0,R73/(Hypothèses!$D$23*$E$4),0)</f>
        <v>10.0869111111111</v>
      </c>
      <c r="S74" s="41" t="n">
        <f aca="false">IF(Hypothèses!$D$23*$E$4&gt;0,S73/(Hypothèses!$D$23*$E$4),0)</f>
        <v>10.0869111111111</v>
      </c>
      <c r="T74" s="41" t="n">
        <f aca="false">IF(Hypothèses!$D$23*$E$4&gt;0,T73/(Hypothèses!$D$23*$E$4),0)</f>
        <v>10.0869111111111</v>
      </c>
      <c r="U74" s="41" t="n">
        <f aca="false">IF(Hypothèses!$D$23*$E$4&gt;0,U73/(Hypothèses!$D$23*$E$4),0)</f>
        <v>10.0869111111111</v>
      </c>
      <c r="V74" s="41" t="n">
        <f aca="false">IF(Hypothèses!$D$23*$E$4&gt;0,V73/(Hypothèses!$D$23*$E$4),0)</f>
        <v>10.0869111111111</v>
      </c>
      <c r="W74" s="41" t="n">
        <f aca="false">IF(Hypothèses!$D$23*$E$4&gt;0,W73/(Hypothèses!$D$23*$E$4),0)</f>
        <v>10.0869111111111</v>
      </c>
      <c r="X74" s="41" t="n">
        <f aca="false">IF(Hypothèses!$D$23*$E$4&gt;0,X73/(Hypothèses!$D$23*$E$4),0)</f>
        <v>10.0869111111111</v>
      </c>
      <c r="Y74" s="41" t="n">
        <f aca="false">IF(Hypothèses!$D$23*$E$4&gt;0,Y73/(Hypothèses!$D$23*$E$4),0)</f>
        <v>10.0869111111111</v>
      </c>
      <c r="Z74" s="41" t="n">
        <f aca="false">IF(Hypothèses!$D$23*$E$4&gt;0,Z73/(Hypothèses!$D$23*$E$4),0)</f>
        <v>10.0869111111111</v>
      </c>
      <c r="AA74" s="41" t="n">
        <f aca="false">IF(Hypothèses!$D$23*$E$4&gt;0,AA73/(Hypothèses!$D$23*$E$4),0)</f>
        <v>10.0869111111111</v>
      </c>
      <c r="AB74" s="41" t="n">
        <f aca="false">IF(Hypothèses!$D$23*$E$4&gt;0,AB73/(Hypothèses!$D$23*$E$4),0)</f>
        <v>10.0869111111111</v>
      </c>
      <c r="AC74" s="41" t="n">
        <f aca="false">IF(Hypothèses!$D$23*$E$4&gt;0,AC73/(Hypothèses!$D$23*$E$4),0)</f>
        <v>10.0869111111111</v>
      </c>
      <c r="AD74" s="41" t="n">
        <f aca="false">IF(Hypothèses!$D$23*$E$4&gt;0,AD73/(Hypothèses!$D$23*$E$4),0)</f>
        <v>10.0869111111111</v>
      </c>
      <c r="AE74" s="41" t="n">
        <f aca="false">IF(Hypothèses!$D$23*$E$4&gt;0,AE73/(Hypothèses!$D$23*$E$4),0)</f>
        <v>10.0869111111111</v>
      </c>
      <c r="AF74" s="41" t="n">
        <f aca="false">IF(Hypothèses!$D$23*$E$4&gt;0,AF73/(Hypothèses!$D$23*$E$4),0)</f>
        <v>10.0869111111111</v>
      </c>
      <c r="AG74" s="41" t="n">
        <f aca="false">IF(Hypothèses!$D$23*$E$4&gt;0,AG73/(Hypothèses!$D$23*$E$4),0)</f>
        <v>10.0869111111111</v>
      </c>
      <c r="AH74" s="41" t="n">
        <f aca="false">IF(Hypothèses!$D$23*$E$4&gt;0,AH73/(Hypothèses!$D$23*$E$4),0)</f>
        <v>10.0869111111111</v>
      </c>
      <c r="AI74" s="41" t="n">
        <f aca="false">IF(Hypothèses!$D$23*$E$4&gt;0,AI73/(Hypothèses!$D$23*$E$4),0)</f>
        <v>10.0869111111111</v>
      </c>
      <c r="AJ74" s="41" t="n">
        <f aca="false">IF(Hypothèses!$D$23*$E$4&gt;0,AJ73/(Hypothèses!$D$23*$E$4),0)</f>
        <v>10.0869111111111</v>
      </c>
      <c r="AK74" s="41" t="n">
        <f aca="false">IF(Hypothèses!$D$23*$E$4&gt;0,AK73/(Hypothèses!$D$23*$E$4),0)</f>
        <v>10.0869111111111</v>
      </c>
      <c r="AL74" s="41" t="n">
        <f aca="false">IF(Hypothèses!$D$23*$E$4&gt;0,AL73/(Hypothèses!$D$23*$E$4),0)</f>
        <v>10.0869111111111</v>
      </c>
      <c r="AN74" s="41" t="n">
        <f aca="false">N74</f>
        <v>10.0869111111111</v>
      </c>
      <c r="AO74" s="41" t="n">
        <f aca="false">Z74</f>
        <v>10.0869111111111</v>
      </c>
      <c r="AP74" s="41" t="n">
        <f aca="false">AL74</f>
        <v>10.0869111111111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916A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279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Hypothèses!$E$10+$H$4</f>
        <v>6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EDATE(Hypothèses!$E$7,C7-1)</f>
        <v>46327</v>
      </c>
      <c r="D8" s="11" t="n">
        <f aca="false">EDATE(Hypothèses!$E$7,D7-1)</f>
        <v>46357</v>
      </c>
      <c r="E8" s="11" t="n">
        <f aca="false">EDATE(Hypothèses!$E$7,E7-1)</f>
        <v>46388</v>
      </c>
      <c r="F8" s="11" t="n">
        <f aca="false">EDATE(Hypothèses!$E$7,F7-1)</f>
        <v>46419</v>
      </c>
      <c r="G8" s="11" t="n">
        <f aca="false">EDATE(Hypothèses!$E$7,G7-1)</f>
        <v>46447</v>
      </c>
      <c r="H8" s="11" t="n">
        <f aca="false">EDATE(Hypothèses!$E$7,H7-1)</f>
        <v>46478</v>
      </c>
      <c r="I8" s="11" t="n">
        <f aca="false">EDATE(Hypothèses!$E$7,I7-1)</f>
        <v>46508</v>
      </c>
      <c r="J8" s="11" t="n">
        <f aca="false">EDATE(Hypothèses!$E$7,J7-1)</f>
        <v>46539</v>
      </c>
      <c r="K8" s="11" t="n">
        <f aca="false">EDATE(Hypothèses!$E$7,K7-1)</f>
        <v>46569</v>
      </c>
      <c r="L8" s="11" t="n">
        <f aca="false">EDATE(Hypothèses!$E$7,L7-1)</f>
        <v>46600</v>
      </c>
      <c r="M8" s="11" t="n">
        <f aca="false">EDATE(Hypothèses!$E$7,M7-1)</f>
        <v>46631</v>
      </c>
      <c r="N8" s="11" t="n">
        <f aca="false">EDATE(Hypothèses!$E$7,N7-1)</f>
        <v>46661</v>
      </c>
      <c r="O8" s="11" t="n">
        <f aca="false">EDATE(Hypothèses!$E$7,O7-1)</f>
        <v>46692</v>
      </c>
      <c r="P8" s="11" t="n">
        <f aca="false">EDATE(Hypothèses!$E$7,P7-1)</f>
        <v>46722</v>
      </c>
      <c r="Q8" s="11" t="n">
        <f aca="false">EDATE(Hypothèses!$E$7,Q7-1)</f>
        <v>46753</v>
      </c>
      <c r="R8" s="11" t="n">
        <f aca="false">EDATE(Hypothèses!$E$7,R7-1)</f>
        <v>46784</v>
      </c>
      <c r="S8" s="11" t="n">
        <f aca="false">EDATE(Hypothèses!$E$7,S7-1)</f>
        <v>46813</v>
      </c>
      <c r="T8" s="11" t="n">
        <f aca="false">EDATE(Hypothèses!$E$7,T7-1)</f>
        <v>46844</v>
      </c>
      <c r="U8" s="11" t="n">
        <f aca="false">EDATE(Hypothèses!$E$7,U7-1)</f>
        <v>46874</v>
      </c>
      <c r="V8" s="11" t="n">
        <f aca="false">EDATE(Hypothèses!$E$7,V7-1)</f>
        <v>46905</v>
      </c>
      <c r="W8" s="11" t="n">
        <f aca="false">EDATE(Hypothèses!$E$7,W7-1)</f>
        <v>46935</v>
      </c>
      <c r="X8" s="11" t="n">
        <f aca="false">EDATE(Hypothèses!$E$7,X7-1)</f>
        <v>46966</v>
      </c>
      <c r="Y8" s="11" t="n">
        <f aca="false">EDATE(Hypothèses!$E$7,Y7-1)</f>
        <v>46997</v>
      </c>
      <c r="Z8" s="11" t="n">
        <f aca="false">EDATE(Hypothèses!$E$7,Z7-1)</f>
        <v>47027</v>
      </c>
      <c r="AA8" s="11" t="n">
        <f aca="false">EDATE(Hypothèses!$E$7,AA7-1)</f>
        <v>47058</v>
      </c>
      <c r="AB8" s="11" t="n">
        <f aca="false">EDATE(Hypothèses!$E$7,AB7-1)</f>
        <v>47088</v>
      </c>
      <c r="AC8" s="11" t="n">
        <f aca="false">EDATE(Hypothèses!$E$7,AC7-1)</f>
        <v>47119</v>
      </c>
      <c r="AD8" s="11" t="n">
        <f aca="false">EDATE(Hypothèses!$E$7,AD7-1)</f>
        <v>47150</v>
      </c>
      <c r="AE8" s="11" t="n">
        <f aca="false">EDATE(Hypothèses!$E$7,AE7-1)</f>
        <v>47178</v>
      </c>
      <c r="AF8" s="11" t="n">
        <f aca="false">EDATE(Hypothèses!$E$7,AF7-1)</f>
        <v>47209</v>
      </c>
      <c r="AG8" s="11" t="n">
        <f aca="false">EDATE(Hypothèses!$E$7,AG7-1)</f>
        <v>47239</v>
      </c>
      <c r="AH8" s="11" t="n">
        <f aca="false">EDATE(Hypothèses!$E$7,AH7-1)</f>
        <v>47270</v>
      </c>
      <c r="AI8" s="11" t="n">
        <f aca="false">EDATE(Hypothèses!$E$7,AI7-1)</f>
        <v>47300</v>
      </c>
      <c r="AJ8" s="11" t="n">
        <f aca="false">EDATE(Hypothèses!$E$7,AJ7-1)</f>
        <v>47331</v>
      </c>
      <c r="AK8" s="11" t="n">
        <f aca="false">EDATE(Hypothèses!$E$7,AK7-1)</f>
        <v>47362</v>
      </c>
      <c r="AL8" s="11" t="n">
        <f aca="false">EDATE(Hypothèses!$E$7,AL7-1)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1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IF(AND(C7&gt;=Hypothèses!$E$8,C7&lt;$B$5),1,0)</f>
        <v>0</v>
      </c>
      <c r="D10" s="13" t="n">
        <f aca="false">IF(AND(D7&gt;=Hypothèses!$E$8,D7&lt;$B$5),1,0)</f>
        <v>0</v>
      </c>
      <c r="E10" s="13" t="n">
        <f aca="false">IF(AND(E7&gt;=Hypothèses!$E$8,E7&lt;$B$5),1,0)</f>
        <v>1</v>
      </c>
      <c r="F10" s="13" t="n">
        <f aca="false">IF(AND(F7&gt;=Hypothèses!$E$8,F7&lt;$B$5),1,0)</f>
        <v>1</v>
      </c>
      <c r="G10" s="13" t="n">
        <f aca="false">IF(AND(G7&gt;=Hypothèses!$E$8,G7&lt;$B$5),1,0)</f>
        <v>1</v>
      </c>
      <c r="H10" s="13" t="n">
        <f aca="false">IF(AND(H7&gt;=Hypothèses!$E$8,H7&lt;$B$5),1,0)</f>
        <v>0</v>
      </c>
      <c r="I10" s="13" t="n">
        <f aca="false">IF(AND(I7&gt;=Hypothèses!$E$8,I7&lt;$B$5),1,0)</f>
        <v>0</v>
      </c>
      <c r="J10" s="13" t="n">
        <f aca="false">IF(AND(J7&gt;=Hypothèses!$E$8,J7&lt;$B$5),1,0)</f>
        <v>0</v>
      </c>
      <c r="K10" s="13" t="n">
        <f aca="false">IF(AND(K7&gt;=Hypothèses!$E$8,K7&lt;$B$5),1,0)</f>
        <v>0</v>
      </c>
      <c r="L10" s="13" t="n">
        <f aca="false">IF(AND(L7&gt;=Hypothèses!$E$8,L7&lt;$B$5),1,0)</f>
        <v>0</v>
      </c>
      <c r="M10" s="13" t="n">
        <f aca="false">IF(AND(M7&gt;=Hypothèses!$E$8,M7&lt;$B$5),1,0)</f>
        <v>0</v>
      </c>
      <c r="N10" s="13" t="n">
        <f aca="false">IF(AND(N7&gt;=Hypothèses!$E$8,N7&lt;$B$5),1,0)</f>
        <v>0</v>
      </c>
      <c r="O10" s="13" t="n">
        <f aca="false">IF(AND(O7&gt;=Hypothèses!$E$8,O7&lt;$B$5),1,0)</f>
        <v>0</v>
      </c>
      <c r="P10" s="13" t="n">
        <f aca="false">IF(AND(P7&gt;=Hypothèses!$E$8,P7&lt;$B$5),1,0)</f>
        <v>0</v>
      </c>
      <c r="Q10" s="13" t="n">
        <f aca="false">IF(AND(Q7&gt;=Hypothèses!$E$8,Q7&lt;$B$5),1,0)</f>
        <v>0</v>
      </c>
      <c r="R10" s="13" t="n">
        <f aca="false">IF(AND(R7&gt;=Hypothèses!$E$8,R7&lt;$B$5),1,0)</f>
        <v>0</v>
      </c>
      <c r="S10" s="13" t="n">
        <f aca="false">IF(AND(S7&gt;=Hypothèses!$E$8,S7&lt;$B$5),1,0)</f>
        <v>0</v>
      </c>
      <c r="T10" s="13" t="n">
        <f aca="false">IF(AND(T7&gt;=Hypothèses!$E$8,T7&lt;$B$5),1,0)</f>
        <v>0</v>
      </c>
      <c r="U10" s="13" t="n">
        <f aca="false">IF(AND(U7&gt;=Hypothèses!$E$8,U7&lt;$B$5),1,0)</f>
        <v>0</v>
      </c>
      <c r="V10" s="13" t="n">
        <f aca="false">IF(AND(V7&gt;=Hypothèses!$E$8,V7&lt;$B$5),1,0)</f>
        <v>0</v>
      </c>
      <c r="W10" s="13" t="n">
        <f aca="false">IF(AND(W7&gt;=Hypothèses!$E$8,W7&lt;$B$5),1,0)</f>
        <v>0</v>
      </c>
      <c r="X10" s="13" t="n">
        <f aca="false">IF(AND(X7&gt;=Hypothèses!$E$8,X7&lt;$B$5),1,0)</f>
        <v>0</v>
      </c>
      <c r="Y10" s="13" t="n">
        <f aca="false">IF(AND(Y7&gt;=Hypothèses!$E$8,Y7&lt;$B$5),1,0)</f>
        <v>0</v>
      </c>
      <c r="Z10" s="13" t="n">
        <f aca="false">IF(AND(Z7&gt;=Hypothèses!$E$8,Z7&lt;$B$5),1,0)</f>
        <v>0</v>
      </c>
      <c r="AA10" s="13" t="n">
        <f aca="false">IF(AND(AA7&gt;=Hypothèses!$E$8,AA7&lt;$B$5),1,0)</f>
        <v>0</v>
      </c>
      <c r="AB10" s="13" t="n">
        <f aca="false">IF(AND(AB7&gt;=Hypothèses!$E$8,AB7&lt;$B$5),1,0)</f>
        <v>0</v>
      </c>
      <c r="AC10" s="13" t="n">
        <f aca="false">IF(AND(AC7&gt;=Hypothèses!$E$8,AC7&lt;$B$5),1,0)</f>
        <v>0</v>
      </c>
      <c r="AD10" s="13" t="n">
        <f aca="false">IF(AND(AD7&gt;=Hypothèses!$E$8,AD7&lt;$B$5),1,0)</f>
        <v>0</v>
      </c>
      <c r="AE10" s="13" t="n">
        <f aca="false">IF(AND(AE7&gt;=Hypothèses!$E$8,AE7&lt;$B$5),1,0)</f>
        <v>0</v>
      </c>
      <c r="AF10" s="13" t="n">
        <f aca="false">IF(AND(AF7&gt;=Hypothèses!$E$8,AF7&lt;$B$5),1,0)</f>
        <v>0</v>
      </c>
      <c r="AG10" s="13" t="n">
        <f aca="false">IF(AND(AG7&gt;=Hypothèses!$E$8,AG7&lt;$B$5),1,0)</f>
        <v>0</v>
      </c>
      <c r="AH10" s="13" t="n">
        <f aca="false">IF(AND(AH7&gt;=Hypothèses!$E$8,AH7&lt;$B$5),1,0)</f>
        <v>0</v>
      </c>
      <c r="AI10" s="13" t="n">
        <f aca="false">IF(AND(AI7&gt;=Hypothèses!$E$8,AI7&lt;$B$5),1,0)</f>
        <v>0</v>
      </c>
      <c r="AJ10" s="13" t="n">
        <f aca="false">IF(AND(AJ7&gt;=Hypothèses!$E$8,AJ7&lt;$B$5),1,0)</f>
        <v>0</v>
      </c>
      <c r="AK10" s="13" t="n">
        <f aca="false">IF(AND(AK7&gt;=Hypothèses!$E$8,AK7&lt;$B$5),1,0)</f>
        <v>0</v>
      </c>
      <c r="AL10" s="13" t="n">
        <f aca="false">IF(AND(AL7&gt;=Hypothèses!$E$8,AL7&lt;$B$5),1,0)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IF(C9=1,IF(C7&lt;=12,Hypothèses!$E$20,IF(C7&lt;=24,Hypothèses!$E$21,Hypothèses!$E$22)),0)</f>
        <v>0</v>
      </c>
      <c r="D11" s="15" t="n">
        <f aca="false">IF(D9=1,IF(D7&lt;=12,Hypothèses!$E$20,IF(D7&lt;=24,Hypothèses!$E$21,Hypothèses!$E$22)),0)</f>
        <v>0</v>
      </c>
      <c r="E11" s="15" t="n">
        <f aca="false">IF(E9=1,IF(E7&lt;=12,Hypothèses!$E$20,IF(E7&lt;=24,Hypothèses!$E$21,Hypothèses!$E$22)),0)</f>
        <v>0</v>
      </c>
      <c r="F11" s="15" t="n">
        <f aca="false">IF(F9=1,IF(F7&lt;=12,Hypothèses!$E$20,IF(F7&lt;=24,Hypothèses!$E$21,Hypothèses!$E$22)),0)</f>
        <v>0</v>
      </c>
      <c r="G11" s="15" t="n">
        <f aca="false">IF(G9=1,IF(G7&lt;=12,Hypothèses!$E$20,IF(G7&lt;=24,Hypothèses!$E$21,Hypothèses!$E$22)),0)</f>
        <v>0</v>
      </c>
      <c r="H11" s="15" t="n">
        <f aca="false">IF(H9=1,IF(H7&lt;=12,Hypothèses!$E$20,IF(H7&lt;=24,Hypothèses!$E$21,Hypothèses!$E$22)),0)</f>
        <v>4000</v>
      </c>
      <c r="I11" s="15" t="n">
        <f aca="false">IF(I9=1,IF(I7&lt;=12,Hypothèses!$E$20,IF(I7&lt;=24,Hypothèses!$E$21,Hypothèses!$E$22)),0)</f>
        <v>4000</v>
      </c>
      <c r="J11" s="15" t="n">
        <f aca="false">IF(J9=1,IF(J7&lt;=12,Hypothèses!$E$20,IF(J7&lt;=24,Hypothèses!$E$21,Hypothèses!$E$22)),0)</f>
        <v>4000</v>
      </c>
      <c r="K11" s="15" t="n">
        <f aca="false">IF(K9=1,IF(K7&lt;=12,Hypothèses!$E$20,IF(K7&lt;=24,Hypothèses!$E$21,Hypothèses!$E$22)),0)</f>
        <v>4000</v>
      </c>
      <c r="L11" s="15" t="n">
        <f aca="false">IF(L9=1,IF(L7&lt;=12,Hypothèses!$E$20,IF(L7&lt;=24,Hypothèses!$E$21,Hypothèses!$E$22)),0)</f>
        <v>4000</v>
      </c>
      <c r="M11" s="15" t="n">
        <f aca="false">IF(M9=1,IF(M7&lt;=12,Hypothèses!$E$20,IF(M7&lt;=24,Hypothèses!$E$21,Hypothèses!$E$22)),0)</f>
        <v>4000</v>
      </c>
      <c r="N11" s="15" t="n">
        <f aca="false">IF(N9=1,IF(N7&lt;=12,Hypothèses!$E$20,IF(N7&lt;=24,Hypothèses!$E$21,Hypothèses!$E$22)),0)</f>
        <v>4000</v>
      </c>
      <c r="O11" s="15" t="n">
        <f aca="false">IF(O9=1,IF(O7&lt;=12,Hypothèses!$E$20,IF(O7&lt;=24,Hypothèses!$E$21,Hypothèses!$E$22)),0)</f>
        <v>12000</v>
      </c>
      <c r="P11" s="15" t="n">
        <f aca="false">IF(P9=1,IF(P7&lt;=12,Hypothèses!$E$20,IF(P7&lt;=24,Hypothèses!$E$21,Hypothèses!$E$22)),0)</f>
        <v>12000</v>
      </c>
      <c r="Q11" s="15" t="n">
        <f aca="false">IF(Q9=1,IF(Q7&lt;=12,Hypothèses!$E$20,IF(Q7&lt;=24,Hypothèses!$E$21,Hypothèses!$E$22)),0)</f>
        <v>12000</v>
      </c>
      <c r="R11" s="15" t="n">
        <f aca="false">IF(R9=1,IF(R7&lt;=12,Hypothèses!$E$20,IF(R7&lt;=24,Hypothèses!$E$21,Hypothèses!$E$22)),0)</f>
        <v>12000</v>
      </c>
      <c r="S11" s="15" t="n">
        <f aca="false">IF(S9=1,IF(S7&lt;=12,Hypothèses!$E$20,IF(S7&lt;=24,Hypothèses!$E$21,Hypothèses!$E$22)),0)</f>
        <v>12000</v>
      </c>
      <c r="T11" s="15" t="n">
        <f aca="false">IF(T9=1,IF(T7&lt;=12,Hypothèses!$E$20,IF(T7&lt;=24,Hypothèses!$E$21,Hypothèses!$E$22)),0)</f>
        <v>12000</v>
      </c>
      <c r="U11" s="15" t="n">
        <f aca="false">IF(U9=1,IF(U7&lt;=12,Hypothèses!$E$20,IF(U7&lt;=24,Hypothèses!$E$21,Hypothèses!$E$22)),0)</f>
        <v>12000</v>
      </c>
      <c r="V11" s="15" t="n">
        <f aca="false">IF(V9=1,IF(V7&lt;=12,Hypothèses!$E$20,IF(V7&lt;=24,Hypothèses!$E$21,Hypothèses!$E$22)),0)</f>
        <v>12000</v>
      </c>
      <c r="W11" s="15" t="n">
        <f aca="false">IF(W9=1,IF(W7&lt;=12,Hypothèses!$E$20,IF(W7&lt;=24,Hypothèses!$E$21,Hypothèses!$E$22)),0)</f>
        <v>12000</v>
      </c>
      <c r="X11" s="15" t="n">
        <f aca="false">IF(X9=1,IF(X7&lt;=12,Hypothèses!$E$20,IF(X7&lt;=24,Hypothèses!$E$21,Hypothèses!$E$22)),0)</f>
        <v>12000</v>
      </c>
      <c r="Y11" s="15" t="n">
        <f aca="false">IF(Y9=1,IF(Y7&lt;=12,Hypothèses!$E$20,IF(Y7&lt;=24,Hypothèses!$E$21,Hypothèses!$E$22)),0)</f>
        <v>12000</v>
      </c>
      <c r="Z11" s="15" t="n">
        <f aca="false">IF(Z9=1,IF(Z7&lt;=12,Hypothèses!$E$20,IF(Z7&lt;=24,Hypothèses!$E$21,Hypothèses!$E$22)),0)</f>
        <v>12000</v>
      </c>
      <c r="AA11" s="15" t="n">
        <f aca="false">IF(AA9=1,IF(AA7&lt;=12,Hypothèses!$E$20,IF(AA7&lt;=24,Hypothèses!$E$21,Hypothèses!$E$22)),0)</f>
        <v>25000</v>
      </c>
      <c r="AB11" s="15" t="n">
        <f aca="false">IF(AB9=1,IF(AB7&lt;=12,Hypothèses!$E$20,IF(AB7&lt;=24,Hypothèses!$E$21,Hypothèses!$E$22)),0)</f>
        <v>25000</v>
      </c>
      <c r="AC11" s="15" t="n">
        <f aca="false">IF(AC9=1,IF(AC7&lt;=12,Hypothèses!$E$20,IF(AC7&lt;=24,Hypothèses!$E$21,Hypothèses!$E$22)),0)</f>
        <v>25000</v>
      </c>
      <c r="AD11" s="15" t="n">
        <f aca="false">IF(AD9=1,IF(AD7&lt;=12,Hypothèses!$E$20,IF(AD7&lt;=24,Hypothèses!$E$21,Hypothèses!$E$22)),0)</f>
        <v>25000</v>
      </c>
      <c r="AE11" s="15" t="n">
        <f aca="false">IF(AE9=1,IF(AE7&lt;=12,Hypothèses!$E$20,IF(AE7&lt;=24,Hypothèses!$E$21,Hypothèses!$E$22)),0)</f>
        <v>25000</v>
      </c>
      <c r="AF11" s="15" t="n">
        <f aca="false">IF(AF9=1,IF(AF7&lt;=12,Hypothèses!$E$20,IF(AF7&lt;=24,Hypothèses!$E$21,Hypothèses!$E$22)),0)</f>
        <v>25000</v>
      </c>
      <c r="AG11" s="15" t="n">
        <f aca="false">IF(AG9=1,IF(AG7&lt;=12,Hypothèses!$E$20,IF(AG7&lt;=24,Hypothèses!$E$21,Hypothèses!$E$22)),0)</f>
        <v>25000</v>
      </c>
      <c r="AH11" s="15" t="n">
        <f aca="false">IF(AH9=1,IF(AH7&lt;=12,Hypothèses!$E$20,IF(AH7&lt;=24,Hypothèses!$E$21,Hypothèses!$E$22)),0)</f>
        <v>25000</v>
      </c>
      <c r="AI11" s="15" t="n">
        <f aca="false">IF(AI9=1,IF(AI7&lt;=12,Hypothèses!$E$20,IF(AI7&lt;=24,Hypothèses!$E$21,Hypothèses!$E$22)),0)</f>
        <v>25000</v>
      </c>
      <c r="AJ11" s="15" t="n">
        <f aca="false">IF(AJ9=1,IF(AJ7&lt;=12,Hypothèses!$E$20,IF(AJ7&lt;=24,Hypothèses!$E$21,Hypothèses!$E$22)),0)</f>
        <v>25000</v>
      </c>
      <c r="AK11" s="15" t="n">
        <f aca="false">IF(AK9=1,IF(AK7&lt;=12,Hypothèses!$E$20,IF(AK7&lt;=24,Hypothèses!$E$21,Hypothèses!$E$22)),0)</f>
        <v>25000</v>
      </c>
      <c r="AL11" s="15" t="n">
        <f aca="false">IF(AL9=1,IF(AL7&lt;=12,Hypothèses!$E$20,IF(AL7&lt;=24,Hypothèses!$E$21,Hypothèses!$E$22)),0)</f>
        <v>25000</v>
      </c>
      <c r="AN11" s="15" t="n">
        <f aca="false">SUM(C11:N11)</f>
        <v>28000</v>
      </c>
      <c r="AO11" s="15" t="n">
        <f aca="false">SUM(O11:Z11)</f>
        <v>144000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9.75</v>
      </c>
      <c r="H13" s="38" t="n">
        <f aca="false">G18</f>
        <v>9.50625</v>
      </c>
      <c r="I13" s="38" t="n">
        <f aca="false">H18</f>
        <v>45.8698863636364</v>
      </c>
      <c r="J13" s="38" t="n">
        <f aca="false">I18</f>
        <v>82.2335227272727</v>
      </c>
      <c r="K13" s="38" t="n">
        <f aca="false">J18</f>
        <v>118.597159090909</v>
      </c>
      <c r="L13" s="38" t="n">
        <f aca="false">K18</f>
        <v>154.960795454546</v>
      </c>
      <c r="M13" s="38" t="n">
        <f aca="false">L18</f>
        <v>191.324431818182</v>
      </c>
      <c r="N13" s="38" t="n">
        <f aca="false">M18</f>
        <v>227.688068181818</v>
      </c>
      <c r="O13" s="38" t="n">
        <f aca="false">N18</f>
        <v>264.051704545455</v>
      </c>
      <c r="P13" s="38" t="n">
        <f aca="false">O18</f>
        <v>373.142613636364</v>
      </c>
      <c r="Q13" s="38" t="n">
        <f aca="false">P18</f>
        <v>482.233522727273</v>
      </c>
      <c r="R13" s="38" t="n">
        <f aca="false">Q18</f>
        <v>591.324431818182</v>
      </c>
      <c r="S13" s="38" t="n">
        <f aca="false">R18</f>
        <v>700.415340909091</v>
      </c>
      <c r="T13" s="38" t="n">
        <f aca="false">S18</f>
        <v>809.50625</v>
      </c>
      <c r="U13" s="38" t="n">
        <f aca="false">T18</f>
        <v>918.597159090909</v>
      </c>
      <c r="V13" s="38" t="n">
        <f aca="false">U18</f>
        <v>1027.68806818182</v>
      </c>
      <c r="W13" s="38" t="n">
        <f aca="false">V18</f>
        <v>1136.77897727273</v>
      </c>
      <c r="X13" s="38" t="n">
        <f aca="false">W18</f>
        <v>1245.86988636364</v>
      </c>
      <c r="Y13" s="38" t="n">
        <f aca="false">X18</f>
        <v>1354.96079545455</v>
      </c>
      <c r="Z13" s="38" t="n">
        <f aca="false">Y18</f>
        <v>1464.05170454545</v>
      </c>
      <c r="AA13" s="38" t="n">
        <f aca="false">Z18</f>
        <v>1573.14261363636</v>
      </c>
      <c r="AB13" s="38" t="n">
        <f aca="false">AA18</f>
        <v>1800.41534090909</v>
      </c>
      <c r="AC13" s="38" t="n">
        <f aca="false">AB18</f>
        <v>2027.68806818182</v>
      </c>
      <c r="AD13" s="38" t="n">
        <f aca="false">AC18</f>
        <v>2254.96079545455</v>
      </c>
      <c r="AE13" s="38" t="n">
        <f aca="false">AD18</f>
        <v>2482.23352272727</v>
      </c>
      <c r="AF13" s="38" t="n">
        <f aca="false">AE18</f>
        <v>2709.50625</v>
      </c>
      <c r="AG13" s="38" t="n">
        <f aca="false">AF18</f>
        <v>2936.77897727273</v>
      </c>
      <c r="AH13" s="38" t="n">
        <f aca="false">AG18</f>
        <v>3164.05170454546</v>
      </c>
      <c r="AI13" s="38" t="n">
        <f aca="false">AH18</f>
        <v>3391.32443181818</v>
      </c>
      <c r="AJ13" s="38" t="n">
        <f aca="false">AI18</f>
        <v>3618.59715909091</v>
      </c>
      <c r="AK13" s="38" t="n">
        <f aca="false">AJ18</f>
        <v>3845.86988636364</v>
      </c>
      <c r="AL13" s="38" t="n">
        <f aca="false">AK18</f>
        <v>4073.14261363637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C11/(Hypothèses!$E$23*$E$4)</f>
        <v>0</v>
      </c>
      <c r="D14" s="38" t="n">
        <f aca="false">D11/(Hypothèses!$E$23*$E$4)</f>
        <v>0</v>
      </c>
      <c r="E14" s="38" t="n">
        <f aca="false">E11/(Hypothèses!$E$23*$E$4)</f>
        <v>0</v>
      </c>
      <c r="F14" s="38" t="n">
        <f aca="false">F11/(Hypothèses!$E$23*$E$4)</f>
        <v>0</v>
      </c>
      <c r="G14" s="38" t="n">
        <f aca="false">G11/(Hypothèses!$E$23*$E$4)</f>
        <v>0</v>
      </c>
      <c r="H14" s="38" t="n">
        <f aca="false">H11/(Hypothèses!$E$23*$E$4)</f>
        <v>36.3636363636364</v>
      </c>
      <c r="I14" s="38" t="n">
        <f aca="false">I11/(Hypothèses!$E$23*$E$4)</f>
        <v>36.3636363636364</v>
      </c>
      <c r="J14" s="38" t="n">
        <f aca="false">J11/(Hypothèses!$E$23*$E$4)</f>
        <v>36.3636363636364</v>
      </c>
      <c r="K14" s="38" t="n">
        <f aca="false">K11/(Hypothèses!$E$23*$E$4)</f>
        <v>36.3636363636364</v>
      </c>
      <c r="L14" s="38" t="n">
        <f aca="false">L11/(Hypothèses!$E$23*$E$4)</f>
        <v>36.3636363636364</v>
      </c>
      <c r="M14" s="38" t="n">
        <f aca="false">M11/(Hypothèses!$E$23*$E$4)</f>
        <v>36.3636363636364</v>
      </c>
      <c r="N14" s="38" t="n">
        <f aca="false">N11/(Hypothèses!$E$23*$E$4)</f>
        <v>36.3636363636364</v>
      </c>
      <c r="O14" s="38" t="n">
        <f aca="false">O11/(Hypothèses!$E$23*$E$4)</f>
        <v>109.090909090909</v>
      </c>
      <c r="P14" s="38" t="n">
        <f aca="false">P11/(Hypothèses!$E$23*$E$4)</f>
        <v>109.090909090909</v>
      </c>
      <c r="Q14" s="38" t="n">
        <f aca="false">Q11/(Hypothèses!$E$23*$E$4)</f>
        <v>109.090909090909</v>
      </c>
      <c r="R14" s="38" t="n">
        <f aca="false">R11/(Hypothèses!$E$23*$E$4)</f>
        <v>109.090909090909</v>
      </c>
      <c r="S14" s="38" t="n">
        <f aca="false">S11/(Hypothèses!$E$23*$E$4)</f>
        <v>109.090909090909</v>
      </c>
      <c r="T14" s="38" t="n">
        <f aca="false">T11/(Hypothèses!$E$23*$E$4)</f>
        <v>109.090909090909</v>
      </c>
      <c r="U14" s="38" t="n">
        <f aca="false">U11/(Hypothèses!$E$23*$E$4)</f>
        <v>109.090909090909</v>
      </c>
      <c r="V14" s="38" t="n">
        <f aca="false">V11/(Hypothèses!$E$23*$E$4)</f>
        <v>109.090909090909</v>
      </c>
      <c r="W14" s="38" t="n">
        <f aca="false">W11/(Hypothèses!$E$23*$E$4)</f>
        <v>109.090909090909</v>
      </c>
      <c r="X14" s="38" t="n">
        <f aca="false">X11/(Hypothèses!$E$23*$E$4)</f>
        <v>109.090909090909</v>
      </c>
      <c r="Y14" s="38" t="n">
        <f aca="false">Y11/(Hypothèses!$E$23*$E$4)</f>
        <v>109.090909090909</v>
      </c>
      <c r="Z14" s="38" t="n">
        <f aca="false">Z11/(Hypothèses!$E$23*$E$4)</f>
        <v>109.090909090909</v>
      </c>
      <c r="AA14" s="38" t="n">
        <f aca="false">AA11/(Hypothèses!$E$23*$E$4)</f>
        <v>227.272727272727</v>
      </c>
      <c r="AB14" s="38" t="n">
        <f aca="false">AB11/(Hypothèses!$E$23*$E$4)</f>
        <v>227.272727272727</v>
      </c>
      <c r="AC14" s="38" t="n">
        <f aca="false">AC11/(Hypothèses!$E$23*$E$4)</f>
        <v>227.272727272727</v>
      </c>
      <c r="AD14" s="38" t="n">
        <f aca="false">AD11/(Hypothèses!$E$23*$E$4)</f>
        <v>227.272727272727</v>
      </c>
      <c r="AE14" s="38" t="n">
        <f aca="false">AE11/(Hypothèses!$E$23*$E$4)</f>
        <v>227.272727272727</v>
      </c>
      <c r="AF14" s="38" t="n">
        <f aca="false">AF11/(Hypothèses!$E$23*$E$4)</f>
        <v>227.272727272727</v>
      </c>
      <c r="AG14" s="38" t="n">
        <f aca="false">AG11/(Hypothèses!$E$23*$E$4)</f>
        <v>227.272727272727</v>
      </c>
      <c r="AH14" s="38" t="n">
        <f aca="false">AH11/(Hypothèses!$E$23*$E$4)</f>
        <v>227.272727272727</v>
      </c>
      <c r="AI14" s="38" t="n">
        <f aca="false">AI11/(Hypothèses!$E$23*$E$4)</f>
        <v>227.272727272727</v>
      </c>
      <c r="AJ14" s="38" t="n">
        <f aca="false">AJ11/(Hypothèses!$E$23*$E$4)</f>
        <v>227.272727272727</v>
      </c>
      <c r="AK14" s="38" t="n">
        <f aca="false">AK11/(Hypothèses!$E$23*$E$4)</f>
        <v>227.272727272727</v>
      </c>
      <c r="AL14" s="38" t="n">
        <f aca="false">AL11/(Hypothèses!$E$23*$E$4)</f>
        <v>227.272727272727</v>
      </c>
      <c r="AN14" s="38" t="n">
        <f aca="false">SUM(C14:N14)</f>
        <v>254.545454545455</v>
      </c>
      <c r="AO14" s="38" t="n">
        <f aca="false">SUM(O14:Z14)</f>
        <v>1309.09090909091</v>
      </c>
      <c r="AP14" s="38" t="n">
        <f aca="false">SUM(AA14:AL14)</f>
        <v>2727.27272727273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IF(C7=Hypothèses!$E$8,Hypothèses!$E$9,0)</f>
        <v>0</v>
      </c>
      <c r="D15" s="38" t="n">
        <f aca="false">IF(D7=Hypothèses!$E$8,Hypothèses!$E$9,0)</f>
        <v>0</v>
      </c>
      <c r="E15" s="38" t="n">
        <f aca="false">IF(E7=Hypothèses!$E$8,Hypothèses!$E$9,0)</f>
        <v>10</v>
      </c>
      <c r="F15" s="38" t="n">
        <f aca="false">IF(F7=Hypothèses!$E$8,Hypothèses!$E$9,0)</f>
        <v>0</v>
      </c>
      <c r="G15" s="38" t="n">
        <f aca="false">IF(G7=Hypothèses!$E$8,Hypothèses!$E$9,0)</f>
        <v>0</v>
      </c>
      <c r="H15" s="38" t="n">
        <f aca="false">IF(H7=Hypothèses!$E$8,Hypothèses!$E$9,0)</f>
        <v>0</v>
      </c>
      <c r="I15" s="38" t="n">
        <f aca="false">IF(I7=Hypothèses!$E$8,Hypothèses!$E$9,0)</f>
        <v>0</v>
      </c>
      <c r="J15" s="38" t="n">
        <f aca="false">IF(J7=Hypothèses!$E$8,Hypothèses!$E$9,0)</f>
        <v>0</v>
      </c>
      <c r="K15" s="38" t="n">
        <f aca="false">IF(K7=Hypothèses!$E$8,Hypothèses!$E$9,0)</f>
        <v>0</v>
      </c>
      <c r="L15" s="38" t="n">
        <f aca="false">IF(L7=Hypothèses!$E$8,Hypothèses!$E$9,0)</f>
        <v>0</v>
      </c>
      <c r="M15" s="38" t="n">
        <f aca="false">IF(M7=Hypothèses!$E$8,Hypothèses!$E$9,0)</f>
        <v>0</v>
      </c>
      <c r="N15" s="38" t="n">
        <f aca="false">IF(N7=Hypothèses!$E$8,Hypothèses!$E$9,0)</f>
        <v>0</v>
      </c>
      <c r="O15" s="38" t="n">
        <f aca="false">IF(O7=Hypothèses!$E$8,Hypothèses!$E$9,0)</f>
        <v>0</v>
      </c>
      <c r="P15" s="38" t="n">
        <f aca="false">IF(P7=Hypothèses!$E$8,Hypothèses!$E$9,0)</f>
        <v>0</v>
      </c>
      <c r="Q15" s="38" t="n">
        <f aca="false">IF(Q7=Hypothèses!$E$8,Hypothèses!$E$9,0)</f>
        <v>0</v>
      </c>
      <c r="R15" s="38" t="n">
        <f aca="false">IF(R7=Hypothèses!$E$8,Hypothèses!$E$9,0)</f>
        <v>0</v>
      </c>
      <c r="S15" s="38" t="n">
        <f aca="false">IF(S7=Hypothèses!$E$8,Hypothèses!$E$9,0)</f>
        <v>0</v>
      </c>
      <c r="T15" s="38" t="n">
        <f aca="false">IF(T7=Hypothèses!$E$8,Hypothèses!$E$9,0)</f>
        <v>0</v>
      </c>
      <c r="U15" s="38" t="n">
        <f aca="false">IF(U7=Hypothèses!$E$8,Hypothèses!$E$9,0)</f>
        <v>0</v>
      </c>
      <c r="V15" s="38" t="n">
        <f aca="false">IF(V7=Hypothèses!$E$8,Hypothèses!$E$9,0)</f>
        <v>0</v>
      </c>
      <c r="W15" s="38" t="n">
        <f aca="false">IF(W7=Hypothèses!$E$8,Hypothèses!$E$9,0)</f>
        <v>0</v>
      </c>
      <c r="X15" s="38" t="n">
        <f aca="false">IF(X7=Hypothèses!$E$8,Hypothèses!$E$9,0)</f>
        <v>0</v>
      </c>
      <c r="Y15" s="38" t="n">
        <f aca="false">IF(Y7=Hypothèses!$E$8,Hypothèses!$E$9,0)</f>
        <v>0</v>
      </c>
      <c r="Z15" s="38" t="n">
        <f aca="false">IF(Z7=Hypothèses!$E$8,Hypothèses!$E$9,0)</f>
        <v>0</v>
      </c>
      <c r="AA15" s="38" t="n">
        <f aca="false">IF(AA7=Hypothèses!$E$8,Hypothèses!$E$9,0)</f>
        <v>0</v>
      </c>
      <c r="AB15" s="38" t="n">
        <f aca="false">IF(AB7=Hypothèses!$E$8,Hypothèses!$E$9,0)</f>
        <v>0</v>
      </c>
      <c r="AC15" s="38" t="n">
        <f aca="false">IF(AC7=Hypothèses!$E$8,Hypothèses!$E$9,0)</f>
        <v>0</v>
      </c>
      <c r="AD15" s="38" t="n">
        <f aca="false">IF(AD7=Hypothèses!$E$8,Hypothèses!$E$9,0)</f>
        <v>0</v>
      </c>
      <c r="AE15" s="38" t="n">
        <f aca="false">IF(AE7=Hypothèses!$E$8,Hypothèses!$E$9,0)</f>
        <v>0</v>
      </c>
      <c r="AF15" s="38" t="n">
        <f aca="false">IF(AF7=Hypothèses!$E$8,Hypothèses!$E$9,0)</f>
        <v>0</v>
      </c>
      <c r="AG15" s="38" t="n">
        <f aca="false">IF(AG7=Hypothèses!$E$8,Hypothèses!$E$9,0)</f>
        <v>0</v>
      </c>
      <c r="AH15" s="38" t="n">
        <f aca="false">IF(AH7=Hypothèses!$E$8,Hypothèses!$E$9,0)</f>
        <v>0</v>
      </c>
      <c r="AI15" s="38" t="n">
        <f aca="false">IF(AI7=Hypothèses!$E$8,Hypothèses!$E$9,0)</f>
        <v>0</v>
      </c>
      <c r="AJ15" s="38" t="n">
        <f aca="false">IF(AJ7=Hypothèses!$E$8,Hypothèses!$E$9,0)</f>
        <v>0</v>
      </c>
      <c r="AK15" s="38" t="n">
        <f aca="false">IF(AK7=Hypothèses!$E$8,Hypothèses!$E$9,0)</f>
        <v>0</v>
      </c>
      <c r="AL15" s="38" t="n">
        <f aca="false">IF(AL7=Hypothèses!$E$8,Hypothèses!$E$9,0)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C9*C13*Hypothèses!$E$24</f>
        <v>0</v>
      </c>
      <c r="D16" s="38" t="n">
        <f aca="false">D9*D13*Hypothèses!$E$24</f>
        <v>0</v>
      </c>
      <c r="E16" s="38" t="n">
        <f aca="false">E9*E13*Hypothèses!$E$24</f>
        <v>0</v>
      </c>
      <c r="F16" s="38" t="n">
        <f aca="false">F9*F13*Hypothèses!$E$24</f>
        <v>0</v>
      </c>
      <c r="G16" s="38" t="n">
        <f aca="false">G9*G13*Hypothèses!$E$24</f>
        <v>0</v>
      </c>
      <c r="H16" s="38" t="n">
        <f aca="false">H9*H13*Hypothèses!$E$24</f>
        <v>0.23765625</v>
      </c>
      <c r="I16" s="38" t="n">
        <f aca="false">I9*I13*Hypothèses!$E$24</f>
        <v>1.14674715909091</v>
      </c>
      <c r="J16" s="38" t="n">
        <f aca="false">J9*J13*Hypothèses!$E$24</f>
        <v>2.05583806818182</v>
      </c>
      <c r="K16" s="38" t="n">
        <f aca="false">K9*K13*Hypothèses!$E$24</f>
        <v>2.96492897727273</v>
      </c>
      <c r="L16" s="38" t="n">
        <f aca="false">L9*L13*Hypothèses!$E$24</f>
        <v>3.87401988636364</v>
      </c>
      <c r="M16" s="38" t="n">
        <f aca="false">M9*M13*Hypothèses!$E$24</f>
        <v>4.78311079545455</v>
      </c>
      <c r="N16" s="38" t="n">
        <f aca="false">N9*N13*Hypothèses!$E$24</f>
        <v>5.69220170454546</v>
      </c>
      <c r="O16" s="38" t="n">
        <f aca="false">O9*O13*Hypothèses!$E$24</f>
        <v>6.60129261363637</v>
      </c>
      <c r="P16" s="38" t="n">
        <f aca="false">P9*P13*Hypothèses!$E$24</f>
        <v>9.32856534090909</v>
      </c>
      <c r="Q16" s="38" t="n">
        <f aca="false">Q9*Q13*Hypothèses!$E$24</f>
        <v>12.0558380681818</v>
      </c>
      <c r="R16" s="38" t="n">
        <f aca="false">R9*R13*Hypothèses!$E$24</f>
        <v>14.7831107954545</v>
      </c>
      <c r="S16" s="38" t="n">
        <f aca="false">S9*S13*Hypothèses!$E$24</f>
        <v>17.5103835227273</v>
      </c>
      <c r="T16" s="38" t="n">
        <f aca="false">T9*T13*Hypothèses!$E$24</f>
        <v>20.23765625</v>
      </c>
      <c r="U16" s="38" t="n">
        <f aca="false">U9*U13*Hypothèses!$E$24</f>
        <v>22.9649289772727</v>
      </c>
      <c r="V16" s="38" t="n">
        <f aca="false">V9*V13*Hypothèses!$E$24</f>
        <v>25.6922017045455</v>
      </c>
      <c r="W16" s="38" t="n">
        <f aca="false">W9*W13*Hypothèses!$E$24</f>
        <v>28.4194744318182</v>
      </c>
      <c r="X16" s="38" t="n">
        <f aca="false">X9*X13*Hypothèses!$E$24</f>
        <v>31.1467471590909</v>
      </c>
      <c r="Y16" s="38" t="n">
        <f aca="false">Y9*Y13*Hypothèses!$E$24</f>
        <v>33.8740198863636</v>
      </c>
      <c r="Z16" s="38" t="n">
        <f aca="false">Z9*Z13*Hypothèses!$E$24</f>
        <v>36.6012926136364</v>
      </c>
      <c r="AA16" s="38" t="n">
        <f aca="false">AA9*AA13*Hypothèses!$E$24</f>
        <v>39.3285653409091</v>
      </c>
      <c r="AB16" s="38" t="n">
        <f aca="false">AB9*AB13*Hypothèses!$E$24</f>
        <v>45.0103835227273</v>
      </c>
      <c r="AC16" s="38" t="n">
        <f aca="false">AC9*AC13*Hypothèses!$E$24</f>
        <v>50.6922017045454</v>
      </c>
      <c r="AD16" s="38" t="n">
        <f aca="false">AD9*AD13*Hypothèses!$E$24</f>
        <v>56.3740198863636</v>
      </c>
      <c r="AE16" s="38" t="n">
        <f aca="false">AE9*AE13*Hypothèses!$E$24</f>
        <v>62.0558380681818</v>
      </c>
      <c r="AF16" s="38" t="n">
        <f aca="false">AF9*AF13*Hypothèses!$E$24</f>
        <v>67.73765625</v>
      </c>
      <c r="AG16" s="38" t="n">
        <f aca="false">AG9*AG13*Hypothèses!$E$24</f>
        <v>73.4194744318182</v>
      </c>
      <c r="AH16" s="38" t="n">
        <f aca="false">AH9*AH13*Hypothèses!$E$24</f>
        <v>79.1012926136364</v>
      </c>
      <c r="AI16" s="38" t="n">
        <f aca="false">AI9*AI13*Hypothèses!$E$24</f>
        <v>84.7831107954546</v>
      </c>
      <c r="AJ16" s="38" t="n">
        <f aca="false">AJ9*AJ13*Hypothèses!$E$24</f>
        <v>90.4649289772728</v>
      </c>
      <c r="AK16" s="38" t="n">
        <f aca="false">AK9*AK13*Hypothèses!$E$24</f>
        <v>96.1467471590909</v>
      </c>
      <c r="AL16" s="38" t="n">
        <f aca="false">AL9*AL13*Hypothèses!$E$24</f>
        <v>101.828565340909</v>
      </c>
      <c r="AN16" s="38" t="n">
        <f aca="false">SUM(C16:N16)</f>
        <v>20.7545028409091</v>
      </c>
      <c r="AO16" s="38" t="n">
        <f aca="false">SUM(O16:Z16)</f>
        <v>259.215511363636</v>
      </c>
      <c r="AP16" s="38" t="n">
        <f aca="false">SUM(AA16:AL16)</f>
        <v>846.942784090909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C13*Hypothèses!$E$26*$D$4</f>
        <v>0</v>
      </c>
      <c r="D17" s="38" t="n">
        <f aca="false">D13*Hypothèses!$E$26*$D$4</f>
        <v>0</v>
      </c>
      <c r="E17" s="38" t="n">
        <f aca="false">E13*Hypothèses!$E$26*$D$4</f>
        <v>0</v>
      </c>
      <c r="F17" s="38" t="n">
        <f aca="false">F13*Hypothèses!$E$26*$D$4</f>
        <v>0.25</v>
      </c>
      <c r="G17" s="38" t="n">
        <f aca="false">G13*Hypothèses!$E$26*$D$4</f>
        <v>0.24375</v>
      </c>
      <c r="H17" s="38" t="n">
        <f aca="false">H13*Hypothèses!$E$26*$D$4</f>
        <v>0.23765625</v>
      </c>
      <c r="I17" s="38" t="n">
        <f aca="false">I13*Hypothèses!$E$26*$D$4</f>
        <v>1.14674715909091</v>
      </c>
      <c r="J17" s="38" t="n">
        <f aca="false">J13*Hypothèses!$E$26*$D$4</f>
        <v>2.05583806818182</v>
      </c>
      <c r="K17" s="38" t="n">
        <f aca="false">K13*Hypothèses!$E$26*$D$4</f>
        <v>2.96492897727273</v>
      </c>
      <c r="L17" s="38" t="n">
        <f aca="false">L13*Hypothèses!$E$26*$D$4</f>
        <v>3.87401988636364</v>
      </c>
      <c r="M17" s="38" t="n">
        <f aca="false">M13*Hypothèses!$E$26*$D$4</f>
        <v>4.78311079545455</v>
      </c>
      <c r="N17" s="38" t="n">
        <f aca="false">N13*Hypothèses!$E$26*$D$4</f>
        <v>5.69220170454546</v>
      </c>
      <c r="O17" s="38" t="n">
        <f aca="false">O13*Hypothèses!$E$26*$D$4</f>
        <v>6.60129261363637</v>
      </c>
      <c r="P17" s="38" t="n">
        <f aca="false">P13*Hypothèses!$E$26*$D$4</f>
        <v>9.32856534090909</v>
      </c>
      <c r="Q17" s="38" t="n">
        <f aca="false">Q13*Hypothèses!$E$26*$D$4</f>
        <v>12.0558380681818</v>
      </c>
      <c r="R17" s="38" t="n">
        <f aca="false">R13*Hypothèses!$E$26*$D$4</f>
        <v>14.7831107954545</v>
      </c>
      <c r="S17" s="38" t="n">
        <f aca="false">S13*Hypothèses!$E$26*$D$4</f>
        <v>17.5103835227273</v>
      </c>
      <c r="T17" s="38" t="n">
        <f aca="false">T13*Hypothèses!$E$26*$D$4</f>
        <v>20.23765625</v>
      </c>
      <c r="U17" s="38" t="n">
        <f aca="false">U13*Hypothèses!$E$26*$D$4</f>
        <v>22.9649289772727</v>
      </c>
      <c r="V17" s="38" t="n">
        <f aca="false">V13*Hypothèses!$E$26*$D$4</f>
        <v>25.6922017045455</v>
      </c>
      <c r="W17" s="38" t="n">
        <f aca="false">W13*Hypothèses!$E$26*$D$4</f>
        <v>28.4194744318182</v>
      </c>
      <c r="X17" s="38" t="n">
        <f aca="false">X13*Hypothèses!$E$26*$D$4</f>
        <v>31.1467471590909</v>
      </c>
      <c r="Y17" s="38" t="n">
        <f aca="false">Y13*Hypothèses!$E$26*$D$4</f>
        <v>33.8740198863636</v>
      </c>
      <c r="Z17" s="38" t="n">
        <f aca="false">Z13*Hypothèses!$E$26*$D$4</f>
        <v>36.6012926136364</v>
      </c>
      <c r="AA17" s="38" t="n">
        <f aca="false">AA13*Hypothèses!$E$26*$D$4</f>
        <v>39.3285653409091</v>
      </c>
      <c r="AB17" s="38" t="n">
        <f aca="false">AB13*Hypothèses!$E$26*$D$4</f>
        <v>45.0103835227273</v>
      </c>
      <c r="AC17" s="38" t="n">
        <f aca="false">AC13*Hypothèses!$E$26*$D$4</f>
        <v>50.6922017045454</v>
      </c>
      <c r="AD17" s="38" t="n">
        <f aca="false">AD13*Hypothèses!$E$26*$D$4</f>
        <v>56.3740198863636</v>
      </c>
      <c r="AE17" s="38" t="n">
        <f aca="false">AE13*Hypothèses!$E$26*$D$4</f>
        <v>62.0558380681818</v>
      </c>
      <c r="AF17" s="38" t="n">
        <f aca="false">AF13*Hypothèses!$E$26*$D$4</f>
        <v>67.73765625</v>
      </c>
      <c r="AG17" s="38" t="n">
        <f aca="false">AG13*Hypothèses!$E$26*$D$4</f>
        <v>73.4194744318182</v>
      </c>
      <c r="AH17" s="38" t="n">
        <f aca="false">AH13*Hypothèses!$E$26*$D$4</f>
        <v>79.1012926136364</v>
      </c>
      <c r="AI17" s="38" t="n">
        <f aca="false">AI13*Hypothèses!$E$26*$D$4</f>
        <v>84.7831107954546</v>
      </c>
      <c r="AJ17" s="38" t="n">
        <f aca="false">AJ13*Hypothèses!$E$26*$D$4</f>
        <v>90.4649289772728</v>
      </c>
      <c r="AK17" s="38" t="n">
        <f aca="false">AK13*Hypothèses!$E$26*$D$4</f>
        <v>96.1467471590909</v>
      </c>
      <c r="AL17" s="38" t="n">
        <f aca="false">AL13*Hypothèses!$E$26*$D$4</f>
        <v>101.828565340909</v>
      </c>
      <c r="AN17" s="38" t="n">
        <f aca="false">SUM(C17:N17)</f>
        <v>21.2482528409091</v>
      </c>
      <c r="AO17" s="38" t="n">
        <f aca="false">SUM(O17:Z17)</f>
        <v>259.215511363636</v>
      </c>
      <c r="AP17" s="38" t="n">
        <f aca="false">SUM(AA17:AL17)</f>
        <v>846.942784090909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9.75</v>
      </c>
      <c r="G18" s="39" t="n">
        <f aca="false">G13+G14+G15+G16-G17</f>
        <v>9.50625</v>
      </c>
      <c r="H18" s="39" t="n">
        <f aca="false">H13+H14+H15+H16-H17</f>
        <v>45.8698863636364</v>
      </c>
      <c r="I18" s="39" t="n">
        <f aca="false">I13+I14+I15+I16-I17</f>
        <v>82.2335227272727</v>
      </c>
      <c r="J18" s="39" t="n">
        <f aca="false">J13+J14+J15+J16-J17</f>
        <v>118.597159090909</v>
      </c>
      <c r="K18" s="39" t="n">
        <f aca="false">K13+K14+K15+K16-K17</f>
        <v>154.960795454546</v>
      </c>
      <c r="L18" s="39" t="n">
        <f aca="false">L13+L14+L15+L16-L17</f>
        <v>191.324431818182</v>
      </c>
      <c r="M18" s="39" t="n">
        <f aca="false">M13+M14+M15+M16-M17</f>
        <v>227.688068181818</v>
      </c>
      <c r="N18" s="39" t="n">
        <f aca="false">N13+N14+N15+N16-N17</f>
        <v>264.051704545455</v>
      </c>
      <c r="O18" s="39" t="n">
        <f aca="false">O13+O14+O15+O16-O17</f>
        <v>373.142613636364</v>
      </c>
      <c r="P18" s="39" t="n">
        <f aca="false">P13+P14+P15+P16-P17</f>
        <v>482.233522727273</v>
      </c>
      <c r="Q18" s="39" t="n">
        <f aca="false">Q13+Q14+Q15+Q16-Q17</f>
        <v>591.324431818182</v>
      </c>
      <c r="R18" s="39" t="n">
        <f aca="false">R13+R14+R15+R16-R17</f>
        <v>700.415340909091</v>
      </c>
      <c r="S18" s="39" t="n">
        <f aca="false">S13+S14+S15+S16-S17</f>
        <v>809.50625</v>
      </c>
      <c r="T18" s="39" t="n">
        <f aca="false">T13+T14+T15+T16-T17</f>
        <v>918.597159090909</v>
      </c>
      <c r="U18" s="39" t="n">
        <f aca="false">U13+U14+U15+U16-U17</f>
        <v>1027.68806818182</v>
      </c>
      <c r="V18" s="39" t="n">
        <f aca="false">V13+V14+V15+V16-V17</f>
        <v>1136.77897727273</v>
      </c>
      <c r="W18" s="39" t="n">
        <f aca="false">W13+W14+W15+W16-W17</f>
        <v>1245.86988636364</v>
      </c>
      <c r="X18" s="39" t="n">
        <f aca="false">X13+X14+X15+X16-X17</f>
        <v>1354.96079545455</v>
      </c>
      <c r="Y18" s="39" t="n">
        <f aca="false">Y13+Y14+Y15+Y16-Y17</f>
        <v>1464.05170454545</v>
      </c>
      <c r="Z18" s="39" t="n">
        <f aca="false">Z13+Z14+Z15+Z16-Z17</f>
        <v>1573.14261363636</v>
      </c>
      <c r="AA18" s="39" t="n">
        <f aca="false">AA13+AA14+AA15+AA16-AA17</f>
        <v>1800.41534090909</v>
      </c>
      <c r="AB18" s="39" t="n">
        <f aca="false">AB13+AB14+AB15+AB16-AB17</f>
        <v>2027.68806818182</v>
      </c>
      <c r="AC18" s="39" t="n">
        <f aca="false">AC13+AC14+AC15+AC16-AC17</f>
        <v>2254.96079545455</v>
      </c>
      <c r="AD18" s="39" t="n">
        <f aca="false">AD13+AD14+AD15+AD16-AD17</f>
        <v>2482.23352272727</v>
      </c>
      <c r="AE18" s="39" t="n">
        <f aca="false">AE13+AE14+AE15+AE16-AE17</f>
        <v>2709.50625</v>
      </c>
      <c r="AF18" s="39" t="n">
        <f aca="false">AF13+AF14+AF15+AF16-AF17</f>
        <v>2936.77897727273</v>
      </c>
      <c r="AG18" s="39" t="n">
        <f aca="false">AG13+AG14+AG15+AG16-AG17</f>
        <v>3164.05170454546</v>
      </c>
      <c r="AH18" s="39" t="n">
        <f aca="false">AH13+AH14+AH15+AH16-AH17</f>
        <v>3391.32443181818</v>
      </c>
      <c r="AI18" s="39" t="n">
        <f aca="false">AI13+AI14+AI15+AI16-AI17</f>
        <v>3618.59715909091</v>
      </c>
      <c r="AJ18" s="39" t="n">
        <f aca="false">AJ13+AJ14+AJ15+AJ16-AJ17</f>
        <v>3845.86988636364</v>
      </c>
      <c r="AK18" s="39" t="n">
        <f aca="false">AK13+AK14+AK15+AK16-AK17</f>
        <v>4073.14261363637</v>
      </c>
      <c r="AL18" s="39" t="n">
        <f aca="false">AL13+AL14+AL15+AL16-AL17</f>
        <v>4300.41534090909</v>
      </c>
      <c r="AN18" s="39" t="n">
        <f aca="false">N18</f>
        <v>264.051704545455</v>
      </c>
      <c r="AO18" s="39" t="n">
        <f aca="false">Z18</f>
        <v>1573.14261363636</v>
      </c>
      <c r="AP18" s="39" t="n">
        <f aca="false">AL18</f>
        <v>4300.41534090909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C18*Hypothèses!$E$16</f>
        <v>0</v>
      </c>
      <c r="D19" s="38" t="n">
        <f aca="false">D18*Hypothèses!$E$16</f>
        <v>0</v>
      </c>
      <c r="E19" s="38" t="n">
        <f aca="false">E18*Hypothèses!$E$16</f>
        <v>2</v>
      </c>
      <c r="F19" s="38" t="n">
        <f aca="false">F18*Hypothèses!$E$16</f>
        <v>1.95</v>
      </c>
      <c r="G19" s="38" t="n">
        <f aca="false">G18*Hypothèses!$E$16</f>
        <v>1.90125</v>
      </c>
      <c r="H19" s="38" t="n">
        <f aca="false">H18*Hypothèses!$E$16</f>
        <v>9.17397727272727</v>
      </c>
      <c r="I19" s="38" t="n">
        <f aca="false">I18*Hypothèses!$E$16</f>
        <v>16.4467045454545</v>
      </c>
      <c r="J19" s="38" t="n">
        <f aca="false">J18*Hypothèses!$E$16</f>
        <v>23.7194318181818</v>
      </c>
      <c r="K19" s="38" t="n">
        <f aca="false">K18*Hypothèses!$E$16</f>
        <v>30.9921590909091</v>
      </c>
      <c r="L19" s="38" t="n">
        <f aca="false">L18*Hypothèses!$E$16</f>
        <v>38.2648863636364</v>
      </c>
      <c r="M19" s="38" t="n">
        <f aca="false">M18*Hypothèses!$E$16</f>
        <v>45.5376136363637</v>
      </c>
      <c r="N19" s="38" t="n">
        <f aca="false">N18*Hypothèses!$E$16</f>
        <v>52.8103409090909</v>
      </c>
      <c r="O19" s="38" t="n">
        <f aca="false">O18*Hypothèses!$E$16</f>
        <v>74.6285227272727</v>
      </c>
      <c r="P19" s="38" t="n">
        <f aca="false">P18*Hypothèses!$E$16</f>
        <v>96.4467045454546</v>
      </c>
      <c r="Q19" s="38" t="n">
        <f aca="false">Q18*Hypothèses!$E$16</f>
        <v>118.264886363636</v>
      </c>
      <c r="R19" s="38" t="n">
        <f aca="false">R18*Hypothèses!$E$16</f>
        <v>140.083068181818</v>
      </c>
      <c r="S19" s="38" t="n">
        <f aca="false">S18*Hypothèses!$E$16</f>
        <v>161.90125</v>
      </c>
      <c r="T19" s="38" t="n">
        <f aca="false">T18*Hypothèses!$E$16</f>
        <v>183.719431818182</v>
      </c>
      <c r="U19" s="38" t="n">
        <f aca="false">U18*Hypothèses!$E$16</f>
        <v>205.537613636364</v>
      </c>
      <c r="V19" s="38" t="n">
        <f aca="false">V18*Hypothèses!$E$16</f>
        <v>227.355795454545</v>
      </c>
      <c r="W19" s="38" t="n">
        <f aca="false">W18*Hypothèses!$E$16</f>
        <v>249.173977272727</v>
      </c>
      <c r="X19" s="38" t="n">
        <f aca="false">X18*Hypothèses!$E$16</f>
        <v>270.992159090909</v>
      </c>
      <c r="Y19" s="38" t="n">
        <f aca="false">Y18*Hypothèses!$E$16</f>
        <v>292.810340909091</v>
      </c>
      <c r="Z19" s="38" t="n">
        <f aca="false">Z18*Hypothèses!$E$16</f>
        <v>314.628522727273</v>
      </c>
      <c r="AA19" s="38" t="n">
        <f aca="false">AA18*Hypothèses!$E$16</f>
        <v>360.083068181818</v>
      </c>
      <c r="AB19" s="38" t="n">
        <f aca="false">AB18*Hypothèses!$E$16</f>
        <v>405.537613636364</v>
      </c>
      <c r="AC19" s="38" t="n">
        <f aca="false">AC18*Hypothèses!$E$16</f>
        <v>450.992159090909</v>
      </c>
      <c r="AD19" s="38" t="n">
        <f aca="false">AD18*Hypothèses!$E$16</f>
        <v>496.446704545455</v>
      </c>
      <c r="AE19" s="38" t="n">
        <f aca="false">AE18*Hypothèses!$E$16</f>
        <v>541.90125</v>
      </c>
      <c r="AF19" s="38" t="n">
        <f aca="false">AF18*Hypothèses!$E$16</f>
        <v>587.355795454546</v>
      </c>
      <c r="AG19" s="38" t="n">
        <f aca="false">AG18*Hypothèses!$E$16</f>
        <v>632.810340909091</v>
      </c>
      <c r="AH19" s="38" t="n">
        <f aca="false">AH18*Hypothèses!$E$16</f>
        <v>678.264886363637</v>
      </c>
      <c r="AI19" s="38" t="n">
        <f aca="false">AI18*Hypothèses!$E$16</f>
        <v>723.719431818182</v>
      </c>
      <c r="AJ19" s="38" t="n">
        <f aca="false">AJ18*Hypothèses!$E$16</f>
        <v>769.173977272728</v>
      </c>
      <c r="AK19" s="38" t="n">
        <f aca="false">AK18*Hypothèses!$E$16</f>
        <v>814.628522727273</v>
      </c>
      <c r="AL19" s="38" t="n">
        <f aca="false">AL18*Hypothèses!$E$16</f>
        <v>860.083068181819</v>
      </c>
      <c r="AN19" s="38" t="n">
        <f aca="false">N19</f>
        <v>52.8103409090909</v>
      </c>
      <c r="AO19" s="38" t="n">
        <f aca="false">Z19</f>
        <v>314.628522727273</v>
      </c>
      <c r="AP19" s="38" t="n">
        <f aca="false">AL19</f>
        <v>860.083068181819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C18*Hypothèses!$E$17</f>
        <v>0</v>
      </c>
      <c r="D20" s="38" t="n">
        <f aca="false">D18*Hypothèses!$E$17</f>
        <v>0</v>
      </c>
      <c r="E20" s="38" t="n">
        <f aca="false">E18*Hypothèses!$E$17</f>
        <v>6</v>
      </c>
      <c r="F20" s="38" t="n">
        <f aca="false">F18*Hypothèses!$E$17</f>
        <v>5.85</v>
      </c>
      <c r="G20" s="38" t="n">
        <f aca="false">G18*Hypothèses!$E$17</f>
        <v>5.70375</v>
      </c>
      <c r="H20" s="38" t="n">
        <f aca="false">H18*Hypothèses!$E$17</f>
        <v>27.5219318181818</v>
      </c>
      <c r="I20" s="38" t="n">
        <f aca="false">I18*Hypothèses!$E$17</f>
        <v>49.3401136363637</v>
      </c>
      <c r="J20" s="38" t="n">
        <f aca="false">J18*Hypothèses!$E$17</f>
        <v>71.1582954545455</v>
      </c>
      <c r="K20" s="38" t="n">
        <f aca="false">K18*Hypothèses!$E$17</f>
        <v>92.9764772727273</v>
      </c>
      <c r="L20" s="38" t="n">
        <f aca="false">L18*Hypothèses!$E$17</f>
        <v>114.794659090909</v>
      </c>
      <c r="M20" s="38" t="n">
        <f aca="false">M18*Hypothèses!$E$17</f>
        <v>136.612840909091</v>
      </c>
      <c r="N20" s="38" t="n">
        <f aca="false">N18*Hypothèses!$E$17</f>
        <v>158.431022727273</v>
      </c>
      <c r="O20" s="38" t="n">
        <f aca="false">O18*Hypothèses!$E$17</f>
        <v>223.885568181818</v>
      </c>
      <c r="P20" s="38" t="n">
        <f aca="false">P18*Hypothèses!$E$17</f>
        <v>289.340113636364</v>
      </c>
      <c r="Q20" s="38" t="n">
        <f aca="false">Q18*Hypothèses!$E$17</f>
        <v>354.794659090909</v>
      </c>
      <c r="R20" s="38" t="n">
        <f aca="false">R18*Hypothèses!$E$17</f>
        <v>420.249204545455</v>
      </c>
      <c r="S20" s="38" t="n">
        <f aca="false">S18*Hypothèses!$E$17</f>
        <v>485.70375</v>
      </c>
      <c r="T20" s="38" t="n">
        <f aca="false">T18*Hypothèses!$E$17</f>
        <v>551.158295454546</v>
      </c>
      <c r="U20" s="38" t="n">
        <f aca="false">U18*Hypothèses!$E$17</f>
        <v>616.612840909091</v>
      </c>
      <c r="V20" s="38" t="n">
        <f aca="false">V18*Hypothèses!$E$17</f>
        <v>682.067386363636</v>
      </c>
      <c r="W20" s="38" t="n">
        <f aca="false">W18*Hypothèses!$E$17</f>
        <v>747.521931818182</v>
      </c>
      <c r="X20" s="38" t="n">
        <f aca="false">X18*Hypothèses!$E$17</f>
        <v>812.976477272727</v>
      </c>
      <c r="Y20" s="38" t="n">
        <f aca="false">Y18*Hypothèses!$E$17</f>
        <v>878.431022727273</v>
      </c>
      <c r="Z20" s="38" t="n">
        <f aca="false">Z18*Hypothèses!$E$17</f>
        <v>943.885568181818</v>
      </c>
      <c r="AA20" s="38" t="n">
        <f aca="false">AA18*Hypothèses!$E$17</f>
        <v>1080.24920454545</v>
      </c>
      <c r="AB20" s="38" t="n">
        <f aca="false">AB18*Hypothèses!$E$17</f>
        <v>1216.61284090909</v>
      </c>
      <c r="AC20" s="38" t="n">
        <f aca="false">AC18*Hypothèses!$E$17</f>
        <v>1352.97647727273</v>
      </c>
      <c r="AD20" s="38" t="n">
        <f aca="false">AD18*Hypothèses!$E$17</f>
        <v>1489.34011363636</v>
      </c>
      <c r="AE20" s="38" t="n">
        <f aca="false">AE18*Hypothèses!$E$17</f>
        <v>1625.70375</v>
      </c>
      <c r="AF20" s="38" t="n">
        <f aca="false">AF18*Hypothèses!$E$17</f>
        <v>1762.06738636364</v>
      </c>
      <c r="AG20" s="38" t="n">
        <f aca="false">AG18*Hypothèses!$E$17</f>
        <v>1898.43102272727</v>
      </c>
      <c r="AH20" s="38" t="n">
        <f aca="false">AH18*Hypothèses!$E$17</f>
        <v>2034.79465909091</v>
      </c>
      <c r="AI20" s="38" t="n">
        <f aca="false">AI18*Hypothèses!$E$17</f>
        <v>2171.15829545455</v>
      </c>
      <c r="AJ20" s="38" t="n">
        <f aca="false">AJ18*Hypothèses!$E$17</f>
        <v>2307.52193181818</v>
      </c>
      <c r="AK20" s="38" t="n">
        <f aca="false">AK18*Hypothèses!$E$17</f>
        <v>2443.88556818182</v>
      </c>
      <c r="AL20" s="38" t="n">
        <f aca="false">AL18*Hypothèses!$E$17</f>
        <v>2580.24920454546</v>
      </c>
      <c r="AN20" s="38" t="n">
        <f aca="false">N20</f>
        <v>158.431022727273</v>
      </c>
      <c r="AO20" s="38" t="n">
        <f aca="false">Z20</f>
        <v>943.885568181818</v>
      </c>
      <c r="AP20" s="38" t="n">
        <f aca="false">AL20</f>
        <v>2580.24920454546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C18*Hypothèses!$E$18</f>
        <v>0</v>
      </c>
      <c r="D21" s="38" t="n">
        <f aca="false">D18*Hypothèses!$E$18</f>
        <v>0</v>
      </c>
      <c r="E21" s="38" t="n">
        <f aca="false">E18*Hypothèses!$E$18</f>
        <v>2</v>
      </c>
      <c r="F21" s="38" t="n">
        <f aca="false">F18*Hypothèses!$E$18</f>
        <v>1.95</v>
      </c>
      <c r="G21" s="38" t="n">
        <f aca="false">G18*Hypothèses!$E$18</f>
        <v>1.90125</v>
      </c>
      <c r="H21" s="38" t="n">
        <f aca="false">H18*Hypothèses!$E$18</f>
        <v>9.17397727272727</v>
      </c>
      <c r="I21" s="38" t="n">
        <f aca="false">I18*Hypothèses!$E$18</f>
        <v>16.4467045454545</v>
      </c>
      <c r="J21" s="38" t="n">
        <f aca="false">J18*Hypothèses!$E$18</f>
        <v>23.7194318181818</v>
      </c>
      <c r="K21" s="38" t="n">
        <f aca="false">K18*Hypothèses!$E$18</f>
        <v>30.9921590909091</v>
      </c>
      <c r="L21" s="38" t="n">
        <f aca="false">L18*Hypothèses!$E$18</f>
        <v>38.2648863636364</v>
      </c>
      <c r="M21" s="38" t="n">
        <f aca="false">M18*Hypothèses!$E$18</f>
        <v>45.5376136363637</v>
      </c>
      <c r="N21" s="38" t="n">
        <f aca="false">N18*Hypothèses!$E$18</f>
        <v>52.8103409090909</v>
      </c>
      <c r="O21" s="38" t="n">
        <f aca="false">O18*Hypothèses!$E$18</f>
        <v>74.6285227272727</v>
      </c>
      <c r="P21" s="38" t="n">
        <f aca="false">P18*Hypothèses!$E$18</f>
        <v>96.4467045454546</v>
      </c>
      <c r="Q21" s="38" t="n">
        <f aca="false">Q18*Hypothèses!$E$18</f>
        <v>118.264886363636</v>
      </c>
      <c r="R21" s="38" t="n">
        <f aca="false">R18*Hypothèses!$E$18</f>
        <v>140.083068181818</v>
      </c>
      <c r="S21" s="38" t="n">
        <f aca="false">S18*Hypothèses!$E$18</f>
        <v>161.90125</v>
      </c>
      <c r="T21" s="38" t="n">
        <f aca="false">T18*Hypothèses!$E$18</f>
        <v>183.719431818182</v>
      </c>
      <c r="U21" s="38" t="n">
        <f aca="false">U18*Hypothèses!$E$18</f>
        <v>205.537613636364</v>
      </c>
      <c r="V21" s="38" t="n">
        <f aca="false">V18*Hypothèses!$E$18</f>
        <v>227.355795454545</v>
      </c>
      <c r="W21" s="38" t="n">
        <f aca="false">W18*Hypothèses!$E$18</f>
        <v>249.173977272727</v>
      </c>
      <c r="X21" s="38" t="n">
        <f aca="false">X18*Hypothèses!$E$18</f>
        <v>270.992159090909</v>
      </c>
      <c r="Y21" s="38" t="n">
        <f aca="false">Y18*Hypothèses!$E$18</f>
        <v>292.810340909091</v>
      </c>
      <c r="Z21" s="38" t="n">
        <f aca="false">Z18*Hypothèses!$E$18</f>
        <v>314.628522727273</v>
      </c>
      <c r="AA21" s="38" t="n">
        <f aca="false">AA18*Hypothèses!$E$18</f>
        <v>360.083068181818</v>
      </c>
      <c r="AB21" s="38" t="n">
        <f aca="false">AB18*Hypothèses!$E$18</f>
        <v>405.537613636364</v>
      </c>
      <c r="AC21" s="38" t="n">
        <f aca="false">AC18*Hypothèses!$E$18</f>
        <v>450.992159090909</v>
      </c>
      <c r="AD21" s="38" t="n">
        <f aca="false">AD18*Hypothèses!$E$18</f>
        <v>496.446704545455</v>
      </c>
      <c r="AE21" s="38" t="n">
        <f aca="false">AE18*Hypothèses!$E$18</f>
        <v>541.90125</v>
      </c>
      <c r="AF21" s="38" t="n">
        <f aca="false">AF18*Hypothèses!$E$18</f>
        <v>587.355795454546</v>
      </c>
      <c r="AG21" s="38" t="n">
        <f aca="false">AG18*Hypothèses!$E$18</f>
        <v>632.810340909091</v>
      </c>
      <c r="AH21" s="38" t="n">
        <f aca="false">AH18*Hypothèses!$E$18</f>
        <v>678.264886363637</v>
      </c>
      <c r="AI21" s="38" t="n">
        <f aca="false">AI18*Hypothèses!$E$18</f>
        <v>723.719431818182</v>
      </c>
      <c r="AJ21" s="38" t="n">
        <f aca="false">AJ18*Hypothèses!$E$18</f>
        <v>769.173977272728</v>
      </c>
      <c r="AK21" s="38" t="n">
        <f aca="false">AK18*Hypothèses!$E$18</f>
        <v>814.628522727273</v>
      </c>
      <c r="AL21" s="38" t="n">
        <f aca="false">AL18*Hypothèses!$E$18</f>
        <v>860.083068181819</v>
      </c>
      <c r="AN21" s="38" t="n">
        <f aca="false">N21</f>
        <v>52.8103409090909</v>
      </c>
      <c r="AO21" s="38" t="n">
        <f aca="false">Z21</f>
        <v>314.628522727273</v>
      </c>
      <c r="AP21" s="38" t="n">
        <f aca="false">AL21</f>
        <v>860.083068181819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C19*Hypothèses!$E$12*$C$4</f>
        <v>0</v>
      </c>
      <c r="D23" s="15" t="n">
        <f aca="false">D19*Hypothèses!$E$12*$C$4</f>
        <v>0</v>
      </c>
      <c r="E23" s="15" t="n">
        <f aca="false">E19*Hypothèses!$E$12*$C$4</f>
        <v>58</v>
      </c>
      <c r="F23" s="15" t="n">
        <f aca="false">F19*Hypothèses!$E$12*$C$4</f>
        <v>56.55</v>
      </c>
      <c r="G23" s="15" t="n">
        <f aca="false">G19*Hypothèses!$E$12*$C$4</f>
        <v>55.13625</v>
      </c>
      <c r="H23" s="15" t="n">
        <f aca="false">H19*Hypothèses!$E$12*$C$4</f>
        <v>266.045340909091</v>
      </c>
      <c r="I23" s="15" t="n">
        <f aca="false">I19*Hypothèses!$E$12*$C$4</f>
        <v>476.954431818182</v>
      </c>
      <c r="J23" s="15" t="n">
        <f aca="false">J19*Hypothèses!$E$12*$C$4</f>
        <v>687.863522727273</v>
      </c>
      <c r="K23" s="15" t="n">
        <f aca="false">K19*Hypothèses!$E$12*$C$4</f>
        <v>898.772613636364</v>
      </c>
      <c r="L23" s="15" t="n">
        <f aca="false">L19*Hypothèses!$E$12*$C$4</f>
        <v>1109.68170454545</v>
      </c>
      <c r="M23" s="15" t="n">
        <f aca="false">M19*Hypothèses!$E$12*$C$4</f>
        <v>1320.59079545455</v>
      </c>
      <c r="N23" s="15" t="n">
        <f aca="false">N19*Hypothèses!$E$12*$C$4</f>
        <v>1531.49988636364</v>
      </c>
      <c r="O23" s="15" t="n">
        <f aca="false">O19*Hypothèses!$E$12*$C$4</f>
        <v>2164.22715909091</v>
      </c>
      <c r="P23" s="15" t="n">
        <f aca="false">P19*Hypothèses!$E$12*$C$4</f>
        <v>2796.95443181818</v>
      </c>
      <c r="Q23" s="15" t="n">
        <f aca="false">Q19*Hypothèses!$E$12*$C$4</f>
        <v>3429.68170454546</v>
      </c>
      <c r="R23" s="15" t="n">
        <f aca="false">R19*Hypothèses!$E$12*$C$4</f>
        <v>4062.40897727273</v>
      </c>
      <c r="S23" s="15" t="n">
        <f aca="false">S19*Hypothèses!$E$12*$C$4</f>
        <v>4695.13625</v>
      </c>
      <c r="T23" s="15" t="n">
        <f aca="false">T19*Hypothèses!$E$12*$C$4</f>
        <v>5327.86352272727</v>
      </c>
      <c r="U23" s="15" t="n">
        <f aca="false">U19*Hypothèses!$E$12*$C$4</f>
        <v>5960.59079545455</v>
      </c>
      <c r="V23" s="15" t="n">
        <f aca="false">V19*Hypothèses!$E$12*$C$4</f>
        <v>6593.31806818182</v>
      </c>
      <c r="W23" s="15" t="n">
        <f aca="false">W19*Hypothèses!$E$12*$C$4</f>
        <v>7226.04534090909</v>
      </c>
      <c r="X23" s="15" t="n">
        <f aca="false">X19*Hypothèses!$E$12*$C$4</f>
        <v>7858.77261363636</v>
      </c>
      <c r="Y23" s="15" t="n">
        <f aca="false">Y19*Hypothèses!$E$12*$C$4</f>
        <v>8491.49988636363</v>
      </c>
      <c r="Z23" s="15" t="n">
        <f aca="false">Z19*Hypothèses!$E$12*$C$4</f>
        <v>9124.22715909091</v>
      </c>
      <c r="AA23" s="15" t="n">
        <f aca="false">AA19*Hypothèses!$E$12*$C$4</f>
        <v>10442.4089772727</v>
      </c>
      <c r="AB23" s="15" t="n">
        <f aca="false">AB19*Hypothèses!$E$12*$C$4</f>
        <v>11760.5907954545</v>
      </c>
      <c r="AC23" s="15" t="n">
        <f aca="false">AC19*Hypothèses!$E$12*$C$4</f>
        <v>13078.7726136364</v>
      </c>
      <c r="AD23" s="15" t="n">
        <f aca="false">AD19*Hypothèses!$E$12*$C$4</f>
        <v>14396.9544318182</v>
      </c>
      <c r="AE23" s="15" t="n">
        <f aca="false">AE19*Hypothèses!$E$12*$C$4</f>
        <v>15715.13625</v>
      </c>
      <c r="AF23" s="15" t="n">
        <f aca="false">AF19*Hypothèses!$E$12*$C$4</f>
        <v>17033.3180681818</v>
      </c>
      <c r="AG23" s="15" t="n">
        <f aca="false">AG19*Hypothèses!$E$12*$C$4</f>
        <v>18351.4998863636</v>
      </c>
      <c r="AH23" s="15" t="n">
        <f aca="false">AH19*Hypothèses!$E$12*$C$4</f>
        <v>19669.6817045455</v>
      </c>
      <c r="AI23" s="15" t="n">
        <f aca="false">AI19*Hypothèses!$E$12*$C$4</f>
        <v>20987.8635227273</v>
      </c>
      <c r="AJ23" s="15" t="n">
        <f aca="false">AJ19*Hypothèses!$E$12*$C$4</f>
        <v>22306.0453409091</v>
      </c>
      <c r="AK23" s="15" t="n">
        <f aca="false">AK19*Hypothèses!$E$12*$C$4</f>
        <v>23624.2271590909</v>
      </c>
      <c r="AL23" s="15" t="n">
        <f aca="false">AL19*Hypothèses!$E$12*$C$4</f>
        <v>24942.4089772727</v>
      </c>
      <c r="AN23" s="15" t="n">
        <f aca="false">SUM(C23:N23)</f>
        <v>6461.09454545455</v>
      </c>
      <c r="AO23" s="15" t="n">
        <f aca="false">SUM(O23:Z23)</f>
        <v>67730.7259090909</v>
      </c>
      <c r="AP23" s="15" t="n">
        <f aca="false">SUM(AA23:AL23)</f>
        <v>212308.907727273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C20*Hypothèses!$E$13*$C$4</f>
        <v>0</v>
      </c>
      <c r="D24" s="15" t="n">
        <f aca="false">D20*Hypothèses!$E$13*$C$4</f>
        <v>0</v>
      </c>
      <c r="E24" s="15" t="n">
        <f aca="false">E20*Hypothèses!$E$13*$C$4</f>
        <v>474</v>
      </c>
      <c r="F24" s="15" t="n">
        <f aca="false">F20*Hypothèses!$E$13*$C$4</f>
        <v>462.15</v>
      </c>
      <c r="G24" s="15" t="n">
        <f aca="false">G20*Hypothèses!$E$13*$C$4</f>
        <v>450.59625</v>
      </c>
      <c r="H24" s="15" t="n">
        <f aca="false">H20*Hypothèses!$E$13*$C$4</f>
        <v>2174.23261363636</v>
      </c>
      <c r="I24" s="15" t="n">
        <f aca="false">I20*Hypothèses!$E$13*$C$4</f>
        <v>3897.86897727273</v>
      </c>
      <c r="J24" s="15" t="n">
        <f aca="false">J20*Hypothèses!$E$13*$C$4</f>
        <v>5621.50534090909</v>
      </c>
      <c r="K24" s="15" t="n">
        <f aca="false">K20*Hypothèses!$E$13*$C$4</f>
        <v>7345.14170454546</v>
      </c>
      <c r="L24" s="15" t="n">
        <f aca="false">L20*Hypothèses!$E$13*$C$4</f>
        <v>9068.77806818182</v>
      </c>
      <c r="M24" s="15" t="n">
        <f aca="false">M20*Hypothèses!$E$13*$C$4</f>
        <v>10792.4144318182</v>
      </c>
      <c r="N24" s="15" t="n">
        <f aca="false">N20*Hypothèses!$E$13*$C$4</f>
        <v>12516.0507954545</v>
      </c>
      <c r="O24" s="15" t="n">
        <f aca="false">O20*Hypothèses!$E$13*$C$4</f>
        <v>17686.9598863636</v>
      </c>
      <c r="P24" s="15" t="n">
        <f aca="false">P20*Hypothèses!$E$13*$C$4</f>
        <v>22857.8689772727</v>
      </c>
      <c r="Q24" s="15" t="n">
        <f aca="false">Q20*Hypothèses!$E$13*$C$4</f>
        <v>28028.7780681818</v>
      </c>
      <c r="R24" s="15" t="n">
        <f aca="false">R20*Hypothèses!$E$13*$C$4</f>
        <v>33199.6871590909</v>
      </c>
      <c r="S24" s="15" t="n">
        <f aca="false">S20*Hypothèses!$E$13*$C$4</f>
        <v>38370.59625</v>
      </c>
      <c r="T24" s="15" t="n">
        <f aca="false">T20*Hypothèses!$E$13*$C$4</f>
        <v>43541.5053409091</v>
      </c>
      <c r="U24" s="15" t="n">
        <f aca="false">U20*Hypothèses!$E$13*$C$4</f>
        <v>48712.4144318182</v>
      </c>
      <c r="V24" s="15" t="n">
        <f aca="false">V20*Hypothèses!$E$13*$C$4</f>
        <v>53883.3235227273</v>
      </c>
      <c r="W24" s="15" t="n">
        <f aca="false">W20*Hypothèses!$E$13*$C$4</f>
        <v>59054.2326136364</v>
      </c>
      <c r="X24" s="15" t="n">
        <f aca="false">X20*Hypothèses!$E$13*$C$4</f>
        <v>64225.1417045454</v>
      </c>
      <c r="Y24" s="15" t="n">
        <f aca="false">Y20*Hypothèses!$E$13*$C$4</f>
        <v>69396.0507954545</v>
      </c>
      <c r="Z24" s="15" t="n">
        <f aca="false">Z20*Hypothèses!$E$13*$C$4</f>
        <v>74566.9598863636</v>
      </c>
      <c r="AA24" s="15" t="n">
        <f aca="false">AA20*Hypothèses!$E$13*$C$4</f>
        <v>85339.6871590909</v>
      </c>
      <c r="AB24" s="15" t="n">
        <f aca="false">AB20*Hypothèses!$E$13*$C$4</f>
        <v>96112.4144318182</v>
      </c>
      <c r="AC24" s="15" t="n">
        <f aca="false">AC20*Hypothèses!$E$13*$C$4</f>
        <v>106885.141704545</v>
      </c>
      <c r="AD24" s="15" t="n">
        <f aca="false">AD20*Hypothèses!$E$13*$C$4</f>
        <v>117657.868977273</v>
      </c>
      <c r="AE24" s="15" t="n">
        <f aca="false">AE20*Hypothèses!$E$13*$C$4</f>
        <v>128430.59625</v>
      </c>
      <c r="AF24" s="15" t="n">
        <f aca="false">AF20*Hypothèses!$E$13*$C$4</f>
        <v>139203.323522727</v>
      </c>
      <c r="AG24" s="15" t="n">
        <f aca="false">AG20*Hypothèses!$E$13*$C$4</f>
        <v>149976.050795455</v>
      </c>
      <c r="AH24" s="15" t="n">
        <f aca="false">AH20*Hypothèses!$E$13*$C$4</f>
        <v>160748.778068182</v>
      </c>
      <c r="AI24" s="15" t="n">
        <f aca="false">AI20*Hypothèses!$E$13*$C$4</f>
        <v>171521.505340909</v>
      </c>
      <c r="AJ24" s="15" t="n">
        <f aca="false">AJ20*Hypothèses!$E$13*$C$4</f>
        <v>182294.232613636</v>
      </c>
      <c r="AK24" s="15" t="n">
        <f aca="false">AK20*Hypothèses!$E$13*$C$4</f>
        <v>193066.959886364</v>
      </c>
      <c r="AL24" s="15" t="n">
        <f aca="false">AL20*Hypothèses!$E$13*$C$4</f>
        <v>203839.687159091</v>
      </c>
      <c r="AN24" s="15" t="n">
        <f aca="false">SUM(C24:N24)</f>
        <v>52802.7381818182</v>
      </c>
      <c r="AO24" s="15" t="n">
        <f aca="false">SUM(O24:Z24)</f>
        <v>553523.518636364</v>
      </c>
      <c r="AP24" s="15" t="n">
        <f aca="false">SUM(AA24:AL24)</f>
        <v>1735076.24590909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C21*Hypothèses!$E$14*$C$4</f>
        <v>0</v>
      </c>
      <c r="D25" s="15" t="n">
        <f aca="false">D21*Hypothèses!$E$14*$C$4</f>
        <v>0</v>
      </c>
      <c r="E25" s="15" t="n">
        <f aca="false">E21*Hypothèses!$E$14*$C$4</f>
        <v>258</v>
      </c>
      <c r="F25" s="15" t="n">
        <f aca="false">F21*Hypothèses!$E$14*$C$4</f>
        <v>251.55</v>
      </c>
      <c r="G25" s="15" t="n">
        <f aca="false">G21*Hypothèses!$E$14*$C$4</f>
        <v>245.26125</v>
      </c>
      <c r="H25" s="15" t="n">
        <f aca="false">H21*Hypothèses!$E$14*$C$4</f>
        <v>1183.44306818182</v>
      </c>
      <c r="I25" s="15" t="n">
        <f aca="false">I21*Hypothèses!$E$14*$C$4</f>
        <v>2121.62488636364</v>
      </c>
      <c r="J25" s="15" t="n">
        <f aca="false">J21*Hypothèses!$E$14*$C$4</f>
        <v>3059.80670454546</v>
      </c>
      <c r="K25" s="15" t="n">
        <f aca="false">K21*Hypothèses!$E$14*$C$4</f>
        <v>3997.98852272727</v>
      </c>
      <c r="L25" s="15" t="n">
        <f aca="false">L21*Hypothèses!$E$14*$C$4</f>
        <v>4936.17034090909</v>
      </c>
      <c r="M25" s="15" t="n">
        <f aca="false">M21*Hypothèses!$E$14*$C$4</f>
        <v>5874.35215909091</v>
      </c>
      <c r="N25" s="15" t="n">
        <f aca="false">N21*Hypothèses!$E$14*$C$4</f>
        <v>6812.53397727273</v>
      </c>
      <c r="O25" s="15" t="n">
        <f aca="false">O21*Hypothèses!$E$14*$C$4</f>
        <v>9627.07943181818</v>
      </c>
      <c r="P25" s="15" t="n">
        <f aca="false">P21*Hypothèses!$E$14*$C$4</f>
        <v>12441.6248863636</v>
      </c>
      <c r="Q25" s="15" t="n">
        <f aca="false">Q21*Hypothèses!$E$14*$C$4</f>
        <v>15256.1703409091</v>
      </c>
      <c r="R25" s="15" t="n">
        <f aca="false">R21*Hypothèses!$E$14*$C$4</f>
        <v>18070.7157954545</v>
      </c>
      <c r="S25" s="15" t="n">
        <f aca="false">S21*Hypothèses!$E$14*$C$4</f>
        <v>20885.26125</v>
      </c>
      <c r="T25" s="15" t="n">
        <f aca="false">T21*Hypothèses!$E$14*$C$4</f>
        <v>23699.8067045455</v>
      </c>
      <c r="U25" s="15" t="n">
        <f aca="false">U21*Hypothèses!$E$14*$C$4</f>
        <v>26514.3521590909</v>
      </c>
      <c r="V25" s="15" t="n">
        <f aca="false">V21*Hypothèses!$E$14*$C$4</f>
        <v>29328.8976136364</v>
      </c>
      <c r="W25" s="15" t="n">
        <f aca="false">W21*Hypothèses!$E$14*$C$4</f>
        <v>32143.4430681818</v>
      </c>
      <c r="X25" s="15" t="n">
        <f aca="false">X21*Hypothèses!$E$14*$C$4</f>
        <v>34957.9885227273</v>
      </c>
      <c r="Y25" s="15" t="n">
        <f aca="false">Y21*Hypothèses!$E$14*$C$4</f>
        <v>37772.5339772727</v>
      </c>
      <c r="Z25" s="15" t="n">
        <f aca="false">Z21*Hypothèses!$E$14*$C$4</f>
        <v>40587.0794318182</v>
      </c>
      <c r="AA25" s="15" t="n">
        <f aca="false">AA21*Hypothèses!$E$14*$C$4</f>
        <v>46450.7157954545</v>
      </c>
      <c r="AB25" s="15" t="n">
        <f aca="false">AB21*Hypothèses!$E$14*$C$4</f>
        <v>52314.3521590909</v>
      </c>
      <c r="AC25" s="15" t="n">
        <f aca="false">AC21*Hypothèses!$E$14*$C$4</f>
        <v>58177.9885227273</v>
      </c>
      <c r="AD25" s="15" t="n">
        <f aca="false">AD21*Hypothèses!$E$14*$C$4</f>
        <v>64041.6248863636</v>
      </c>
      <c r="AE25" s="15" t="n">
        <f aca="false">AE21*Hypothèses!$E$14*$C$4</f>
        <v>69905.26125</v>
      </c>
      <c r="AF25" s="15" t="n">
        <f aca="false">AF21*Hypothèses!$E$14*$C$4</f>
        <v>75768.8976136364</v>
      </c>
      <c r="AG25" s="15" t="n">
        <f aca="false">AG21*Hypothèses!$E$14*$C$4</f>
        <v>81632.5339772728</v>
      </c>
      <c r="AH25" s="15" t="n">
        <f aca="false">AH21*Hypothèses!$E$14*$C$4</f>
        <v>87496.1703409091</v>
      </c>
      <c r="AI25" s="15" t="n">
        <f aca="false">AI21*Hypothèses!$E$14*$C$4</f>
        <v>93359.8067045455</v>
      </c>
      <c r="AJ25" s="15" t="n">
        <f aca="false">AJ21*Hypothèses!$E$14*$C$4</f>
        <v>99223.4430681819</v>
      </c>
      <c r="AK25" s="15" t="n">
        <f aca="false">AK21*Hypothèses!$E$14*$C$4</f>
        <v>105087.079431818</v>
      </c>
      <c r="AL25" s="15" t="n">
        <f aca="false">AL21*Hypothèses!$E$14*$C$4</f>
        <v>110950.715795455</v>
      </c>
      <c r="AN25" s="15" t="n">
        <f aca="false">SUM(C25:N25)</f>
        <v>28740.7309090909</v>
      </c>
      <c r="AO25" s="15" t="n">
        <f aca="false">SUM(O25:Z25)</f>
        <v>301284.953181818</v>
      </c>
      <c r="AP25" s="15" t="n">
        <f aca="false">SUM(AA25:AL25)</f>
        <v>944408.589545455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790</v>
      </c>
      <c r="F26" s="40" t="n">
        <f aca="false">F23+F24+F25</f>
        <v>770.25</v>
      </c>
      <c r="G26" s="40" t="n">
        <f aca="false">G23+G24+G25</f>
        <v>750.99375</v>
      </c>
      <c r="H26" s="40" t="n">
        <f aca="false">H23+H24+H25</f>
        <v>3623.72102272727</v>
      </c>
      <c r="I26" s="40" t="n">
        <f aca="false">I23+I24+I25</f>
        <v>6496.44829545455</v>
      </c>
      <c r="J26" s="40" t="n">
        <f aca="false">J23+J24+J25</f>
        <v>9369.17556818182</v>
      </c>
      <c r="K26" s="40" t="n">
        <f aca="false">K23+K24+K25</f>
        <v>12241.9028409091</v>
      </c>
      <c r="L26" s="40" t="n">
        <f aca="false">L23+L24+L25</f>
        <v>15114.6301136364</v>
      </c>
      <c r="M26" s="40" t="n">
        <f aca="false">M23+M24+M25</f>
        <v>17987.3573863636</v>
      </c>
      <c r="N26" s="40" t="n">
        <f aca="false">N23+N24+N25</f>
        <v>20860.0846590909</v>
      </c>
      <c r="O26" s="40" t="n">
        <f aca="false">O23+O24+O25</f>
        <v>29478.2664772727</v>
      </c>
      <c r="P26" s="40" t="n">
        <f aca="false">P23+P24+P25</f>
        <v>38096.4482954546</v>
      </c>
      <c r="Q26" s="40" t="n">
        <f aca="false">Q23+Q24+Q25</f>
        <v>46714.6301136364</v>
      </c>
      <c r="R26" s="40" t="n">
        <f aca="false">R23+R24+R25</f>
        <v>55332.8119318182</v>
      </c>
      <c r="S26" s="40" t="n">
        <f aca="false">S23+S24+S25</f>
        <v>63950.99375</v>
      </c>
      <c r="T26" s="40" t="n">
        <f aca="false">T23+T24+T25</f>
        <v>72569.1755681818</v>
      </c>
      <c r="U26" s="40" t="n">
        <f aca="false">U23+U24+U25</f>
        <v>81187.3573863636</v>
      </c>
      <c r="V26" s="40" t="n">
        <f aca="false">V23+V24+V25</f>
        <v>89805.5392045455</v>
      </c>
      <c r="W26" s="40" t="n">
        <f aca="false">W23+W24+W25</f>
        <v>98423.7210227273</v>
      </c>
      <c r="X26" s="40" t="n">
        <f aca="false">X23+X24+X25</f>
        <v>107041.902840909</v>
      </c>
      <c r="Y26" s="40" t="n">
        <f aca="false">Y23+Y24+Y25</f>
        <v>115660.084659091</v>
      </c>
      <c r="Z26" s="40" t="n">
        <f aca="false">Z23+Z24+Z25</f>
        <v>124278.266477273</v>
      </c>
      <c r="AA26" s="40" t="n">
        <f aca="false">AA23+AA24+AA25</f>
        <v>142232.811931818</v>
      </c>
      <c r="AB26" s="40" t="n">
        <f aca="false">AB23+AB24+AB25</f>
        <v>160187.357386364</v>
      </c>
      <c r="AC26" s="40" t="n">
        <f aca="false">AC23+AC24+AC25</f>
        <v>178141.902840909</v>
      </c>
      <c r="AD26" s="40" t="n">
        <f aca="false">AD23+AD24+AD25</f>
        <v>196096.448295455</v>
      </c>
      <c r="AE26" s="40" t="n">
        <f aca="false">AE23+AE24+AE25</f>
        <v>214050.99375</v>
      </c>
      <c r="AF26" s="40" t="n">
        <f aca="false">AF23+AF24+AF25</f>
        <v>232005.539204545</v>
      </c>
      <c r="AG26" s="40" t="n">
        <f aca="false">AG23+AG24+AG25</f>
        <v>249960.084659091</v>
      </c>
      <c r="AH26" s="40" t="n">
        <f aca="false">AH23+AH24+AH25</f>
        <v>267914.630113636</v>
      </c>
      <c r="AI26" s="40" t="n">
        <f aca="false">AI23+AI24+AI25</f>
        <v>285869.175568182</v>
      </c>
      <c r="AJ26" s="40" t="n">
        <f aca="false">AJ23+AJ24+AJ25</f>
        <v>303823.721022727</v>
      </c>
      <c r="AK26" s="40" t="n">
        <f aca="false">AK23+AK24+AK25</f>
        <v>321778.266477273</v>
      </c>
      <c r="AL26" s="40" t="n">
        <f aca="false">AL23+AL24+AL25</f>
        <v>339732.811931818</v>
      </c>
      <c r="AN26" s="40" t="n">
        <f aca="false">SUM(C26:N26)</f>
        <v>88004.5636363637</v>
      </c>
      <c r="AO26" s="40" t="n">
        <f aca="false">SUM(O26:Z26)</f>
        <v>922539.197727273</v>
      </c>
      <c r="AP26" s="40" t="n">
        <f aca="false">SUM(AA26:AL26)</f>
        <v>2891793.74318182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C26*Hypothèses!$E$15/(1+Hypothèses!$E$15)</f>
        <v>0</v>
      </c>
      <c r="D27" s="15" t="n">
        <f aca="false">D26*Hypothèses!$E$15/(1+Hypothèses!$E$15)</f>
        <v>0</v>
      </c>
      <c r="E27" s="15" t="n">
        <f aca="false">E26*Hypothèses!$E$15/(1+Hypothèses!$E$15)</f>
        <v>131.666666666667</v>
      </c>
      <c r="F27" s="15" t="n">
        <f aca="false">F26*Hypothèses!$E$15/(1+Hypothèses!$E$15)</f>
        <v>128.375</v>
      </c>
      <c r="G27" s="15" t="n">
        <f aca="false">G26*Hypothèses!$E$15/(1+Hypothèses!$E$15)</f>
        <v>125.165625</v>
      </c>
      <c r="H27" s="15" t="n">
        <f aca="false">H26*Hypothèses!$E$15/(1+Hypothèses!$E$15)</f>
        <v>603.953503787879</v>
      </c>
      <c r="I27" s="15" t="n">
        <f aca="false">I26*Hypothèses!$E$15/(1+Hypothèses!$E$15)</f>
        <v>1082.74138257576</v>
      </c>
      <c r="J27" s="15" t="n">
        <f aca="false">J26*Hypothèses!$E$15/(1+Hypothèses!$E$15)</f>
        <v>1561.52926136364</v>
      </c>
      <c r="K27" s="15" t="n">
        <f aca="false">K26*Hypothèses!$E$15/(1+Hypothèses!$E$15)</f>
        <v>2040.31714015152</v>
      </c>
      <c r="L27" s="15" t="n">
        <f aca="false">L26*Hypothèses!$E$15/(1+Hypothèses!$E$15)</f>
        <v>2519.10501893939</v>
      </c>
      <c r="M27" s="15" t="n">
        <f aca="false">M26*Hypothèses!$E$15/(1+Hypothèses!$E$15)</f>
        <v>2997.89289772727</v>
      </c>
      <c r="N27" s="15" t="n">
        <f aca="false">N26*Hypothèses!$E$15/(1+Hypothèses!$E$15)</f>
        <v>3476.68077651515</v>
      </c>
      <c r="O27" s="15" t="n">
        <f aca="false">O26*Hypothèses!$E$15/(1+Hypothèses!$E$15)</f>
        <v>4913.04441287879</v>
      </c>
      <c r="P27" s="15" t="n">
        <f aca="false">P26*Hypothèses!$E$15/(1+Hypothèses!$E$15)</f>
        <v>6349.40804924243</v>
      </c>
      <c r="Q27" s="15" t="n">
        <f aca="false">Q26*Hypothèses!$E$15/(1+Hypothèses!$E$15)</f>
        <v>7785.77168560606</v>
      </c>
      <c r="R27" s="15" t="n">
        <f aca="false">R26*Hypothèses!$E$15/(1+Hypothèses!$E$15)</f>
        <v>9222.1353219697</v>
      </c>
      <c r="S27" s="15" t="n">
        <f aca="false">S26*Hypothèses!$E$15/(1+Hypothèses!$E$15)</f>
        <v>10658.4989583333</v>
      </c>
      <c r="T27" s="15" t="n">
        <f aca="false">T26*Hypothèses!$E$15/(1+Hypothèses!$E$15)</f>
        <v>12094.862594697</v>
      </c>
      <c r="U27" s="15" t="n">
        <f aca="false">U26*Hypothèses!$E$15/(1+Hypothèses!$E$15)</f>
        <v>13531.2262310606</v>
      </c>
      <c r="V27" s="15" t="n">
        <f aca="false">V26*Hypothèses!$E$15/(1+Hypothèses!$E$15)</f>
        <v>14967.5898674242</v>
      </c>
      <c r="W27" s="15" t="n">
        <f aca="false">W26*Hypothèses!$E$15/(1+Hypothèses!$E$15)</f>
        <v>16403.9535037879</v>
      </c>
      <c r="X27" s="15" t="n">
        <f aca="false">X26*Hypothèses!$E$15/(1+Hypothèses!$E$15)</f>
        <v>17840.3171401515</v>
      </c>
      <c r="Y27" s="15" t="n">
        <f aca="false">Y26*Hypothèses!$E$15/(1+Hypothèses!$E$15)</f>
        <v>19276.6807765151</v>
      </c>
      <c r="Z27" s="15" t="n">
        <f aca="false">Z26*Hypothèses!$E$15/(1+Hypothèses!$E$15)</f>
        <v>20713.0444128788</v>
      </c>
      <c r="AA27" s="15" t="n">
        <f aca="false">AA26*Hypothèses!$E$15/(1+Hypothèses!$E$15)</f>
        <v>23705.468655303</v>
      </c>
      <c r="AB27" s="15" t="n">
        <f aca="false">AB26*Hypothèses!$E$15/(1+Hypothèses!$E$15)</f>
        <v>26697.8928977273</v>
      </c>
      <c r="AC27" s="15" t="n">
        <f aca="false">AC26*Hypothèses!$E$15/(1+Hypothèses!$E$15)</f>
        <v>29690.3171401515</v>
      </c>
      <c r="AD27" s="15" t="n">
        <f aca="false">AD26*Hypothèses!$E$15/(1+Hypothèses!$E$15)</f>
        <v>32682.7413825758</v>
      </c>
      <c r="AE27" s="15" t="n">
        <f aca="false">AE26*Hypothèses!$E$15/(1+Hypothèses!$E$15)</f>
        <v>35675.165625</v>
      </c>
      <c r="AF27" s="15" t="n">
        <f aca="false">AF26*Hypothèses!$E$15/(1+Hypothèses!$E$15)</f>
        <v>38667.5898674243</v>
      </c>
      <c r="AG27" s="15" t="n">
        <f aca="false">AG26*Hypothèses!$E$15/(1+Hypothèses!$E$15)</f>
        <v>41660.0141098485</v>
      </c>
      <c r="AH27" s="15" t="n">
        <f aca="false">AH26*Hypothèses!$E$15/(1+Hypothèses!$E$15)</f>
        <v>44652.4383522727</v>
      </c>
      <c r="AI27" s="15" t="n">
        <f aca="false">AI26*Hypothèses!$E$15/(1+Hypothèses!$E$15)</f>
        <v>47644.862594697</v>
      </c>
      <c r="AJ27" s="15" t="n">
        <f aca="false">AJ26*Hypothèses!$E$15/(1+Hypothèses!$E$15)</f>
        <v>50637.2868371212</v>
      </c>
      <c r="AK27" s="15" t="n">
        <f aca="false">AK26*Hypothèses!$E$15/(1+Hypothèses!$E$15)</f>
        <v>53629.7110795455</v>
      </c>
      <c r="AL27" s="15" t="n">
        <f aca="false">AL26*Hypothèses!$E$15/(1+Hypothèses!$E$15)</f>
        <v>56622.1353219697</v>
      </c>
      <c r="AN27" s="15" t="n">
        <f aca="false">SUM(C27:N27)</f>
        <v>14667.4272727273</v>
      </c>
      <c r="AO27" s="15" t="n">
        <f aca="false">SUM(O27:Z27)</f>
        <v>153756.532954545</v>
      </c>
      <c r="AP27" s="15" t="n">
        <f aca="false">SUM(AA27:AL27)</f>
        <v>481965.623863636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658.333333333333</v>
      </c>
      <c r="F28" s="40" t="n">
        <f aca="false">F26-F27</f>
        <v>641.875</v>
      </c>
      <c r="G28" s="40" t="n">
        <f aca="false">G26-G27</f>
        <v>625.828125</v>
      </c>
      <c r="H28" s="40" t="n">
        <f aca="false">H26-H27</f>
        <v>3019.76751893939</v>
      </c>
      <c r="I28" s="40" t="n">
        <f aca="false">I26-I27</f>
        <v>5413.70691287879</v>
      </c>
      <c r="J28" s="40" t="n">
        <f aca="false">J26-J27</f>
        <v>7807.64630681818</v>
      </c>
      <c r="K28" s="40" t="n">
        <f aca="false">K26-K27</f>
        <v>10201.5857007576</v>
      </c>
      <c r="L28" s="40" t="n">
        <f aca="false">L26-L27</f>
        <v>12595.525094697</v>
      </c>
      <c r="M28" s="40" t="n">
        <f aca="false">M26-M27</f>
        <v>14989.4644886364</v>
      </c>
      <c r="N28" s="40" t="n">
        <f aca="false">N26-N27</f>
        <v>17383.4038825758</v>
      </c>
      <c r="O28" s="40" t="n">
        <f aca="false">O26-O27</f>
        <v>24565.2220643939</v>
      </c>
      <c r="P28" s="40" t="n">
        <f aca="false">P26-P27</f>
        <v>31747.0402462121</v>
      </c>
      <c r="Q28" s="40" t="n">
        <f aca="false">Q26-Q27</f>
        <v>38928.8584280303</v>
      </c>
      <c r="R28" s="40" t="n">
        <f aca="false">R26-R27</f>
        <v>46110.6766098485</v>
      </c>
      <c r="S28" s="40" t="n">
        <f aca="false">S26-S27</f>
        <v>53292.4947916667</v>
      </c>
      <c r="T28" s="40" t="n">
        <f aca="false">T26-T27</f>
        <v>60474.3129734849</v>
      </c>
      <c r="U28" s="40" t="n">
        <f aca="false">U26-U27</f>
        <v>67656.131155303</v>
      </c>
      <c r="V28" s="40" t="n">
        <f aca="false">V26-V27</f>
        <v>74837.9493371212</v>
      </c>
      <c r="W28" s="40" t="n">
        <f aca="false">W26-W27</f>
        <v>82019.7675189394</v>
      </c>
      <c r="X28" s="40" t="n">
        <f aca="false">X26-X27</f>
        <v>89201.5857007575</v>
      </c>
      <c r="Y28" s="40" t="n">
        <f aca="false">Y26-Y27</f>
        <v>96383.4038825757</v>
      </c>
      <c r="Z28" s="40" t="n">
        <f aca="false">Z26-Z27</f>
        <v>103565.222064394</v>
      </c>
      <c r="AA28" s="40" t="n">
        <f aca="false">AA26-AA27</f>
        <v>118527.343276515</v>
      </c>
      <c r="AB28" s="40" t="n">
        <f aca="false">AB26-AB27</f>
        <v>133489.464488636</v>
      </c>
      <c r="AC28" s="40" t="n">
        <f aca="false">AC26-AC27</f>
        <v>148451.585700758</v>
      </c>
      <c r="AD28" s="40" t="n">
        <f aca="false">AD26-AD27</f>
        <v>163413.706912879</v>
      </c>
      <c r="AE28" s="40" t="n">
        <f aca="false">AE26-AE27</f>
        <v>178375.828125</v>
      </c>
      <c r="AF28" s="40" t="n">
        <f aca="false">AF26-AF27</f>
        <v>193337.949337121</v>
      </c>
      <c r="AG28" s="40" t="n">
        <f aca="false">AG26-AG27</f>
        <v>208300.070549242</v>
      </c>
      <c r="AH28" s="40" t="n">
        <f aca="false">AH26-AH27</f>
        <v>223262.191761364</v>
      </c>
      <c r="AI28" s="40" t="n">
        <f aca="false">AI26-AI27</f>
        <v>238224.312973485</v>
      </c>
      <c r="AJ28" s="40" t="n">
        <f aca="false">AJ26-AJ27</f>
        <v>253186.434185606</v>
      </c>
      <c r="AK28" s="40" t="n">
        <f aca="false">AK26-AK27</f>
        <v>268148.555397727</v>
      </c>
      <c r="AL28" s="40" t="n">
        <f aca="false">AL26-AL27</f>
        <v>283110.676609849</v>
      </c>
      <c r="AN28" s="40" t="n">
        <f aca="false">SUM(C28:N28)</f>
        <v>73337.1363636364</v>
      </c>
      <c r="AO28" s="40" t="n">
        <f aca="false">SUM(O28:Z28)</f>
        <v>768782.664772727</v>
      </c>
      <c r="AP28" s="40" t="n">
        <f aca="false">SUM(AA28:AL28)</f>
        <v>2409828.11931818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C26*Hypothèses!$E$27</f>
        <v>0</v>
      </c>
      <c r="D29" s="15" t="n">
        <f aca="false">D26*Hypothèses!$E$27</f>
        <v>0</v>
      </c>
      <c r="E29" s="15" t="n">
        <f aca="false">E26*Hypothèses!$E$27</f>
        <v>3.95</v>
      </c>
      <c r="F29" s="15" t="n">
        <f aca="false">F26*Hypothèses!$E$27</f>
        <v>3.85125</v>
      </c>
      <c r="G29" s="15" t="n">
        <f aca="false">G26*Hypothèses!$E$27</f>
        <v>3.75496875</v>
      </c>
      <c r="H29" s="15" t="n">
        <f aca="false">H26*Hypothèses!$E$27</f>
        <v>18.1186051136364</v>
      </c>
      <c r="I29" s="15" t="n">
        <f aca="false">I26*Hypothèses!$E$27</f>
        <v>32.4822414772727</v>
      </c>
      <c r="J29" s="15" t="n">
        <f aca="false">J26*Hypothèses!$E$27</f>
        <v>46.8458778409091</v>
      </c>
      <c r="K29" s="15" t="n">
        <f aca="false">K26*Hypothèses!$E$27</f>
        <v>61.2095142045455</v>
      </c>
      <c r="L29" s="15" t="n">
        <f aca="false">L26*Hypothèses!$E$27</f>
        <v>75.5731505681818</v>
      </c>
      <c r="M29" s="15" t="n">
        <f aca="false">M26*Hypothèses!$E$27</f>
        <v>89.9367869318182</v>
      </c>
      <c r="N29" s="15" t="n">
        <f aca="false">N26*Hypothèses!$E$27</f>
        <v>104.300423295455</v>
      </c>
      <c r="O29" s="15" t="n">
        <f aca="false">O26*Hypothèses!$E$27</f>
        <v>147.391332386364</v>
      </c>
      <c r="P29" s="15" t="n">
        <f aca="false">P26*Hypothèses!$E$27</f>
        <v>190.482241477273</v>
      </c>
      <c r="Q29" s="15" t="n">
        <f aca="false">Q26*Hypothèses!$E$27</f>
        <v>233.573150568182</v>
      </c>
      <c r="R29" s="15" t="n">
        <f aca="false">R26*Hypothèses!$E$27</f>
        <v>276.664059659091</v>
      </c>
      <c r="S29" s="15" t="n">
        <f aca="false">S26*Hypothèses!$E$27</f>
        <v>319.75496875</v>
      </c>
      <c r="T29" s="15" t="n">
        <f aca="false">T26*Hypothèses!$E$27</f>
        <v>362.845877840909</v>
      </c>
      <c r="U29" s="15" t="n">
        <f aca="false">U26*Hypothèses!$E$27</f>
        <v>405.936786931818</v>
      </c>
      <c r="V29" s="15" t="n">
        <f aca="false">V26*Hypothèses!$E$27</f>
        <v>449.027696022727</v>
      </c>
      <c r="W29" s="15" t="n">
        <f aca="false">W26*Hypothèses!$E$27</f>
        <v>492.118605113636</v>
      </c>
      <c r="X29" s="15" t="n">
        <f aca="false">X26*Hypothèses!$E$27</f>
        <v>535.209514204545</v>
      </c>
      <c r="Y29" s="15" t="n">
        <f aca="false">Y26*Hypothèses!$E$27</f>
        <v>578.300423295454</v>
      </c>
      <c r="Z29" s="15" t="n">
        <f aca="false">Z26*Hypothèses!$E$27</f>
        <v>621.391332386364</v>
      </c>
      <c r="AA29" s="15" t="n">
        <f aca="false">AA26*Hypothèses!$E$27</f>
        <v>711.164059659091</v>
      </c>
      <c r="AB29" s="15" t="n">
        <f aca="false">AB26*Hypothèses!$E$27</f>
        <v>800.936786931818</v>
      </c>
      <c r="AC29" s="15" t="n">
        <f aca="false">AC26*Hypothèses!$E$27</f>
        <v>890.709514204545</v>
      </c>
      <c r="AD29" s="15" t="n">
        <f aca="false">AD26*Hypothèses!$E$27</f>
        <v>980.482241477273</v>
      </c>
      <c r="AE29" s="15" t="n">
        <f aca="false">AE26*Hypothèses!$E$27</f>
        <v>1070.25496875</v>
      </c>
      <c r="AF29" s="15" t="n">
        <f aca="false">AF26*Hypothèses!$E$27</f>
        <v>1160.02769602273</v>
      </c>
      <c r="AG29" s="15" t="n">
        <f aca="false">AG26*Hypothèses!$E$27</f>
        <v>1249.80042329545</v>
      </c>
      <c r="AH29" s="15" t="n">
        <f aca="false">AH26*Hypothèses!$E$27</f>
        <v>1339.57315056818</v>
      </c>
      <c r="AI29" s="15" t="n">
        <f aca="false">AI26*Hypothèses!$E$27</f>
        <v>1429.34587784091</v>
      </c>
      <c r="AJ29" s="15" t="n">
        <f aca="false">AJ26*Hypothèses!$E$27</f>
        <v>1519.11860511364</v>
      </c>
      <c r="AK29" s="15" t="n">
        <f aca="false">AK26*Hypothèses!$E$27</f>
        <v>1608.89133238636</v>
      </c>
      <c r="AL29" s="15" t="n">
        <f aca="false">AL26*Hypothèses!$E$27</f>
        <v>1698.66405965909</v>
      </c>
      <c r="AN29" s="15" t="n">
        <f aca="false">SUM(C29:N29)</f>
        <v>440.022818181818</v>
      </c>
      <c r="AO29" s="15" t="n">
        <f aca="false">SUM(O29:Z29)</f>
        <v>4612.69598863636</v>
      </c>
      <c r="AP29" s="15" t="n">
        <f aca="false">SUM(AA29:AL29)</f>
        <v>14458.9687159091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(C26-C29)*Hypothèses!$E$28+C18*Hypothèses!$E$29</f>
        <v>0</v>
      </c>
      <c r="D30" s="15" t="n">
        <f aca="false">(D26-D29)*Hypothèses!$E$28+D18*Hypothèses!$E$29</f>
        <v>0</v>
      </c>
      <c r="E30" s="15" t="n">
        <f aca="false">(E26-E29)*Hypothèses!$E$28+E18*Hypothèses!$E$29</f>
        <v>14.29075</v>
      </c>
      <c r="F30" s="15" t="n">
        <f aca="false">(F26-F29)*Hypothèses!$E$28+F18*Hypothèses!$E$29</f>
        <v>13.93348125</v>
      </c>
      <c r="G30" s="15" t="n">
        <f aca="false">(G26-G29)*Hypothèses!$E$28+G18*Hypothèses!$E$29</f>
        <v>13.58514421875</v>
      </c>
      <c r="H30" s="15" t="n">
        <f aca="false">(H26-H29)*Hypothèses!$E$28+H18*Hypothèses!$E$29</f>
        <v>65.5515078551136</v>
      </c>
      <c r="I30" s="15" t="n">
        <f aca="false">(I26-I29)*Hypothèses!$E$28+I18*Hypothèses!$E$29</f>
        <v>117.517871491477</v>
      </c>
      <c r="J30" s="15" t="n">
        <f aca="false">(J26-J29)*Hypothèses!$E$28+J18*Hypothèses!$E$29</f>
        <v>169.484235127841</v>
      </c>
      <c r="K30" s="15" t="n">
        <f aca="false">(K26-K29)*Hypothèses!$E$28+K18*Hypothèses!$E$29</f>
        <v>221.450598764205</v>
      </c>
      <c r="L30" s="15" t="n">
        <f aca="false">(L26-L29)*Hypothèses!$E$28+L18*Hypothèses!$E$29</f>
        <v>273.416962400568</v>
      </c>
      <c r="M30" s="15" t="n">
        <f aca="false">(M26-M29)*Hypothèses!$E$28+M18*Hypothèses!$E$29</f>
        <v>325.383326036932</v>
      </c>
      <c r="N30" s="15" t="n">
        <f aca="false">(N26-N29)*Hypothèses!$E$28+N18*Hypothèses!$E$29</f>
        <v>377.349689673296</v>
      </c>
      <c r="O30" s="15" t="n">
        <f aca="false">(O26-O29)*Hypothèses!$E$28+O18*Hypothèses!$E$29</f>
        <v>533.248780582386</v>
      </c>
      <c r="P30" s="15" t="n">
        <f aca="false">(P26-P29)*Hypothèses!$E$28+P18*Hypothèses!$E$29</f>
        <v>689.147871491477</v>
      </c>
      <c r="Q30" s="15" t="n">
        <f aca="false">(Q26-Q29)*Hypothèses!$E$28+Q18*Hypothèses!$E$29</f>
        <v>845.046962400568</v>
      </c>
      <c r="R30" s="15" t="n">
        <f aca="false">(R26-R29)*Hypothèses!$E$28+R18*Hypothèses!$E$29</f>
        <v>1000.94605330966</v>
      </c>
      <c r="S30" s="15" t="n">
        <f aca="false">(S26-S29)*Hypothèses!$E$28+S18*Hypothèses!$E$29</f>
        <v>1156.84514421875</v>
      </c>
      <c r="T30" s="15" t="n">
        <f aca="false">(T26-T29)*Hypothèses!$E$28+T18*Hypothèses!$E$29</f>
        <v>1312.74423512784</v>
      </c>
      <c r="U30" s="15" t="n">
        <f aca="false">(U26-U29)*Hypothèses!$E$28+U18*Hypothèses!$E$29</f>
        <v>1468.64332603693</v>
      </c>
      <c r="V30" s="15" t="n">
        <f aca="false">(V26-V29)*Hypothèses!$E$28+V18*Hypothèses!$E$29</f>
        <v>1624.54241694602</v>
      </c>
      <c r="W30" s="15" t="n">
        <f aca="false">(W26-W29)*Hypothèses!$E$28+W18*Hypothèses!$E$29</f>
        <v>1780.44150785511</v>
      </c>
      <c r="X30" s="15" t="n">
        <f aca="false">(X26-X29)*Hypothèses!$E$28+X18*Hypothèses!$E$29</f>
        <v>1936.3405987642</v>
      </c>
      <c r="Y30" s="15" t="n">
        <f aca="false">(Y26-Y29)*Hypothèses!$E$28+Y18*Hypothèses!$E$29</f>
        <v>2092.2396896733</v>
      </c>
      <c r="Z30" s="15" t="n">
        <f aca="false">(Z26-Z29)*Hypothèses!$E$28+Z18*Hypothèses!$E$29</f>
        <v>2248.13878058239</v>
      </c>
      <c r="AA30" s="15" t="n">
        <f aca="false">(AA26-AA29)*Hypothèses!$E$28+AA18*Hypothèses!$E$29</f>
        <v>2572.92855330966</v>
      </c>
      <c r="AB30" s="15" t="n">
        <f aca="false">(AB26-AB29)*Hypothèses!$E$28+AB18*Hypothèses!$E$29</f>
        <v>2897.71832603693</v>
      </c>
      <c r="AC30" s="15" t="n">
        <f aca="false">(AC26-AC29)*Hypothèses!$E$28+AC18*Hypothèses!$E$29</f>
        <v>3222.5080987642</v>
      </c>
      <c r="AD30" s="15" t="n">
        <f aca="false">(AD26-AD29)*Hypothèses!$E$28+AD18*Hypothèses!$E$29</f>
        <v>3547.29787149148</v>
      </c>
      <c r="AE30" s="15" t="n">
        <f aca="false">(AE26-AE29)*Hypothèses!$E$28+AE18*Hypothèses!$E$29</f>
        <v>3872.08764421875</v>
      </c>
      <c r="AF30" s="15" t="n">
        <f aca="false">(AF26-AF29)*Hypothèses!$E$28+AF18*Hypothèses!$E$29</f>
        <v>4196.87741694602</v>
      </c>
      <c r="AG30" s="15" t="n">
        <f aca="false">(AG26-AG29)*Hypothèses!$E$28+AG18*Hypothèses!$E$29</f>
        <v>4521.6671896733</v>
      </c>
      <c r="AH30" s="15" t="n">
        <f aca="false">(AH26-AH29)*Hypothèses!$E$28+AH18*Hypothèses!$E$29</f>
        <v>4846.45696240057</v>
      </c>
      <c r="AI30" s="15" t="n">
        <f aca="false">(AI26-AI29)*Hypothèses!$E$28+AI18*Hypothèses!$E$29</f>
        <v>5171.24673512784</v>
      </c>
      <c r="AJ30" s="15" t="n">
        <f aca="false">(AJ26-AJ29)*Hypothèses!$E$28+AJ18*Hypothèses!$E$29</f>
        <v>5496.03650785511</v>
      </c>
      <c r="AK30" s="15" t="n">
        <f aca="false">(AK26-AK29)*Hypothèses!$E$28+AK18*Hypothèses!$E$29</f>
        <v>5820.82628058239</v>
      </c>
      <c r="AL30" s="15" t="n">
        <f aca="false">(AL26-AL29)*Hypothèses!$E$28+AL18*Hypothèses!$E$29</f>
        <v>6145.61605330966</v>
      </c>
      <c r="AN30" s="15" t="n">
        <f aca="false">SUM(C30:N30)</f>
        <v>1591.96356681818</v>
      </c>
      <c r="AO30" s="15" t="n">
        <f aca="false">SUM(O30:Z30)</f>
        <v>16688.3253669886</v>
      </c>
      <c r="AP30" s="15" t="n">
        <f aca="false">SUM(AA30:AL30)</f>
        <v>52311.2676397159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771.75925</v>
      </c>
      <c r="F31" s="40" t="n">
        <f aca="false">F26-F29-F30</f>
        <v>752.46526875</v>
      </c>
      <c r="G31" s="40" t="n">
        <f aca="false">G26-G29-G30</f>
        <v>733.65363703125</v>
      </c>
      <c r="H31" s="40" t="n">
        <f aca="false">H26-H29-H30</f>
        <v>3540.05090975852</v>
      </c>
      <c r="I31" s="40" t="n">
        <f aca="false">I26-I29-I30</f>
        <v>6346.4481824858</v>
      </c>
      <c r="J31" s="40" t="n">
        <f aca="false">J26-J29-J30</f>
        <v>9152.84545521307</v>
      </c>
      <c r="K31" s="40" t="n">
        <f aca="false">K26-K29-K30</f>
        <v>11959.2427279403</v>
      </c>
      <c r="L31" s="40" t="n">
        <f aca="false">L26-L29-L30</f>
        <v>14765.6400006676</v>
      </c>
      <c r="M31" s="40" t="n">
        <f aca="false">M26-M29-M30</f>
        <v>17572.0372733949</v>
      </c>
      <c r="N31" s="40" t="n">
        <f aca="false">N26-N29-N30</f>
        <v>20378.4345461222</v>
      </c>
      <c r="O31" s="40" t="n">
        <f aca="false">O26-O29-O30</f>
        <v>28797.626364304</v>
      </c>
      <c r="P31" s="40" t="n">
        <f aca="false">P26-P29-P30</f>
        <v>37216.8181824858</v>
      </c>
      <c r="Q31" s="40" t="n">
        <f aca="false">Q26-Q29-Q30</f>
        <v>45636.0100006676</v>
      </c>
      <c r="R31" s="40" t="n">
        <f aca="false">R26-R29-R30</f>
        <v>54055.2018188494</v>
      </c>
      <c r="S31" s="40" t="n">
        <f aca="false">S26-S29-S30</f>
        <v>62474.3936370313</v>
      </c>
      <c r="T31" s="40" t="n">
        <f aca="false">T26-T29-T30</f>
        <v>70893.5854552131</v>
      </c>
      <c r="U31" s="40" t="n">
        <f aca="false">U26-U29-U30</f>
        <v>79312.7772733949</v>
      </c>
      <c r="V31" s="40" t="n">
        <f aca="false">V26-V29-V30</f>
        <v>87731.9690915767</v>
      </c>
      <c r="W31" s="40" t="n">
        <f aca="false">W26-W29-W30</f>
        <v>96151.1609097585</v>
      </c>
      <c r="X31" s="40" t="n">
        <f aca="false">X26-X29-X30</f>
        <v>104570.35272794</v>
      </c>
      <c r="Y31" s="40" t="n">
        <f aca="false">Y26-Y29-Y30</f>
        <v>112989.544546122</v>
      </c>
      <c r="Z31" s="40" t="n">
        <f aca="false">Z26-Z29-Z30</f>
        <v>121408.736364304</v>
      </c>
      <c r="AA31" s="40" t="n">
        <f aca="false">AA26-AA29-AA30</f>
        <v>138948.719318849</v>
      </c>
      <c r="AB31" s="40" t="n">
        <f aca="false">AB26-AB29-AB30</f>
        <v>156488.702273395</v>
      </c>
      <c r="AC31" s="40" t="n">
        <f aca="false">AC26-AC29-AC30</f>
        <v>174028.68522794</v>
      </c>
      <c r="AD31" s="40" t="n">
        <f aca="false">AD26-AD29-AD30</f>
        <v>191568.668182486</v>
      </c>
      <c r="AE31" s="40" t="n">
        <f aca="false">AE26-AE29-AE30</f>
        <v>209108.651137031</v>
      </c>
      <c r="AF31" s="40" t="n">
        <f aca="false">AF26-AF29-AF30</f>
        <v>226648.634091577</v>
      </c>
      <c r="AG31" s="40" t="n">
        <f aca="false">AG26-AG29-AG30</f>
        <v>244188.617046122</v>
      </c>
      <c r="AH31" s="40" t="n">
        <f aca="false">AH26-AH29-AH30</f>
        <v>261728.600000668</v>
      </c>
      <c r="AI31" s="40" t="n">
        <f aca="false">AI26-AI29-AI30</f>
        <v>279268.582955213</v>
      </c>
      <c r="AJ31" s="40" t="n">
        <f aca="false">AJ26-AJ29-AJ30</f>
        <v>296808.565909759</v>
      </c>
      <c r="AK31" s="40" t="n">
        <f aca="false">AK26-AK29-AK30</f>
        <v>314348.548864304</v>
      </c>
      <c r="AL31" s="40" t="n">
        <f aca="false">AL26-AL29-AL30</f>
        <v>331888.53181885</v>
      </c>
      <c r="AN31" s="40" t="n">
        <f aca="false">SUM(C31:N31)</f>
        <v>85972.5772513637</v>
      </c>
      <c r="AO31" s="40" t="n">
        <f aca="false">SUM(O31:Z31)</f>
        <v>901238.176371648</v>
      </c>
      <c r="AP31" s="40" t="n">
        <f aca="false">SUM(AA31:AL31)</f>
        <v>2825023.50682619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(C19*Hypothèses!$E$31+C20*Hypothèses!$E$32+C21*Hypothèses!$E$33)*Hypothèses!$E$34*$F$4</f>
        <v>0</v>
      </c>
      <c r="D33" s="15" t="n">
        <f aca="false">(D19*Hypothèses!$E$31+D20*Hypothèses!$E$32+D21*Hypothèses!$E$33)*Hypothèses!$E$34*$F$4</f>
        <v>0</v>
      </c>
      <c r="E33" s="15" t="n">
        <f aca="false">(E19*Hypothèses!$E$31+E20*Hypothèses!$E$32+E21*Hypothèses!$E$33)*Hypothèses!$E$34*$F$4</f>
        <v>69.6</v>
      </c>
      <c r="F33" s="15" t="n">
        <f aca="false">(F19*Hypothèses!$E$31+F20*Hypothèses!$E$32+F21*Hypothèses!$E$33)*Hypothèses!$E$34*$F$4</f>
        <v>67.86</v>
      </c>
      <c r="G33" s="15" t="n">
        <f aca="false">(G19*Hypothèses!$E$31+G20*Hypothèses!$E$32+G21*Hypothèses!$E$33)*Hypothèses!$E$34*$F$4</f>
        <v>66.1635</v>
      </c>
      <c r="H33" s="15" t="n">
        <f aca="false">(H19*Hypothèses!$E$31+H20*Hypothèses!$E$32+H21*Hypothèses!$E$33)*Hypothèses!$E$34*$F$4</f>
        <v>319.254409090909</v>
      </c>
      <c r="I33" s="15" t="n">
        <f aca="false">(I19*Hypothèses!$E$31+I20*Hypothèses!$E$32+I21*Hypothèses!$E$33)*Hypothèses!$E$34*$F$4</f>
        <v>572.345318181818</v>
      </c>
      <c r="J33" s="15" t="n">
        <f aca="false">(J19*Hypothèses!$E$31+J20*Hypothèses!$E$32+J21*Hypothèses!$E$33)*Hypothèses!$E$34*$F$4</f>
        <v>825.436227272728</v>
      </c>
      <c r="K33" s="15" t="n">
        <f aca="false">(K19*Hypothèses!$E$31+K20*Hypothèses!$E$32+K21*Hypothèses!$E$33)*Hypothèses!$E$34*$F$4</f>
        <v>1078.52713636364</v>
      </c>
      <c r="L33" s="15" t="n">
        <f aca="false">(L19*Hypothèses!$E$31+L20*Hypothèses!$E$32+L21*Hypothèses!$E$33)*Hypothèses!$E$34*$F$4</f>
        <v>1331.61804545455</v>
      </c>
      <c r="M33" s="15" t="n">
        <f aca="false">(M19*Hypothèses!$E$31+M20*Hypothèses!$E$32+M21*Hypothèses!$E$33)*Hypothèses!$E$34*$F$4</f>
        <v>1584.70895454546</v>
      </c>
      <c r="N33" s="15" t="n">
        <f aca="false">(N19*Hypothèses!$E$31+N20*Hypothèses!$E$32+N21*Hypothèses!$E$33)*Hypothèses!$E$34*$F$4</f>
        <v>1837.79986363636</v>
      </c>
      <c r="O33" s="15" t="n">
        <f aca="false">(O19*Hypothèses!$E$31+O20*Hypothèses!$E$32+O21*Hypothèses!$E$33)*Hypothèses!$E$34*$F$4</f>
        <v>2597.07259090909</v>
      </c>
      <c r="P33" s="15" t="n">
        <f aca="false">(P19*Hypothèses!$E$31+P20*Hypothèses!$E$32+P21*Hypothèses!$E$33)*Hypothèses!$E$34*$F$4</f>
        <v>3356.34531818182</v>
      </c>
      <c r="Q33" s="15" t="n">
        <f aca="false">(Q19*Hypothèses!$E$31+Q20*Hypothèses!$E$32+Q21*Hypothèses!$E$33)*Hypothèses!$E$34*$F$4</f>
        <v>4115.61804545455</v>
      </c>
      <c r="R33" s="15" t="n">
        <f aca="false">(R19*Hypothèses!$E$31+R20*Hypothèses!$E$32+R21*Hypothèses!$E$33)*Hypothèses!$E$34*$F$4</f>
        <v>4874.89077272727</v>
      </c>
      <c r="S33" s="15" t="n">
        <f aca="false">(S19*Hypothèses!$E$31+S20*Hypothèses!$E$32+S21*Hypothèses!$E$33)*Hypothèses!$E$34*$F$4</f>
        <v>5634.1635</v>
      </c>
      <c r="T33" s="15" t="n">
        <f aca="false">(T19*Hypothèses!$E$31+T20*Hypothèses!$E$32+T21*Hypothèses!$E$33)*Hypothèses!$E$34*$F$4</f>
        <v>6393.43622727273</v>
      </c>
      <c r="U33" s="15" t="n">
        <f aca="false">(U19*Hypothèses!$E$31+U20*Hypothèses!$E$32+U21*Hypothèses!$E$33)*Hypothèses!$E$34*$F$4</f>
        <v>7152.70895454546</v>
      </c>
      <c r="V33" s="15" t="n">
        <f aca="false">(V19*Hypothèses!$E$31+V20*Hypothèses!$E$32+V21*Hypothèses!$E$33)*Hypothèses!$E$34*$F$4</f>
        <v>7911.98168181818</v>
      </c>
      <c r="W33" s="15" t="n">
        <f aca="false">(W19*Hypothèses!$E$31+W20*Hypothèses!$E$32+W21*Hypothèses!$E$33)*Hypothèses!$E$34*$F$4</f>
        <v>8671.25440909091</v>
      </c>
      <c r="X33" s="15" t="n">
        <f aca="false">(X19*Hypothèses!$E$31+X20*Hypothèses!$E$32+X21*Hypothèses!$E$33)*Hypothèses!$E$34*$F$4</f>
        <v>9430.52713636364</v>
      </c>
      <c r="Y33" s="15" t="n">
        <f aca="false">(Y19*Hypothèses!$E$31+Y20*Hypothèses!$E$32+Y21*Hypothèses!$E$33)*Hypothèses!$E$34*$F$4</f>
        <v>10189.7998636364</v>
      </c>
      <c r="Z33" s="15" t="n">
        <f aca="false">(Z19*Hypothèses!$E$31+Z20*Hypothèses!$E$32+Z21*Hypothèses!$E$33)*Hypothèses!$E$34*$F$4</f>
        <v>10949.0725909091</v>
      </c>
      <c r="AA33" s="15" t="n">
        <f aca="false">(AA19*Hypothèses!$E$31+AA20*Hypothèses!$E$32+AA21*Hypothèses!$E$33)*Hypothèses!$E$34*$F$4</f>
        <v>12530.8907727273</v>
      </c>
      <c r="AB33" s="15" t="n">
        <f aca="false">(AB19*Hypothèses!$E$31+AB20*Hypothèses!$E$32+AB21*Hypothèses!$E$33)*Hypothèses!$E$34*$F$4</f>
        <v>14112.7089545455</v>
      </c>
      <c r="AC33" s="15" t="n">
        <f aca="false">(AC19*Hypothèses!$E$31+AC20*Hypothèses!$E$32+AC21*Hypothèses!$E$33)*Hypothèses!$E$34*$F$4</f>
        <v>15694.5271363636</v>
      </c>
      <c r="AD33" s="15" t="n">
        <f aca="false">(AD19*Hypothèses!$E$31+AD20*Hypothèses!$E$32+AD21*Hypothèses!$E$33)*Hypothèses!$E$34*$F$4</f>
        <v>17276.3453181818</v>
      </c>
      <c r="AE33" s="15" t="n">
        <f aca="false">(AE19*Hypothèses!$E$31+AE20*Hypothèses!$E$32+AE21*Hypothèses!$E$33)*Hypothèses!$E$34*$F$4</f>
        <v>18858.1635</v>
      </c>
      <c r="AF33" s="15" t="n">
        <f aca="false">(AF19*Hypothèses!$E$31+AF20*Hypothèses!$E$32+AF21*Hypothèses!$E$33)*Hypothèses!$E$34*$F$4</f>
        <v>20439.9816818182</v>
      </c>
      <c r="AG33" s="15" t="n">
        <f aca="false">(AG19*Hypothèses!$E$31+AG20*Hypothèses!$E$32+AG21*Hypothèses!$E$33)*Hypothèses!$E$34*$F$4</f>
        <v>22021.7998636364</v>
      </c>
      <c r="AH33" s="15" t="n">
        <f aca="false">(AH19*Hypothèses!$E$31+AH20*Hypothèses!$E$32+AH21*Hypothèses!$E$33)*Hypothèses!$E$34*$F$4</f>
        <v>23603.6180454545</v>
      </c>
      <c r="AI33" s="15" t="n">
        <f aca="false">(AI19*Hypothèses!$E$31+AI20*Hypothèses!$E$32+AI21*Hypothèses!$E$33)*Hypothèses!$E$34*$F$4</f>
        <v>25185.4362272727</v>
      </c>
      <c r="AJ33" s="15" t="n">
        <f aca="false">(AJ19*Hypothèses!$E$31+AJ20*Hypothèses!$E$32+AJ21*Hypothèses!$E$33)*Hypothèses!$E$34*$F$4</f>
        <v>26767.2544090909</v>
      </c>
      <c r="AK33" s="15" t="n">
        <f aca="false">(AK19*Hypothèses!$E$31+AK20*Hypothèses!$E$32+AK21*Hypothèses!$E$33)*Hypothèses!$E$34*$F$4</f>
        <v>28349.0725909091</v>
      </c>
      <c r="AL33" s="15" t="n">
        <f aca="false">(AL19*Hypothèses!$E$31+AL20*Hypothèses!$E$32+AL21*Hypothèses!$E$33)*Hypothèses!$E$34*$F$4</f>
        <v>29930.8907727273</v>
      </c>
      <c r="AN33" s="15" t="n">
        <f aca="false">SUM(C33:N33)</f>
        <v>7753.31345454546</v>
      </c>
      <c r="AO33" s="15" t="n">
        <f aca="false">SUM(O33:Z33)</f>
        <v>81276.8710909091</v>
      </c>
      <c r="AP33" s="15" t="n">
        <f aca="false">SUM(AA33:AL33)</f>
        <v>254770.689272727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C18*Hypothèses!$E$35</f>
        <v>0</v>
      </c>
      <c r="D34" s="15" t="n">
        <f aca="false">D18*Hypothèses!$E$35</f>
        <v>0</v>
      </c>
      <c r="E34" s="15" t="n">
        <f aca="false">E18*Hypothèses!$E$35</f>
        <v>10</v>
      </c>
      <c r="F34" s="15" t="n">
        <f aca="false">F18*Hypothèses!$E$35</f>
        <v>9.75</v>
      </c>
      <c r="G34" s="15" t="n">
        <f aca="false">G18*Hypothèses!$E$35</f>
        <v>9.50625</v>
      </c>
      <c r="H34" s="15" t="n">
        <f aca="false">H18*Hypothèses!$E$35</f>
        <v>45.8698863636364</v>
      </c>
      <c r="I34" s="15" t="n">
        <f aca="false">I18*Hypothèses!$E$35</f>
        <v>82.2335227272727</v>
      </c>
      <c r="J34" s="15" t="n">
        <f aca="false">J18*Hypothèses!$E$35</f>
        <v>118.597159090909</v>
      </c>
      <c r="K34" s="15" t="n">
        <f aca="false">K18*Hypothèses!$E$35</f>
        <v>154.960795454546</v>
      </c>
      <c r="L34" s="15" t="n">
        <f aca="false">L18*Hypothèses!$E$35</f>
        <v>191.324431818182</v>
      </c>
      <c r="M34" s="15" t="n">
        <f aca="false">M18*Hypothèses!$E$35</f>
        <v>227.688068181818</v>
      </c>
      <c r="N34" s="15" t="n">
        <f aca="false">N18*Hypothèses!$E$35</f>
        <v>264.051704545455</v>
      </c>
      <c r="O34" s="15" t="n">
        <f aca="false">O18*Hypothèses!$E$35</f>
        <v>373.142613636364</v>
      </c>
      <c r="P34" s="15" t="n">
        <f aca="false">P18*Hypothèses!$E$35</f>
        <v>482.233522727273</v>
      </c>
      <c r="Q34" s="15" t="n">
        <f aca="false">Q18*Hypothèses!$E$35</f>
        <v>591.324431818182</v>
      </c>
      <c r="R34" s="15" t="n">
        <f aca="false">R18*Hypothèses!$E$35</f>
        <v>700.415340909091</v>
      </c>
      <c r="S34" s="15" t="n">
        <f aca="false">S18*Hypothèses!$E$35</f>
        <v>809.50625</v>
      </c>
      <c r="T34" s="15" t="n">
        <f aca="false">T18*Hypothèses!$E$35</f>
        <v>918.597159090909</v>
      </c>
      <c r="U34" s="15" t="n">
        <f aca="false">U18*Hypothèses!$E$35</f>
        <v>1027.68806818182</v>
      </c>
      <c r="V34" s="15" t="n">
        <f aca="false">V18*Hypothèses!$E$35</f>
        <v>1136.77897727273</v>
      </c>
      <c r="W34" s="15" t="n">
        <f aca="false">W18*Hypothèses!$E$35</f>
        <v>1245.86988636364</v>
      </c>
      <c r="X34" s="15" t="n">
        <f aca="false">X18*Hypothèses!$E$35</f>
        <v>1354.96079545455</v>
      </c>
      <c r="Y34" s="15" t="n">
        <f aca="false">Y18*Hypothèses!$E$35</f>
        <v>1464.05170454545</v>
      </c>
      <c r="Z34" s="15" t="n">
        <f aca="false">Z18*Hypothèses!$E$35</f>
        <v>1573.14261363636</v>
      </c>
      <c r="AA34" s="15" t="n">
        <f aca="false">AA18*Hypothèses!$E$35</f>
        <v>1800.41534090909</v>
      </c>
      <c r="AB34" s="15" t="n">
        <f aca="false">AB18*Hypothèses!$E$35</f>
        <v>2027.68806818182</v>
      </c>
      <c r="AC34" s="15" t="n">
        <f aca="false">AC18*Hypothèses!$E$35</f>
        <v>2254.96079545455</v>
      </c>
      <c r="AD34" s="15" t="n">
        <f aca="false">AD18*Hypothèses!$E$35</f>
        <v>2482.23352272727</v>
      </c>
      <c r="AE34" s="15" t="n">
        <f aca="false">AE18*Hypothèses!$E$35</f>
        <v>2709.50625</v>
      </c>
      <c r="AF34" s="15" t="n">
        <f aca="false">AF18*Hypothèses!$E$35</f>
        <v>2936.77897727273</v>
      </c>
      <c r="AG34" s="15" t="n">
        <f aca="false">AG18*Hypothèses!$E$35</f>
        <v>3164.05170454546</v>
      </c>
      <c r="AH34" s="15" t="n">
        <f aca="false">AH18*Hypothèses!$E$35</f>
        <v>3391.32443181818</v>
      </c>
      <c r="AI34" s="15" t="n">
        <f aca="false">AI18*Hypothèses!$E$35</f>
        <v>3618.59715909091</v>
      </c>
      <c r="AJ34" s="15" t="n">
        <f aca="false">AJ18*Hypothèses!$E$35</f>
        <v>3845.86988636364</v>
      </c>
      <c r="AK34" s="15" t="n">
        <f aca="false">AK18*Hypothèses!$E$35</f>
        <v>4073.14261363637</v>
      </c>
      <c r="AL34" s="15" t="n">
        <f aca="false">AL18*Hypothèses!$E$35</f>
        <v>4300.41534090909</v>
      </c>
      <c r="AN34" s="15" t="n">
        <f aca="false">SUM(C34:N34)</f>
        <v>1113.98181818182</v>
      </c>
      <c r="AO34" s="15" t="n">
        <f aca="false">SUM(O34:Z34)</f>
        <v>11677.7113636364</v>
      </c>
      <c r="AP34" s="15" t="n">
        <f aca="false">SUM(AA34:AL34)</f>
        <v>36604.9840909091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C18*Hypothèses!$E$36</f>
        <v>0</v>
      </c>
      <c r="D35" s="15" t="n">
        <f aca="false">D18*Hypothèses!$E$36</f>
        <v>0</v>
      </c>
      <c r="E35" s="15" t="n">
        <f aca="false">E18*Hypothèses!$E$36</f>
        <v>20</v>
      </c>
      <c r="F35" s="15" t="n">
        <f aca="false">F18*Hypothèses!$E$36</f>
        <v>19.5</v>
      </c>
      <c r="G35" s="15" t="n">
        <f aca="false">G18*Hypothèses!$E$36</f>
        <v>19.0125</v>
      </c>
      <c r="H35" s="15" t="n">
        <f aca="false">H18*Hypothèses!$E$36</f>
        <v>91.7397727272727</v>
      </c>
      <c r="I35" s="15" t="n">
        <f aca="false">I18*Hypothèses!$E$36</f>
        <v>164.467045454545</v>
      </c>
      <c r="J35" s="15" t="n">
        <f aca="false">J18*Hypothèses!$E$36</f>
        <v>237.194318181818</v>
      </c>
      <c r="K35" s="15" t="n">
        <f aca="false">K18*Hypothèses!$E$36</f>
        <v>309.921590909091</v>
      </c>
      <c r="L35" s="15" t="n">
        <f aca="false">L18*Hypothèses!$E$36</f>
        <v>382.648863636364</v>
      </c>
      <c r="M35" s="15" t="n">
        <f aca="false">M18*Hypothèses!$E$36</f>
        <v>455.376136363637</v>
      </c>
      <c r="N35" s="15" t="n">
        <f aca="false">N18*Hypothèses!$E$36</f>
        <v>528.103409090909</v>
      </c>
      <c r="O35" s="15" t="n">
        <f aca="false">O18*Hypothèses!$E$36</f>
        <v>746.285227272727</v>
      </c>
      <c r="P35" s="15" t="n">
        <f aca="false">P18*Hypothèses!$E$36</f>
        <v>964.467045454546</v>
      </c>
      <c r="Q35" s="15" t="n">
        <f aca="false">Q18*Hypothèses!$E$36</f>
        <v>1182.64886363636</v>
      </c>
      <c r="R35" s="15" t="n">
        <f aca="false">R18*Hypothèses!$E$36</f>
        <v>1400.83068181818</v>
      </c>
      <c r="S35" s="15" t="n">
        <f aca="false">S18*Hypothèses!$E$36</f>
        <v>1619.0125</v>
      </c>
      <c r="T35" s="15" t="n">
        <f aca="false">T18*Hypothèses!$E$36</f>
        <v>1837.19431818182</v>
      </c>
      <c r="U35" s="15" t="n">
        <f aca="false">U18*Hypothèses!$E$36</f>
        <v>2055.37613636364</v>
      </c>
      <c r="V35" s="15" t="n">
        <f aca="false">V18*Hypothèses!$E$36</f>
        <v>2273.55795454545</v>
      </c>
      <c r="W35" s="15" t="n">
        <f aca="false">W18*Hypothèses!$E$36</f>
        <v>2491.73977272727</v>
      </c>
      <c r="X35" s="15" t="n">
        <f aca="false">X18*Hypothèses!$E$36</f>
        <v>2709.92159090909</v>
      </c>
      <c r="Y35" s="15" t="n">
        <f aca="false">Y18*Hypothèses!$E$36</f>
        <v>2928.10340909091</v>
      </c>
      <c r="Z35" s="15" t="n">
        <f aca="false">Z18*Hypothèses!$E$36</f>
        <v>3146.28522727273</v>
      </c>
      <c r="AA35" s="15" t="n">
        <f aca="false">AA18*Hypothèses!$E$36</f>
        <v>3600.83068181818</v>
      </c>
      <c r="AB35" s="15" t="n">
        <f aca="false">AB18*Hypothèses!$E$36</f>
        <v>4055.37613636364</v>
      </c>
      <c r="AC35" s="15" t="n">
        <f aca="false">AC18*Hypothèses!$E$36</f>
        <v>4509.92159090909</v>
      </c>
      <c r="AD35" s="15" t="n">
        <f aca="false">AD18*Hypothèses!$E$36</f>
        <v>4964.46704545455</v>
      </c>
      <c r="AE35" s="15" t="n">
        <f aca="false">AE18*Hypothèses!$E$36</f>
        <v>5419.0125</v>
      </c>
      <c r="AF35" s="15" t="n">
        <f aca="false">AF18*Hypothèses!$E$36</f>
        <v>5873.55795454546</v>
      </c>
      <c r="AG35" s="15" t="n">
        <f aca="false">AG18*Hypothèses!$E$36</f>
        <v>6328.10340909091</v>
      </c>
      <c r="AH35" s="15" t="n">
        <f aca="false">AH18*Hypothèses!$E$36</f>
        <v>6782.64886363637</v>
      </c>
      <c r="AI35" s="15" t="n">
        <f aca="false">AI18*Hypothèses!$E$36</f>
        <v>7237.19431818182</v>
      </c>
      <c r="AJ35" s="15" t="n">
        <f aca="false">AJ18*Hypothèses!$E$36</f>
        <v>7691.73977272728</v>
      </c>
      <c r="AK35" s="15" t="n">
        <f aca="false">AK18*Hypothèses!$E$36</f>
        <v>8146.28522727273</v>
      </c>
      <c r="AL35" s="15" t="n">
        <f aca="false">AL18*Hypothèses!$E$36</f>
        <v>8600.83068181819</v>
      </c>
      <c r="AN35" s="15" t="n">
        <f aca="false">SUM(C35:N35)</f>
        <v>2227.96363636364</v>
      </c>
      <c r="AO35" s="15" t="n">
        <f aca="false">SUM(O35:Z35)</f>
        <v>23355.4227272727</v>
      </c>
      <c r="AP35" s="15" t="n">
        <f aca="false">SUM(AA35:AL35)</f>
        <v>73209.9681818182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99.6</v>
      </c>
      <c r="F36" s="40" t="n">
        <f aca="false">F33+F34+F35</f>
        <v>97.11</v>
      </c>
      <c r="G36" s="40" t="n">
        <f aca="false">G33+G34+G35</f>
        <v>94.68225</v>
      </c>
      <c r="H36" s="40" t="n">
        <f aca="false">H33+H34+H35</f>
        <v>456.864068181818</v>
      </c>
      <c r="I36" s="40" t="n">
        <f aca="false">I33+I34+I35</f>
        <v>819.045886363637</v>
      </c>
      <c r="J36" s="40" t="n">
        <f aca="false">J33+J34+J35</f>
        <v>1181.22770454545</v>
      </c>
      <c r="K36" s="40" t="n">
        <f aca="false">K33+K34+K35</f>
        <v>1543.40952272727</v>
      </c>
      <c r="L36" s="40" t="n">
        <f aca="false">L33+L34+L35</f>
        <v>1905.59134090909</v>
      </c>
      <c r="M36" s="40" t="n">
        <f aca="false">M33+M34+M35</f>
        <v>2267.77315909091</v>
      </c>
      <c r="N36" s="40" t="n">
        <f aca="false">N33+N34+N35</f>
        <v>2629.95497727273</v>
      </c>
      <c r="O36" s="40" t="n">
        <f aca="false">O33+O34+O35</f>
        <v>3716.50043181818</v>
      </c>
      <c r="P36" s="40" t="n">
        <f aca="false">P33+P34+P35</f>
        <v>4803.04588636364</v>
      </c>
      <c r="Q36" s="40" t="n">
        <f aca="false">Q33+Q34+Q35</f>
        <v>5889.59134090909</v>
      </c>
      <c r="R36" s="40" t="n">
        <f aca="false">R33+R34+R35</f>
        <v>6976.13679545455</v>
      </c>
      <c r="S36" s="40" t="n">
        <f aca="false">S33+S34+S35</f>
        <v>8062.68225</v>
      </c>
      <c r="T36" s="40" t="n">
        <f aca="false">T33+T34+T35</f>
        <v>9149.22770454546</v>
      </c>
      <c r="U36" s="40" t="n">
        <f aca="false">U33+U34+U35</f>
        <v>10235.7731590909</v>
      </c>
      <c r="V36" s="40" t="n">
        <f aca="false">V33+V34+V35</f>
        <v>11322.3186136364</v>
      </c>
      <c r="W36" s="40" t="n">
        <f aca="false">W33+W34+W35</f>
        <v>12408.8640681818</v>
      </c>
      <c r="X36" s="40" t="n">
        <f aca="false">X33+X34+X35</f>
        <v>13495.4095227273</v>
      </c>
      <c r="Y36" s="40" t="n">
        <f aca="false">Y33+Y34+Y35</f>
        <v>14581.9549772727</v>
      </c>
      <c r="Z36" s="40" t="n">
        <f aca="false">Z33+Z34+Z35</f>
        <v>15668.5004318182</v>
      </c>
      <c r="AA36" s="40" t="n">
        <f aca="false">AA33+AA34+AA35</f>
        <v>17932.1367954545</v>
      </c>
      <c r="AB36" s="40" t="n">
        <f aca="false">AB33+AB34+AB35</f>
        <v>20195.7731590909</v>
      </c>
      <c r="AC36" s="40" t="n">
        <f aca="false">AC33+AC34+AC35</f>
        <v>22459.4095227273</v>
      </c>
      <c r="AD36" s="40" t="n">
        <f aca="false">AD33+AD34+AD35</f>
        <v>24723.0458863636</v>
      </c>
      <c r="AE36" s="40" t="n">
        <f aca="false">AE33+AE34+AE35</f>
        <v>26986.68225</v>
      </c>
      <c r="AF36" s="40" t="n">
        <f aca="false">AF33+AF34+AF35</f>
        <v>29250.3186136364</v>
      </c>
      <c r="AG36" s="40" t="n">
        <f aca="false">AG33+AG34+AG35</f>
        <v>31513.9549772727</v>
      </c>
      <c r="AH36" s="40" t="n">
        <f aca="false">AH33+AH34+AH35</f>
        <v>33777.5913409091</v>
      </c>
      <c r="AI36" s="40" t="n">
        <f aca="false">AI33+AI34+AI35</f>
        <v>36041.2277045455</v>
      </c>
      <c r="AJ36" s="40" t="n">
        <f aca="false">AJ33+AJ34+AJ35</f>
        <v>38304.8640681818</v>
      </c>
      <c r="AK36" s="40" t="n">
        <f aca="false">AK33+AK34+AK35</f>
        <v>40568.5004318182</v>
      </c>
      <c r="AL36" s="40" t="n">
        <f aca="false">AL33+AL34+AL35</f>
        <v>42832.1367954546</v>
      </c>
      <c r="AN36" s="40" t="n">
        <f aca="false">SUM(C36:N36)</f>
        <v>11095.2589090909</v>
      </c>
      <c r="AO36" s="40" t="n">
        <f aca="false">SUM(O36:Z36)</f>
        <v>116310.005181818</v>
      </c>
      <c r="AP36" s="40" t="n">
        <f aca="false">SUM(AA36:AL36)</f>
        <v>364585.641545455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C28-C36-C30-C29/(1+Hypothèses!$E$15)</f>
        <v>0</v>
      </c>
      <c r="D37" s="40" t="n">
        <f aca="false">D28-D36-D30-D29/(1+Hypothèses!$E$15)</f>
        <v>0</v>
      </c>
      <c r="E37" s="40" t="n">
        <f aca="false">E28-E36-E30-E29/(1+Hypothèses!$E$15)</f>
        <v>541.150916666667</v>
      </c>
      <c r="F37" s="40" t="n">
        <f aca="false">F28-F36-F30-F29/(1+Hypothèses!$E$15)</f>
        <v>527.62214375</v>
      </c>
      <c r="G37" s="40" t="n">
        <f aca="false">G28-G36-G30-G29/(1+Hypothèses!$E$15)</f>
        <v>514.43159015625</v>
      </c>
      <c r="H37" s="40" t="n">
        <f aca="false">H28-H36-H30-H29/(1+Hypothèses!$E$15)</f>
        <v>2482.25310530777</v>
      </c>
      <c r="I37" s="40" t="n">
        <f aca="false">I28-I36-I30-I29/(1+Hypothèses!$E$15)</f>
        <v>4450.07462045928</v>
      </c>
      <c r="J37" s="40" t="n">
        <f aca="false">J28-J36-J30-J29/(1+Hypothèses!$E$15)</f>
        <v>6417.8961356108</v>
      </c>
      <c r="K37" s="40" t="n">
        <f aca="false">K28-K36-K30-K29/(1+Hypothèses!$E$15)</f>
        <v>8385.71765076231</v>
      </c>
      <c r="L37" s="40" t="n">
        <f aca="false">L28-L36-L30-L29/(1+Hypothèses!$E$15)</f>
        <v>10353.5391659138</v>
      </c>
      <c r="M37" s="40" t="n">
        <f aca="false">M28-M36-M30-M29/(1+Hypothèses!$E$15)</f>
        <v>12321.3606810653</v>
      </c>
      <c r="N37" s="40" t="n">
        <f aca="false">N28-N36-N30-N29/(1+Hypothèses!$E$15)</f>
        <v>14289.1821962169</v>
      </c>
      <c r="O37" s="40" t="n">
        <f aca="false">O28-O36-O30-O29/(1+Hypothèses!$E$15)</f>
        <v>20192.6467416714</v>
      </c>
      <c r="P37" s="40" t="n">
        <f aca="false">P28-P36-P30-P29/(1+Hypothèses!$E$15)</f>
        <v>26096.111287126</v>
      </c>
      <c r="Q37" s="40" t="n">
        <f aca="false">Q28-Q36-Q30-Q29/(1+Hypothèses!$E$15)</f>
        <v>31999.5758325805</v>
      </c>
      <c r="R37" s="40" t="n">
        <f aca="false">R28-R36-R30-R29/(1+Hypothèses!$E$15)</f>
        <v>37903.040378035</v>
      </c>
      <c r="S37" s="40" t="n">
        <f aca="false">S28-S36-S30-S29/(1+Hypothèses!$E$15)</f>
        <v>43806.5049234896</v>
      </c>
      <c r="T37" s="40" t="n">
        <f aca="false">T28-T36-T30-T29/(1+Hypothèses!$E$15)</f>
        <v>49709.9694689441</v>
      </c>
      <c r="U37" s="40" t="n">
        <f aca="false">U28-U36-U30-U29/(1+Hypothèses!$E$15)</f>
        <v>55613.4340143987</v>
      </c>
      <c r="V37" s="40" t="n">
        <f aca="false">V28-V36-V30-V29/(1+Hypothèses!$E$15)</f>
        <v>61516.8985598532</v>
      </c>
      <c r="W37" s="40" t="n">
        <f aca="false">W28-W36-W30-W29/(1+Hypothèses!$E$15)</f>
        <v>67420.3631053078</v>
      </c>
      <c r="X37" s="40" t="n">
        <f aca="false">X28-X36-X30-X29/(1+Hypothèses!$E$15)</f>
        <v>73323.8276507623</v>
      </c>
      <c r="Y37" s="40" t="n">
        <f aca="false">Y28-Y36-Y30-Y29/(1+Hypothèses!$E$15)</f>
        <v>79227.2921962168</v>
      </c>
      <c r="Z37" s="40" t="n">
        <f aca="false">Z28-Z36-Z30-Z29/(1+Hypothèses!$E$15)</f>
        <v>85130.7567416714</v>
      </c>
      <c r="AA37" s="40" t="n">
        <f aca="false">AA28-AA36-AA30-AA29/(1+Hypothèses!$E$15)</f>
        <v>97429.6412113683</v>
      </c>
      <c r="AB37" s="40" t="n">
        <f aca="false">AB28-AB36-AB30-AB29/(1+Hypothèses!$E$15)</f>
        <v>109728.525681065</v>
      </c>
      <c r="AC37" s="40" t="n">
        <f aca="false">AC28-AC36-AC30-AC29/(1+Hypothèses!$E$15)</f>
        <v>122027.410150762</v>
      </c>
      <c r="AD37" s="40" t="n">
        <f aca="false">AD28-AD36-AD30-AD29/(1+Hypothèses!$E$15)</f>
        <v>134326.294620459</v>
      </c>
      <c r="AE37" s="40" t="n">
        <f aca="false">AE28-AE36-AE30-AE29/(1+Hypothèses!$E$15)</f>
        <v>146625.179090156</v>
      </c>
      <c r="AF37" s="40" t="n">
        <f aca="false">AF28-AF36-AF30-AF29/(1+Hypothèses!$E$15)</f>
        <v>158924.063559853</v>
      </c>
      <c r="AG37" s="40" t="n">
        <f aca="false">AG28-AG36-AG30-AG29/(1+Hypothèses!$E$15)</f>
        <v>171222.94802955</v>
      </c>
      <c r="AH37" s="40" t="n">
        <f aca="false">AH28-AH36-AH30-AH29/(1+Hypothèses!$E$15)</f>
        <v>183521.832499247</v>
      </c>
      <c r="AI37" s="40" t="n">
        <f aca="false">AI28-AI36-AI30-AI29/(1+Hypothèses!$E$15)</f>
        <v>195820.716968944</v>
      </c>
      <c r="AJ37" s="40" t="n">
        <f aca="false">AJ28-AJ36-AJ30-AJ29/(1+Hypothèses!$E$15)</f>
        <v>208119.601438641</v>
      </c>
      <c r="AK37" s="40" t="n">
        <f aca="false">AK28-AK36-AK30-AK29/(1+Hypothèses!$E$15)</f>
        <v>220418.485908338</v>
      </c>
      <c r="AL37" s="40" t="n">
        <f aca="false">AL28-AL36-AL30-AL29/(1+Hypothèses!$E$15)</f>
        <v>232717.370378035</v>
      </c>
      <c r="AN37" s="40" t="n">
        <f aca="false">SUM(C37:N37)</f>
        <v>60283.2282059091</v>
      </c>
      <c r="AO37" s="40" t="n">
        <f aca="false">SUM(O37:Z37)</f>
        <v>631940.420900057</v>
      </c>
      <c r="AP37" s="40" t="n">
        <f aca="false">SUM(AA37:AL37)</f>
        <v>1980882.06953642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4000</v>
      </c>
      <c r="I39" s="15" t="n">
        <f aca="false">I11</f>
        <v>4000</v>
      </c>
      <c r="J39" s="15" t="n">
        <f aca="false">J11</f>
        <v>4000</v>
      </c>
      <c r="K39" s="15" t="n">
        <f aca="false">K11</f>
        <v>4000</v>
      </c>
      <c r="L39" s="15" t="n">
        <f aca="false">L11</f>
        <v>4000</v>
      </c>
      <c r="M39" s="15" t="n">
        <f aca="false">M11</f>
        <v>4000</v>
      </c>
      <c r="N39" s="15" t="n">
        <f aca="false">N11</f>
        <v>4000</v>
      </c>
      <c r="O39" s="15" t="n">
        <f aca="false">O11</f>
        <v>12000</v>
      </c>
      <c r="P39" s="15" t="n">
        <f aca="false">P11</f>
        <v>12000</v>
      </c>
      <c r="Q39" s="15" t="n">
        <f aca="false">Q11</f>
        <v>12000</v>
      </c>
      <c r="R39" s="15" t="n">
        <f aca="false">R11</f>
        <v>12000</v>
      </c>
      <c r="S39" s="15" t="n">
        <f aca="false">S11</f>
        <v>12000</v>
      </c>
      <c r="T39" s="15" t="n">
        <f aca="false">T11</f>
        <v>12000</v>
      </c>
      <c r="U39" s="15" t="n">
        <f aca="false">U11</f>
        <v>12000</v>
      </c>
      <c r="V39" s="15" t="n">
        <f aca="false">V11</f>
        <v>12000</v>
      </c>
      <c r="W39" s="15" t="n">
        <f aca="false">W11</f>
        <v>12000</v>
      </c>
      <c r="X39" s="15" t="n">
        <f aca="false">X11</f>
        <v>12000</v>
      </c>
      <c r="Y39" s="15" t="n">
        <f aca="false">Y11</f>
        <v>12000</v>
      </c>
      <c r="Z39" s="15" t="n">
        <f aca="false">Z11</f>
        <v>12000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28000</v>
      </c>
      <c r="AO39" s="15" t="n">
        <f aca="false">SUM(O39:Z39)</f>
        <v>144000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IF(C7&gt;=Hypothèses!$E$39,Hypothèses!$E$38*Hypothèses!$E$40,0)*$G$4</f>
        <v>0</v>
      </c>
      <c r="D40" s="15" t="n">
        <f aca="false">IF(D7&gt;=Hypothèses!$E$39,Hypothèses!$E$38*Hypothèses!$E$40,0)*$G$4</f>
        <v>0</v>
      </c>
      <c r="E40" s="15" t="n">
        <f aca="false">IF(E7&gt;=Hypothèses!$E$39,Hypothèses!$E$38*Hypothèses!$E$40,0)*$G$4</f>
        <v>0</v>
      </c>
      <c r="F40" s="15" t="n">
        <f aca="false">IF(F7&gt;=Hypothèses!$E$39,Hypothèses!$E$38*Hypothèses!$E$40,0)*$G$4</f>
        <v>0</v>
      </c>
      <c r="G40" s="15" t="n">
        <f aca="false">IF(G7&gt;=Hypothèses!$E$39,Hypothèses!$E$38*Hypothèses!$E$40,0)*$G$4</f>
        <v>0</v>
      </c>
      <c r="H40" s="15" t="n">
        <f aca="false">IF(H7&gt;=Hypothèses!$E$39,Hypothèses!$E$38*Hypothèses!$E$40,0)*$G$4</f>
        <v>0</v>
      </c>
      <c r="I40" s="15" t="n">
        <f aca="false">IF(I7&gt;=Hypothèses!$E$39,Hypothèses!$E$38*Hypothèses!$E$40,0)*$G$4</f>
        <v>0</v>
      </c>
      <c r="J40" s="15" t="n">
        <f aca="false">IF(J7&gt;=Hypothèses!$E$39,Hypothèses!$E$38*Hypothèses!$E$40,0)*$G$4</f>
        <v>0</v>
      </c>
      <c r="K40" s="15" t="n">
        <f aca="false">IF(K7&gt;=Hypothèses!$E$39,Hypothèses!$E$38*Hypothèses!$E$40,0)*$G$4</f>
        <v>0</v>
      </c>
      <c r="L40" s="15" t="n">
        <f aca="false">IF(L7&gt;=Hypothèses!$E$39,Hypothèses!$E$38*Hypothèses!$E$40,0)*$G$4</f>
        <v>0</v>
      </c>
      <c r="M40" s="15" t="n">
        <f aca="false">IF(M7&gt;=Hypothèses!$E$39,Hypothèses!$E$38*Hypothèses!$E$40,0)*$G$4</f>
        <v>0</v>
      </c>
      <c r="N40" s="15" t="n">
        <f aca="false">IF(N7&gt;=Hypothèses!$E$39,Hypothèses!$E$38*Hypothèses!$E$40,0)*$G$4</f>
        <v>0</v>
      </c>
      <c r="O40" s="15" t="n">
        <f aca="false">IF(O7&gt;=Hypothèses!$E$39,Hypothèses!$E$38*Hypothèses!$E$40,0)*$G$4</f>
        <v>10000</v>
      </c>
      <c r="P40" s="15" t="n">
        <f aca="false">IF(P7&gt;=Hypothèses!$E$39,Hypothèses!$E$38*Hypothèses!$E$40,0)*$G$4</f>
        <v>10000</v>
      </c>
      <c r="Q40" s="15" t="n">
        <f aca="false">IF(Q7&gt;=Hypothèses!$E$39,Hypothèses!$E$38*Hypothèses!$E$40,0)*$G$4</f>
        <v>10000</v>
      </c>
      <c r="R40" s="15" t="n">
        <f aca="false">IF(R7&gt;=Hypothèses!$E$39,Hypothèses!$E$38*Hypothèses!$E$40,0)*$G$4</f>
        <v>10000</v>
      </c>
      <c r="S40" s="15" t="n">
        <f aca="false">IF(S7&gt;=Hypothèses!$E$39,Hypothèses!$E$38*Hypothèses!$E$40,0)*$G$4</f>
        <v>10000</v>
      </c>
      <c r="T40" s="15" t="n">
        <f aca="false">IF(T7&gt;=Hypothèses!$E$39,Hypothèses!$E$38*Hypothèses!$E$40,0)*$G$4</f>
        <v>10000</v>
      </c>
      <c r="U40" s="15" t="n">
        <f aca="false">IF(U7&gt;=Hypothèses!$E$39,Hypothèses!$E$38*Hypothèses!$E$40,0)*$G$4</f>
        <v>10000</v>
      </c>
      <c r="V40" s="15" t="n">
        <f aca="false">IF(V7&gt;=Hypothèses!$E$39,Hypothèses!$E$38*Hypothèses!$E$40,0)*$G$4</f>
        <v>10000</v>
      </c>
      <c r="W40" s="15" t="n">
        <f aca="false">IF(W7&gt;=Hypothèses!$E$39,Hypothèses!$E$38*Hypothèses!$E$40,0)*$G$4</f>
        <v>10000</v>
      </c>
      <c r="X40" s="15" t="n">
        <f aca="false">IF(X7&gt;=Hypothèses!$E$39,Hypothèses!$E$38*Hypothèses!$E$40,0)*$G$4</f>
        <v>10000</v>
      </c>
      <c r="Y40" s="15" t="n">
        <f aca="false">IF(Y7&gt;=Hypothèses!$E$39,Hypothèses!$E$38*Hypothèses!$E$40,0)*$G$4</f>
        <v>10000</v>
      </c>
      <c r="Z40" s="15" t="n">
        <f aca="false">IF(Z7&gt;=Hypothèses!$E$39,Hypothèses!$E$38*Hypothèses!$E$40,0)*$G$4</f>
        <v>10000</v>
      </c>
      <c r="AA40" s="15" t="n">
        <f aca="false">IF(AA7&gt;=Hypothèses!$E$39,Hypothèses!$E$38*Hypothèses!$E$40,0)*$G$4</f>
        <v>10000</v>
      </c>
      <c r="AB40" s="15" t="n">
        <f aca="false">IF(AB7&gt;=Hypothèses!$E$39,Hypothèses!$E$38*Hypothèses!$E$40,0)*$G$4</f>
        <v>10000</v>
      </c>
      <c r="AC40" s="15" t="n">
        <f aca="false">IF(AC7&gt;=Hypothèses!$E$39,Hypothèses!$E$38*Hypothèses!$E$40,0)*$G$4</f>
        <v>10000</v>
      </c>
      <c r="AD40" s="15" t="n">
        <f aca="false">IF(AD7&gt;=Hypothèses!$E$39,Hypothèses!$E$38*Hypothèses!$E$40,0)*$G$4</f>
        <v>10000</v>
      </c>
      <c r="AE40" s="15" t="n">
        <f aca="false">IF(AE7&gt;=Hypothèses!$E$39,Hypothèses!$E$38*Hypothèses!$E$40,0)*$G$4</f>
        <v>10000</v>
      </c>
      <c r="AF40" s="15" t="n">
        <f aca="false">IF(AF7&gt;=Hypothèses!$E$39,Hypothèses!$E$38*Hypothèses!$E$40,0)*$G$4</f>
        <v>10000</v>
      </c>
      <c r="AG40" s="15" t="n">
        <f aca="false">IF(AG7&gt;=Hypothèses!$E$39,Hypothèses!$E$38*Hypothèses!$E$40,0)*$G$4</f>
        <v>10000</v>
      </c>
      <c r="AH40" s="15" t="n">
        <f aca="false">IF(AH7&gt;=Hypothèses!$E$39,Hypothèses!$E$38*Hypothèses!$E$40,0)*$G$4</f>
        <v>10000</v>
      </c>
      <c r="AI40" s="15" t="n">
        <f aca="false">IF(AI7&gt;=Hypothèses!$E$39,Hypothèses!$E$38*Hypothèses!$E$40,0)*$G$4</f>
        <v>10000</v>
      </c>
      <c r="AJ40" s="15" t="n">
        <f aca="false">IF(AJ7&gt;=Hypothèses!$E$39,Hypothèses!$E$38*Hypothèses!$E$40,0)*$G$4</f>
        <v>10000</v>
      </c>
      <c r="AK40" s="15" t="n">
        <f aca="false">IF(AK7&gt;=Hypothèses!$E$39,Hypothèses!$E$38*Hypothèses!$E$40,0)*$G$4</f>
        <v>10000</v>
      </c>
      <c r="AL40" s="15" t="n">
        <f aca="false">IF(AL7&gt;=Hypothèses!$E$39,Hypothèses!$E$38*Hypothèses!$E$40,0)*$G$4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IF(C7&gt;=Hypothèses!$E$41,Hypothèses!$E$42,0)*$G$4</f>
        <v>0</v>
      </c>
      <c r="D41" s="15" t="n">
        <f aca="false">IF(D7&gt;=Hypothèses!$E$41,Hypothèses!$E$42,0)*$G$4</f>
        <v>0</v>
      </c>
      <c r="E41" s="15" t="n">
        <f aca="false">IF(E7&gt;=Hypothèses!$E$41,Hypothèses!$E$42,0)*$G$4</f>
        <v>0</v>
      </c>
      <c r="F41" s="15" t="n">
        <f aca="false">IF(F7&gt;=Hypothèses!$E$41,Hypothèses!$E$42,0)*$G$4</f>
        <v>0</v>
      </c>
      <c r="G41" s="15" t="n">
        <f aca="false">IF(G7&gt;=Hypothèses!$E$41,Hypothèses!$E$42,0)*$G$4</f>
        <v>0</v>
      </c>
      <c r="H41" s="15" t="n">
        <f aca="false">IF(H7&gt;=Hypothèses!$E$41,Hypothèses!$E$42,0)*$G$4</f>
        <v>0</v>
      </c>
      <c r="I41" s="15" t="n">
        <f aca="false">IF(I7&gt;=Hypothèses!$E$41,Hypothèses!$E$42,0)*$G$4</f>
        <v>0</v>
      </c>
      <c r="J41" s="15" t="n">
        <f aca="false">IF(J7&gt;=Hypothèses!$E$41,Hypothèses!$E$42,0)*$G$4</f>
        <v>0</v>
      </c>
      <c r="K41" s="15" t="n">
        <f aca="false">IF(K7&gt;=Hypothèses!$E$41,Hypothèses!$E$42,0)*$G$4</f>
        <v>0</v>
      </c>
      <c r="L41" s="15" t="n">
        <f aca="false">IF(L7&gt;=Hypothèses!$E$41,Hypothèses!$E$42,0)*$G$4</f>
        <v>4500</v>
      </c>
      <c r="M41" s="15" t="n">
        <f aca="false">IF(M7&gt;=Hypothèses!$E$41,Hypothèses!$E$42,0)*$G$4</f>
        <v>4500</v>
      </c>
      <c r="N41" s="15" t="n">
        <f aca="false">IF(N7&gt;=Hypothèses!$E$41,Hypothèses!$E$42,0)*$G$4</f>
        <v>4500</v>
      </c>
      <c r="O41" s="15" t="n">
        <f aca="false">IF(O7&gt;=Hypothèses!$E$41,Hypothèses!$E$42,0)*$G$4</f>
        <v>4500</v>
      </c>
      <c r="P41" s="15" t="n">
        <f aca="false">IF(P7&gt;=Hypothèses!$E$41,Hypothèses!$E$42,0)*$G$4</f>
        <v>4500</v>
      </c>
      <c r="Q41" s="15" t="n">
        <f aca="false">IF(Q7&gt;=Hypothèses!$E$41,Hypothèses!$E$42,0)*$G$4</f>
        <v>4500</v>
      </c>
      <c r="R41" s="15" t="n">
        <f aca="false">IF(R7&gt;=Hypothèses!$E$41,Hypothèses!$E$42,0)*$G$4</f>
        <v>4500</v>
      </c>
      <c r="S41" s="15" t="n">
        <f aca="false">IF(S7&gt;=Hypothèses!$E$41,Hypothèses!$E$42,0)*$G$4</f>
        <v>4500</v>
      </c>
      <c r="T41" s="15" t="n">
        <f aca="false">IF(T7&gt;=Hypothèses!$E$41,Hypothèses!$E$42,0)*$G$4</f>
        <v>4500</v>
      </c>
      <c r="U41" s="15" t="n">
        <f aca="false">IF(U7&gt;=Hypothèses!$E$41,Hypothèses!$E$42,0)*$G$4</f>
        <v>4500</v>
      </c>
      <c r="V41" s="15" t="n">
        <f aca="false">IF(V7&gt;=Hypothèses!$E$41,Hypothèses!$E$42,0)*$G$4</f>
        <v>4500</v>
      </c>
      <c r="W41" s="15" t="n">
        <f aca="false">IF(W7&gt;=Hypothèses!$E$41,Hypothèses!$E$42,0)*$G$4</f>
        <v>4500</v>
      </c>
      <c r="X41" s="15" t="n">
        <f aca="false">IF(X7&gt;=Hypothèses!$E$41,Hypothèses!$E$42,0)*$G$4</f>
        <v>4500</v>
      </c>
      <c r="Y41" s="15" t="n">
        <f aca="false">IF(Y7&gt;=Hypothèses!$E$41,Hypothèses!$E$42,0)*$G$4</f>
        <v>4500</v>
      </c>
      <c r="Z41" s="15" t="n">
        <f aca="false">IF(Z7&gt;=Hypothèses!$E$41,Hypothèses!$E$42,0)*$G$4</f>
        <v>4500</v>
      </c>
      <c r="AA41" s="15" t="n">
        <f aca="false">IF(AA7&gt;=Hypothèses!$E$41,Hypothèses!$E$42,0)*$G$4</f>
        <v>4500</v>
      </c>
      <c r="AB41" s="15" t="n">
        <f aca="false">IF(AB7&gt;=Hypothèses!$E$41,Hypothèses!$E$42,0)*$G$4</f>
        <v>4500</v>
      </c>
      <c r="AC41" s="15" t="n">
        <f aca="false">IF(AC7&gt;=Hypothèses!$E$41,Hypothèses!$E$42,0)*$G$4</f>
        <v>4500</v>
      </c>
      <c r="AD41" s="15" t="n">
        <f aca="false">IF(AD7&gt;=Hypothèses!$E$41,Hypothèses!$E$42,0)*$G$4</f>
        <v>4500</v>
      </c>
      <c r="AE41" s="15" t="n">
        <f aca="false">IF(AE7&gt;=Hypothèses!$E$41,Hypothèses!$E$42,0)*$G$4</f>
        <v>4500</v>
      </c>
      <c r="AF41" s="15" t="n">
        <f aca="false">IF(AF7&gt;=Hypothèses!$E$41,Hypothèses!$E$42,0)*$G$4</f>
        <v>4500</v>
      </c>
      <c r="AG41" s="15" t="n">
        <f aca="false">IF(AG7&gt;=Hypothèses!$E$41,Hypothèses!$E$42,0)*$G$4</f>
        <v>4500</v>
      </c>
      <c r="AH41" s="15" t="n">
        <f aca="false">IF(AH7&gt;=Hypothèses!$E$41,Hypothèses!$E$42,0)*$G$4</f>
        <v>4500</v>
      </c>
      <c r="AI41" s="15" t="n">
        <f aca="false">IF(AI7&gt;=Hypothèses!$E$41,Hypothèses!$E$42,0)*$G$4</f>
        <v>4500</v>
      </c>
      <c r="AJ41" s="15" t="n">
        <f aca="false">IF(AJ7&gt;=Hypothèses!$E$41,Hypothèses!$E$42,0)*$G$4</f>
        <v>4500</v>
      </c>
      <c r="AK41" s="15" t="n">
        <f aca="false">IF(AK7&gt;=Hypothèses!$E$41,Hypothèses!$E$42,0)*$G$4</f>
        <v>4500</v>
      </c>
      <c r="AL41" s="15" t="n">
        <f aca="false">IF(AL7&gt;=Hypothèses!$E$41,Hypothèses!$E$42,0)*$G$4</f>
        <v>4500</v>
      </c>
      <c r="AN41" s="15" t="n">
        <f aca="false">SUM(C41:N41)</f>
        <v>13500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IF(C7&gt;=Hypothèses!$E$43,Hypothèses!$E$44,0)*$G$4</f>
        <v>0</v>
      </c>
      <c r="D42" s="15" t="n">
        <f aca="false">IF(D7&gt;=Hypothèses!$E$43,Hypothèses!$E$44,0)*$G$4</f>
        <v>0</v>
      </c>
      <c r="E42" s="15" t="n">
        <f aca="false">IF(E7&gt;=Hypothèses!$E$43,Hypothèses!$E$44,0)*$G$4</f>
        <v>0</v>
      </c>
      <c r="F42" s="15" t="n">
        <f aca="false">IF(F7&gt;=Hypothèses!$E$43,Hypothèses!$E$44,0)*$G$4</f>
        <v>0</v>
      </c>
      <c r="G42" s="15" t="n">
        <f aca="false">IF(G7&gt;=Hypothèses!$E$43,Hypothèses!$E$44,0)*$G$4</f>
        <v>0</v>
      </c>
      <c r="H42" s="15" t="n">
        <f aca="false">IF(H7&gt;=Hypothèses!$E$43,Hypothèses!$E$44,0)*$G$4</f>
        <v>0</v>
      </c>
      <c r="I42" s="15" t="n">
        <f aca="false">IF(I7&gt;=Hypothèses!$E$43,Hypothèses!$E$44,0)*$G$4</f>
        <v>0</v>
      </c>
      <c r="J42" s="15" t="n">
        <f aca="false">IF(J7&gt;=Hypothèses!$E$43,Hypothèses!$E$44,0)*$G$4</f>
        <v>0</v>
      </c>
      <c r="K42" s="15" t="n">
        <f aca="false">IF(K7&gt;=Hypothèses!$E$43,Hypothèses!$E$44,0)*$G$4</f>
        <v>0</v>
      </c>
      <c r="L42" s="15" t="n">
        <f aca="false">IF(L7&gt;=Hypothèses!$E$43,Hypothèses!$E$44,0)*$G$4</f>
        <v>0</v>
      </c>
      <c r="M42" s="15" t="n">
        <f aca="false">IF(M7&gt;=Hypothèses!$E$43,Hypothèses!$E$44,0)*$G$4</f>
        <v>0</v>
      </c>
      <c r="N42" s="15" t="n">
        <f aca="false">IF(N7&gt;=Hypothèses!$E$43,Hypothèses!$E$44,0)*$G$4</f>
        <v>0</v>
      </c>
      <c r="O42" s="15" t="n">
        <f aca="false">IF(O7&gt;=Hypothèses!$E$43,Hypothèses!$E$44,0)*$G$4</f>
        <v>0</v>
      </c>
      <c r="P42" s="15" t="n">
        <f aca="false">IF(P7&gt;=Hypothèses!$E$43,Hypothèses!$E$44,0)*$G$4</f>
        <v>6500</v>
      </c>
      <c r="Q42" s="15" t="n">
        <f aca="false">IF(Q7&gt;=Hypothèses!$E$43,Hypothèses!$E$44,0)*$G$4</f>
        <v>6500</v>
      </c>
      <c r="R42" s="15" t="n">
        <f aca="false">IF(R7&gt;=Hypothèses!$E$43,Hypothèses!$E$44,0)*$G$4</f>
        <v>6500</v>
      </c>
      <c r="S42" s="15" t="n">
        <f aca="false">IF(S7&gt;=Hypothèses!$E$43,Hypothèses!$E$44,0)*$G$4</f>
        <v>6500</v>
      </c>
      <c r="T42" s="15" t="n">
        <f aca="false">IF(T7&gt;=Hypothèses!$E$43,Hypothèses!$E$44,0)*$G$4</f>
        <v>6500</v>
      </c>
      <c r="U42" s="15" t="n">
        <f aca="false">IF(U7&gt;=Hypothèses!$E$43,Hypothèses!$E$44,0)*$G$4</f>
        <v>6500</v>
      </c>
      <c r="V42" s="15" t="n">
        <f aca="false">IF(V7&gt;=Hypothèses!$E$43,Hypothèses!$E$44,0)*$G$4</f>
        <v>6500</v>
      </c>
      <c r="W42" s="15" t="n">
        <f aca="false">IF(W7&gt;=Hypothèses!$E$43,Hypothèses!$E$44,0)*$G$4</f>
        <v>6500</v>
      </c>
      <c r="X42" s="15" t="n">
        <f aca="false">IF(X7&gt;=Hypothèses!$E$43,Hypothèses!$E$44,0)*$G$4</f>
        <v>6500</v>
      </c>
      <c r="Y42" s="15" t="n">
        <f aca="false">IF(Y7&gt;=Hypothèses!$E$43,Hypothèses!$E$44,0)*$G$4</f>
        <v>6500</v>
      </c>
      <c r="Z42" s="15" t="n">
        <f aca="false">IF(Z7&gt;=Hypothèses!$E$43,Hypothèses!$E$44,0)*$G$4</f>
        <v>6500</v>
      </c>
      <c r="AA42" s="15" t="n">
        <f aca="false">IF(AA7&gt;=Hypothèses!$E$43,Hypothèses!$E$44,0)*$G$4</f>
        <v>6500</v>
      </c>
      <c r="AB42" s="15" t="n">
        <f aca="false">IF(AB7&gt;=Hypothèses!$E$43,Hypothèses!$E$44,0)*$G$4</f>
        <v>6500</v>
      </c>
      <c r="AC42" s="15" t="n">
        <f aca="false">IF(AC7&gt;=Hypothèses!$E$43,Hypothèses!$E$44,0)*$G$4</f>
        <v>6500</v>
      </c>
      <c r="AD42" s="15" t="n">
        <f aca="false">IF(AD7&gt;=Hypothèses!$E$43,Hypothèses!$E$44,0)*$G$4</f>
        <v>6500</v>
      </c>
      <c r="AE42" s="15" t="n">
        <f aca="false">IF(AE7&gt;=Hypothèses!$E$43,Hypothèses!$E$44,0)*$G$4</f>
        <v>6500</v>
      </c>
      <c r="AF42" s="15" t="n">
        <f aca="false">IF(AF7&gt;=Hypothèses!$E$43,Hypothèses!$E$44,0)*$G$4</f>
        <v>6500</v>
      </c>
      <c r="AG42" s="15" t="n">
        <f aca="false">IF(AG7&gt;=Hypothèses!$E$43,Hypothèses!$E$44,0)*$G$4</f>
        <v>6500</v>
      </c>
      <c r="AH42" s="15" t="n">
        <f aca="false">IF(AH7&gt;=Hypothèses!$E$43,Hypothèses!$E$44,0)*$G$4</f>
        <v>6500</v>
      </c>
      <c r="AI42" s="15" t="n">
        <f aca="false">IF(AI7&gt;=Hypothèses!$E$43,Hypothèses!$E$44,0)*$G$4</f>
        <v>6500</v>
      </c>
      <c r="AJ42" s="15" t="n">
        <f aca="false">IF(AJ7&gt;=Hypothèses!$E$43,Hypothèses!$E$44,0)*$G$4</f>
        <v>6500</v>
      </c>
      <c r="AK42" s="15" t="n">
        <f aca="false">IF(AK7&gt;=Hypothèses!$E$43,Hypothèses!$E$44,0)*$G$4</f>
        <v>6500</v>
      </c>
      <c r="AL42" s="15" t="n">
        <f aca="false">IF(AL7&gt;=Hypothèses!$E$43,Hypothèses!$E$44,0)*$G$4</f>
        <v>6500</v>
      </c>
      <c r="AN42" s="15" t="n">
        <f aca="false">SUM(C42:N42)</f>
        <v>0</v>
      </c>
      <c r="AO42" s="15" t="n">
        <f aca="false">SUM(O42:Z42)</f>
        <v>71500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IF(C7&lt;$B$5,Hypothèses!$E$45/MAX(1,$B$5-1),0)</f>
        <v>12000</v>
      </c>
      <c r="D43" s="15" t="n">
        <f aca="false">IF(D7&lt;$B$5,Hypothèses!$E$45/MAX(1,$B$5-1),0)</f>
        <v>12000</v>
      </c>
      <c r="E43" s="15" t="n">
        <f aca="false">IF(E7&lt;$B$5,Hypothèses!$E$45/MAX(1,$B$5-1),0)</f>
        <v>12000</v>
      </c>
      <c r="F43" s="15" t="n">
        <f aca="false">IF(F7&lt;$B$5,Hypothèses!$E$45/MAX(1,$B$5-1),0)</f>
        <v>12000</v>
      </c>
      <c r="G43" s="15" t="n">
        <f aca="false">IF(G7&lt;$B$5,Hypothèses!$E$45/MAX(1,$B$5-1),0)</f>
        <v>12000</v>
      </c>
      <c r="H43" s="15" t="n">
        <f aca="false">IF(H7&lt;$B$5,Hypothèses!$E$45/MAX(1,$B$5-1),0)</f>
        <v>0</v>
      </c>
      <c r="I43" s="15" t="n">
        <f aca="false">IF(I7&lt;$B$5,Hypothèses!$E$45/MAX(1,$B$5-1),0)</f>
        <v>0</v>
      </c>
      <c r="J43" s="15" t="n">
        <f aca="false">IF(J7&lt;$B$5,Hypothèses!$E$45/MAX(1,$B$5-1),0)</f>
        <v>0</v>
      </c>
      <c r="K43" s="15" t="n">
        <f aca="false">IF(K7&lt;$B$5,Hypothèses!$E$45/MAX(1,$B$5-1),0)</f>
        <v>0</v>
      </c>
      <c r="L43" s="15" t="n">
        <f aca="false">IF(L7&lt;$B$5,Hypothèses!$E$45/MAX(1,$B$5-1),0)</f>
        <v>0</v>
      </c>
      <c r="M43" s="15" t="n">
        <f aca="false">IF(M7&lt;$B$5,Hypothèses!$E$45/MAX(1,$B$5-1),0)</f>
        <v>0</v>
      </c>
      <c r="N43" s="15" t="n">
        <f aca="false">IF(N7&lt;$B$5,Hypothèses!$E$45/MAX(1,$B$5-1),0)</f>
        <v>0</v>
      </c>
      <c r="O43" s="15" t="n">
        <f aca="false">IF(O7&lt;$B$5,Hypothèses!$E$45/MAX(1,$B$5-1),0)</f>
        <v>0</v>
      </c>
      <c r="P43" s="15" t="n">
        <f aca="false">IF(P7&lt;$B$5,Hypothèses!$E$45/MAX(1,$B$5-1),0)</f>
        <v>0</v>
      </c>
      <c r="Q43" s="15" t="n">
        <f aca="false">IF(Q7&lt;$B$5,Hypothèses!$E$45/MAX(1,$B$5-1),0)</f>
        <v>0</v>
      </c>
      <c r="R43" s="15" t="n">
        <f aca="false">IF(R7&lt;$B$5,Hypothèses!$E$45/MAX(1,$B$5-1),0)</f>
        <v>0</v>
      </c>
      <c r="S43" s="15" t="n">
        <f aca="false">IF(S7&lt;$B$5,Hypothèses!$E$45/MAX(1,$B$5-1),0)</f>
        <v>0</v>
      </c>
      <c r="T43" s="15" t="n">
        <f aca="false">IF(T7&lt;$B$5,Hypothèses!$E$45/MAX(1,$B$5-1),0)</f>
        <v>0</v>
      </c>
      <c r="U43" s="15" t="n">
        <f aca="false">IF(U7&lt;$B$5,Hypothèses!$E$45/MAX(1,$B$5-1),0)</f>
        <v>0</v>
      </c>
      <c r="V43" s="15" t="n">
        <f aca="false">IF(V7&lt;$B$5,Hypothèses!$E$45/MAX(1,$B$5-1),0)</f>
        <v>0</v>
      </c>
      <c r="W43" s="15" t="n">
        <f aca="false">IF(W7&lt;$B$5,Hypothèses!$E$45/MAX(1,$B$5-1),0)</f>
        <v>0</v>
      </c>
      <c r="X43" s="15" t="n">
        <f aca="false">IF(X7&lt;$B$5,Hypothèses!$E$45/MAX(1,$B$5-1),0)</f>
        <v>0</v>
      </c>
      <c r="Y43" s="15" t="n">
        <f aca="false">IF(Y7&lt;$B$5,Hypothèses!$E$45/MAX(1,$B$5-1),0)</f>
        <v>0</v>
      </c>
      <c r="Z43" s="15" t="n">
        <f aca="false">IF(Z7&lt;$B$5,Hypothèses!$E$45/MAX(1,$B$5-1),0)</f>
        <v>0</v>
      </c>
      <c r="AA43" s="15" t="n">
        <f aca="false">IF(AA7&lt;$B$5,Hypothèses!$E$45/MAX(1,$B$5-1),0)</f>
        <v>0</v>
      </c>
      <c r="AB43" s="15" t="n">
        <f aca="false">IF(AB7&lt;$B$5,Hypothèses!$E$45/MAX(1,$B$5-1),0)</f>
        <v>0</v>
      </c>
      <c r="AC43" s="15" t="n">
        <f aca="false">IF(AC7&lt;$B$5,Hypothèses!$E$45/MAX(1,$B$5-1),0)</f>
        <v>0</v>
      </c>
      <c r="AD43" s="15" t="n">
        <f aca="false">IF(AD7&lt;$B$5,Hypothèses!$E$45/MAX(1,$B$5-1),0)</f>
        <v>0</v>
      </c>
      <c r="AE43" s="15" t="n">
        <f aca="false">IF(AE7&lt;$B$5,Hypothèses!$E$45/MAX(1,$B$5-1),0)</f>
        <v>0</v>
      </c>
      <c r="AF43" s="15" t="n">
        <f aca="false">IF(AF7&lt;$B$5,Hypothèses!$E$45/MAX(1,$B$5-1),0)</f>
        <v>0</v>
      </c>
      <c r="AG43" s="15" t="n">
        <f aca="false">IF(AG7&lt;$B$5,Hypothèses!$E$45/MAX(1,$B$5-1),0)</f>
        <v>0</v>
      </c>
      <c r="AH43" s="15" t="n">
        <f aca="false">IF(AH7&lt;$B$5,Hypothèses!$E$45/MAX(1,$B$5-1),0)</f>
        <v>0</v>
      </c>
      <c r="AI43" s="15" t="n">
        <f aca="false">IF(AI7&lt;$B$5,Hypothèses!$E$45/MAX(1,$B$5-1),0)</f>
        <v>0</v>
      </c>
      <c r="AJ43" s="15" t="n">
        <f aca="false">IF(AJ7&lt;$B$5,Hypothèses!$E$45/MAX(1,$B$5-1),0)</f>
        <v>0</v>
      </c>
      <c r="AK43" s="15" t="n">
        <f aca="false">IF(AK7&lt;$B$5,Hypothèses!$E$45/MAX(1,$B$5-1),0)</f>
        <v>0</v>
      </c>
      <c r="AL43" s="15" t="n">
        <f aca="false">IF(AL7&lt;$B$5,Hypothèses!$E$45/MAX(1,$B$5-1),0)</f>
        <v>0</v>
      </c>
      <c r="AN43" s="15" t="n">
        <f aca="false">SUM(C43:N43)</f>
        <v>60000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Hypothèses!$E$46*$G$4</f>
        <v>400</v>
      </c>
      <c r="D44" s="15" t="n">
        <f aca="false">Hypothèses!$E$46*$G$4</f>
        <v>400</v>
      </c>
      <c r="E44" s="15" t="n">
        <f aca="false">Hypothèses!$E$46*$G$4</f>
        <v>400</v>
      </c>
      <c r="F44" s="15" t="n">
        <f aca="false">Hypothèses!$E$46*$G$4</f>
        <v>400</v>
      </c>
      <c r="G44" s="15" t="n">
        <f aca="false">Hypothèses!$E$46*$G$4</f>
        <v>400</v>
      </c>
      <c r="H44" s="15" t="n">
        <f aca="false">Hypothèses!$E$46*$G$4</f>
        <v>400</v>
      </c>
      <c r="I44" s="15" t="n">
        <f aca="false">Hypothèses!$E$46*$G$4</f>
        <v>400</v>
      </c>
      <c r="J44" s="15" t="n">
        <f aca="false">Hypothèses!$E$46*$G$4</f>
        <v>400</v>
      </c>
      <c r="K44" s="15" t="n">
        <f aca="false">Hypothèses!$E$46*$G$4</f>
        <v>400</v>
      </c>
      <c r="L44" s="15" t="n">
        <f aca="false">Hypothèses!$E$46*$G$4</f>
        <v>400</v>
      </c>
      <c r="M44" s="15" t="n">
        <f aca="false">Hypothèses!$E$46*$G$4</f>
        <v>400</v>
      </c>
      <c r="N44" s="15" t="n">
        <f aca="false">Hypothèses!$E$46*$G$4</f>
        <v>400</v>
      </c>
      <c r="O44" s="15" t="n">
        <f aca="false">Hypothèses!$E$46*$G$4</f>
        <v>400</v>
      </c>
      <c r="P44" s="15" t="n">
        <f aca="false">Hypothèses!$E$46*$G$4</f>
        <v>400</v>
      </c>
      <c r="Q44" s="15" t="n">
        <f aca="false">Hypothèses!$E$46*$G$4</f>
        <v>400</v>
      </c>
      <c r="R44" s="15" t="n">
        <f aca="false">Hypothèses!$E$46*$G$4</f>
        <v>400</v>
      </c>
      <c r="S44" s="15" t="n">
        <f aca="false">Hypothèses!$E$46*$G$4</f>
        <v>400</v>
      </c>
      <c r="T44" s="15" t="n">
        <f aca="false">Hypothèses!$E$46*$G$4</f>
        <v>400</v>
      </c>
      <c r="U44" s="15" t="n">
        <f aca="false">Hypothèses!$E$46*$G$4</f>
        <v>400</v>
      </c>
      <c r="V44" s="15" t="n">
        <f aca="false">Hypothèses!$E$46*$G$4</f>
        <v>400</v>
      </c>
      <c r="W44" s="15" t="n">
        <f aca="false">Hypothèses!$E$46*$G$4</f>
        <v>400</v>
      </c>
      <c r="X44" s="15" t="n">
        <f aca="false">Hypothèses!$E$46*$G$4</f>
        <v>400</v>
      </c>
      <c r="Y44" s="15" t="n">
        <f aca="false">Hypothèses!$E$46*$G$4</f>
        <v>400</v>
      </c>
      <c r="Z44" s="15" t="n">
        <f aca="false">Hypothèses!$E$46*$G$4</f>
        <v>400</v>
      </c>
      <c r="AA44" s="15" t="n">
        <f aca="false">Hypothèses!$E$46*$G$4</f>
        <v>400</v>
      </c>
      <c r="AB44" s="15" t="n">
        <f aca="false">Hypothèses!$E$46*$G$4</f>
        <v>400</v>
      </c>
      <c r="AC44" s="15" t="n">
        <f aca="false">Hypothèses!$E$46*$G$4</f>
        <v>400</v>
      </c>
      <c r="AD44" s="15" t="n">
        <f aca="false">Hypothèses!$E$46*$G$4</f>
        <v>400</v>
      </c>
      <c r="AE44" s="15" t="n">
        <f aca="false">Hypothèses!$E$46*$G$4</f>
        <v>400</v>
      </c>
      <c r="AF44" s="15" t="n">
        <f aca="false">Hypothèses!$E$46*$G$4</f>
        <v>400</v>
      </c>
      <c r="AG44" s="15" t="n">
        <f aca="false">Hypothèses!$E$46*$G$4</f>
        <v>400</v>
      </c>
      <c r="AH44" s="15" t="n">
        <f aca="false">Hypothèses!$E$46*$G$4</f>
        <v>400</v>
      </c>
      <c r="AI44" s="15" t="n">
        <f aca="false">Hypothèses!$E$46*$G$4</f>
        <v>400</v>
      </c>
      <c r="AJ44" s="15" t="n">
        <f aca="false">Hypothèses!$E$46*$G$4</f>
        <v>400</v>
      </c>
      <c r="AK44" s="15" t="n">
        <f aca="false">Hypothèses!$E$46*$G$4</f>
        <v>400</v>
      </c>
      <c r="AL44" s="15" t="n">
        <f aca="false">Hypothèses!$E$46*$G$4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Hypothèses!$E$47*$G$4</f>
        <v>800</v>
      </c>
      <c r="D45" s="15" t="n">
        <f aca="false">Hypothèses!$E$47*$G$4</f>
        <v>800</v>
      </c>
      <c r="E45" s="15" t="n">
        <f aca="false">Hypothèses!$E$47*$G$4</f>
        <v>800</v>
      </c>
      <c r="F45" s="15" t="n">
        <f aca="false">Hypothèses!$E$47*$G$4</f>
        <v>800</v>
      </c>
      <c r="G45" s="15" t="n">
        <f aca="false">Hypothèses!$E$47*$G$4</f>
        <v>800</v>
      </c>
      <c r="H45" s="15" t="n">
        <f aca="false">Hypothèses!$E$47*$G$4</f>
        <v>800</v>
      </c>
      <c r="I45" s="15" t="n">
        <f aca="false">Hypothèses!$E$47*$G$4</f>
        <v>800</v>
      </c>
      <c r="J45" s="15" t="n">
        <f aca="false">Hypothèses!$E$47*$G$4</f>
        <v>800</v>
      </c>
      <c r="K45" s="15" t="n">
        <f aca="false">Hypothèses!$E$47*$G$4</f>
        <v>800</v>
      </c>
      <c r="L45" s="15" t="n">
        <f aca="false">Hypothèses!$E$47*$G$4</f>
        <v>800</v>
      </c>
      <c r="M45" s="15" t="n">
        <f aca="false">Hypothèses!$E$47*$G$4</f>
        <v>800</v>
      </c>
      <c r="N45" s="15" t="n">
        <f aca="false">Hypothèses!$E$47*$G$4</f>
        <v>800</v>
      </c>
      <c r="O45" s="15" t="n">
        <f aca="false">Hypothèses!$E$47*$G$4</f>
        <v>800</v>
      </c>
      <c r="P45" s="15" t="n">
        <f aca="false">Hypothèses!$E$47*$G$4</f>
        <v>800</v>
      </c>
      <c r="Q45" s="15" t="n">
        <f aca="false">Hypothèses!$E$47*$G$4</f>
        <v>800</v>
      </c>
      <c r="R45" s="15" t="n">
        <f aca="false">Hypothèses!$E$47*$G$4</f>
        <v>800</v>
      </c>
      <c r="S45" s="15" t="n">
        <f aca="false">Hypothèses!$E$47*$G$4</f>
        <v>800</v>
      </c>
      <c r="T45" s="15" t="n">
        <f aca="false">Hypothèses!$E$47*$G$4</f>
        <v>800</v>
      </c>
      <c r="U45" s="15" t="n">
        <f aca="false">Hypothèses!$E$47*$G$4</f>
        <v>800</v>
      </c>
      <c r="V45" s="15" t="n">
        <f aca="false">Hypothèses!$E$47*$G$4</f>
        <v>800</v>
      </c>
      <c r="W45" s="15" t="n">
        <f aca="false">Hypothèses!$E$47*$G$4</f>
        <v>800</v>
      </c>
      <c r="X45" s="15" t="n">
        <f aca="false">Hypothèses!$E$47*$G$4</f>
        <v>800</v>
      </c>
      <c r="Y45" s="15" t="n">
        <f aca="false">Hypothèses!$E$47*$G$4</f>
        <v>800</v>
      </c>
      <c r="Z45" s="15" t="n">
        <f aca="false">Hypothèses!$E$47*$G$4</f>
        <v>800</v>
      </c>
      <c r="AA45" s="15" t="n">
        <f aca="false">Hypothèses!$E$47*$G$4</f>
        <v>800</v>
      </c>
      <c r="AB45" s="15" t="n">
        <f aca="false">Hypothèses!$E$47*$G$4</f>
        <v>800</v>
      </c>
      <c r="AC45" s="15" t="n">
        <f aca="false">Hypothèses!$E$47*$G$4</f>
        <v>800</v>
      </c>
      <c r="AD45" s="15" t="n">
        <f aca="false">Hypothèses!$E$47*$G$4</f>
        <v>800</v>
      </c>
      <c r="AE45" s="15" t="n">
        <f aca="false">Hypothèses!$E$47*$G$4</f>
        <v>800</v>
      </c>
      <c r="AF45" s="15" t="n">
        <f aca="false">Hypothèses!$E$47*$G$4</f>
        <v>800</v>
      </c>
      <c r="AG45" s="15" t="n">
        <f aca="false">Hypothèses!$E$47*$G$4</f>
        <v>800</v>
      </c>
      <c r="AH45" s="15" t="n">
        <f aca="false">Hypothèses!$E$47*$G$4</f>
        <v>800</v>
      </c>
      <c r="AI45" s="15" t="n">
        <f aca="false">Hypothèses!$E$47*$G$4</f>
        <v>800</v>
      </c>
      <c r="AJ45" s="15" t="n">
        <f aca="false">Hypothèses!$E$47*$G$4</f>
        <v>800</v>
      </c>
      <c r="AK45" s="15" t="n">
        <f aca="false">Hypothèses!$E$47*$G$4</f>
        <v>800</v>
      </c>
      <c r="AL45" s="15" t="n">
        <f aca="false">Hypothèses!$E$47*$G$4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C9*Hypothèses!$E$48*$G$4</f>
        <v>0</v>
      </c>
      <c r="D46" s="15" t="n">
        <f aca="false">D9*Hypothèses!$E$48*$G$4</f>
        <v>0</v>
      </c>
      <c r="E46" s="15" t="n">
        <f aca="false">E9*Hypothèses!$E$48*$G$4</f>
        <v>0</v>
      </c>
      <c r="F46" s="15" t="n">
        <f aca="false">F9*Hypothèses!$E$48*$G$4</f>
        <v>0</v>
      </c>
      <c r="G46" s="15" t="n">
        <f aca="false">G9*Hypothèses!$E$48*$G$4</f>
        <v>0</v>
      </c>
      <c r="H46" s="15" t="n">
        <f aca="false">H9*Hypothèses!$E$48*$G$4</f>
        <v>150</v>
      </c>
      <c r="I46" s="15" t="n">
        <f aca="false">I9*Hypothèses!$E$48*$G$4</f>
        <v>150</v>
      </c>
      <c r="J46" s="15" t="n">
        <f aca="false">J9*Hypothèses!$E$48*$G$4</f>
        <v>150</v>
      </c>
      <c r="K46" s="15" t="n">
        <f aca="false">K9*Hypothèses!$E$48*$G$4</f>
        <v>150</v>
      </c>
      <c r="L46" s="15" t="n">
        <f aca="false">L9*Hypothèses!$E$48*$G$4</f>
        <v>150</v>
      </c>
      <c r="M46" s="15" t="n">
        <f aca="false">M9*Hypothèses!$E$48*$G$4</f>
        <v>150</v>
      </c>
      <c r="N46" s="15" t="n">
        <f aca="false">N9*Hypothèses!$E$48*$G$4</f>
        <v>150</v>
      </c>
      <c r="O46" s="15" t="n">
        <f aca="false">O9*Hypothèses!$E$48*$G$4</f>
        <v>150</v>
      </c>
      <c r="P46" s="15" t="n">
        <f aca="false">P9*Hypothèses!$E$48*$G$4</f>
        <v>150</v>
      </c>
      <c r="Q46" s="15" t="n">
        <f aca="false">Q9*Hypothèses!$E$48*$G$4</f>
        <v>150</v>
      </c>
      <c r="R46" s="15" t="n">
        <f aca="false">R9*Hypothèses!$E$48*$G$4</f>
        <v>150</v>
      </c>
      <c r="S46" s="15" t="n">
        <f aca="false">S9*Hypothèses!$E$48*$G$4</f>
        <v>150</v>
      </c>
      <c r="T46" s="15" t="n">
        <f aca="false">T9*Hypothèses!$E$48*$G$4</f>
        <v>150</v>
      </c>
      <c r="U46" s="15" t="n">
        <f aca="false">U9*Hypothèses!$E$48*$G$4</f>
        <v>150</v>
      </c>
      <c r="V46" s="15" t="n">
        <f aca="false">V9*Hypothèses!$E$48*$G$4</f>
        <v>150</v>
      </c>
      <c r="W46" s="15" t="n">
        <f aca="false">W9*Hypothèses!$E$48*$G$4</f>
        <v>150</v>
      </c>
      <c r="X46" s="15" t="n">
        <f aca="false">X9*Hypothèses!$E$48*$G$4</f>
        <v>150</v>
      </c>
      <c r="Y46" s="15" t="n">
        <f aca="false">Y9*Hypothèses!$E$48*$G$4</f>
        <v>150</v>
      </c>
      <c r="Z46" s="15" t="n">
        <f aca="false">Z9*Hypothèses!$E$48*$G$4</f>
        <v>150</v>
      </c>
      <c r="AA46" s="15" t="n">
        <f aca="false">AA9*Hypothèses!$E$48*$G$4</f>
        <v>150</v>
      </c>
      <c r="AB46" s="15" t="n">
        <f aca="false">AB9*Hypothèses!$E$48*$G$4</f>
        <v>150</v>
      </c>
      <c r="AC46" s="15" t="n">
        <f aca="false">AC9*Hypothèses!$E$48*$G$4</f>
        <v>150</v>
      </c>
      <c r="AD46" s="15" t="n">
        <f aca="false">AD9*Hypothèses!$E$48*$G$4</f>
        <v>150</v>
      </c>
      <c r="AE46" s="15" t="n">
        <f aca="false">AE9*Hypothèses!$E$48*$G$4</f>
        <v>150</v>
      </c>
      <c r="AF46" s="15" t="n">
        <f aca="false">AF9*Hypothèses!$E$48*$G$4</f>
        <v>150</v>
      </c>
      <c r="AG46" s="15" t="n">
        <f aca="false">AG9*Hypothèses!$E$48*$G$4</f>
        <v>150</v>
      </c>
      <c r="AH46" s="15" t="n">
        <f aca="false">AH9*Hypothèses!$E$48*$G$4</f>
        <v>150</v>
      </c>
      <c r="AI46" s="15" t="n">
        <f aca="false">AI9*Hypothèses!$E$48*$G$4</f>
        <v>150</v>
      </c>
      <c r="AJ46" s="15" t="n">
        <f aca="false">AJ9*Hypothèses!$E$48*$G$4</f>
        <v>150</v>
      </c>
      <c r="AK46" s="15" t="n">
        <f aca="false">AK9*Hypothèses!$E$48*$G$4</f>
        <v>150</v>
      </c>
      <c r="AL46" s="15" t="n">
        <f aca="false">AL9*Hypothèses!$E$48*$G$4</f>
        <v>150</v>
      </c>
      <c r="AN46" s="15" t="n">
        <f aca="false">SUM(C46:N46)</f>
        <v>1050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C9*Hypothèses!$E$49*$G$4</f>
        <v>0</v>
      </c>
      <c r="D47" s="15" t="n">
        <f aca="false">D9*Hypothèses!$E$49*$G$4</f>
        <v>0</v>
      </c>
      <c r="E47" s="15" t="n">
        <f aca="false">E9*Hypothèses!$E$49*$G$4</f>
        <v>0</v>
      </c>
      <c r="F47" s="15" t="n">
        <f aca="false">F9*Hypothèses!$E$49*$G$4</f>
        <v>0</v>
      </c>
      <c r="G47" s="15" t="n">
        <f aca="false">G9*Hypothèses!$E$49*$G$4</f>
        <v>0</v>
      </c>
      <c r="H47" s="15" t="n">
        <f aca="false">H9*Hypothèses!$E$49*$G$4</f>
        <v>1500</v>
      </c>
      <c r="I47" s="15" t="n">
        <f aca="false">I9*Hypothèses!$E$49*$G$4</f>
        <v>1500</v>
      </c>
      <c r="J47" s="15" t="n">
        <f aca="false">J9*Hypothèses!$E$49*$G$4</f>
        <v>1500</v>
      </c>
      <c r="K47" s="15" t="n">
        <f aca="false">K9*Hypothèses!$E$49*$G$4</f>
        <v>1500</v>
      </c>
      <c r="L47" s="15" t="n">
        <f aca="false">L9*Hypothèses!$E$49*$G$4</f>
        <v>1500</v>
      </c>
      <c r="M47" s="15" t="n">
        <f aca="false">M9*Hypothèses!$E$49*$G$4</f>
        <v>1500</v>
      </c>
      <c r="N47" s="15" t="n">
        <f aca="false">N9*Hypothèses!$E$49*$G$4</f>
        <v>1500</v>
      </c>
      <c r="O47" s="15" t="n">
        <f aca="false">O9*Hypothèses!$E$49*$G$4</f>
        <v>1500</v>
      </c>
      <c r="P47" s="15" t="n">
        <f aca="false">P9*Hypothèses!$E$49*$G$4</f>
        <v>1500</v>
      </c>
      <c r="Q47" s="15" t="n">
        <f aca="false">Q9*Hypothèses!$E$49*$G$4</f>
        <v>1500</v>
      </c>
      <c r="R47" s="15" t="n">
        <f aca="false">R9*Hypothèses!$E$49*$G$4</f>
        <v>1500</v>
      </c>
      <c r="S47" s="15" t="n">
        <f aca="false">S9*Hypothèses!$E$49*$G$4</f>
        <v>1500</v>
      </c>
      <c r="T47" s="15" t="n">
        <f aca="false">T9*Hypothèses!$E$49*$G$4</f>
        <v>1500</v>
      </c>
      <c r="U47" s="15" t="n">
        <f aca="false">U9*Hypothèses!$E$49*$G$4</f>
        <v>1500</v>
      </c>
      <c r="V47" s="15" t="n">
        <f aca="false">V9*Hypothèses!$E$49*$G$4</f>
        <v>1500</v>
      </c>
      <c r="W47" s="15" t="n">
        <f aca="false">W9*Hypothèses!$E$49*$G$4</f>
        <v>1500</v>
      </c>
      <c r="X47" s="15" t="n">
        <f aca="false">X9*Hypothèses!$E$49*$G$4</f>
        <v>1500</v>
      </c>
      <c r="Y47" s="15" t="n">
        <f aca="false">Y9*Hypothèses!$E$49*$G$4</f>
        <v>1500</v>
      </c>
      <c r="Z47" s="15" t="n">
        <f aca="false">Z9*Hypothèses!$E$49*$G$4</f>
        <v>1500</v>
      </c>
      <c r="AA47" s="15" t="n">
        <f aca="false">AA9*Hypothèses!$E$49*$G$4</f>
        <v>1500</v>
      </c>
      <c r="AB47" s="15" t="n">
        <f aca="false">AB9*Hypothèses!$E$49*$G$4</f>
        <v>1500</v>
      </c>
      <c r="AC47" s="15" t="n">
        <f aca="false">AC9*Hypothèses!$E$49*$G$4</f>
        <v>1500</v>
      </c>
      <c r="AD47" s="15" t="n">
        <f aca="false">AD9*Hypothèses!$E$49*$G$4</f>
        <v>1500</v>
      </c>
      <c r="AE47" s="15" t="n">
        <f aca="false">AE9*Hypothèses!$E$49*$G$4</f>
        <v>1500</v>
      </c>
      <c r="AF47" s="15" t="n">
        <f aca="false">AF9*Hypothèses!$E$49*$G$4</f>
        <v>1500</v>
      </c>
      <c r="AG47" s="15" t="n">
        <f aca="false">AG9*Hypothèses!$E$49*$G$4</f>
        <v>1500</v>
      </c>
      <c r="AH47" s="15" t="n">
        <f aca="false">AH9*Hypothèses!$E$49*$G$4</f>
        <v>1500</v>
      </c>
      <c r="AI47" s="15" t="n">
        <f aca="false">AI9*Hypothèses!$E$49*$G$4</f>
        <v>1500</v>
      </c>
      <c r="AJ47" s="15" t="n">
        <f aca="false">AJ9*Hypothèses!$E$49*$G$4</f>
        <v>1500</v>
      </c>
      <c r="AK47" s="15" t="n">
        <f aca="false">AK9*Hypothèses!$E$49*$G$4</f>
        <v>1500</v>
      </c>
      <c r="AL47" s="15" t="n">
        <f aca="false">AL9*Hypothèses!$E$49*$G$4</f>
        <v>1500</v>
      </c>
      <c r="AN47" s="15" t="n">
        <f aca="false">SUM(C47:N47)</f>
        <v>10500</v>
      </c>
      <c r="AO47" s="15" t="n">
        <f aca="false">SUM(O47:Z47)</f>
        <v>18000</v>
      </c>
      <c r="AP47" s="15" t="n">
        <f aca="false">SUM(AA47:AL47)</f>
        <v>18000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Hypothèses!$E$50*$G$4</f>
        <v>300</v>
      </c>
      <c r="D48" s="15" t="n">
        <f aca="false">Hypothèses!$E$50*$G$4</f>
        <v>300</v>
      </c>
      <c r="E48" s="15" t="n">
        <f aca="false">Hypothèses!$E$50*$G$4</f>
        <v>300</v>
      </c>
      <c r="F48" s="15" t="n">
        <f aca="false">Hypothèses!$E$50*$G$4</f>
        <v>300</v>
      </c>
      <c r="G48" s="15" t="n">
        <f aca="false">Hypothèses!$E$50*$G$4</f>
        <v>300</v>
      </c>
      <c r="H48" s="15" t="n">
        <f aca="false">Hypothèses!$E$50*$G$4</f>
        <v>300</v>
      </c>
      <c r="I48" s="15" t="n">
        <f aca="false">Hypothèses!$E$50*$G$4</f>
        <v>300</v>
      </c>
      <c r="J48" s="15" t="n">
        <f aca="false">Hypothèses!$E$50*$G$4</f>
        <v>300</v>
      </c>
      <c r="K48" s="15" t="n">
        <f aca="false">Hypothèses!$E$50*$G$4</f>
        <v>300</v>
      </c>
      <c r="L48" s="15" t="n">
        <f aca="false">Hypothèses!$E$50*$G$4</f>
        <v>300</v>
      </c>
      <c r="M48" s="15" t="n">
        <f aca="false">Hypothèses!$E$50*$G$4</f>
        <v>300</v>
      </c>
      <c r="N48" s="15" t="n">
        <f aca="false">Hypothèses!$E$50*$G$4</f>
        <v>300</v>
      </c>
      <c r="O48" s="15" t="n">
        <f aca="false">Hypothèses!$E$50*$G$4</f>
        <v>300</v>
      </c>
      <c r="P48" s="15" t="n">
        <f aca="false">Hypothèses!$E$50*$G$4</f>
        <v>300</v>
      </c>
      <c r="Q48" s="15" t="n">
        <f aca="false">Hypothèses!$E$50*$G$4</f>
        <v>300</v>
      </c>
      <c r="R48" s="15" t="n">
        <f aca="false">Hypothèses!$E$50*$G$4</f>
        <v>300</v>
      </c>
      <c r="S48" s="15" t="n">
        <f aca="false">Hypothèses!$E$50*$G$4</f>
        <v>300</v>
      </c>
      <c r="T48" s="15" t="n">
        <f aca="false">Hypothèses!$E$50*$G$4</f>
        <v>300</v>
      </c>
      <c r="U48" s="15" t="n">
        <f aca="false">Hypothèses!$E$50*$G$4</f>
        <v>300</v>
      </c>
      <c r="V48" s="15" t="n">
        <f aca="false">Hypothèses!$E$50*$G$4</f>
        <v>300</v>
      </c>
      <c r="W48" s="15" t="n">
        <f aca="false">Hypothèses!$E$50*$G$4</f>
        <v>300</v>
      </c>
      <c r="X48" s="15" t="n">
        <f aca="false">Hypothèses!$E$50*$G$4</f>
        <v>300</v>
      </c>
      <c r="Y48" s="15" t="n">
        <f aca="false">Hypothèses!$E$50*$G$4</f>
        <v>300</v>
      </c>
      <c r="Z48" s="15" t="n">
        <f aca="false">Hypothèses!$E$50*$G$4</f>
        <v>300</v>
      </c>
      <c r="AA48" s="15" t="n">
        <f aca="false">Hypothèses!$E$50*$G$4</f>
        <v>300</v>
      </c>
      <c r="AB48" s="15" t="n">
        <f aca="false">Hypothèses!$E$50*$G$4</f>
        <v>300</v>
      </c>
      <c r="AC48" s="15" t="n">
        <f aca="false">Hypothèses!$E$50*$G$4</f>
        <v>300</v>
      </c>
      <c r="AD48" s="15" t="n">
        <f aca="false">Hypothèses!$E$50*$G$4</f>
        <v>300</v>
      </c>
      <c r="AE48" s="15" t="n">
        <f aca="false">Hypothèses!$E$50*$G$4</f>
        <v>300</v>
      </c>
      <c r="AF48" s="15" t="n">
        <f aca="false">Hypothèses!$E$50*$G$4</f>
        <v>300</v>
      </c>
      <c r="AG48" s="15" t="n">
        <f aca="false">Hypothèses!$E$50*$G$4</f>
        <v>300</v>
      </c>
      <c r="AH48" s="15" t="n">
        <f aca="false">Hypothèses!$E$50*$G$4</f>
        <v>300</v>
      </c>
      <c r="AI48" s="15" t="n">
        <f aca="false">Hypothèses!$E$50*$G$4</f>
        <v>300</v>
      </c>
      <c r="AJ48" s="15" t="n">
        <f aca="false">Hypothèses!$E$50*$G$4</f>
        <v>300</v>
      </c>
      <c r="AK48" s="15" t="n">
        <f aca="false">Hypothèses!$E$50*$G$4</f>
        <v>300</v>
      </c>
      <c r="AL48" s="15" t="n">
        <f aca="false">Hypothèses!$E$50*$G$4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IF(AND(C9=1,MOD(C7-$B$5,12)=0),Hypothèses!$E$51,0)*$G$4</f>
        <v>0</v>
      </c>
      <c r="D49" s="15" t="n">
        <f aca="false">IF(AND(D9=1,MOD(D7-$B$5,12)=0),Hypothèses!$E$51,0)*$G$4</f>
        <v>0</v>
      </c>
      <c r="E49" s="15" t="n">
        <f aca="false">IF(AND(E9=1,MOD(E7-$B$5,12)=0),Hypothèses!$E$51,0)*$G$4</f>
        <v>0</v>
      </c>
      <c r="F49" s="15" t="n">
        <f aca="false">IF(AND(F9=1,MOD(F7-$B$5,12)=0),Hypothèses!$E$51,0)*$G$4</f>
        <v>0</v>
      </c>
      <c r="G49" s="15" t="n">
        <f aca="false">IF(AND(G9=1,MOD(G7-$B$5,12)=0),Hypothèses!$E$51,0)*$G$4</f>
        <v>0</v>
      </c>
      <c r="H49" s="15" t="n">
        <f aca="false">IF(AND(H9=1,MOD(H7-$B$5,12)=0),Hypothèses!$E$51,0)*$G$4</f>
        <v>3000</v>
      </c>
      <c r="I49" s="15" t="n">
        <f aca="false">IF(AND(I9=1,MOD(I7-$B$5,12)=0),Hypothèses!$E$51,0)*$G$4</f>
        <v>0</v>
      </c>
      <c r="J49" s="15" t="n">
        <f aca="false">IF(AND(J9=1,MOD(J7-$B$5,12)=0),Hypothèses!$E$51,0)*$G$4</f>
        <v>0</v>
      </c>
      <c r="K49" s="15" t="n">
        <f aca="false">IF(AND(K9=1,MOD(K7-$B$5,12)=0),Hypothèses!$E$51,0)*$G$4</f>
        <v>0</v>
      </c>
      <c r="L49" s="15" t="n">
        <f aca="false">IF(AND(L9=1,MOD(L7-$B$5,12)=0),Hypothèses!$E$51,0)*$G$4</f>
        <v>0</v>
      </c>
      <c r="M49" s="15" t="n">
        <f aca="false">IF(AND(M9=1,MOD(M7-$B$5,12)=0),Hypothèses!$E$51,0)*$G$4</f>
        <v>0</v>
      </c>
      <c r="N49" s="15" t="n">
        <f aca="false">IF(AND(N9=1,MOD(N7-$B$5,12)=0),Hypothèses!$E$51,0)*$G$4</f>
        <v>0</v>
      </c>
      <c r="O49" s="15" t="n">
        <f aca="false">IF(AND(O9=1,MOD(O7-$B$5,12)=0),Hypothèses!$E$51,0)*$G$4</f>
        <v>0</v>
      </c>
      <c r="P49" s="15" t="n">
        <f aca="false">IF(AND(P9=1,MOD(P7-$B$5,12)=0),Hypothèses!$E$51,0)*$G$4</f>
        <v>0</v>
      </c>
      <c r="Q49" s="15" t="n">
        <f aca="false">IF(AND(Q9=1,MOD(Q7-$B$5,12)=0),Hypothèses!$E$51,0)*$G$4</f>
        <v>0</v>
      </c>
      <c r="R49" s="15" t="n">
        <f aca="false">IF(AND(R9=1,MOD(R7-$B$5,12)=0),Hypothèses!$E$51,0)*$G$4</f>
        <v>0</v>
      </c>
      <c r="S49" s="15" t="n">
        <f aca="false">IF(AND(S9=1,MOD(S7-$B$5,12)=0),Hypothèses!$E$51,0)*$G$4</f>
        <v>0</v>
      </c>
      <c r="T49" s="15" t="n">
        <f aca="false">IF(AND(T9=1,MOD(T7-$B$5,12)=0),Hypothèses!$E$51,0)*$G$4</f>
        <v>3000</v>
      </c>
      <c r="U49" s="15" t="n">
        <f aca="false">IF(AND(U9=1,MOD(U7-$B$5,12)=0),Hypothèses!$E$51,0)*$G$4</f>
        <v>0</v>
      </c>
      <c r="V49" s="15" t="n">
        <f aca="false">IF(AND(V9=1,MOD(V7-$B$5,12)=0),Hypothèses!$E$51,0)*$G$4</f>
        <v>0</v>
      </c>
      <c r="W49" s="15" t="n">
        <f aca="false">IF(AND(W9=1,MOD(W7-$B$5,12)=0),Hypothèses!$E$51,0)*$G$4</f>
        <v>0</v>
      </c>
      <c r="X49" s="15" t="n">
        <f aca="false">IF(AND(X9=1,MOD(X7-$B$5,12)=0),Hypothèses!$E$51,0)*$G$4</f>
        <v>0</v>
      </c>
      <c r="Y49" s="15" t="n">
        <f aca="false">IF(AND(Y9=1,MOD(Y7-$B$5,12)=0),Hypothèses!$E$51,0)*$G$4</f>
        <v>0</v>
      </c>
      <c r="Z49" s="15" t="n">
        <f aca="false">IF(AND(Z9=1,MOD(Z7-$B$5,12)=0),Hypothèses!$E$51,0)*$G$4</f>
        <v>0</v>
      </c>
      <c r="AA49" s="15" t="n">
        <f aca="false">IF(AND(AA9=1,MOD(AA7-$B$5,12)=0),Hypothèses!$E$51,0)*$G$4</f>
        <v>0</v>
      </c>
      <c r="AB49" s="15" t="n">
        <f aca="false">IF(AND(AB9=1,MOD(AB7-$B$5,12)=0),Hypothèses!$E$51,0)*$G$4</f>
        <v>0</v>
      </c>
      <c r="AC49" s="15" t="n">
        <f aca="false">IF(AND(AC9=1,MOD(AC7-$B$5,12)=0),Hypothèses!$E$51,0)*$G$4</f>
        <v>0</v>
      </c>
      <c r="AD49" s="15" t="n">
        <f aca="false">IF(AND(AD9=1,MOD(AD7-$B$5,12)=0),Hypothèses!$E$51,0)*$G$4</f>
        <v>0</v>
      </c>
      <c r="AE49" s="15" t="n">
        <f aca="false">IF(AND(AE9=1,MOD(AE7-$B$5,12)=0),Hypothèses!$E$51,0)*$G$4</f>
        <v>0</v>
      </c>
      <c r="AF49" s="15" t="n">
        <f aca="false">IF(AND(AF9=1,MOD(AF7-$B$5,12)=0),Hypothèses!$E$51,0)*$G$4</f>
        <v>3000</v>
      </c>
      <c r="AG49" s="15" t="n">
        <f aca="false">IF(AND(AG9=1,MOD(AG7-$B$5,12)=0),Hypothèses!$E$51,0)*$G$4</f>
        <v>0</v>
      </c>
      <c r="AH49" s="15" t="n">
        <f aca="false">IF(AND(AH9=1,MOD(AH7-$B$5,12)=0),Hypothèses!$E$51,0)*$G$4</f>
        <v>0</v>
      </c>
      <c r="AI49" s="15" t="n">
        <f aca="false">IF(AND(AI9=1,MOD(AI7-$B$5,12)=0),Hypothèses!$E$51,0)*$G$4</f>
        <v>0</v>
      </c>
      <c r="AJ49" s="15" t="n">
        <f aca="false">IF(AND(AJ9=1,MOD(AJ7-$B$5,12)=0),Hypothèses!$E$51,0)*$G$4</f>
        <v>0</v>
      </c>
      <c r="AK49" s="15" t="n">
        <f aca="false">IF(AND(AK9=1,MOD(AK7-$B$5,12)=0),Hypothèses!$E$51,0)*$G$4</f>
        <v>0</v>
      </c>
      <c r="AL49" s="15" t="n">
        <f aca="false">IF(AND(AL9=1,MOD(AL7-$B$5,12)=0),Hypothèses!$E$51,0)*$G$4</f>
        <v>0</v>
      </c>
      <c r="AN49" s="15" t="n">
        <f aca="false">SUM(C49:N49)</f>
        <v>3000</v>
      </c>
      <c r="AO49" s="15" t="n">
        <f aca="false">SUM(O49:Z49)</f>
        <v>3000</v>
      </c>
      <c r="AP49" s="15" t="n">
        <f aca="false">SUM(AA49:AL49)</f>
        <v>3000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IF(C7=2,Hypothèses!$E$52,0)</f>
        <v>0</v>
      </c>
      <c r="D50" s="15" t="n">
        <f aca="false">IF(D7=2,Hypothèses!$E$52,0)</f>
        <v>2500</v>
      </c>
      <c r="E50" s="15" t="n">
        <f aca="false">IF(E7=2,Hypothèses!$E$52,0)</f>
        <v>0</v>
      </c>
      <c r="F50" s="15" t="n">
        <f aca="false">IF(F7=2,Hypothèses!$E$52,0)</f>
        <v>0</v>
      </c>
      <c r="G50" s="15" t="n">
        <f aca="false">IF(G7=2,Hypothèses!$E$52,0)</f>
        <v>0</v>
      </c>
      <c r="H50" s="15" t="n">
        <f aca="false">IF(H7=2,Hypothèses!$E$52,0)</f>
        <v>0</v>
      </c>
      <c r="I50" s="15" t="n">
        <f aca="false">IF(I7=2,Hypothèses!$E$52,0)</f>
        <v>0</v>
      </c>
      <c r="J50" s="15" t="n">
        <f aca="false">IF(J7=2,Hypothèses!$E$52,0)</f>
        <v>0</v>
      </c>
      <c r="K50" s="15" t="n">
        <f aca="false">IF(K7=2,Hypothèses!$E$52,0)</f>
        <v>0</v>
      </c>
      <c r="L50" s="15" t="n">
        <f aca="false">IF(L7=2,Hypothèses!$E$52,0)</f>
        <v>0</v>
      </c>
      <c r="M50" s="15" t="n">
        <f aca="false">IF(M7=2,Hypothèses!$E$52,0)</f>
        <v>0</v>
      </c>
      <c r="N50" s="15" t="n">
        <f aca="false">IF(N7=2,Hypothèses!$E$52,0)</f>
        <v>0</v>
      </c>
      <c r="O50" s="15" t="n">
        <f aca="false">IF(O7=2,Hypothèses!$E$52,0)</f>
        <v>0</v>
      </c>
      <c r="P50" s="15" t="n">
        <f aca="false">IF(P7=2,Hypothèses!$E$52,0)</f>
        <v>0</v>
      </c>
      <c r="Q50" s="15" t="n">
        <f aca="false">IF(Q7=2,Hypothèses!$E$52,0)</f>
        <v>0</v>
      </c>
      <c r="R50" s="15" t="n">
        <f aca="false">IF(R7=2,Hypothèses!$E$52,0)</f>
        <v>0</v>
      </c>
      <c r="S50" s="15" t="n">
        <f aca="false">IF(S7=2,Hypothèses!$E$52,0)</f>
        <v>0</v>
      </c>
      <c r="T50" s="15" t="n">
        <f aca="false">IF(T7=2,Hypothèses!$E$52,0)</f>
        <v>0</v>
      </c>
      <c r="U50" s="15" t="n">
        <f aca="false">IF(U7=2,Hypothèses!$E$52,0)</f>
        <v>0</v>
      </c>
      <c r="V50" s="15" t="n">
        <f aca="false">IF(V7=2,Hypothèses!$E$52,0)</f>
        <v>0</v>
      </c>
      <c r="W50" s="15" t="n">
        <f aca="false">IF(W7=2,Hypothèses!$E$52,0)</f>
        <v>0</v>
      </c>
      <c r="X50" s="15" t="n">
        <f aca="false">IF(X7=2,Hypothèses!$E$52,0)</f>
        <v>0</v>
      </c>
      <c r="Y50" s="15" t="n">
        <f aca="false">IF(Y7=2,Hypothèses!$E$52,0)</f>
        <v>0</v>
      </c>
      <c r="Z50" s="15" t="n">
        <f aca="false">IF(Z7=2,Hypothèses!$E$52,0)</f>
        <v>0</v>
      </c>
      <c r="AA50" s="15" t="n">
        <f aca="false">IF(AA7=2,Hypothèses!$E$52,0)</f>
        <v>0</v>
      </c>
      <c r="AB50" s="15" t="n">
        <f aca="false">IF(AB7=2,Hypothèses!$E$52,0)</f>
        <v>0</v>
      </c>
      <c r="AC50" s="15" t="n">
        <f aca="false">IF(AC7=2,Hypothèses!$E$52,0)</f>
        <v>0</v>
      </c>
      <c r="AD50" s="15" t="n">
        <f aca="false">IF(AD7=2,Hypothèses!$E$52,0)</f>
        <v>0</v>
      </c>
      <c r="AE50" s="15" t="n">
        <f aca="false">IF(AE7=2,Hypothèses!$E$52,0)</f>
        <v>0</v>
      </c>
      <c r="AF50" s="15" t="n">
        <f aca="false">IF(AF7=2,Hypothèses!$E$52,0)</f>
        <v>0</v>
      </c>
      <c r="AG50" s="15" t="n">
        <f aca="false">IF(AG7=2,Hypothèses!$E$52,0)</f>
        <v>0</v>
      </c>
      <c r="AH50" s="15" t="n">
        <f aca="false">IF(AH7=2,Hypothèses!$E$52,0)</f>
        <v>0</v>
      </c>
      <c r="AI50" s="15" t="n">
        <f aca="false">IF(AI7=2,Hypothèses!$E$52,0)</f>
        <v>0</v>
      </c>
      <c r="AJ50" s="15" t="n">
        <f aca="false">IF(AJ7=2,Hypothèses!$E$52,0)</f>
        <v>0</v>
      </c>
      <c r="AK50" s="15" t="n">
        <f aca="false">IF(AK7=2,Hypothèses!$E$52,0)</f>
        <v>0</v>
      </c>
      <c r="AL50" s="15" t="n">
        <f aca="false">IF(AL7=2,Hypothèses!$E$52,0)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13500</v>
      </c>
      <c r="D51" s="40" t="n">
        <f aca="false">SUM(D40:D50)</f>
        <v>16000</v>
      </c>
      <c r="E51" s="40" t="n">
        <f aca="false">SUM(E40:E50)</f>
        <v>13500</v>
      </c>
      <c r="F51" s="40" t="n">
        <f aca="false">SUM(F40:F50)</f>
        <v>13500</v>
      </c>
      <c r="G51" s="40" t="n">
        <f aca="false">SUM(G40:G50)</f>
        <v>13500</v>
      </c>
      <c r="H51" s="40" t="n">
        <f aca="false">SUM(H40:H50)</f>
        <v>6150</v>
      </c>
      <c r="I51" s="40" t="n">
        <f aca="false">SUM(I40:I50)</f>
        <v>3150</v>
      </c>
      <c r="J51" s="40" t="n">
        <f aca="false">SUM(J40:J50)</f>
        <v>3150</v>
      </c>
      <c r="K51" s="40" t="n">
        <f aca="false">SUM(K40:K50)</f>
        <v>3150</v>
      </c>
      <c r="L51" s="40" t="n">
        <f aca="false">SUM(L40:L50)</f>
        <v>7650</v>
      </c>
      <c r="M51" s="40" t="n">
        <f aca="false">SUM(M40:M50)</f>
        <v>7650</v>
      </c>
      <c r="N51" s="40" t="n">
        <f aca="false">SUM(N40:N50)</f>
        <v>7650</v>
      </c>
      <c r="O51" s="40" t="n">
        <f aca="false">SUM(O40:O50)</f>
        <v>17650</v>
      </c>
      <c r="P51" s="40" t="n">
        <f aca="false">SUM(P40:P50)</f>
        <v>24150</v>
      </c>
      <c r="Q51" s="40" t="n">
        <f aca="false">SUM(Q40:Q50)</f>
        <v>24150</v>
      </c>
      <c r="R51" s="40" t="n">
        <f aca="false">SUM(R40:R50)</f>
        <v>24150</v>
      </c>
      <c r="S51" s="40" t="n">
        <f aca="false">SUM(S40:S50)</f>
        <v>24150</v>
      </c>
      <c r="T51" s="40" t="n">
        <f aca="false">SUM(T40:T50)</f>
        <v>27150</v>
      </c>
      <c r="U51" s="40" t="n">
        <f aca="false">SUM(U40:U50)</f>
        <v>24150</v>
      </c>
      <c r="V51" s="40" t="n">
        <f aca="false">SUM(V40:V50)</f>
        <v>24150</v>
      </c>
      <c r="W51" s="40" t="n">
        <f aca="false">SUM(W40:W50)</f>
        <v>24150</v>
      </c>
      <c r="X51" s="40" t="n">
        <f aca="false">SUM(X40:X50)</f>
        <v>24150</v>
      </c>
      <c r="Y51" s="40" t="n">
        <f aca="false">SUM(Y40:Y50)</f>
        <v>24150</v>
      </c>
      <c r="Z51" s="40" t="n">
        <f aca="false">SUM(Z40:Z50)</f>
        <v>24150</v>
      </c>
      <c r="AA51" s="40" t="n">
        <f aca="false">SUM(AA40:AA50)</f>
        <v>24150</v>
      </c>
      <c r="AB51" s="40" t="n">
        <f aca="false">SUM(AB40:AB50)</f>
        <v>24150</v>
      </c>
      <c r="AC51" s="40" t="n">
        <f aca="false">SUM(AC40:AC50)</f>
        <v>24150</v>
      </c>
      <c r="AD51" s="40" t="n">
        <f aca="false">SUM(AD40:AD50)</f>
        <v>24150</v>
      </c>
      <c r="AE51" s="40" t="n">
        <f aca="false">SUM(AE40:AE50)</f>
        <v>24150</v>
      </c>
      <c r="AF51" s="40" t="n">
        <f aca="false">SUM(AF40:AF50)</f>
        <v>27150</v>
      </c>
      <c r="AG51" s="40" t="n">
        <f aca="false">SUM(AG40:AG50)</f>
        <v>24150</v>
      </c>
      <c r="AH51" s="40" t="n">
        <f aca="false">SUM(AH40:AH50)</f>
        <v>24150</v>
      </c>
      <c r="AI51" s="40" t="n">
        <f aca="false">SUM(AI40:AI50)</f>
        <v>24150</v>
      </c>
      <c r="AJ51" s="40" t="n">
        <f aca="false">SUM(AJ40:AJ50)</f>
        <v>24150</v>
      </c>
      <c r="AK51" s="40" t="n">
        <f aca="false">SUM(AK40:AK50)</f>
        <v>24150</v>
      </c>
      <c r="AL51" s="40" t="n">
        <f aca="false">SUM(AL40:AL50)</f>
        <v>24150</v>
      </c>
      <c r="AN51" s="40" t="n">
        <f aca="false">SUM(C51:N51)</f>
        <v>108550</v>
      </c>
      <c r="AO51" s="40" t="n">
        <f aca="false">SUM(O51:Z51)</f>
        <v>286300</v>
      </c>
      <c r="AP51" s="40" t="n">
        <f aca="false">SUM(AA51:AL51)</f>
        <v>292800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-13500</v>
      </c>
      <c r="D52" s="40" t="n">
        <f aca="false">D37-D39-D51</f>
        <v>-16000</v>
      </c>
      <c r="E52" s="40" t="n">
        <f aca="false">E37-E39-E51</f>
        <v>-12958.8490833333</v>
      </c>
      <c r="F52" s="40" t="n">
        <f aca="false">F37-F39-F51</f>
        <v>-12972.37785625</v>
      </c>
      <c r="G52" s="40" t="n">
        <f aca="false">G37-G39-G51</f>
        <v>-12985.5684098438</v>
      </c>
      <c r="H52" s="40" t="n">
        <f aca="false">H37-H39-H51</f>
        <v>-7667.74689469223</v>
      </c>
      <c r="I52" s="40" t="n">
        <f aca="false">I37-I39-I51</f>
        <v>-2699.92537954072</v>
      </c>
      <c r="J52" s="40" t="n">
        <f aca="false">J37-J39-J51</f>
        <v>-732.103864389204</v>
      </c>
      <c r="K52" s="40" t="n">
        <f aca="false">K37-K39-K51</f>
        <v>1235.71765076231</v>
      </c>
      <c r="L52" s="40" t="n">
        <f aca="false">L37-L39-L51</f>
        <v>-1296.46083408617</v>
      </c>
      <c r="M52" s="40" t="n">
        <f aca="false">M37-M39-M51</f>
        <v>671.360681065344</v>
      </c>
      <c r="N52" s="40" t="n">
        <f aca="false">N37-N39-N51</f>
        <v>2639.18219621686</v>
      </c>
      <c r="O52" s="40" t="n">
        <f aca="false">O37-O39-O51</f>
        <v>-9457.3532583286</v>
      </c>
      <c r="P52" s="40" t="n">
        <f aca="false">P37-P39-P51</f>
        <v>-10053.8887128741</v>
      </c>
      <c r="Q52" s="40" t="n">
        <f aca="false">Q37-Q39-Q51</f>
        <v>-4150.42416741951</v>
      </c>
      <c r="R52" s="40" t="n">
        <f aca="false">R37-R39-R51</f>
        <v>1753.04037803504</v>
      </c>
      <c r="S52" s="40" t="n">
        <f aca="false">S37-S39-S51</f>
        <v>7656.50492348959</v>
      </c>
      <c r="T52" s="40" t="n">
        <f aca="false">T37-T39-T51</f>
        <v>10559.9694689441</v>
      </c>
      <c r="U52" s="40" t="n">
        <f aca="false">U37-U39-U51</f>
        <v>19463.4340143987</v>
      </c>
      <c r="V52" s="40" t="n">
        <f aca="false">V37-V39-V51</f>
        <v>25366.8985598532</v>
      </c>
      <c r="W52" s="40" t="n">
        <f aca="false">W37-W39-W51</f>
        <v>31270.3631053078</v>
      </c>
      <c r="X52" s="40" t="n">
        <f aca="false">X37-X39-X51</f>
        <v>37173.8276507623</v>
      </c>
      <c r="Y52" s="40" t="n">
        <f aca="false">Y37-Y39-Y51</f>
        <v>43077.2921962168</v>
      </c>
      <c r="Z52" s="40" t="n">
        <f aca="false">Z37-Z39-Z51</f>
        <v>48980.7567416714</v>
      </c>
      <c r="AA52" s="40" t="n">
        <f aca="false">AA37-AA39-AA51</f>
        <v>48279.6412113683</v>
      </c>
      <c r="AB52" s="40" t="n">
        <f aca="false">AB37-AB39-AB51</f>
        <v>60578.5256810653</v>
      </c>
      <c r="AC52" s="40" t="n">
        <f aca="false">AC37-AC39-AC51</f>
        <v>72877.4101507623</v>
      </c>
      <c r="AD52" s="40" t="n">
        <f aca="false">AD37-AD39-AD51</f>
        <v>85176.2946204593</v>
      </c>
      <c r="AE52" s="40" t="n">
        <f aca="false">AE37-AE39-AE51</f>
        <v>97475.1790901562</v>
      </c>
      <c r="AF52" s="40" t="n">
        <f aca="false">AF37-AF39-AF51</f>
        <v>106774.063559853</v>
      </c>
      <c r="AG52" s="40" t="n">
        <f aca="false">AG37-AG39-AG51</f>
        <v>122072.94802955</v>
      </c>
      <c r="AH52" s="40" t="n">
        <f aca="false">AH37-AH39-AH51</f>
        <v>134371.832499247</v>
      </c>
      <c r="AI52" s="40" t="n">
        <f aca="false">AI37-AI39-AI51</f>
        <v>146670.716968944</v>
      </c>
      <c r="AJ52" s="40" t="n">
        <f aca="false">AJ37-AJ39-AJ51</f>
        <v>158969.601438641</v>
      </c>
      <c r="AK52" s="40" t="n">
        <f aca="false">AK37-AK39-AK51</f>
        <v>171268.485908338</v>
      </c>
      <c r="AL52" s="40" t="n">
        <f aca="false">AL37-AL39-AL51</f>
        <v>183567.370378035</v>
      </c>
      <c r="AN52" s="40" t="n">
        <f aca="false">SUM(C52:N52)</f>
        <v>-76266.7717940909</v>
      </c>
      <c r="AO52" s="40" t="n">
        <f aca="false">SUM(O52:Z52)</f>
        <v>201640.420900057</v>
      </c>
      <c r="AP52" s="40" t="n">
        <f aca="false">SUM(AA52:AL52)</f>
        <v>1388082.06953642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1</v>
      </c>
      <c r="L53" s="13" t="n">
        <f aca="false">IF(L52&gt;0,1,0)</f>
        <v>0</v>
      </c>
      <c r="M53" s="13" t="n">
        <f aca="false">IF(M52&gt;0,1,0)</f>
        <v>1</v>
      </c>
      <c r="N53" s="13" t="n">
        <f aca="false">IF(N52&gt;0,1,0)</f>
        <v>1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1</v>
      </c>
      <c r="S53" s="13" t="n">
        <f aca="false">IF(S52&gt;0,1,0)</f>
        <v>1</v>
      </c>
      <c r="T53" s="13" t="n">
        <f aca="false">IF(T52&gt;0,1,0)</f>
        <v>1</v>
      </c>
      <c r="U53" s="13" t="n">
        <f aca="false">IF(U52&gt;0,1,0)</f>
        <v>1</v>
      </c>
      <c r="V53" s="13" t="n">
        <f aca="false">IF(V52&gt;0,1,0)</f>
        <v>1</v>
      </c>
      <c r="W53" s="13" t="n">
        <f aca="false">IF(W52&gt;0,1,0)</f>
        <v>1</v>
      </c>
      <c r="X53" s="13" t="n">
        <f aca="false">IF(X52&gt;0,1,0)</f>
        <v>1</v>
      </c>
      <c r="Y53" s="13" t="n">
        <f aca="false">IF(Y52&gt;0,1,0)</f>
        <v>1</v>
      </c>
      <c r="Z53" s="13" t="n">
        <f aca="false">IF(Z52&gt;0,1,0)</f>
        <v>1</v>
      </c>
      <c r="AA53" s="13" t="n">
        <f aca="false">IF(AA52&gt;0,1,0)</f>
        <v>1</v>
      </c>
      <c r="AB53" s="13" t="n">
        <f aca="false">IF(AB52&gt;0,1,0)</f>
        <v>1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131.666666666667</v>
      </c>
      <c r="G55" s="15" t="n">
        <f aca="false">F27</f>
        <v>128.375</v>
      </c>
      <c r="H55" s="15" t="n">
        <f aca="false">G27</f>
        <v>125.165625</v>
      </c>
      <c r="I55" s="15" t="n">
        <f aca="false">H27</f>
        <v>603.953503787879</v>
      </c>
      <c r="J55" s="15" t="n">
        <f aca="false">I27</f>
        <v>1082.74138257576</v>
      </c>
      <c r="K55" s="15" t="n">
        <f aca="false">J27</f>
        <v>1561.52926136364</v>
      </c>
      <c r="L55" s="15" t="n">
        <f aca="false">K27</f>
        <v>2040.31714015152</v>
      </c>
      <c r="M55" s="15" t="n">
        <f aca="false">L27</f>
        <v>2519.10501893939</v>
      </c>
      <c r="N55" s="15" t="n">
        <f aca="false">M27</f>
        <v>2997.89289772727</v>
      </c>
      <c r="O55" s="15" t="n">
        <f aca="false">N27</f>
        <v>3476.68077651515</v>
      </c>
      <c r="P55" s="15" t="n">
        <f aca="false">O27</f>
        <v>4913.04441287879</v>
      </c>
      <c r="Q55" s="15" t="n">
        <f aca="false">P27</f>
        <v>6349.40804924243</v>
      </c>
      <c r="R55" s="15" t="n">
        <f aca="false">Q27</f>
        <v>7785.77168560606</v>
      </c>
      <c r="S55" s="15" t="n">
        <f aca="false">R27</f>
        <v>9222.1353219697</v>
      </c>
      <c r="T55" s="15" t="n">
        <f aca="false">S27</f>
        <v>10658.4989583333</v>
      </c>
      <c r="U55" s="15" t="n">
        <f aca="false">T27</f>
        <v>12094.862594697</v>
      </c>
      <c r="V55" s="15" t="n">
        <f aca="false">U27</f>
        <v>13531.2262310606</v>
      </c>
      <c r="W55" s="15" t="n">
        <f aca="false">V27</f>
        <v>14967.5898674242</v>
      </c>
      <c r="X55" s="15" t="n">
        <f aca="false">W27</f>
        <v>16403.9535037879</v>
      </c>
      <c r="Y55" s="15" t="n">
        <f aca="false">X27</f>
        <v>17840.3171401515</v>
      </c>
      <c r="Z55" s="15" t="n">
        <f aca="false">Y27</f>
        <v>19276.6807765151</v>
      </c>
      <c r="AA55" s="15" t="n">
        <f aca="false">Z27</f>
        <v>20713.0444128788</v>
      </c>
      <c r="AB55" s="15" t="n">
        <f aca="false">AA27</f>
        <v>23705.468655303</v>
      </c>
      <c r="AC55" s="15" t="n">
        <f aca="false">AB27</f>
        <v>26697.8928977273</v>
      </c>
      <c r="AD55" s="15" t="n">
        <f aca="false">AC27</f>
        <v>29690.3171401515</v>
      </c>
      <c r="AE55" s="15" t="n">
        <f aca="false">AD27</f>
        <v>32682.7413825758</v>
      </c>
      <c r="AF55" s="15" t="n">
        <f aca="false">AE27</f>
        <v>35675.165625</v>
      </c>
      <c r="AG55" s="15" t="n">
        <f aca="false">AF27</f>
        <v>38667.5898674243</v>
      </c>
      <c r="AH55" s="15" t="n">
        <f aca="false">AG27</f>
        <v>41660.0141098485</v>
      </c>
      <c r="AI55" s="15" t="n">
        <f aca="false">AH27</f>
        <v>44652.4383522727</v>
      </c>
      <c r="AJ55" s="15" t="n">
        <f aca="false">AI27</f>
        <v>47644.862594697</v>
      </c>
      <c r="AK55" s="15" t="n">
        <f aca="false">AJ27</f>
        <v>50637.2868371212</v>
      </c>
      <c r="AL55" s="15" t="n">
        <f aca="false">AK27</f>
        <v>53629.7110795455</v>
      </c>
      <c r="AN55" s="15" t="n">
        <f aca="false">SUM(C55:N55)</f>
        <v>11190.7464962121</v>
      </c>
      <c r="AO55" s="15" t="n">
        <f aca="false">SUM(O55:Z55)</f>
        <v>136520.169318182</v>
      </c>
      <c r="AP55" s="15" t="n">
        <f aca="false">SUM(AA55:AL55)</f>
        <v>446056.532954546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(C36+C39+C43+C44+C45+C47+C48+C49+C50)*Hypothèses!$E$15</f>
        <v>2700</v>
      </c>
      <c r="E56" s="15" t="n">
        <f aca="false">(D36+D39+D43+D44+D45+D47+D48+D49+D50)*Hypothèses!$E$15</f>
        <v>3200</v>
      </c>
      <c r="F56" s="15" t="n">
        <f aca="false">(E36+E39+E43+E44+E45+E47+E48+E49+E50)*Hypothèses!$E$15</f>
        <v>2719.92</v>
      </c>
      <c r="G56" s="15" t="n">
        <f aca="false">(F36+F39+F43+F44+F45+F47+F48+F49+F50)*Hypothèses!$E$15</f>
        <v>2719.422</v>
      </c>
      <c r="H56" s="15" t="n">
        <f aca="false">(G36+G39+G43+G44+G45+G47+G48+G49+G50)*Hypothèses!$E$15</f>
        <v>2718.93645</v>
      </c>
      <c r="I56" s="15" t="n">
        <f aca="false">(H36+H39+H43+H44+H45+H47+H48+H49+H50)*Hypothèses!$E$15</f>
        <v>2091.37281363636</v>
      </c>
      <c r="J56" s="15" t="n">
        <f aca="false">(I36+I39+I43+I44+I45+I47+I48+I49+I50)*Hypothèses!$E$15</f>
        <v>1563.80917727273</v>
      </c>
      <c r="K56" s="15" t="n">
        <f aca="false">(J36+J39+J43+J44+J45+J47+J48+J49+J50)*Hypothèses!$E$15</f>
        <v>1636.24554090909</v>
      </c>
      <c r="L56" s="15" t="n">
        <f aca="false">(K36+K39+K43+K44+K45+K47+K48+K49+K50)*Hypothèses!$E$15</f>
        <v>1708.68190454546</v>
      </c>
      <c r="M56" s="15" t="n">
        <f aca="false">(L36+L39+L43+L44+L45+L47+L48+L49+L50)*Hypothèses!$E$15</f>
        <v>1781.11826818182</v>
      </c>
      <c r="N56" s="15" t="n">
        <f aca="false">(M36+M39+M43+M44+M45+M47+M48+M49+M50)*Hypothèses!$E$15</f>
        <v>1853.55463181818</v>
      </c>
      <c r="O56" s="15" t="n">
        <f aca="false">(N36+N39+N43+N44+N45+N47+N48+N49+N50)*Hypothèses!$E$15</f>
        <v>1925.99099545455</v>
      </c>
      <c r="P56" s="15" t="n">
        <f aca="false">(O36+O39+O43+O44+O45+O47+O48+O49+O50)*Hypothèses!$E$15</f>
        <v>3743.30008636364</v>
      </c>
      <c r="Q56" s="15" t="n">
        <f aca="false">(P36+P39+P43+P44+P45+P47+P48+P49+P50)*Hypothèses!$E$15</f>
        <v>3960.60917727273</v>
      </c>
      <c r="R56" s="15" t="n">
        <f aca="false">(Q36+Q39+Q43+Q44+Q45+Q47+Q48+Q49+Q50)*Hypothèses!$E$15</f>
        <v>4177.91826818182</v>
      </c>
      <c r="S56" s="15" t="n">
        <f aca="false">(R36+R39+R43+R44+R45+R47+R48+R49+R50)*Hypothèses!$E$15</f>
        <v>4395.22735909091</v>
      </c>
      <c r="T56" s="15" t="n">
        <f aca="false">(S36+S39+S43+S44+S45+S47+S48+S49+S50)*Hypothèses!$E$15</f>
        <v>4612.53645</v>
      </c>
      <c r="U56" s="15" t="n">
        <f aca="false">(T36+T39+T43+T44+T45+T47+T48+T49+T50)*Hypothèses!$E$15</f>
        <v>5429.84554090909</v>
      </c>
      <c r="V56" s="15" t="n">
        <f aca="false">(U36+U39+U43+U44+U45+U47+U48+U49+U50)*Hypothèses!$E$15</f>
        <v>5047.15463181818</v>
      </c>
      <c r="W56" s="15" t="n">
        <f aca="false">(V36+V39+V43+V44+V45+V47+V48+V49+V50)*Hypothèses!$E$15</f>
        <v>5264.46372272727</v>
      </c>
      <c r="X56" s="15" t="n">
        <f aca="false">(W36+W39+W43+W44+W45+W47+W48+W49+W50)*Hypothèses!$E$15</f>
        <v>5481.77281363636</v>
      </c>
      <c r="Y56" s="15" t="n">
        <f aca="false">(X36+X39+X43+X44+X45+X47+X48+X49+X50)*Hypothèses!$E$15</f>
        <v>5699.08190454546</v>
      </c>
      <c r="Z56" s="15" t="n">
        <f aca="false">(Y36+Y39+Y43+Y44+Y45+Y47+Y48+Y49+Y50)*Hypothèses!$E$15</f>
        <v>5916.39099545455</v>
      </c>
      <c r="AA56" s="15" t="n">
        <f aca="false">(Z36+Z39+Z43+Z44+Z45+Z47+Z48+Z49+Z50)*Hypothèses!$E$15</f>
        <v>6133.70008636364</v>
      </c>
      <c r="AB56" s="15" t="n">
        <f aca="false">(AA36+AA39+AA43+AA44+AA45+AA47+AA48+AA49+AA50)*Hypothèses!$E$15</f>
        <v>9186.42735909091</v>
      </c>
      <c r="AC56" s="15" t="n">
        <f aca="false">(AB36+AB39+AB43+AB44+AB45+AB47+AB48+AB49+AB50)*Hypothèses!$E$15</f>
        <v>9639.15463181818</v>
      </c>
      <c r="AD56" s="15" t="n">
        <f aca="false">(AC36+AC39+AC43+AC44+AC45+AC47+AC48+AC49+AC50)*Hypothèses!$E$15</f>
        <v>10091.8819045455</v>
      </c>
      <c r="AE56" s="15" t="n">
        <f aca="false">(AD36+AD39+AD43+AD44+AD45+AD47+AD48+AD49+AD50)*Hypothèses!$E$15</f>
        <v>10544.6091772727</v>
      </c>
      <c r="AF56" s="15" t="n">
        <f aca="false">(AE36+AE39+AE43+AE44+AE45+AE47+AE48+AE49+AE50)*Hypothèses!$E$15</f>
        <v>10997.33645</v>
      </c>
      <c r="AG56" s="15" t="n">
        <f aca="false">(AF36+AF39+AF43+AF44+AF45+AF47+AF48+AF49+AF50)*Hypothèses!$E$15</f>
        <v>12050.0637227273</v>
      </c>
      <c r="AH56" s="15" t="n">
        <f aca="false">(AG36+AG39+AG43+AG44+AG45+AG47+AG48+AG49+AG50)*Hypothèses!$E$15</f>
        <v>11902.7909954545</v>
      </c>
      <c r="AI56" s="15" t="n">
        <f aca="false">(AH36+AH39+AH43+AH44+AH45+AH47+AH48+AH49+AH50)*Hypothèses!$E$15</f>
        <v>12355.5182681818</v>
      </c>
      <c r="AJ56" s="15" t="n">
        <f aca="false">(AI36+AI39+AI43+AI44+AI45+AI47+AI48+AI49+AI50)*Hypothèses!$E$15</f>
        <v>12808.2455409091</v>
      </c>
      <c r="AK56" s="15" t="n">
        <f aca="false">(AJ36+AJ39+AJ43+AJ44+AJ45+AJ47+AJ48+AJ49+AJ50)*Hypothèses!$E$15</f>
        <v>13260.9728136364</v>
      </c>
      <c r="AL56" s="15" t="n">
        <f aca="false">(AK36+AK39+AK43+AK44+AK45+AK47+AK48+AK49+AK50)*Hypothèses!$E$15</f>
        <v>13713.7000863636</v>
      </c>
      <c r="AN56" s="15" t="n">
        <f aca="false">SUM(C56:N56)</f>
        <v>24693.0607863636</v>
      </c>
      <c r="AO56" s="15" t="n">
        <f aca="false">SUM(O56:Z56)</f>
        <v>55654.2919454546</v>
      </c>
      <c r="AP56" s="15" t="n">
        <f aca="false">SUM(AA56:AL56)</f>
        <v>132684.401036364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Hypothèses!$E$56*(IF(C7=Hypothèses!$E$57,Hypothèses!$E$58,0)+IF(C7=Hypothèses!$E$59,Hypothèses!$E$60,0)+IF(C7=Hypothèses!$E$61,Hypothèses!$E$62,0))</f>
        <v>0</v>
      </c>
      <c r="D57" s="15" t="n">
        <f aca="false">Hypothèses!$E$56*(IF(D7=Hypothèses!$E$57,Hypothèses!$E$58,0)+IF(D7=Hypothèses!$E$59,Hypothèses!$E$60,0)+IF(D7=Hypothèses!$E$61,Hypothèses!$E$62,0))</f>
        <v>0</v>
      </c>
      <c r="E57" s="15" t="n">
        <f aca="false">Hypothèses!$E$56*(IF(E7=Hypothèses!$E$57,Hypothèses!$E$58,0)+IF(E7=Hypothèses!$E$59,Hypothèses!$E$60,0)+IF(E7=Hypothèses!$E$61,Hypothèses!$E$62,0))</f>
        <v>0</v>
      </c>
      <c r="F57" s="15" t="n">
        <f aca="false">Hypothèses!$E$56*(IF(F7=Hypothèses!$E$57,Hypothèses!$E$58,0)+IF(F7=Hypothèses!$E$59,Hypothèses!$E$60,0)+IF(F7=Hypothèses!$E$61,Hypothèses!$E$62,0))</f>
        <v>0</v>
      </c>
      <c r="G57" s="15" t="n">
        <f aca="false">Hypothèses!$E$56*(IF(G7=Hypothèses!$E$57,Hypothèses!$E$58,0)+IF(G7=Hypothèses!$E$59,Hypothèses!$E$60,0)+IF(G7=Hypothèses!$E$61,Hypothèses!$E$62,0))</f>
        <v>0</v>
      </c>
      <c r="H57" s="15" t="n">
        <f aca="false">Hypothèses!$E$56*(IF(H7=Hypothèses!$E$57,Hypothèses!$E$58,0)+IF(H7=Hypothèses!$E$59,Hypothèses!$E$60,0)+IF(H7=Hypothèses!$E$61,Hypothèses!$E$62,0))</f>
        <v>0</v>
      </c>
      <c r="I57" s="15" t="n">
        <f aca="false">Hypothèses!$E$56*(IF(I7=Hypothèses!$E$57,Hypothèses!$E$58,0)+IF(I7=Hypothèses!$E$59,Hypothèses!$E$60,0)+IF(I7=Hypothèses!$E$61,Hypothèses!$E$62,0))</f>
        <v>0</v>
      </c>
      <c r="J57" s="15" t="n">
        <f aca="false">Hypothèses!$E$56*(IF(J7=Hypothèses!$E$57,Hypothèses!$E$58,0)+IF(J7=Hypothèses!$E$59,Hypothèses!$E$60,0)+IF(J7=Hypothèses!$E$61,Hypothèses!$E$62,0))</f>
        <v>0</v>
      </c>
      <c r="K57" s="15" t="n">
        <f aca="false">Hypothèses!$E$56*(IF(K7=Hypothèses!$E$57,Hypothèses!$E$58,0)+IF(K7=Hypothèses!$E$59,Hypothèses!$E$60,0)+IF(K7=Hypothèses!$E$61,Hypothèses!$E$62,0))</f>
        <v>0</v>
      </c>
      <c r="L57" s="15" t="n">
        <f aca="false">Hypothèses!$E$56*(IF(L7=Hypothèses!$E$57,Hypothèses!$E$58,0)+IF(L7=Hypothèses!$E$59,Hypothèses!$E$60,0)+IF(L7=Hypothèses!$E$61,Hypothèses!$E$62,0))</f>
        <v>0</v>
      </c>
      <c r="M57" s="15" t="n">
        <f aca="false">Hypothèses!$E$56*(IF(M7=Hypothèses!$E$57,Hypothèses!$E$58,0)+IF(M7=Hypothèses!$E$59,Hypothèses!$E$60,0)+IF(M7=Hypothèses!$E$61,Hypothèses!$E$62,0))</f>
        <v>0</v>
      </c>
      <c r="N57" s="15" t="n">
        <f aca="false">Hypothèses!$E$56*(IF(N7=Hypothèses!$E$57,Hypothèses!$E$58,0)+IF(N7=Hypothèses!$E$59,Hypothèses!$E$60,0)+IF(N7=Hypothèses!$E$61,Hypothèses!$E$62,0))</f>
        <v>0</v>
      </c>
      <c r="O57" s="15" t="n">
        <f aca="false">Hypothèses!$E$56*(IF(O7=Hypothèses!$E$57,Hypothèses!$E$58,0)+IF(O7=Hypothèses!$E$59,Hypothèses!$E$60,0)+IF(O7=Hypothèses!$E$61,Hypothèses!$E$62,0))</f>
        <v>0</v>
      </c>
      <c r="P57" s="15" t="n">
        <f aca="false">Hypothèses!$E$56*(IF(P7=Hypothèses!$E$57,Hypothèses!$E$58,0)+IF(P7=Hypothèses!$E$59,Hypothèses!$E$60,0)+IF(P7=Hypothèses!$E$61,Hypothèses!$E$62,0))</f>
        <v>0</v>
      </c>
      <c r="Q57" s="15" t="n">
        <f aca="false">Hypothèses!$E$56*(IF(Q7=Hypothèses!$E$57,Hypothèses!$E$58,0)+IF(Q7=Hypothèses!$E$59,Hypothèses!$E$60,0)+IF(Q7=Hypothèses!$E$61,Hypothèses!$E$62,0))</f>
        <v>0</v>
      </c>
      <c r="R57" s="15" t="n">
        <f aca="false">Hypothèses!$E$56*(IF(R7=Hypothèses!$E$57,Hypothèses!$E$58,0)+IF(R7=Hypothèses!$E$59,Hypothèses!$E$60,0)+IF(R7=Hypothèses!$E$61,Hypothèses!$E$62,0))</f>
        <v>0</v>
      </c>
      <c r="S57" s="15" t="n">
        <f aca="false">Hypothèses!$E$56*(IF(S7=Hypothèses!$E$57,Hypothèses!$E$58,0)+IF(S7=Hypothèses!$E$59,Hypothèses!$E$60,0)+IF(S7=Hypothèses!$E$61,Hypothèses!$E$62,0))</f>
        <v>0</v>
      </c>
      <c r="T57" s="15" t="n">
        <f aca="false">Hypothèses!$E$56*(IF(T7=Hypothèses!$E$57,Hypothèses!$E$58,0)+IF(T7=Hypothèses!$E$59,Hypothèses!$E$60,0)+IF(T7=Hypothèses!$E$61,Hypothèses!$E$62,0))</f>
        <v>0</v>
      </c>
      <c r="U57" s="15" t="n">
        <f aca="false">Hypothèses!$E$56*(IF(U7=Hypothèses!$E$57,Hypothèses!$E$58,0)+IF(U7=Hypothèses!$E$59,Hypothèses!$E$60,0)+IF(U7=Hypothèses!$E$61,Hypothèses!$E$62,0))</f>
        <v>0</v>
      </c>
      <c r="V57" s="15" t="n">
        <f aca="false">Hypothèses!$E$56*(IF(V7=Hypothèses!$E$57,Hypothèses!$E$58,0)+IF(V7=Hypothèses!$E$59,Hypothèses!$E$60,0)+IF(V7=Hypothèses!$E$61,Hypothèses!$E$62,0))</f>
        <v>0</v>
      </c>
      <c r="W57" s="15" t="n">
        <f aca="false">Hypothèses!$E$56*(IF(W7=Hypothèses!$E$57,Hypothèses!$E$58,0)+IF(W7=Hypothèses!$E$59,Hypothèses!$E$60,0)+IF(W7=Hypothèses!$E$61,Hypothèses!$E$62,0))</f>
        <v>0</v>
      </c>
      <c r="X57" s="15" t="n">
        <f aca="false">Hypothèses!$E$56*(IF(X7=Hypothèses!$E$57,Hypothèses!$E$58,0)+IF(X7=Hypothèses!$E$59,Hypothèses!$E$60,0)+IF(X7=Hypothèses!$E$61,Hypothèses!$E$62,0))</f>
        <v>0</v>
      </c>
      <c r="Y57" s="15" t="n">
        <f aca="false">Hypothèses!$E$56*(IF(Y7=Hypothèses!$E$57,Hypothèses!$E$58,0)+IF(Y7=Hypothèses!$E$59,Hypothèses!$E$60,0)+IF(Y7=Hypothèses!$E$61,Hypothèses!$E$62,0))</f>
        <v>0</v>
      </c>
      <c r="Z57" s="15" t="n">
        <f aca="false">Hypothèses!$E$56*(IF(Z7=Hypothèses!$E$57,Hypothèses!$E$58,0)+IF(Z7=Hypothèses!$E$59,Hypothèses!$E$60,0)+IF(Z7=Hypothèses!$E$61,Hypothèses!$E$62,0))</f>
        <v>0</v>
      </c>
      <c r="AA57" s="15" t="n">
        <f aca="false">Hypothèses!$E$56*(IF(AA7=Hypothèses!$E$57,Hypothèses!$E$58,0)+IF(AA7=Hypothèses!$E$59,Hypothèses!$E$60,0)+IF(AA7=Hypothèses!$E$61,Hypothèses!$E$62,0))</f>
        <v>0</v>
      </c>
      <c r="AB57" s="15" t="n">
        <f aca="false">Hypothèses!$E$56*(IF(AB7=Hypothèses!$E$57,Hypothèses!$E$58,0)+IF(AB7=Hypothèses!$E$59,Hypothèses!$E$60,0)+IF(AB7=Hypothèses!$E$61,Hypothèses!$E$62,0))</f>
        <v>0</v>
      </c>
      <c r="AC57" s="15" t="n">
        <f aca="false">Hypothèses!$E$56*(IF(AC7=Hypothèses!$E$57,Hypothèses!$E$58,0)+IF(AC7=Hypothèses!$E$59,Hypothèses!$E$60,0)+IF(AC7=Hypothèses!$E$61,Hypothèses!$E$62,0))</f>
        <v>0</v>
      </c>
      <c r="AD57" s="15" t="n">
        <f aca="false">Hypothèses!$E$56*(IF(AD7=Hypothèses!$E$57,Hypothèses!$E$58,0)+IF(AD7=Hypothèses!$E$59,Hypothèses!$E$60,0)+IF(AD7=Hypothèses!$E$61,Hypothèses!$E$62,0))</f>
        <v>0</v>
      </c>
      <c r="AE57" s="15" t="n">
        <f aca="false">Hypothèses!$E$56*(IF(AE7=Hypothèses!$E$57,Hypothèses!$E$58,0)+IF(AE7=Hypothèses!$E$59,Hypothèses!$E$60,0)+IF(AE7=Hypothèses!$E$61,Hypothèses!$E$62,0))</f>
        <v>0</v>
      </c>
      <c r="AF57" s="15" t="n">
        <f aca="false">Hypothèses!$E$56*(IF(AF7=Hypothèses!$E$57,Hypothèses!$E$58,0)+IF(AF7=Hypothèses!$E$59,Hypothèses!$E$60,0)+IF(AF7=Hypothèses!$E$61,Hypothèses!$E$62,0))</f>
        <v>0</v>
      </c>
      <c r="AG57" s="15" t="n">
        <f aca="false">Hypothèses!$E$56*(IF(AG7=Hypothèses!$E$57,Hypothèses!$E$58,0)+IF(AG7=Hypothèses!$E$59,Hypothèses!$E$60,0)+IF(AG7=Hypothèses!$E$61,Hypothèses!$E$62,0))</f>
        <v>0</v>
      </c>
      <c r="AH57" s="15" t="n">
        <f aca="false">Hypothèses!$E$56*(IF(AH7=Hypothèses!$E$57,Hypothèses!$E$58,0)+IF(AH7=Hypothèses!$E$59,Hypothèses!$E$60,0)+IF(AH7=Hypothèses!$E$61,Hypothèses!$E$62,0))</f>
        <v>0</v>
      </c>
      <c r="AI57" s="15" t="n">
        <f aca="false">Hypothèses!$E$56*(IF(AI7=Hypothèses!$E$57,Hypothèses!$E$58,0)+IF(AI7=Hypothèses!$E$59,Hypothèses!$E$60,0)+IF(AI7=Hypothèses!$E$61,Hypothèses!$E$62,0))</f>
        <v>0</v>
      </c>
      <c r="AJ57" s="15" t="n">
        <f aca="false">Hypothèses!$E$56*(IF(AJ7=Hypothèses!$E$57,Hypothèses!$E$58,0)+IF(AJ7=Hypothèses!$E$59,Hypothèses!$E$60,0)+IF(AJ7=Hypothèses!$E$61,Hypothèses!$E$62,0))</f>
        <v>0</v>
      </c>
      <c r="AK57" s="15" t="n">
        <f aca="false">Hypothèses!$E$56*(IF(AK7=Hypothèses!$E$57,Hypothèses!$E$58,0)+IF(AK7=Hypothèses!$E$59,Hypothèses!$E$60,0)+IF(AK7=Hypothèses!$E$61,Hypothèses!$E$62,0))</f>
        <v>0</v>
      </c>
      <c r="AL57" s="15" t="n">
        <f aca="false">Hypothèses!$E$56*(IF(AL7=Hypothèses!$E$57,Hypothèses!$E$58,0)+IF(AL7=Hypothèses!$E$59,Hypothèses!$E$60,0)+IF(AL7=Hypothèses!$E$61,Hypothèses!$E$62,0))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Hypothèses!$E$54</f>
        <v>0</v>
      </c>
      <c r="D58" s="15" t="n">
        <f aca="false">C60</f>
        <v>-13500</v>
      </c>
      <c r="E58" s="15" t="n">
        <f aca="false">D60</f>
        <v>-26800</v>
      </c>
      <c r="F58" s="15" t="n">
        <f aca="false">E60</f>
        <v>-36427.84075</v>
      </c>
      <c r="G58" s="15" t="n">
        <f aca="false">F60</f>
        <v>-46684.2321479167</v>
      </c>
      <c r="H58" s="15" t="n">
        <f aca="false">G60</f>
        <v>-56954.2137608854</v>
      </c>
      <c r="I58" s="15" t="n">
        <f aca="false">H60</f>
        <v>-61427.2560943087</v>
      </c>
      <c r="J58" s="15" t="n">
        <f aca="false">I60</f>
        <v>-61562.4344883381</v>
      </c>
      <c r="K58" s="15" t="n">
        <f aca="false">J60</f>
        <v>-60259.7489429735</v>
      </c>
      <c r="L58" s="15" t="n">
        <f aca="false">K60</f>
        <v>-56919.199458215</v>
      </c>
      <c r="M58" s="15" t="n">
        <f aca="false">L60</f>
        <v>-56040.7860340625</v>
      </c>
      <c r="N58" s="15" t="n">
        <f aca="false">M60</f>
        <v>-53124.5086705161</v>
      </c>
      <c r="O58" s="15" t="n">
        <f aca="false">N60</f>
        <v>-48170.3673675758</v>
      </c>
      <c r="P58" s="15" t="n">
        <f aca="false">O60</f>
        <v>-54289.9312161506</v>
      </c>
      <c r="Q58" s="15" t="n">
        <f aca="false">P60</f>
        <v>-59195.9032465436</v>
      </c>
      <c r="R58" s="15" t="n">
        <f aca="false">Q60</f>
        <v>-57988.2834587547</v>
      </c>
      <c r="S58" s="15" t="n">
        <f aca="false">R60</f>
        <v>-50667.0718527841</v>
      </c>
      <c r="T58" s="15" t="n">
        <f aca="false">S60</f>
        <v>-37232.2684286316</v>
      </c>
      <c r="U58" s="15" t="n">
        <f aca="false">T60</f>
        <v>-20683.8731862973</v>
      </c>
      <c r="V58" s="15" t="n">
        <f aca="false">U60</f>
        <v>5578.11387421877</v>
      </c>
      <c r="W58" s="15" t="n">
        <f aca="false">V60</f>
        <v>37353.6927529167</v>
      </c>
      <c r="X58" s="15" t="n">
        <f aca="false">W60</f>
        <v>75242.8634497964</v>
      </c>
      <c r="Y58" s="15" t="n">
        <f aca="false">X60</f>
        <v>119245.625964858</v>
      </c>
      <c r="Z58" s="15" t="n">
        <f aca="false">Y60</f>
        <v>169361.980298101</v>
      </c>
      <c r="AA58" s="15" t="n">
        <f aca="false">Z60</f>
        <v>225591.926449526</v>
      </c>
      <c r="AB58" s="15" t="n">
        <f aca="false">AA60</f>
        <v>282879.164646406</v>
      </c>
      <c r="AC58" s="15" t="n">
        <f aca="false">AB60</f>
        <v>355503.052464498</v>
      </c>
      <c r="AD58" s="15" t="n">
        <f aca="false">AC60</f>
        <v>440863.589903802</v>
      </c>
      <c r="AE58" s="15" t="n">
        <f aca="false">AD60</f>
        <v>538960.776964318</v>
      </c>
      <c r="AF58" s="15" t="n">
        <f aca="false">AE60</f>
        <v>649794.613646046</v>
      </c>
      <c r="AG58" s="15" t="n">
        <f aca="false">AF60</f>
        <v>770365.099948986</v>
      </c>
      <c r="AH58" s="15" t="n">
        <f aca="false">AG60</f>
        <v>907272.235873139</v>
      </c>
      <c r="AI58" s="15" t="n">
        <f aca="false">AH60</f>
        <v>1056316.0214185</v>
      </c>
      <c r="AJ58" s="15" t="n">
        <f aca="false">AI60</f>
        <v>1218096.45658508</v>
      </c>
      <c r="AK58" s="15" t="n">
        <f aca="false">AJ60</f>
        <v>1392613.54137287</v>
      </c>
      <c r="AL58" s="15" t="n">
        <f aca="false">AK60</f>
        <v>1579867.27578187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-13500</v>
      </c>
      <c r="D59" s="15" t="n">
        <f aca="false">D31-D36-D39-D51-D55+D56+D57</f>
        <v>-13300</v>
      </c>
      <c r="E59" s="15" t="n">
        <f aca="false">E31-E36-E39-E51-E55+E56+E57</f>
        <v>-9627.84075</v>
      </c>
      <c r="F59" s="15" t="n">
        <f aca="false">F31-F36-F39-F51-F55+F56+F57</f>
        <v>-10256.3913979167</v>
      </c>
      <c r="G59" s="15" t="n">
        <f aca="false">G31-G36-G39-G51-G55+G56+G57</f>
        <v>-10269.9816129688</v>
      </c>
      <c r="H59" s="15" t="n">
        <f aca="false">H31-H36-H39-H51-H55+H56+H57</f>
        <v>-4473.0423334233</v>
      </c>
      <c r="I59" s="15" t="n">
        <f aca="false">I31-I36-I39-I51-I55+I56+I57</f>
        <v>-135.178394029355</v>
      </c>
      <c r="J59" s="15" t="n">
        <f aca="false">J31-J36-J39-J51-J55+J56+J57</f>
        <v>1302.68554536458</v>
      </c>
      <c r="K59" s="15" t="n">
        <f aca="false">K31-K36-K39-K51-K55+K56+K57</f>
        <v>3340.54948475853</v>
      </c>
      <c r="L59" s="15" t="n">
        <f aca="false">L31-L36-L39-L51-L55+L56+L57</f>
        <v>878.413424152465</v>
      </c>
      <c r="M59" s="15" t="n">
        <f aca="false">M31-M36-M39-M51-M55+M56+M57</f>
        <v>2916.2773635464</v>
      </c>
      <c r="N59" s="15" t="n">
        <f aca="false">N31-N36-N39-N51-N55+N56+N57</f>
        <v>4954.14130294034</v>
      </c>
      <c r="O59" s="15" t="n">
        <f aca="false">O31-O36-O39-O51-O55+O56+O57</f>
        <v>-6119.56384857481</v>
      </c>
      <c r="P59" s="15" t="n">
        <f aca="false">P31-P36-P39-P51-P55+P56+P57</f>
        <v>-4905.97203039299</v>
      </c>
      <c r="Q59" s="15" t="n">
        <f aca="false">Q31-Q36-Q39-Q51-Q55+Q56+Q57</f>
        <v>1207.61978778882</v>
      </c>
      <c r="R59" s="15" t="n">
        <f aca="false">R31-R36-R39-R51-R55+R56+R57</f>
        <v>7321.21160597065</v>
      </c>
      <c r="S59" s="15" t="n">
        <f aca="false">S31-S36-S39-S51-S55+S56+S57</f>
        <v>13434.8034241525</v>
      </c>
      <c r="T59" s="15" t="n">
        <f aca="false">T31-T36-T39-T51-T55+T56+T57</f>
        <v>16548.3952423343</v>
      </c>
      <c r="U59" s="15" t="n">
        <f aca="false">U31-U36-U39-U51-U55+U56+U57</f>
        <v>26261.9870605161</v>
      </c>
      <c r="V59" s="15" t="n">
        <f aca="false">V31-V36-V39-V51-V55+V56+V57</f>
        <v>31775.5788786979</v>
      </c>
      <c r="W59" s="15" t="n">
        <f aca="false">W31-W36-W39-W51-W55+W56+W57</f>
        <v>37889.1706968797</v>
      </c>
      <c r="X59" s="15" t="n">
        <f aca="false">X31-X36-X39-X51-X55+X56+X57</f>
        <v>44002.7625150615</v>
      </c>
      <c r="Y59" s="15" t="n">
        <f aca="false">Y31-Y36-Y39-Y51-Y55+Y56+Y57</f>
        <v>50116.3543332434</v>
      </c>
      <c r="Z59" s="15" t="n">
        <f aca="false">Z31-Z36-Z39-Z51-Z55+Z56+Z57</f>
        <v>56229.9461514252</v>
      </c>
      <c r="AA59" s="15" t="n">
        <f aca="false">AA31-AA36-AA39-AA51-AA55+AA56+AA57</f>
        <v>57287.2381968797</v>
      </c>
      <c r="AB59" s="15" t="n">
        <f aca="false">AB31-AB36-AB39-AB51-AB55+AB56+AB57</f>
        <v>72623.8878180918</v>
      </c>
      <c r="AC59" s="15" t="n">
        <f aca="false">AC31-AC36-AC39-AC51-AC55+AC56+AC57</f>
        <v>85360.5374393039</v>
      </c>
      <c r="AD59" s="15" t="n">
        <f aca="false">AD31-AD36-AD39-AD51-AD55+AD56+AD57</f>
        <v>98097.1870605161</v>
      </c>
      <c r="AE59" s="15" t="n">
        <f aca="false">AE31-AE36-AE39-AE51-AE55+AE56+AE57</f>
        <v>110833.836681728</v>
      </c>
      <c r="AF59" s="15" t="n">
        <f aca="false">AF31-AF36-AF39-AF51-AF55+AF56+AF57</f>
        <v>120570.48630294</v>
      </c>
      <c r="AG59" s="15" t="n">
        <f aca="false">AG31-AG36-AG39-AG51-AG55+AG56+AG57</f>
        <v>136907.135924153</v>
      </c>
      <c r="AH59" s="15" t="n">
        <f aca="false">AH31-AH36-AH39-AH51-AH55+AH56+AH57</f>
        <v>149043.785545365</v>
      </c>
      <c r="AI59" s="15" t="n">
        <f aca="false">AI31-AI36-AI39-AI51-AI55+AI56+AI57</f>
        <v>161780.435166577</v>
      </c>
      <c r="AJ59" s="15" t="n">
        <f aca="false">AJ31-AJ36-AJ39-AJ51-AJ55+AJ56+AJ57</f>
        <v>174517.084787789</v>
      </c>
      <c r="AK59" s="15" t="n">
        <f aca="false">AK31-AK36-AK39-AK51-AK55+AK56+AK57</f>
        <v>187253.734409001</v>
      </c>
      <c r="AL59" s="15" t="n">
        <f aca="false">AL31-AL36-AL39-AL51-AL55+AL56+AL57</f>
        <v>199990.384030213</v>
      </c>
      <c r="AN59" s="15" t="n">
        <f aca="false">SUM(C59:N59)</f>
        <v>-48170.3673675757</v>
      </c>
      <c r="AO59" s="15" t="n">
        <f aca="false">SUM(O59:Z59)</f>
        <v>273762.293817102</v>
      </c>
      <c r="AP59" s="15" t="n">
        <f aca="false">SUM(AA59:AL59)</f>
        <v>1554265.73336256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-13500</v>
      </c>
      <c r="D60" s="40" t="n">
        <f aca="false">D58+D59</f>
        <v>-26800</v>
      </c>
      <c r="E60" s="40" t="n">
        <f aca="false">E58+E59</f>
        <v>-36427.84075</v>
      </c>
      <c r="F60" s="40" t="n">
        <f aca="false">F58+F59</f>
        <v>-46684.2321479167</v>
      </c>
      <c r="G60" s="40" t="n">
        <f aca="false">G58+G59</f>
        <v>-56954.2137608854</v>
      </c>
      <c r="H60" s="40" t="n">
        <f aca="false">H58+H59</f>
        <v>-61427.2560943087</v>
      </c>
      <c r="I60" s="40" t="n">
        <f aca="false">I58+I59</f>
        <v>-61562.4344883381</v>
      </c>
      <c r="J60" s="40" t="n">
        <f aca="false">J58+J59</f>
        <v>-60259.7489429735</v>
      </c>
      <c r="K60" s="40" t="n">
        <f aca="false">K58+K59</f>
        <v>-56919.199458215</v>
      </c>
      <c r="L60" s="40" t="n">
        <f aca="false">L58+L59</f>
        <v>-56040.7860340625</v>
      </c>
      <c r="M60" s="40" t="n">
        <f aca="false">M58+M59</f>
        <v>-53124.5086705161</v>
      </c>
      <c r="N60" s="40" t="n">
        <f aca="false">N58+N59</f>
        <v>-48170.3673675758</v>
      </c>
      <c r="O60" s="40" t="n">
        <f aca="false">O58+O59</f>
        <v>-54289.9312161506</v>
      </c>
      <c r="P60" s="40" t="n">
        <f aca="false">P58+P59</f>
        <v>-59195.9032465436</v>
      </c>
      <c r="Q60" s="40" t="n">
        <f aca="false">Q58+Q59</f>
        <v>-57988.2834587547</v>
      </c>
      <c r="R60" s="40" t="n">
        <f aca="false">R58+R59</f>
        <v>-50667.0718527841</v>
      </c>
      <c r="S60" s="40" t="n">
        <f aca="false">S58+S59</f>
        <v>-37232.2684286316</v>
      </c>
      <c r="T60" s="40" t="n">
        <f aca="false">T58+T59</f>
        <v>-20683.8731862973</v>
      </c>
      <c r="U60" s="40" t="n">
        <f aca="false">U58+U59</f>
        <v>5578.11387421877</v>
      </c>
      <c r="V60" s="40" t="n">
        <f aca="false">V58+V59</f>
        <v>37353.6927529167</v>
      </c>
      <c r="W60" s="40" t="n">
        <f aca="false">W58+W59</f>
        <v>75242.8634497964</v>
      </c>
      <c r="X60" s="40" t="n">
        <f aca="false">X58+X59</f>
        <v>119245.625964858</v>
      </c>
      <c r="Y60" s="40" t="n">
        <f aca="false">Y58+Y59</f>
        <v>169361.980298101</v>
      </c>
      <c r="Z60" s="40" t="n">
        <f aca="false">Z58+Z59</f>
        <v>225591.926449526</v>
      </c>
      <c r="AA60" s="40" t="n">
        <f aca="false">AA58+AA59</f>
        <v>282879.164646406</v>
      </c>
      <c r="AB60" s="40" t="n">
        <f aca="false">AB58+AB59</f>
        <v>355503.052464498</v>
      </c>
      <c r="AC60" s="40" t="n">
        <f aca="false">AC58+AC59</f>
        <v>440863.589903802</v>
      </c>
      <c r="AD60" s="40" t="n">
        <f aca="false">AD58+AD59</f>
        <v>538960.776964318</v>
      </c>
      <c r="AE60" s="40" t="n">
        <f aca="false">AE58+AE59</f>
        <v>649794.613646046</v>
      </c>
      <c r="AF60" s="40" t="n">
        <f aca="false">AF58+AF59</f>
        <v>770365.099948986</v>
      </c>
      <c r="AG60" s="40" t="n">
        <f aca="false">AG58+AG59</f>
        <v>907272.235873139</v>
      </c>
      <c r="AH60" s="40" t="n">
        <f aca="false">AH58+AH59</f>
        <v>1056316.0214185</v>
      </c>
      <c r="AI60" s="40" t="n">
        <f aca="false">AI58+AI59</f>
        <v>1218096.45658508</v>
      </c>
      <c r="AJ60" s="40" t="n">
        <f aca="false">AJ58+AJ59</f>
        <v>1392613.54137287</v>
      </c>
      <c r="AK60" s="40" t="n">
        <f aca="false">AK58+AK59</f>
        <v>1579867.27578187</v>
      </c>
      <c r="AL60" s="40" t="n">
        <f aca="false">AL58+AL59</f>
        <v>1779857.65981208</v>
      </c>
      <c r="AN60" s="40" t="n">
        <f aca="false">N60</f>
        <v>-48170.3673675758</v>
      </c>
      <c r="AO60" s="40" t="n">
        <f aca="false">Z60</f>
        <v>225591.926449526</v>
      </c>
      <c r="AP60" s="40" t="n">
        <f aca="false">AL60</f>
        <v>1779857.65981208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-13500</v>
      </c>
      <c r="D62" s="40" t="n">
        <f aca="false">D60-D61</f>
        <v>-26800</v>
      </c>
      <c r="E62" s="40" t="n">
        <f aca="false">E60-E61</f>
        <v>-36427.84075</v>
      </c>
      <c r="F62" s="40" t="n">
        <f aca="false">F60-F61</f>
        <v>-46684.2321479167</v>
      </c>
      <c r="G62" s="40" t="n">
        <f aca="false">G60-G61</f>
        <v>-56954.2137608854</v>
      </c>
      <c r="H62" s="40" t="n">
        <f aca="false">H60-H61</f>
        <v>-61427.2560943087</v>
      </c>
      <c r="I62" s="40" t="n">
        <f aca="false">I60-I61</f>
        <v>-61562.4344883381</v>
      </c>
      <c r="J62" s="40" t="n">
        <f aca="false">J60-J61</f>
        <v>-60259.7489429735</v>
      </c>
      <c r="K62" s="40" t="n">
        <f aca="false">K60-K61</f>
        <v>-56919.199458215</v>
      </c>
      <c r="L62" s="40" t="n">
        <f aca="false">L60-L61</f>
        <v>-56040.7860340625</v>
      </c>
      <c r="M62" s="40" t="n">
        <f aca="false">M60-M61</f>
        <v>-53124.5086705161</v>
      </c>
      <c r="N62" s="40" t="n">
        <f aca="false">N60-N61</f>
        <v>-48170.3673675758</v>
      </c>
      <c r="O62" s="40" t="n">
        <f aca="false">O60-O61</f>
        <v>-54289.9312161506</v>
      </c>
      <c r="P62" s="40" t="n">
        <f aca="false">P60-P61</f>
        <v>-59195.9032465436</v>
      </c>
      <c r="Q62" s="40" t="n">
        <f aca="false">Q60-Q61</f>
        <v>-57988.2834587547</v>
      </c>
      <c r="R62" s="40" t="n">
        <f aca="false">R60-R61</f>
        <v>-50667.0718527841</v>
      </c>
      <c r="S62" s="40" t="n">
        <f aca="false">S60-S61</f>
        <v>-37232.2684286316</v>
      </c>
      <c r="T62" s="40" t="n">
        <f aca="false">T60-T61</f>
        <v>-20683.8731862973</v>
      </c>
      <c r="U62" s="40" t="n">
        <f aca="false">U60-U61</f>
        <v>5578.11387421877</v>
      </c>
      <c r="V62" s="40" t="n">
        <f aca="false">V60-V61</f>
        <v>37353.6927529167</v>
      </c>
      <c r="W62" s="40" t="n">
        <f aca="false">W60-W61</f>
        <v>75242.8634497964</v>
      </c>
      <c r="X62" s="40" t="n">
        <f aca="false">X60-X61</f>
        <v>119245.625964858</v>
      </c>
      <c r="Y62" s="40" t="n">
        <f aca="false">Y60-Y61</f>
        <v>169361.980298101</v>
      </c>
      <c r="Z62" s="40" t="n">
        <f aca="false">Z60-Z61</f>
        <v>225591.926449526</v>
      </c>
      <c r="AA62" s="40" t="n">
        <f aca="false">AA60-AA61</f>
        <v>282879.164646406</v>
      </c>
      <c r="AB62" s="40" t="n">
        <f aca="false">AB60-AB61</f>
        <v>355503.052464498</v>
      </c>
      <c r="AC62" s="40" t="n">
        <f aca="false">AC60-AC61</f>
        <v>440863.589903802</v>
      </c>
      <c r="AD62" s="40" t="n">
        <f aca="false">AD60-AD61</f>
        <v>538960.776964318</v>
      </c>
      <c r="AE62" s="40" t="n">
        <f aca="false">AE60-AE61</f>
        <v>649794.613646046</v>
      </c>
      <c r="AF62" s="40" t="n">
        <f aca="false">AF60-AF61</f>
        <v>770365.099948986</v>
      </c>
      <c r="AG62" s="40" t="n">
        <f aca="false">AG60-AG61</f>
        <v>907272.235873139</v>
      </c>
      <c r="AH62" s="40" t="n">
        <f aca="false">AH60-AH61</f>
        <v>1056316.0214185</v>
      </c>
      <c r="AI62" s="40" t="n">
        <f aca="false">AI60-AI61</f>
        <v>1218096.45658508</v>
      </c>
      <c r="AJ62" s="40" t="n">
        <f aca="false">AJ60-AJ61</f>
        <v>1392613.54137287</v>
      </c>
      <c r="AK62" s="40" t="n">
        <f aca="false">AK60-AK61</f>
        <v>1579867.27578187</v>
      </c>
      <c r="AL62" s="40" t="n">
        <f aca="false">AL60-AL61</f>
        <v>1779857.65981208</v>
      </c>
      <c r="AN62" s="40" t="n">
        <f aca="false">N62</f>
        <v>-48170.3673675758</v>
      </c>
      <c r="AO62" s="40" t="n">
        <f aca="false">Z62</f>
        <v>225591.926449526</v>
      </c>
      <c r="AP62" s="40" t="n">
        <f aca="false">AL62</f>
        <v>1779857.65981208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-13500</v>
      </c>
      <c r="D63" s="15" t="n">
        <f aca="false">MIN(C63,D62)</f>
        <v>-26800</v>
      </c>
      <c r="E63" s="15" t="n">
        <f aca="false">MIN(D63,E62)</f>
        <v>-36427.84075</v>
      </c>
      <c r="F63" s="15" t="n">
        <f aca="false">MIN(E63,F62)</f>
        <v>-46684.2321479167</v>
      </c>
      <c r="G63" s="15" t="n">
        <f aca="false">MIN(F63,G62)</f>
        <v>-56954.2137608854</v>
      </c>
      <c r="H63" s="15" t="n">
        <f aca="false">MIN(G63,H62)</f>
        <v>-61427.2560943087</v>
      </c>
      <c r="I63" s="15" t="n">
        <f aca="false">MIN(H63,I62)</f>
        <v>-61562.4344883381</v>
      </c>
      <c r="J63" s="15" t="n">
        <f aca="false">MIN(I63,J62)</f>
        <v>-61562.4344883381</v>
      </c>
      <c r="K63" s="15" t="n">
        <f aca="false">MIN(J63,K62)</f>
        <v>-61562.4344883381</v>
      </c>
      <c r="L63" s="15" t="n">
        <f aca="false">MIN(K63,L62)</f>
        <v>-61562.4344883381</v>
      </c>
      <c r="M63" s="15" t="n">
        <f aca="false">MIN(L63,M62)</f>
        <v>-61562.4344883381</v>
      </c>
      <c r="N63" s="15" t="n">
        <f aca="false">MIN(M63,N62)</f>
        <v>-61562.4344883381</v>
      </c>
      <c r="O63" s="15" t="n">
        <f aca="false">MIN(N63,O62)</f>
        <v>-61562.4344883381</v>
      </c>
      <c r="P63" s="15" t="n">
        <f aca="false">MIN(O63,P62)</f>
        <v>-61562.4344883381</v>
      </c>
      <c r="Q63" s="15" t="n">
        <f aca="false">MIN(P63,Q62)</f>
        <v>-61562.4344883381</v>
      </c>
      <c r="R63" s="15" t="n">
        <f aca="false">MIN(Q63,R62)</f>
        <v>-61562.4344883381</v>
      </c>
      <c r="S63" s="15" t="n">
        <f aca="false">MIN(R63,S62)</f>
        <v>-61562.4344883381</v>
      </c>
      <c r="T63" s="15" t="n">
        <f aca="false">MIN(S63,T62)</f>
        <v>-61562.4344883381</v>
      </c>
      <c r="U63" s="15" t="n">
        <f aca="false">MIN(T63,U62)</f>
        <v>-61562.4344883381</v>
      </c>
      <c r="V63" s="15" t="n">
        <f aca="false">MIN(U63,V62)</f>
        <v>-61562.4344883381</v>
      </c>
      <c r="W63" s="15" t="n">
        <f aca="false">MIN(V63,W62)</f>
        <v>-61562.4344883381</v>
      </c>
      <c r="X63" s="15" t="n">
        <f aca="false">MIN(W63,X62)</f>
        <v>-61562.4344883381</v>
      </c>
      <c r="Y63" s="15" t="n">
        <f aca="false">MIN(X63,Y62)</f>
        <v>-61562.4344883381</v>
      </c>
      <c r="Z63" s="15" t="n">
        <f aca="false">MIN(Y63,Z62)</f>
        <v>-61562.4344883381</v>
      </c>
      <c r="AA63" s="15" t="n">
        <f aca="false">MIN(Z63,AA62)</f>
        <v>-61562.4344883381</v>
      </c>
      <c r="AB63" s="15" t="n">
        <f aca="false">MIN(AA63,AB62)</f>
        <v>-61562.4344883381</v>
      </c>
      <c r="AC63" s="15" t="n">
        <f aca="false">MIN(AB63,AC62)</f>
        <v>-61562.4344883381</v>
      </c>
      <c r="AD63" s="15" t="n">
        <f aca="false">MIN(AC63,AD62)</f>
        <v>-61562.4344883381</v>
      </c>
      <c r="AE63" s="15" t="n">
        <f aca="false">MIN(AD63,AE62)</f>
        <v>-61562.4344883381</v>
      </c>
      <c r="AF63" s="15" t="n">
        <f aca="false">MIN(AE63,AF62)</f>
        <v>-61562.4344883381</v>
      </c>
      <c r="AG63" s="15" t="n">
        <f aca="false">MIN(AF63,AG62)</f>
        <v>-61562.4344883381</v>
      </c>
      <c r="AH63" s="15" t="n">
        <f aca="false">MIN(AG63,AH62)</f>
        <v>-61562.4344883381</v>
      </c>
      <c r="AI63" s="15" t="n">
        <f aca="false">MIN(AH63,AI62)</f>
        <v>-61562.4344883381</v>
      </c>
      <c r="AJ63" s="15" t="n">
        <f aca="false">MIN(AI63,AJ62)</f>
        <v>-61562.4344883381</v>
      </c>
      <c r="AK63" s="15" t="n">
        <f aca="false">MIN(AJ63,AK62)</f>
        <v>-61562.4344883381</v>
      </c>
      <c r="AL63" s="15" t="n">
        <f aca="false">MIN(AK63,AL62)</f>
        <v>-61562.4344883381</v>
      </c>
      <c r="AN63" s="15" t="n">
        <f aca="false">N63</f>
        <v>-61562.4344883381</v>
      </c>
      <c r="AO63" s="15" t="n">
        <f aca="false">Z63</f>
        <v>-61562.4344883381</v>
      </c>
      <c r="AP63" s="15" t="n">
        <f aca="false">AL63</f>
        <v>-61562.4344883381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1</v>
      </c>
      <c r="V64" s="13" t="n">
        <f aca="false">IF(AND(V9=1,V62&gt;0),1,0)</f>
        <v>1</v>
      </c>
      <c r="W64" s="13" t="n">
        <f aca="false">IF(AND(W9=1,W62&gt;0),1,0)</f>
        <v>1</v>
      </c>
      <c r="X64" s="13" t="n">
        <f aca="false">IF(AND(X9=1,X62&gt;0),1,0)</f>
        <v>1</v>
      </c>
      <c r="Y64" s="13" t="n">
        <f aca="false">IF(AND(Y9=1,Y62&gt;0),1,0)</f>
        <v>1</v>
      </c>
      <c r="Z64" s="13" t="n">
        <f aca="false">IF(AND(Z9=1,Z62&gt;0),1,0)</f>
        <v>1</v>
      </c>
      <c r="AA64" s="13" t="n">
        <f aca="false">IF(AND(AA9=1,AA62&gt;0),1,0)</f>
        <v>1</v>
      </c>
      <c r="AB64" s="13" t="n">
        <f aca="false">IF(AND(AB9=1,AB62&gt;0),1,0)</f>
        <v>1</v>
      </c>
      <c r="AC64" s="13" t="n">
        <f aca="false">IF(AND(AC9=1,AC62&gt;0),1,0)</f>
        <v>1</v>
      </c>
      <c r="AD64" s="13" t="n">
        <f aca="false">IF(AND(AD9=1,AD62&gt;0),1,0)</f>
        <v>1</v>
      </c>
      <c r="AE64" s="13" t="n">
        <f aca="false">IF(AND(AE9=1,AE62&gt;0),1,0)</f>
        <v>1</v>
      </c>
      <c r="AF64" s="13" t="n">
        <f aca="false">IF(AND(AF9=1,AF62&gt;0),1,0)</f>
        <v>1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7900</v>
      </c>
      <c r="F66" s="15" t="n">
        <f aca="false">F28*12</f>
        <v>7702.5</v>
      </c>
      <c r="G66" s="15" t="n">
        <f aca="false">G28*12</f>
        <v>7509.9375</v>
      </c>
      <c r="H66" s="15" t="n">
        <f aca="false">H28*12</f>
        <v>36237.2102272727</v>
      </c>
      <c r="I66" s="15" t="n">
        <f aca="false">I28*12</f>
        <v>64964.4829545455</v>
      </c>
      <c r="J66" s="15" t="n">
        <f aca="false">J28*12</f>
        <v>93691.7556818182</v>
      </c>
      <c r="K66" s="15" t="n">
        <f aca="false">K28*12</f>
        <v>122419.028409091</v>
      </c>
      <c r="L66" s="15" t="n">
        <f aca="false">L28*12</f>
        <v>151146.301136364</v>
      </c>
      <c r="M66" s="15" t="n">
        <f aca="false">M28*12</f>
        <v>179873.573863636</v>
      </c>
      <c r="N66" s="15" t="n">
        <f aca="false">N28*12</f>
        <v>208600.846590909</v>
      </c>
      <c r="O66" s="15" t="n">
        <f aca="false">O28*12</f>
        <v>294782.664772727</v>
      </c>
      <c r="P66" s="15" t="n">
        <f aca="false">P28*12</f>
        <v>380964.482954546</v>
      </c>
      <c r="Q66" s="15" t="n">
        <f aca="false">Q28*12</f>
        <v>467146.301136364</v>
      </c>
      <c r="R66" s="15" t="n">
        <f aca="false">R28*12</f>
        <v>553328.119318182</v>
      </c>
      <c r="S66" s="15" t="n">
        <f aca="false">S28*12</f>
        <v>639509.9375</v>
      </c>
      <c r="T66" s="15" t="n">
        <f aca="false">T28*12</f>
        <v>725691.755681818</v>
      </c>
      <c r="U66" s="15" t="n">
        <f aca="false">U28*12</f>
        <v>811873.573863637</v>
      </c>
      <c r="V66" s="15" t="n">
        <f aca="false">V28*12</f>
        <v>898055.392045454</v>
      </c>
      <c r="W66" s="15" t="n">
        <f aca="false">W28*12</f>
        <v>984237.210227273</v>
      </c>
      <c r="X66" s="15" t="n">
        <f aca="false">X28*12</f>
        <v>1070419.02840909</v>
      </c>
      <c r="Y66" s="15" t="n">
        <f aca="false">Y28*12</f>
        <v>1156600.84659091</v>
      </c>
      <c r="Z66" s="15" t="n">
        <f aca="false">Z28*12</f>
        <v>1242782.66477273</v>
      </c>
      <c r="AA66" s="15" t="n">
        <f aca="false">AA28*12</f>
        <v>1422328.11931818</v>
      </c>
      <c r="AB66" s="15" t="n">
        <f aca="false">AB28*12</f>
        <v>1601873.57386364</v>
      </c>
      <c r="AC66" s="15" t="n">
        <f aca="false">AC28*12</f>
        <v>1781419.02840909</v>
      </c>
      <c r="AD66" s="15" t="n">
        <f aca="false">AD28*12</f>
        <v>1960964.48295455</v>
      </c>
      <c r="AE66" s="15" t="n">
        <f aca="false">AE28*12</f>
        <v>2140509.9375</v>
      </c>
      <c r="AF66" s="15" t="n">
        <f aca="false">AF28*12</f>
        <v>2320055.39204545</v>
      </c>
      <c r="AG66" s="15" t="n">
        <f aca="false">AG28*12</f>
        <v>2499600.84659091</v>
      </c>
      <c r="AH66" s="15" t="n">
        <f aca="false">AH28*12</f>
        <v>2679146.30113636</v>
      </c>
      <c r="AI66" s="15" t="n">
        <f aca="false">AI28*12</f>
        <v>2858691.75568182</v>
      </c>
      <c r="AJ66" s="15" t="n">
        <f aca="false">AJ28*12</f>
        <v>3038237.21022727</v>
      </c>
      <c r="AK66" s="15" t="n">
        <f aca="false">AK28*12</f>
        <v>3217782.66477273</v>
      </c>
      <c r="AL66" s="15" t="n">
        <f aca="false">AL28*12</f>
        <v>3397328.11931818</v>
      </c>
      <c r="AN66" s="15" t="n">
        <f aca="false">N66</f>
        <v>208600.846590909</v>
      </c>
      <c r="AO66" s="15" t="n">
        <f aca="false">Z66</f>
        <v>1242782.66477273</v>
      </c>
      <c r="AP66" s="15" t="n">
        <f aca="false">AL66</f>
        <v>3397328.11931818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65.8333333333333</v>
      </c>
      <c r="F67" s="19" t="n">
        <f aca="false">IF(F18&gt;0,F28/F18,0)</f>
        <v>65.8333333333333</v>
      </c>
      <c r="G67" s="19" t="n">
        <f aca="false">IF(G18&gt;0,G28/G18,0)</f>
        <v>65.8333333333333</v>
      </c>
      <c r="H67" s="19" t="n">
        <f aca="false">IF(H18&gt;0,H28/H18,0)</f>
        <v>65.8333333333333</v>
      </c>
      <c r="I67" s="19" t="n">
        <f aca="false">IF(I18&gt;0,I28/I18,0)</f>
        <v>65.8333333333333</v>
      </c>
      <c r="J67" s="19" t="n">
        <f aca="false">IF(J18&gt;0,J28/J18,0)</f>
        <v>65.8333333333333</v>
      </c>
      <c r="K67" s="19" t="n">
        <f aca="false">IF(K18&gt;0,K28/K18,0)</f>
        <v>65.8333333333333</v>
      </c>
      <c r="L67" s="19" t="n">
        <f aca="false">IF(L18&gt;0,L28/L18,0)</f>
        <v>65.8333333333333</v>
      </c>
      <c r="M67" s="19" t="n">
        <f aca="false">IF(M18&gt;0,M28/M18,0)</f>
        <v>65.8333333333333</v>
      </c>
      <c r="N67" s="19" t="n">
        <f aca="false">IF(N18&gt;0,N28/N18,0)</f>
        <v>65.8333333333333</v>
      </c>
      <c r="O67" s="19" t="n">
        <f aca="false">IF(O18&gt;0,O28/O18,0)</f>
        <v>65.8333333333333</v>
      </c>
      <c r="P67" s="19" t="n">
        <f aca="false">IF(P18&gt;0,P28/P18,0)</f>
        <v>65.8333333333333</v>
      </c>
      <c r="Q67" s="19" t="n">
        <f aca="false">IF(Q18&gt;0,Q28/Q18,0)</f>
        <v>65.8333333333333</v>
      </c>
      <c r="R67" s="19" t="n">
        <f aca="false">IF(R18&gt;0,R28/R18,0)</f>
        <v>65.8333333333333</v>
      </c>
      <c r="S67" s="19" t="n">
        <f aca="false">IF(S18&gt;0,S28/S18,0)</f>
        <v>65.8333333333333</v>
      </c>
      <c r="T67" s="19" t="n">
        <f aca="false">IF(T18&gt;0,T28/T18,0)</f>
        <v>65.8333333333333</v>
      </c>
      <c r="U67" s="19" t="n">
        <f aca="false">IF(U18&gt;0,U28/U18,0)</f>
        <v>65.8333333333333</v>
      </c>
      <c r="V67" s="19" t="n">
        <f aca="false">IF(V18&gt;0,V28/V18,0)</f>
        <v>65.8333333333333</v>
      </c>
      <c r="W67" s="19" t="n">
        <f aca="false">IF(W18&gt;0,W28/W18,0)</f>
        <v>65.8333333333333</v>
      </c>
      <c r="X67" s="19" t="n">
        <f aca="false">IF(X18&gt;0,X28/X18,0)</f>
        <v>65.8333333333333</v>
      </c>
      <c r="Y67" s="19" t="n">
        <f aca="false">IF(Y18&gt;0,Y28/Y18,0)</f>
        <v>65.8333333333333</v>
      </c>
      <c r="Z67" s="19" t="n">
        <f aca="false">IF(Z18&gt;0,Z28/Z18,0)</f>
        <v>65.8333333333333</v>
      </c>
      <c r="AA67" s="19" t="n">
        <f aca="false">IF(AA18&gt;0,AA28/AA18,0)</f>
        <v>65.8333333333333</v>
      </c>
      <c r="AB67" s="19" t="n">
        <f aca="false">IF(AB18&gt;0,AB28/AB18,0)</f>
        <v>65.8333333333333</v>
      </c>
      <c r="AC67" s="19" t="n">
        <f aca="false">IF(AC18&gt;0,AC28/AC18,0)</f>
        <v>65.8333333333333</v>
      </c>
      <c r="AD67" s="19" t="n">
        <f aca="false">IF(AD18&gt;0,AD28/AD18,0)</f>
        <v>65.8333333333333</v>
      </c>
      <c r="AE67" s="19" t="n">
        <f aca="false">IF(AE18&gt;0,AE28/AE18,0)</f>
        <v>65.8333333333333</v>
      </c>
      <c r="AF67" s="19" t="n">
        <f aca="false">IF(AF18&gt;0,AF28/AF18,0)</f>
        <v>65.8333333333333</v>
      </c>
      <c r="AG67" s="19" t="n">
        <f aca="false">IF(AG18&gt;0,AG28/AG18,0)</f>
        <v>65.8333333333333</v>
      </c>
      <c r="AH67" s="19" t="n">
        <f aca="false">IF(AH18&gt;0,AH28/AH18,0)</f>
        <v>65.8333333333333</v>
      </c>
      <c r="AI67" s="19" t="n">
        <f aca="false">IF(AI18&gt;0,AI28/AI18,0)</f>
        <v>65.8333333333333</v>
      </c>
      <c r="AJ67" s="19" t="n">
        <f aca="false">IF(AJ18&gt;0,AJ28/AJ18,0)</f>
        <v>65.8333333333333</v>
      </c>
      <c r="AK67" s="19" t="n">
        <f aca="false">IF(AK18&gt;0,AK28/AK18,0)</f>
        <v>65.8333333333333</v>
      </c>
      <c r="AL67" s="19" t="n">
        <f aca="false">IF(AL18&gt;0,AL28/AL18,0)</f>
        <v>65.8333333333333</v>
      </c>
      <c r="AN67" s="19" t="n">
        <f aca="false">N67</f>
        <v>65.8333333333333</v>
      </c>
      <c r="AO67" s="19" t="n">
        <f aca="false">Z67</f>
        <v>65.8333333333333</v>
      </c>
      <c r="AP67" s="19" t="n">
        <f aca="false">AL67</f>
        <v>65.8333333333333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9.96</v>
      </c>
      <c r="F68" s="19" t="n">
        <f aca="false">IF(F18&gt;0,F36/F18,0)</f>
        <v>9.96</v>
      </c>
      <c r="G68" s="19" t="n">
        <f aca="false">IF(G18&gt;0,G36/G18,0)</f>
        <v>9.96</v>
      </c>
      <c r="H68" s="19" t="n">
        <f aca="false">IF(H18&gt;0,H36/H18,0)</f>
        <v>9.96</v>
      </c>
      <c r="I68" s="19" t="n">
        <f aca="false">IF(I18&gt;0,I36/I18,0)</f>
        <v>9.96</v>
      </c>
      <c r="J68" s="19" t="n">
        <f aca="false">IF(J18&gt;0,J36/J18,0)</f>
        <v>9.96</v>
      </c>
      <c r="K68" s="19" t="n">
        <f aca="false">IF(K18&gt;0,K36/K18,0)</f>
        <v>9.96</v>
      </c>
      <c r="L68" s="19" t="n">
        <f aca="false">IF(L18&gt;0,L36/L18,0)</f>
        <v>9.96</v>
      </c>
      <c r="M68" s="19" t="n">
        <f aca="false">IF(M18&gt;0,M36/M18,0)</f>
        <v>9.96</v>
      </c>
      <c r="N68" s="19" t="n">
        <f aca="false">IF(N18&gt;0,N36/N18,0)</f>
        <v>9.96</v>
      </c>
      <c r="O68" s="19" t="n">
        <f aca="false">IF(O18&gt;0,O36/O18,0)</f>
        <v>9.96</v>
      </c>
      <c r="P68" s="19" t="n">
        <f aca="false">IF(P18&gt;0,P36/P18,0)</f>
        <v>9.96</v>
      </c>
      <c r="Q68" s="19" t="n">
        <f aca="false">IF(Q18&gt;0,Q36/Q18,0)</f>
        <v>9.96</v>
      </c>
      <c r="R68" s="19" t="n">
        <f aca="false">IF(R18&gt;0,R36/R18,0)</f>
        <v>9.96</v>
      </c>
      <c r="S68" s="19" t="n">
        <f aca="false">IF(S18&gt;0,S36/S18,0)</f>
        <v>9.96</v>
      </c>
      <c r="T68" s="19" t="n">
        <f aca="false">IF(T18&gt;0,T36/T18,0)</f>
        <v>9.96</v>
      </c>
      <c r="U68" s="19" t="n">
        <f aca="false">IF(U18&gt;0,U36/U18,0)</f>
        <v>9.96</v>
      </c>
      <c r="V68" s="19" t="n">
        <f aca="false">IF(V18&gt;0,V36/V18,0)</f>
        <v>9.96</v>
      </c>
      <c r="W68" s="19" t="n">
        <f aca="false">IF(W18&gt;0,W36/W18,0)</f>
        <v>9.96</v>
      </c>
      <c r="X68" s="19" t="n">
        <f aca="false">IF(X18&gt;0,X36/X18,0)</f>
        <v>9.96</v>
      </c>
      <c r="Y68" s="19" t="n">
        <f aca="false">IF(Y18&gt;0,Y36/Y18,0)</f>
        <v>9.96</v>
      </c>
      <c r="Z68" s="19" t="n">
        <f aca="false">IF(Z18&gt;0,Z36/Z18,0)</f>
        <v>9.96</v>
      </c>
      <c r="AA68" s="19" t="n">
        <f aca="false">IF(AA18&gt;0,AA36/AA18,0)</f>
        <v>9.96</v>
      </c>
      <c r="AB68" s="19" t="n">
        <f aca="false">IF(AB18&gt;0,AB36/AB18,0)</f>
        <v>9.96</v>
      </c>
      <c r="AC68" s="19" t="n">
        <f aca="false">IF(AC18&gt;0,AC36/AC18,0)</f>
        <v>9.96</v>
      </c>
      <c r="AD68" s="19" t="n">
        <f aca="false">IF(AD18&gt;0,AD36/AD18,0)</f>
        <v>9.96</v>
      </c>
      <c r="AE68" s="19" t="n">
        <f aca="false">IF(AE18&gt;0,AE36/AE18,0)</f>
        <v>9.96</v>
      </c>
      <c r="AF68" s="19" t="n">
        <f aca="false">IF(AF18&gt;0,AF36/AF18,0)</f>
        <v>9.96</v>
      </c>
      <c r="AG68" s="19" t="n">
        <f aca="false">IF(AG18&gt;0,AG36/AG18,0)</f>
        <v>9.96</v>
      </c>
      <c r="AH68" s="19" t="n">
        <f aca="false">IF(AH18&gt;0,AH36/AH18,0)</f>
        <v>9.96</v>
      </c>
      <c r="AI68" s="19" t="n">
        <f aca="false">IF(AI18&gt;0,AI36/AI18,0)</f>
        <v>9.96</v>
      </c>
      <c r="AJ68" s="19" t="n">
        <f aca="false">IF(AJ18&gt;0,AJ36/AJ18,0)</f>
        <v>9.96</v>
      </c>
      <c r="AK68" s="19" t="n">
        <f aca="false">IF(AK18&gt;0,AK36/AK18,0)</f>
        <v>9.96</v>
      </c>
      <c r="AL68" s="19" t="n">
        <f aca="false">IF(AL18&gt;0,AL36/AL18,0)</f>
        <v>9.96</v>
      </c>
      <c r="AN68" s="19" t="n">
        <f aca="false">N68</f>
        <v>9.96</v>
      </c>
      <c r="AO68" s="19" t="n">
        <f aca="false">Z68</f>
        <v>9.96</v>
      </c>
      <c r="AP68" s="19" t="n">
        <f aca="false">AL68</f>
        <v>9.96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54.1150916666667</v>
      </c>
      <c r="F69" s="19" t="n">
        <f aca="false">IF(F18&gt;0,F37/F18,0)</f>
        <v>54.1150916666667</v>
      </c>
      <c r="G69" s="19" t="n">
        <f aca="false">IF(G18&gt;0,G37/G18,0)</f>
        <v>54.1150916666667</v>
      </c>
      <c r="H69" s="19" t="n">
        <f aca="false">IF(H18&gt;0,H37/H18,0)</f>
        <v>54.1150916666667</v>
      </c>
      <c r="I69" s="19" t="n">
        <f aca="false">IF(I18&gt;0,I37/I18,0)</f>
        <v>54.1150916666667</v>
      </c>
      <c r="J69" s="19" t="n">
        <f aca="false">IF(J18&gt;0,J37/J18,0)</f>
        <v>54.1150916666667</v>
      </c>
      <c r="K69" s="19" t="n">
        <f aca="false">IF(K18&gt;0,K37/K18,0)</f>
        <v>54.1150916666667</v>
      </c>
      <c r="L69" s="19" t="n">
        <f aca="false">IF(L18&gt;0,L37/L18,0)</f>
        <v>54.1150916666667</v>
      </c>
      <c r="M69" s="19" t="n">
        <f aca="false">IF(M18&gt;0,M37/M18,0)</f>
        <v>54.1150916666667</v>
      </c>
      <c r="N69" s="19" t="n">
        <f aca="false">IF(N18&gt;0,N37/N18,0)</f>
        <v>54.1150916666667</v>
      </c>
      <c r="O69" s="19" t="n">
        <f aca="false">IF(O18&gt;0,O37/O18,0)</f>
        <v>54.1150916666667</v>
      </c>
      <c r="P69" s="19" t="n">
        <f aca="false">IF(P18&gt;0,P37/P18,0)</f>
        <v>54.1150916666667</v>
      </c>
      <c r="Q69" s="19" t="n">
        <f aca="false">IF(Q18&gt;0,Q37/Q18,0)</f>
        <v>54.1150916666667</v>
      </c>
      <c r="R69" s="19" t="n">
        <f aca="false">IF(R18&gt;0,R37/R18,0)</f>
        <v>54.1150916666667</v>
      </c>
      <c r="S69" s="19" t="n">
        <f aca="false">IF(S18&gt;0,S37/S18,0)</f>
        <v>54.1150916666667</v>
      </c>
      <c r="T69" s="19" t="n">
        <f aca="false">IF(T18&gt;0,T37/T18,0)</f>
        <v>54.1150916666667</v>
      </c>
      <c r="U69" s="19" t="n">
        <f aca="false">IF(U18&gt;0,U37/U18,0)</f>
        <v>54.1150916666667</v>
      </c>
      <c r="V69" s="19" t="n">
        <f aca="false">IF(V18&gt;0,V37/V18,0)</f>
        <v>54.1150916666667</v>
      </c>
      <c r="W69" s="19" t="n">
        <f aca="false">IF(W18&gt;0,W37/W18,0)</f>
        <v>54.1150916666667</v>
      </c>
      <c r="X69" s="19" t="n">
        <f aca="false">IF(X18&gt;0,X37/X18,0)</f>
        <v>54.1150916666666</v>
      </c>
      <c r="Y69" s="19" t="n">
        <f aca="false">IF(Y18&gt;0,Y37/Y18,0)</f>
        <v>54.1150916666667</v>
      </c>
      <c r="Z69" s="19" t="n">
        <f aca="false">IF(Z18&gt;0,Z37/Z18,0)</f>
        <v>54.1150916666667</v>
      </c>
      <c r="AA69" s="19" t="n">
        <f aca="false">IF(AA18&gt;0,AA37/AA18,0)</f>
        <v>54.1150916666667</v>
      </c>
      <c r="AB69" s="19" t="n">
        <f aca="false">IF(AB18&gt;0,AB37/AB18,0)</f>
        <v>54.1150916666667</v>
      </c>
      <c r="AC69" s="19" t="n">
        <f aca="false">IF(AC18&gt;0,AC37/AC18,0)</f>
        <v>54.1150916666667</v>
      </c>
      <c r="AD69" s="19" t="n">
        <f aca="false">IF(AD18&gt;0,AD37/AD18,0)</f>
        <v>54.1150916666667</v>
      </c>
      <c r="AE69" s="19" t="n">
        <f aca="false">IF(AE18&gt;0,AE37/AE18,0)</f>
        <v>54.1150916666667</v>
      </c>
      <c r="AF69" s="19" t="n">
        <f aca="false">IF(AF18&gt;0,AF37/AF18,0)</f>
        <v>54.1150916666667</v>
      </c>
      <c r="AG69" s="19" t="n">
        <f aca="false">IF(AG18&gt;0,AG37/AG18,0)</f>
        <v>54.1150916666667</v>
      </c>
      <c r="AH69" s="19" t="n">
        <f aca="false">IF(AH18&gt;0,AH37/AH18,0)</f>
        <v>54.1150916666667</v>
      </c>
      <c r="AI69" s="19" t="n">
        <f aca="false">IF(AI18&gt;0,AI37/AI18,0)</f>
        <v>54.1150916666667</v>
      </c>
      <c r="AJ69" s="19" t="n">
        <f aca="false">IF(AJ18&gt;0,AJ37/AJ18,0)</f>
        <v>54.1150916666667</v>
      </c>
      <c r="AK69" s="19" t="n">
        <f aca="false">IF(AK18&gt;0,AK37/AK18,0)</f>
        <v>54.1150916666667</v>
      </c>
      <c r="AL69" s="19" t="n">
        <f aca="false">IF(AL18&gt;0,AL37/AL18,0)</f>
        <v>54.1150916666667</v>
      </c>
      <c r="AN69" s="19" t="n">
        <f aca="false">N69</f>
        <v>54.1150916666667</v>
      </c>
      <c r="AO69" s="19" t="n">
        <f aca="false">Z69</f>
        <v>54.1150916666667</v>
      </c>
      <c r="AP69" s="19" t="n">
        <f aca="false">AL69</f>
        <v>54.1150916666667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0.822001392405063</v>
      </c>
      <c r="F70" s="17" t="n">
        <f aca="false">IF(F28&gt;0,F37/F28,0)</f>
        <v>0.822001392405063</v>
      </c>
      <c r="G70" s="17" t="n">
        <f aca="false">IF(G28&gt;0,G37/G28,0)</f>
        <v>0.822001392405063</v>
      </c>
      <c r="H70" s="17" t="n">
        <f aca="false">IF(H28&gt;0,H37/H28,0)</f>
        <v>0.822001392405063</v>
      </c>
      <c r="I70" s="17" t="n">
        <f aca="false">IF(I28&gt;0,I37/I28,0)</f>
        <v>0.822001392405063</v>
      </c>
      <c r="J70" s="17" t="n">
        <f aca="false">IF(J28&gt;0,J37/J28,0)</f>
        <v>0.822001392405063</v>
      </c>
      <c r="K70" s="17" t="n">
        <f aca="false">IF(K28&gt;0,K37/K28,0)</f>
        <v>0.822001392405063</v>
      </c>
      <c r="L70" s="17" t="n">
        <f aca="false">IF(L28&gt;0,L37/L28,0)</f>
        <v>0.822001392405063</v>
      </c>
      <c r="M70" s="17" t="n">
        <f aca="false">IF(M28&gt;0,M37/M28,0)</f>
        <v>0.822001392405063</v>
      </c>
      <c r="N70" s="17" t="n">
        <f aca="false">IF(N28&gt;0,N37/N28,0)</f>
        <v>0.822001392405063</v>
      </c>
      <c r="O70" s="17" t="n">
        <f aca="false">IF(O28&gt;0,O37/O28,0)</f>
        <v>0.822001392405063</v>
      </c>
      <c r="P70" s="17" t="n">
        <f aca="false">IF(P28&gt;0,P37/P28,0)</f>
        <v>0.822001392405063</v>
      </c>
      <c r="Q70" s="17" t="n">
        <f aca="false">IF(Q28&gt;0,Q37/Q28,0)</f>
        <v>0.822001392405063</v>
      </c>
      <c r="R70" s="17" t="n">
        <f aca="false">IF(R28&gt;0,R37/R28,0)</f>
        <v>0.822001392405063</v>
      </c>
      <c r="S70" s="17" t="n">
        <f aca="false">IF(S28&gt;0,S37/S28,0)</f>
        <v>0.822001392405063</v>
      </c>
      <c r="T70" s="17" t="n">
        <f aca="false">IF(T28&gt;0,T37/T28,0)</f>
        <v>0.822001392405063</v>
      </c>
      <c r="U70" s="17" t="n">
        <f aca="false">IF(U28&gt;0,U37/U28,0)</f>
        <v>0.822001392405063</v>
      </c>
      <c r="V70" s="17" t="n">
        <f aca="false">IF(V28&gt;0,V37/V28,0)</f>
        <v>0.822001392405063</v>
      </c>
      <c r="W70" s="17" t="n">
        <f aca="false">IF(W28&gt;0,W37/W28,0)</f>
        <v>0.822001392405063</v>
      </c>
      <c r="X70" s="17" t="n">
        <f aca="false">IF(X28&gt;0,X37/X28,0)</f>
        <v>0.822001392405063</v>
      </c>
      <c r="Y70" s="17" t="n">
        <f aca="false">IF(Y28&gt;0,Y37/Y28,0)</f>
        <v>0.822001392405063</v>
      </c>
      <c r="Z70" s="17" t="n">
        <f aca="false">IF(Z28&gt;0,Z37/Z28,0)</f>
        <v>0.822001392405063</v>
      </c>
      <c r="AA70" s="17" t="n">
        <f aca="false">IF(AA28&gt;0,AA37/AA28,0)</f>
        <v>0.822001392405063</v>
      </c>
      <c r="AB70" s="17" t="n">
        <f aca="false">IF(AB28&gt;0,AB37/AB28,0)</f>
        <v>0.822001392405063</v>
      </c>
      <c r="AC70" s="17" t="n">
        <f aca="false">IF(AC28&gt;0,AC37/AC28,0)</f>
        <v>0.822001392405063</v>
      </c>
      <c r="AD70" s="17" t="n">
        <f aca="false">IF(AD28&gt;0,AD37/AD28,0)</f>
        <v>0.822001392405063</v>
      </c>
      <c r="AE70" s="17" t="n">
        <f aca="false">IF(AE28&gt;0,AE37/AE28,0)</f>
        <v>0.822001392405063</v>
      </c>
      <c r="AF70" s="17" t="n">
        <f aca="false">IF(AF28&gt;0,AF37/AF28,0)</f>
        <v>0.822001392405063</v>
      </c>
      <c r="AG70" s="17" t="n">
        <f aca="false">IF(AG28&gt;0,AG37/AG28,0)</f>
        <v>0.822001392405063</v>
      </c>
      <c r="AH70" s="17" t="n">
        <f aca="false">IF(AH28&gt;0,AH37/AH28,0)</f>
        <v>0.822001392405063</v>
      </c>
      <c r="AI70" s="17" t="n">
        <f aca="false">IF(AI28&gt;0,AI37/AI28,0)</f>
        <v>0.822001392405063</v>
      </c>
      <c r="AJ70" s="17" t="n">
        <f aca="false">IF(AJ28&gt;0,AJ37/AJ28,0)</f>
        <v>0.822001392405063</v>
      </c>
      <c r="AK70" s="17" t="n">
        <f aca="false">IF(AK28&gt;0,AK37/AK28,0)</f>
        <v>0.822001392405063</v>
      </c>
      <c r="AL70" s="17" t="n">
        <f aca="false">IF(AL28&gt;0,AL37/AL28,0)</f>
        <v>0.822001392405063</v>
      </c>
      <c r="AN70" s="17" t="n">
        <f aca="false">N70</f>
        <v>0.822001392405063</v>
      </c>
      <c r="AO70" s="17" t="n">
        <f aca="false">Z70</f>
        <v>0.822001392405063</v>
      </c>
      <c r="AP70" s="17" t="n">
        <f aca="false">AL70</f>
        <v>0.822001392405063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110</v>
      </c>
      <c r="I71" s="15" t="n">
        <f aca="false">IF(I14&gt;0,I39/I14,0)</f>
        <v>110</v>
      </c>
      <c r="J71" s="15" t="n">
        <f aca="false">IF(J14&gt;0,J39/J14,0)</f>
        <v>110</v>
      </c>
      <c r="K71" s="15" t="n">
        <f aca="false">IF(K14&gt;0,K39/K14,0)</f>
        <v>110</v>
      </c>
      <c r="L71" s="15" t="n">
        <f aca="false">IF(L14&gt;0,L39/L14,0)</f>
        <v>110</v>
      </c>
      <c r="M71" s="15" t="n">
        <f aca="false">IF(M14&gt;0,M39/M14,0)</f>
        <v>110</v>
      </c>
      <c r="N71" s="15" t="n">
        <f aca="false">IF(N14&gt;0,N39/N14,0)</f>
        <v>110</v>
      </c>
      <c r="O71" s="15" t="n">
        <f aca="false">IF(O14&gt;0,O39/O14,0)</f>
        <v>110</v>
      </c>
      <c r="P71" s="15" t="n">
        <f aca="false">IF(P14&gt;0,P39/P14,0)</f>
        <v>110</v>
      </c>
      <c r="Q71" s="15" t="n">
        <f aca="false">IF(Q14&gt;0,Q39/Q14,0)</f>
        <v>110</v>
      </c>
      <c r="R71" s="15" t="n">
        <f aca="false">IF(R14&gt;0,R39/R14,0)</f>
        <v>110</v>
      </c>
      <c r="S71" s="15" t="n">
        <f aca="false">IF(S14&gt;0,S39/S14,0)</f>
        <v>110</v>
      </c>
      <c r="T71" s="15" t="n">
        <f aca="false">IF(T14&gt;0,T39/T14,0)</f>
        <v>110</v>
      </c>
      <c r="U71" s="15" t="n">
        <f aca="false">IF(U14&gt;0,U39/U14,0)</f>
        <v>110</v>
      </c>
      <c r="V71" s="15" t="n">
        <f aca="false">IF(V14&gt;0,V39/V14,0)</f>
        <v>110</v>
      </c>
      <c r="W71" s="15" t="n">
        <f aca="false">IF(W14&gt;0,W39/W14,0)</f>
        <v>110</v>
      </c>
      <c r="X71" s="15" t="n">
        <f aca="false">IF(X14&gt;0,X39/X14,0)</f>
        <v>110</v>
      </c>
      <c r="Y71" s="15" t="n">
        <f aca="false">IF(Y14&gt;0,Y39/Y14,0)</f>
        <v>110</v>
      </c>
      <c r="Z71" s="15" t="n">
        <f aca="false">IF(Z14&gt;0,Z39/Z14,0)</f>
        <v>110</v>
      </c>
      <c r="AA71" s="15" t="n">
        <f aca="false">IF(AA14&gt;0,AA39/AA14,0)</f>
        <v>110</v>
      </c>
      <c r="AB71" s="15" t="n">
        <f aca="false">IF(AB14&gt;0,AB39/AB14,0)</f>
        <v>110</v>
      </c>
      <c r="AC71" s="15" t="n">
        <f aca="false">IF(AC14&gt;0,AC39/AC14,0)</f>
        <v>110</v>
      </c>
      <c r="AD71" s="15" t="n">
        <f aca="false">IF(AD14&gt;0,AD39/AD14,0)</f>
        <v>110</v>
      </c>
      <c r="AE71" s="15" t="n">
        <f aca="false">IF(AE14&gt;0,AE39/AE14,0)</f>
        <v>110</v>
      </c>
      <c r="AF71" s="15" t="n">
        <f aca="false">IF(AF14&gt;0,AF39/AF14,0)</f>
        <v>110</v>
      </c>
      <c r="AG71" s="15" t="n">
        <f aca="false">IF(AG14&gt;0,AG39/AG14,0)</f>
        <v>110</v>
      </c>
      <c r="AH71" s="15" t="n">
        <f aca="false">IF(AH14&gt;0,AH39/AH14,0)</f>
        <v>110</v>
      </c>
      <c r="AI71" s="15" t="n">
        <f aca="false">IF(AI14&gt;0,AI39/AI14,0)</f>
        <v>110</v>
      </c>
      <c r="AJ71" s="15" t="n">
        <f aca="false">IF(AJ14&gt;0,AJ39/AJ14,0)</f>
        <v>110</v>
      </c>
      <c r="AK71" s="15" t="n">
        <f aca="false">IF(AK14&gt;0,AK39/AK14,0)</f>
        <v>110</v>
      </c>
      <c r="AL71" s="15" t="n">
        <f aca="false">IF(AL14&gt;0,AL39/AL14,0)</f>
        <v>110</v>
      </c>
      <c r="AN71" s="15" t="n">
        <f aca="false">N71</f>
        <v>110</v>
      </c>
      <c r="AO71" s="15" t="n">
        <f aca="false">Z71</f>
        <v>110</v>
      </c>
      <c r="AP71" s="15" t="n">
        <f aca="false">AL71</f>
        <v>110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IF(C69&gt;0,Hypothèses!$E$23*$E$4/C69,0)</f>
        <v>0</v>
      </c>
      <c r="D72" s="38" t="n">
        <f aca="false">IF(D69&gt;0,Hypothèses!$E$23*$E$4/D69,0)</f>
        <v>0</v>
      </c>
      <c r="E72" s="38" t="n">
        <f aca="false">IF(E69&gt;0,Hypothèses!$E$23*$E$4/E69,0)</f>
        <v>2.03270467834681</v>
      </c>
      <c r="F72" s="38" t="n">
        <f aca="false">IF(F69&gt;0,Hypothèses!$E$23*$E$4/F69,0)</f>
        <v>2.03270467834681</v>
      </c>
      <c r="G72" s="38" t="n">
        <f aca="false">IF(G69&gt;0,Hypothèses!$E$23*$E$4/G69,0)</f>
        <v>2.03270467834681</v>
      </c>
      <c r="H72" s="38" t="n">
        <f aca="false">IF(H69&gt;0,Hypothèses!$E$23*$E$4/H69,0)</f>
        <v>2.03270467834681</v>
      </c>
      <c r="I72" s="38" t="n">
        <f aca="false">IF(I69&gt;0,Hypothèses!$E$23*$E$4/I69,0)</f>
        <v>2.03270467834681</v>
      </c>
      <c r="J72" s="38" t="n">
        <f aca="false">IF(J69&gt;0,Hypothèses!$E$23*$E$4/J69,0)</f>
        <v>2.03270467834681</v>
      </c>
      <c r="K72" s="38" t="n">
        <f aca="false">IF(K69&gt;0,Hypothèses!$E$23*$E$4/K69,0)</f>
        <v>2.03270467834681</v>
      </c>
      <c r="L72" s="38" t="n">
        <f aca="false">IF(L69&gt;0,Hypothèses!$E$23*$E$4/L69,0)</f>
        <v>2.03270467834681</v>
      </c>
      <c r="M72" s="38" t="n">
        <f aca="false">IF(M69&gt;0,Hypothèses!$E$23*$E$4/M69,0)</f>
        <v>2.03270467834681</v>
      </c>
      <c r="N72" s="38" t="n">
        <f aca="false">IF(N69&gt;0,Hypothèses!$E$23*$E$4/N69,0)</f>
        <v>2.03270467834681</v>
      </c>
      <c r="O72" s="38" t="n">
        <f aca="false">IF(O69&gt;0,Hypothèses!$E$23*$E$4/O69,0)</f>
        <v>2.03270467834681</v>
      </c>
      <c r="P72" s="38" t="n">
        <f aca="false">IF(P69&gt;0,Hypothèses!$E$23*$E$4/P69,0)</f>
        <v>2.03270467834681</v>
      </c>
      <c r="Q72" s="38" t="n">
        <f aca="false">IF(Q69&gt;0,Hypothèses!$E$23*$E$4/Q69,0)</f>
        <v>2.03270467834681</v>
      </c>
      <c r="R72" s="38" t="n">
        <f aca="false">IF(R69&gt;0,Hypothèses!$E$23*$E$4/R69,0)</f>
        <v>2.03270467834681</v>
      </c>
      <c r="S72" s="38" t="n">
        <f aca="false">IF(S69&gt;0,Hypothèses!$E$23*$E$4/S69,0)</f>
        <v>2.03270467834681</v>
      </c>
      <c r="T72" s="38" t="n">
        <f aca="false">IF(T69&gt;0,Hypothèses!$E$23*$E$4/T69,0)</f>
        <v>2.03270467834681</v>
      </c>
      <c r="U72" s="38" t="n">
        <f aca="false">IF(U69&gt;0,Hypothèses!$E$23*$E$4/U69,0)</f>
        <v>2.03270467834681</v>
      </c>
      <c r="V72" s="38" t="n">
        <f aca="false">IF(V69&gt;0,Hypothèses!$E$23*$E$4/V69,0)</f>
        <v>2.03270467834681</v>
      </c>
      <c r="W72" s="38" t="n">
        <f aca="false">IF(W69&gt;0,Hypothèses!$E$23*$E$4/W69,0)</f>
        <v>2.03270467834681</v>
      </c>
      <c r="X72" s="38" t="n">
        <f aca="false">IF(X69&gt;0,Hypothèses!$E$23*$E$4/X69,0)</f>
        <v>2.03270467834681</v>
      </c>
      <c r="Y72" s="38" t="n">
        <f aca="false">IF(Y69&gt;0,Hypothèses!$E$23*$E$4/Y69,0)</f>
        <v>2.03270467834681</v>
      </c>
      <c r="Z72" s="38" t="n">
        <f aca="false">IF(Z69&gt;0,Hypothèses!$E$23*$E$4/Z69,0)</f>
        <v>2.03270467834681</v>
      </c>
      <c r="AA72" s="38" t="n">
        <f aca="false">IF(AA69&gt;0,Hypothèses!$E$23*$E$4/AA69,0)</f>
        <v>2.03270467834681</v>
      </c>
      <c r="AB72" s="38" t="n">
        <f aca="false">IF(AB69&gt;0,Hypothèses!$E$23*$E$4/AB69,0)</f>
        <v>2.03270467834681</v>
      </c>
      <c r="AC72" s="38" t="n">
        <f aca="false">IF(AC69&gt;0,Hypothèses!$E$23*$E$4/AC69,0)</f>
        <v>2.03270467834681</v>
      </c>
      <c r="AD72" s="38" t="n">
        <f aca="false">IF(AD69&gt;0,Hypothèses!$E$23*$E$4/AD69,0)</f>
        <v>2.03270467834681</v>
      </c>
      <c r="AE72" s="38" t="n">
        <f aca="false">IF(AE69&gt;0,Hypothèses!$E$23*$E$4/AE69,0)</f>
        <v>2.03270467834681</v>
      </c>
      <c r="AF72" s="38" t="n">
        <f aca="false">IF(AF69&gt;0,Hypothèses!$E$23*$E$4/AF69,0)</f>
        <v>2.03270467834681</v>
      </c>
      <c r="AG72" s="38" t="n">
        <f aca="false">IF(AG69&gt;0,Hypothèses!$E$23*$E$4/AG69,0)</f>
        <v>2.03270467834681</v>
      </c>
      <c r="AH72" s="38" t="n">
        <f aca="false">IF(AH69&gt;0,Hypothèses!$E$23*$E$4/AH69,0)</f>
        <v>2.03270467834681</v>
      </c>
      <c r="AI72" s="38" t="n">
        <f aca="false">IF(AI69&gt;0,Hypothèses!$E$23*$E$4/AI69,0)</f>
        <v>2.03270467834681</v>
      </c>
      <c r="AJ72" s="38" t="n">
        <f aca="false">IF(AJ69&gt;0,Hypothèses!$E$23*$E$4/AJ69,0)</f>
        <v>2.03270467834681</v>
      </c>
      <c r="AK72" s="38" t="n">
        <f aca="false">IF(AK69&gt;0,Hypothèses!$E$23*$E$4/AK69,0)</f>
        <v>2.03270467834681</v>
      </c>
      <c r="AL72" s="38" t="n">
        <f aca="false">IF(AL69&gt;0,Hypothèses!$E$23*$E$4/AL69,0)</f>
        <v>2.03270467834681</v>
      </c>
      <c r="AN72" s="38" t="n">
        <f aca="false">N72</f>
        <v>2.03270467834681</v>
      </c>
      <c r="AO72" s="38" t="n">
        <f aca="false">Z72</f>
        <v>2.03270467834681</v>
      </c>
      <c r="AP72" s="38" t="n">
        <f aca="false">AL72</f>
        <v>2.03270467834681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IF(Hypothèses!$E$26*$D$4&gt;0,C69/(Hypothèses!$E$26*$D$4),0)</f>
        <v>0</v>
      </c>
      <c r="D73" s="15" t="n">
        <f aca="false">IF(Hypothèses!$E$26*$D$4&gt;0,D69/(Hypothèses!$E$26*$D$4),0)</f>
        <v>0</v>
      </c>
      <c r="E73" s="15" t="n">
        <f aca="false">IF(Hypothèses!$E$26*$D$4&gt;0,E69/(Hypothèses!$E$26*$D$4),0)</f>
        <v>2164.60366666667</v>
      </c>
      <c r="F73" s="15" t="n">
        <f aca="false">IF(Hypothèses!$E$26*$D$4&gt;0,F69/(Hypothèses!$E$26*$D$4),0)</f>
        <v>2164.60366666667</v>
      </c>
      <c r="G73" s="15" t="n">
        <f aca="false">IF(Hypothèses!$E$26*$D$4&gt;0,G69/(Hypothèses!$E$26*$D$4),0)</f>
        <v>2164.60366666667</v>
      </c>
      <c r="H73" s="15" t="n">
        <f aca="false">IF(Hypothèses!$E$26*$D$4&gt;0,H69/(Hypothèses!$E$26*$D$4),0)</f>
        <v>2164.60366666667</v>
      </c>
      <c r="I73" s="15" t="n">
        <f aca="false">IF(Hypothèses!$E$26*$D$4&gt;0,I69/(Hypothèses!$E$26*$D$4),0)</f>
        <v>2164.60366666667</v>
      </c>
      <c r="J73" s="15" t="n">
        <f aca="false">IF(Hypothèses!$E$26*$D$4&gt;0,J69/(Hypothèses!$E$26*$D$4),0)</f>
        <v>2164.60366666667</v>
      </c>
      <c r="K73" s="15" t="n">
        <f aca="false">IF(Hypothèses!$E$26*$D$4&gt;0,K69/(Hypothèses!$E$26*$D$4),0)</f>
        <v>2164.60366666667</v>
      </c>
      <c r="L73" s="15" t="n">
        <f aca="false">IF(Hypothèses!$E$26*$D$4&gt;0,L69/(Hypothèses!$E$26*$D$4),0)</f>
        <v>2164.60366666667</v>
      </c>
      <c r="M73" s="15" t="n">
        <f aca="false">IF(Hypothèses!$E$26*$D$4&gt;0,M69/(Hypothèses!$E$26*$D$4),0)</f>
        <v>2164.60366666667</v>
      </c>
      <c r="N73" s="15" t="n">
        <f aca="false">IF(Hypothèses!$E$26*$D$4&gt;0,N69/(Hypothèses!$E$26*$D$4),0)</f>
        <v>2164.60366666667</v>
      </c>
      <c r="O73" s="15" t="n">
        <f aca="false">IF(Hypothèses!$E$26*$D$4&gt;0,O69/(Hypothèses!$E$26*$D$4),0)</f>
        <v>2164.60366666667</v>
      </c>
      <c r="P73" s="15" t="n">
        <f aca="false">IF(Hypothèses!$E$26*$D$4&gt;0,P69/(Hypothèses!$E$26*$D$4),0)</f>
        <v>2164.60366666667</v>
      </c>
      <c r="Q73" s="15" t="n">
        <f aca="false">IF(Hypothèses!$E$26*$D$4&gt;0,Q69/(Hypothèses!$E$26*$D$4),0)</f>
        <v>2164.60366666667</v>
      </c>
      <c r="R73" s="15" t="n">
        <f aca="false">IF(Hypothèses!$E$26*$D$4&gt;0,R69/(Hypothèses!$E$26*$D$4),0)</f>
        <v>2164.60366666667</v>
      </c>
      <c r="S73" s="15" t="n">
        <f aca="false">IF(Hypothèses!$E$26*$D$4&gt;0,S69/(Hypothèses!$E$26*$D$4),0)</f>
        <v>2164.60366666667</v>
      </c>
      <c r="T73" s="15" t="n">
        <f aca="false">IF(Hypothèses!$E$26*$D$4&gt;0,T69/(Hypothèses!$E$26*$D$4),0)</f>
        <v>2164.60366666667</v>
      </c>
      <c r="U73" s="15" t="n">
        <f aca="false">IF(Hypothèses!$E$26*$D$4&gt;0,U69/(Hypothèses!$E$26*$D$4),0)</f>
        <v>2164.60366666667</v>
      </c>
      <c r="V73" s="15" t="n">
        <f aca="false">IF(Hypothèses!$E$26*$D$4&gt;0,V69/(Hypothèses!$E$26*$D$4),0)</f>
        <v>2164.60366666667</v>
      </c>
      <c r="W73" s="15" t="n">
        <f aca="false">IF(Hypothèses!$E$26*$D$4&gt;0,W69/(Hypothèses!$E$26*$D$4),0)</f>
        <v>2164.60366666667</v>
      </c>
      <c r="X73" s="15" t="n">
        <f aca="false">IF(Hypothèses!$E$26*$D$4&gt;0,X69/(Hypothèses!$E$26*$D$4),0)</f>
        <v>2164.60366666667</v>
      </c>
      <c r="Y73" s="15" t="n">
        <f aca="false">IF(Hypothèses!$E$26*$D$4&gt;0,Y69/(Hypothèses!$E$26*$D$4),0)</f>
        <v>2164.60366666667</v>
      </c>
      <c r="Z73" s="15" t="n">
        <f aca="false">IF(Hypothèses!$E$26*$D$4&gt;0,Z69/(Hypothèses!$E$26*$D$4),0)</f>
        <v>2164.60366666667</v>
      </c>
      <c r="AA73" s="15" t="n">
        <f aca="false">IF(Hypothèses!$E$26*$D$4&gt;0,AA69/(Hypothèses!$E$26*$D$4),0)</f>
        <v>2164.60366666667</v>
      </c>
      <c r="AB73" s="15" t="n">
        <f aca="false">IF(Hypothèses!$E$26*$D$4&gt;0,AB69/(Hypothèses!$E$26*$D$4),0)</f>
        <v>2164.60366666667</v>
      </c>
      <c r="AC73" s="15" t="n">
        <f aca="false">IF(Hypothèses!$E$26*$D$4&gt;0,AC69/(Hypothèses!$E$26*$D$4),0)</f>
        <v>2164.60366666667</v>
      </c>
      <c r="AD73" s="15" t="n">
        <f aca="false">IF(Hypothèses!$E$26*$D$4&gt;0,AD69/(Hypothèses!$E$26*$D$4),0)</f>
        <v>2164.60366666667</v>
      </c>
      <c r="AE73" s="15" t="n">
        <f aca="false">IF(Hypothèses!$E$26*$D$4&gt;0,AE69/(Hypothèses!$E$26*$D$4),0)</f>
        <v>2164.60366666667</v>
      </c>
      <c r="AF73" s="15" t="n">
        <f aca="false">IF(Hypothèses!$E$26*$D$4&gt;0,AF69/(Hypothèses!$E$26*$D$4),0)</f>
        <v>2164.60366666667</v>
      </c>
      <c r="AG73" s="15" t="n">
        <f aca="false">IF(Hypothèses!$E$26*$D$4&gt;0,AG69/(Hypothèses!$E$26*$D$4),0)</f>
        <v>2164.60366666667</v>
      </c>
      <c r="AH73" s="15" t="n">
        <f aca="false">IF(Hypothèses!$E$26*$D$4&gt;0,AH69/(Hypothèses!$E$26*$D$4),0)</f>
        <v>2164.60366666667</v>
      </c>
      <c r="AI73" s="15" t="n">
        <f aca="false">IF(Hypothèses!$E$26*$D$4&gt;0,AI69/(Hypothèses!$E$26*$D$4),0)</f>
        <v>2164.60366666667</v>
      </c>
      <c r="AJ73" s="15" t="n">
        <f aca="false">IF(Hypothèses!$E$26*$D$4&gt;0,AJ69/(Hypothèses!$E$26*$D$4),0)</f>
        <v>2164.60366666667</v>
      </c>
      <c r="AK73" s="15" t="n">
        <f aca="false">IF(Hypothèses!$E$26*$D$4&gt;0,AK69/(Hypothèses!$E$26*$D$4),0)</f>
        <v>2164.60366666667</v>
      </c>
      <c r="AL73" s="15" t="n">
        <f aca="false">IF(Hypothèses!$E$26*$D$4&gt;0,AL69/(Hypothèses!$E$26*$D$4),0)</f>
        <v>2164.60366666667</v>
      </c>
      <c r="AN73" s="15" t="n">
        <f aca="false">N73</f>
        <v>2164.60366666667</v>
      </c>
      <c r="AO73" s="15" t="n">
        <f aca="false">Z73</f>
        <v>2164.60366666667</v>
      </c>
      <c r="AP73" s="15" t="n">
        <f aca="false">AL73</f>
        <v>2164.60366666667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IF(Hypothèses!$E$23*$E$4&gt;0,C73/(Hypothèses!$E$23*$E$4),0)</f>
        <v>0</v>
      </c>
      <c r="D74" s="41" t="n">
        <f aca="false">IF(Hypothèses!$E$23*$E$4&gt;0,D73/(Hypothèses!$E$23*$E$4),0)</f>
        <v>0</v>
      </c>
      <c r="E74" s="41" t="n">
        <f aca="false">IF(Hypothèses!$E$23*$E$4&gt;0,E73/(Hypothèses!$E$23*$E$4),0)</f>
        <v>19.6782151515151</v>
      </c>
      <c r="F74" s="41" t="n">
        <f aca="false">IF(Hypothèses!$E$23*$E$4&gt;0,F73/(Hypothèses!$E$23*$E$4),0)</f>
        <v>19.6782151515152</v>
      </c>
      <c r="G74" s="41" t="n">
        <f aca="false">IF(Hypothèses!$E$23*$E$4&gt;0,G73/(Hypothèses!$E$23*$E$4),0)</f>
        <v>19.6782151515152</v>
      </c>
      <c r="H74" s="41" t="n">
        <f aca="false">IF(Hypothèses!$E$23*$E$4&gt;0,H73/(Hypothèses!$E$23*$E$4),0)</f>
        <v>19.6782151515151</v>
      </c>
      <c r="I74" s="41" t="n">
        <f aca="false">IF(Hypothèses!$E$23*$E$4&gt;0,I73/(Hypothèses!$E$23*$E$4),0)</f>
        <v>19.6782151515151</v>
      </c>
      <c r="J74" s="41" t="n">
        <f aca="false">IF(Hypothèses!$E$23*$E$4&gt;0,J73/(Hypothèses!$E$23*$E$4),0)</f>
        <v>19.6782151515151</v>
      </c>
      <c r="K74" s="41" t="n">
        <f aca="false">IF(Hypothèses!$E$23*$E$4&gt;0,K73/(Hypothèses!$E$23*$E$4),0)</f>
        <v>19.6782151515152</v>
      </c>
      <c r="L74" s="41" t="n">
        <f aca="false">IF(Hypothèses!$E$23*$E$4&gt;0,L73/(Hypothèses!$E$23*$E$4),0)</f>
        <v>19.6782151515152</v>
      </c>
      <c r="M74" s="41" t="n">
        <f aca="false">IF(Hypothèses!$E$23*$E$4&gt;0,M73/(Hypothèses!$E$23*$E$4),0)</f>
        <v>19.6782151515152</v>
      </c>
      <c r="N74" s="41" t="n">
        <f aca="false">IF(Hypothèses!$E$23*$E$4&gt;0,N73/(Hypothèses!$E$23*$E$4),0)</f>
        <v>19.6782151515152</v>
      </c>
      <c r="O74" s="41" t="n">
        <f aca="false">IF(Hypothèses!$E$23*$E$4&gt;0,O73/(Hypothèses!$E$23*$E$4),0)</f>
        <v>19.6782151515151</v>
      </c>
      <c r="P74" s="41" t="n">
        <f aca="false">IF(Hypothèses!$E$23*$E$4&gt;0,P73/(Hypothèses!$E$23*$E$4),0)</f>
        <v>19.6782151515152</v>
      </c>
      <c r="Q74" s="41" t="n">
        <f aca="false">IF(Hypothèses!$E$23*$E$4&gt;0,Q73/(Hypothèses!$E$23*$E$4),0)</f>
        <v>19.6782151515151</v>
      </c>
      <c r="R74" s="41" t="n">
        <f aca="false">IF(Hypothèses!$E$23*$E$4&gt;0,R73/(Hypothèses!$E$23*$E$4),0)</f>
        <v>19.6782151515152</v>
      </c>
      <c r="S74" s="41" t="n">
        <f aca="false">IF(Hypothèses!$E$23*$E$4&gt;0,S73/(Hypothèses!$E$23*$E$4),0)</f>
        <v>19.6782151515152</v>
      </c>
      <c r="T74" s="41" t="n">
        <f aca="false">IF(Hypothèses!$E$23*$E$4&gt;0,T73/(Hypothèses!$E$23*$E$4),0)</f>
        <v>19.6782151515152</v>
      </c>
      <c r="U74" s="41" t="n">
        <f aca="false">IF(Hypothèses!$E$23*$E$4&gt;0,U73/(Hypothèses!$E$23*$E$4),0)</f>
        <v>19.6782151515152</v>
      </c>
      <c r="V74" s="41" t="n">
        <f aca="false">IF(Hypothèses!$E$23*$E$4&gt;0,V73/(Hypothèses!$E$23*$E$4),0)</f>
        <v>19.6782151515152</v>
      </c>
      <c r="W74" s="41" t="n">
        <f aca="false">IF(Hypothèses!$E$23*$E$4&gt;0,W73/(Hypothèses!$E$23*$E$4),0)</f>
        <v>19.6782151515152</v>
      </c>
      <c r="X74" s="41" t="n">
        <f aca="false">IF(Hypothèses!$E$23*$E$4&gt;0,X73/(Hypothèses!$E$23*$E$4),0)</f>
        <v>19.6782151515151</v>
      </c>
      <c r="Y74" s="41" t="n">
        <f aca="false">IF(Hypothèses!$E$23*$E$4&gt;0,Y73/(Hypothèses!$E$23*$E$4),0)</f>
        <v>19.6782151515152</v>
      </c>
      <c r="Z74" s="41" t="n">
        <f aca="false">IF(Hypothèses!$E$23*$E$4&gt;0,Z73/(Hypothèses!$E$23*$E$4),0)</f>
        <v>19.6782151515152</v>
      </c>
      <c r="AA74" s="41" t="n">
        <f aca="false">IF(Hypothèses!$E$23*$E$4&gt;0,AA73/(Hypothèses!$E$23*$E$4),0)</f>
        <v>19.6782151515151</v>
      </c>
      <c r="AB74" s="41" t="n">
        <f aca="false">IF(Hypothèses!$E$23*$E$4&gt;0,AB73/(Hypothèses!$E$23*$E$4),0)</f>
        <v>19.6782151515152</v>
      </c>
      <c r="AC74" s="41" t="n">
        <f aca="false">IF(Hypothèses!$E$23*$E$4&gt;0,AC73/(Hypothèses!$E$23*$E$4),0)</f>
        <v>19.6782151515152</v>
      </c>
      <c r="AD74" s="41" t="n">
        <f aca="false">IF(Hypothèses!$E$23*$E$4&gt;0,AD73/(Hypothèses!$E$23*$E$4),0)</f>
        <v>19.6782151515152</v>
      </c>
      <c r="AE74" s="41" t="n">
        <f aca="false">IF(Hypothèses!$E$23*$E$4&gt;0,AE73/(Hypothèses!$E$23*$E$4),0)</f>
        <v>19.6782151515151</v>
      </c>
      <c r="AF74" s="41" t="n">
        <f aca="false">IF(Hypothèses!$E$23*$E$4&gt;0,AF73/(Hypothèses!$E$23*$E$4),0)</f>
        <v>19.6782151515152</v>
      </c>
      <c r="AG74" s="41" t="n">
        <f aca="false">IF(Hypothèses!$E$23*$E$4&gt;0,AG73/(Hypothèses!$E$23*$E$4),0)</f>
        <v>19.6782151515152</v>
      </c>
      <c r="AH74" s="41" t="n">
        <f aca="false">IF(Hypothèses!$E$23*$E$4&gt;0,AH73/(Hypothèses!$E$23*$E$4),0)</f>
        <v>19.6782151515151</v>
      </c>
      <c r="AI74" s="41" t="n">
        <f aca="false">IF(Hypothèses!$E$23*$E$4&gt;0,AI73/(Hypothèses!$E$23*$E$4),0)</f>
        <v>19.6782151515152</v>
      </c>
      <c r="AJ74" s="41" t="n">
        <f aca="false">IF(Hypothèses!$E$23*$E$4&gt;0,AJ73/(Hypothèses!$E$23*$E$4),0)</f>
        <v>19.6782151515151</v>
      </c>
      <c r="AK74" s="41" t="n">
        <f aca="false">IF(Hypothèses!$E$23*$E$4&gt;0,AK73/(Hypothèses!$E$23*$E$4),0)</f>
        <v>19.6782151515152</v>
      </c>
      <c r="AL74" s="41" t="n">
        <f aca="false">IF(Hypothèses!$E$23*$E$4&gt;0,AL73/(Hypothèses!$E$23*$E$4),0)</f>
        <v>19.6782151515151</v>
      </c>
      <c r="AN74" s="41" t="n">
        <f aca="false">N74</f>
        <v>19.6782151515152</v>
      </c>
      <c r="AO74" s="41" t="n">
        <f aca="false">Z74</f>
        <v>19.6782151515152</v>
      </c>
      <c r="AP74" s="41" t="n">
        <f aca="false">AL74</f>
        <v>19.6782151515151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8F7A"/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5" min="3" style="0" width="16"/>
  </cols>
  <sheetData>
    <row r="1" customFormat="false" ht="19.7" hidden="false" customHeight="false" outlineLevel="0" collapsed="false">
      <c r="A1" s="1" t="s">
        <v>280</v>
      </c>
    </row>
    <row r="2" customFormat="false" ht="15" hidden="false" customHeight="false" outlineLevel="0" collapsed="false">
      <c r="A2" s="4" t="s">
        <v>281</v>
      </c>
    </row>
    <row r="4" customFormat="false" ht="15" hidden="false" customHeight="false" outlineLevel="0" collapsed="false">
      <c r="A4" s="7" t="s">
        <v>282</v>
      </c>
      <c r="B4" s="7" t="s">
        <v>27</v>
      </c>
      <c r="C4" s="7" t="s">
        <v>283</v>
      </c>
      <c r="D4" s="7" t="s">
        <v>284</v>
      </c>
      <c r="E4" s="7" t="s">
        <v>285</v>
      </c>
    </row>
    <row r="5" customFormat="false" ht="15" hidden="false" customHeight="false" outlineLevel="0" collapsed="false">
      <c r="A5" s="9" t="s">
        <v>43</v>
      </c>
      <c r="B5" s="4" t="s">
        <v>38</v>
      </c>
      <c r="C5" s="22" t="n">
        <f aca="false">'Modèle Prudent'!$B$5</f>
        <v>10</v>
      </c>
      <c r="D5" s="22" t="n">
        <f aca="false">'Modèle Central'!$B$5</f>
        <v>7</v>
      </c>
      <c r="E5" s="22" t="n">
        <f aca="false">'Modèle Ambitieux'!$B$5</f>
        <v>6</v>
      </c>
    </row>
    <row r="6" customFormat="false" ht="15" hidden="false" customHeight="false" outlineLevel="0" collapsed="false">
      <c r="A6" s="9" t="s">
        <v>286</v>
      </c>
      <c r="B6" s="4" t="s">
        <v>70</v>
      </c>
      <c r="C6" s="20" t="n">
        <f aca="false">MIN('Modèle Prudent'!C62:AL62)</f>
        <v>-496833.756770391</v>
      </c>
      <c r="D6" s="20" t="n">
        <f aca="false">MIN('Modèle Central'!C62:AL62)</f>
        <v>-130290.654099663</v>
      </c>
      <c r="E6" s="20" t="n">
        <f aca="false">MIN('Modèle Ambitieux'!C62:AL62)</f>
        <v>-61562.4344883381</v>
      </c>
    </row>
    <row r="7" customFormat="false" ht="15" hidden="false" customHeight="false" outlineLevel="0" collapsed="false">
      <c r="A7" s="9" t="s">
        <v>287</v>
      </c>
      <c r="B7" s="4" t="s">
        <v>38</v>
      </c>
      <c r="C7" s="22" t="n">
        <f aca="false">MATCH(MIN('Modèle Prudent'!C62:AL62),'Modèle Prudent'!C62:AL62,0)</f>
        <v>36</v>
      </c>
      <c r="D7" s="22" t="n">
        <f aca="false">MATCH(MIN('Modèle Central'!C62:AL62),'Modèle Central'!C62:AL62,0)</f>
        <v>19</v>
      </c>
      <c r="E7" s="22" t="n">
        <f aca="false">MATCH(MIN('Modèle Ambitieux'!C62:AL62),'Modèle Ambitieux'!C62:AL62,0)</f>
        <v>7</v>
      </c>
    </row>
    <row r="8" customFormat="false" ht="15" hidden="false" customHeight="false" outlineLevel="0" collapsed="false">
      <c r="A8" s="9" t="s">
        <v>288</v>
      </c>
      <c r="B8" s="4" t="s">
        <v>70</v>
      </c>
      <c r="C8" s="20" t="n">
        <f aca="false">MAX(0,-MIN('Modèle Prudent'!C62:AL62))+Hypothèses!$C$53</f>
        <v>556833.756770391</v>
      </c>
      <c r="D8" s="20" t="n">
        <f aca="false">MAX(0,-MIN('Modèle Central'!C62:AL62))+Hypothèses!$D$53</f>
        <v>170290.654099663</v>
      </c>
      <c r="E8" s="20" t="n">
        <f aca="false">MAX(0,-MIN('Modèle Ambitieux'!C62:AL62))+Hypothèses!$E$53</f>
        <v>91562.4344883381</v>
      </c>
    </row>
    <row r="9" customFormat="false" ht="15" hidden="false" customHeight="false" outlineLevel="0" collapsed="false">
      <c r="A9" s="9" t="s">
        <v>289</v>
      </c>
      <c r="B9" s="4" t="s">
        <v>70</v>
      </c>
      <c r="C9" s="20" t="n">
        <f aca="false">'Modèle Prudent'!N62</f>
        <v>-107152.950345599</v>
      </c>
      <c r="D9" s="20" t="n">
        <f aca="false">'Modèle Central'!N62</f>
        <v>-77783.9946177483</v>
      </c>
      <c r="E9" s="20" t="n">
        <f aca="false">'Modèle Ambitieux'!N62</f>
        <v>-48170.3673675758</v>
      </c>
    </row>
    <row r="10" customFormat="false" ht="15" hidden="false" customHeight="false" outlineLevel="0" collapsed="false">
      <c r="A10" s="9" t="s">
        <v>290</v>
      </c>
      <c r="B10" s="4" t="s">
        <v>70</v>
      </c>
      <c r="C10" s="20" t="n">
        <f aca="false">'Modèle Prudent'!Z62</f>
        <v>-298998.283104527</v>
      </c>
      <c r="D10" s="20" t="n">
        <f aca="false">'Modèle Central'!Z62</f>
        <v>-101609.728970648</v>
      </c>
      <c r="E10" s="20" t="n">
        <f aca="false">'Modèle Ambitieux'!Z62</f>
        <v>225591.926449526</v>
      </c>
    </row>
    <row r="11" customFormat="false" ht="15" hidden="false" customHeight="false" outlineLevel="0" collapsed="false">
      <c r="A11" s="9" t="s">
        <v>291</v>
      </c>
      <c r="B11" s="4" t="s">
        <v>70</v>
      </c>
      <c r="C11" s="20" t="n">
        <f aca="false">'Modèle Prudent'!AL62</f>
        <v>-496833.756770391</v>
      </c>
      <c r="D11" s="20" t="n">
        <f aca="false">'Modèle Central'!AL62</f>
        <v>464227.152579553</v>
      </c>
      <c r="E11" s="20" t="n">
        <f aca="false">'Modèle Ambitieux'!AL62</f>
        <v>1779857.65981208</v>
      </c>
    </row>
    <row r="12" customFormat="false" ht="15" hidden="false" customHeight="false" outlineLevel="0" collapsed="false">
      <c r="A12" s="9" t="s">
        <v>292</v>
      </c>
      <c r="B12" s="4" t="s">
        <v>38</v>
      </c>
      <c r="C12" s="22" t="str">
        <f aca="false">IFERROR(MATCH(1,'Modèle Prudent'!C53:AL53,0),"non atteint")</f>
        <v>non atteint</v>
      </c>
      <c r="D12" s="22" t="n">
        <f aca="false">IFERROR(MATCH(1,'Modèle Central'!C53:AL53,0),"non atteint")</f>
        <v>12</v>
      </c>
      <c r="E12" s="22" t="n">
        <f aca="false">IFERROR(MATCH(1,'Modèle Ambitieux'!C53:AL53,0),"non atteint")</f>
        <v>9</v>
      </c>
    </row>
    <row r="13" customFormat="false" ht="15" hidden="false" customHeight="false" outlineLevel="0" collapsed="false">
      <c r="A13" s="9" t="s">
        <v>293</v>
      </c>
      <c r="B13" s="4" t="s">
        <v>38</v>
      </c>
      <c r="C13" s="22" t="str">
        <f aca="false">IFERROR(MATCH(1,'Modèle Prudent'!C64:AL64,0),"non atteint")</f>
        <v>non atteint</v>
      </c>
      <c r="D13" s="22" t="n">
        <f aca="false">IFERROR(MATCH(1,'Modèle Central'!C64:AL64,0),"non atteint")</f>
        <v>29</v>
      </c>
      <c r="E13" s="22" t="n">
        <f aca="false">IFERROR(MATCH(1,'Modèle Ambitieux'!C64:AL64,0),"non atteint")</f>
        <v>19</v>
      </c>
    </row>
    <row r="14" customFormat="false" ht="15" hidden="false" customHeight="false" outlineLevel="0" collapsed="false">
      <c r="A14" s="9" t="s">
        <v>294</v>
      </c>
      <c r="B14" s="4" t="s">
        <v>41</v>
      </c>
      <c r="C14" s="22" t="n">
        <f aca="false">'Modèle Prudent'!N18</f>
        <v>30.0631429453853</v>
      </c>
      <c r="D14" s="22" t="n">
        <f aca="false">'Modèle Central'!N18</f>
        <v>125.632336321943</v>
      </c>
      <c r="E14" s="22" t="n">
        <f aca="false">'Modèle Ambitieux'!N18</f>
        <v>264.051704545455</v>
      </c>
    </row>
    <row r="15" customFormat="false" ht="15" hidden="false" customHeight="false" outlineLevel="0" collapsed="false">
      <c r="A15" s="9" t="s">
        <v>295</v>
      </c>
      <c r="B15" s="4" t="s">
        <v>41</v>
      </c>
      <c r="C15" s="22" t="n">
        <f aca="false">'Modèle Prudent'!Z18</f>
        <v>246.064878726064</v>
      </c>
      <c r="D15" s="22" t="n">
        <f aca="false">'Modèle Central'!Z18</f>
        <v>868.792790873261</v>
      </c>
      <c r="E15" s="22" t="n">
        <f aca="false">'Modèle Ambitieux'!Z18</f>
        <v>1573.14261363636</v>
      </c>
    </row>
    <row r="16" customFormat="false" ht="15" hidden="false" customHeight="false" outlineLevel="0" collapsed="false">
      <c r="A16" s="9" t="s">
        <v>296</v>
      </c>
      <c r="B16" s="4" t="s">
        <v>41</v>
      </c>
      <c r="C16" s="22" t="n">
        <f aca="false">'Modèle Prudent'!AL18</f>
        <v>592.603551776476</v>
      </c>
      <c r="D16" s="22" t="n">
        <f aca="false">'Modèle Central'!AL18</f>
        <v>2663.67025788394</v>
      </c>
      <c r="E16" s="22" t="n">
        <f aca="false">'Modèle Ambitieux'!AL18</f>
        <v>4300.41534090909</v>
      </c>
    </row>
    <row r="17" customFormat="false" ht="15" hidden="false" customHeight="false" outlineLevel="0" collapsed="false">
      <c r="A17" s="9" t="s">
        <v>297</v>
      </c>
      <c r="B17" s="4" t="s">
        <v>70</v>
      </c>
      <c r="C17" s="20" t="n">
        <f aca="false">'Modèle Prudent'!AN28</f>
        <v>7145.85407951169</v>
      </c>
      <c r="D17" s="20" t="n">
        <f aca="false">'Modèle Central'!AN28</f>
        <v>31091.1434212072</v>
      </c>
      <c r="E17" s="20" t="n">
        <f aca="false">'Modèle Ambitieux'!AN28</f>
        <v>73337.1363636364</v>
      </c>
    </row>
    <row r="18" customFormat="false" ht="15" hidden="false" customHeight="false" outlineLevel="0" collapsed="false">
      <c r="A18" s="9" t="s">
        <v>298</v>
      </c>
      <c r="B18" s="4" t="s">
        <v>70</v>
      </c>
      <c r="C18" s="20" t="n">
        <f aca="false">'Modèle Prudent'!AO28</f>
        <v>112968.034951623</v>
      </c>
      <c r="D18" s="20" t="n">
        <f aca="false">'Modèle Central'!AO28</f>
        <v>396338.758297536</v>
      </c>
      <c r="E18" s="20" t="n">
        <f aca="false">'Modèle Ambitieux'!AO28</f>
        <v>768782.664772727</v>
      </c>
    </row>
    <row r="19" customFormat="false" ht="15" hidden="false" customHeight="false" outlineLevel="0" collapsed="false">
      <c r="A19" s="9" t="s">
        <v>299</v>
      </c>
      <c r="B19" s="4" t="s">
        <v>70</v>
      </c>
      <c r="C19" s="20" t="n">
        <f aca="false">'Modèle Prudent'!AP28</f>
        <v>322689.343884181</v>
      </c>
      <c r="D19" s="20" t="n">
        <f aca="false">'Modèle Central'!AP28</f>
        <v>1375606.39723315</v>
      </c>
      <c r="E19" s="20" t="n">
        <f aca="false">'Modèle Ambitieux'!AP28</f>
        <v>2409828.11931818</v>
      </c>
    </row>
    <row r="20" customFormat="false" ht="15" hidden="false" customHeight="false" outlineLevel="0" collapsed="false">
      <c r="A20" s="9" t="s">
        <v>300</v>
      </c>
      <c r="B20" s="4" t="s">
        <v>70</v>
      </c>
      <c r="C20" s="20" t="n">
        <f aca="false">'Modèle Prudent'!AN52</f>
        <v>-134731.515484748</v>
      </c>
      <c r="D20" s="20" t="n">
        <f aca="false">'Modèle Central'!AN52</f>
        <v>-104564.68324087</v>
      </c>
      <c r="E20" s="20" t="n">
        <f aca="false">'Modèle Ambitieux'!AN52</f>
        <v>-76266.7717940909</v>
      </c>
    </row>
    <row r="21" customFormat="false" ht="15" hidden="false" customHeight="false" outlineLevel="0" collapsed="false">
      <c r="A21" s="9" t="s">
        <v>301</v>
      </c>
      <c r="B21" s="4" t="s">
        <v>70</v>
      </c>
      <c r="C21" s="20" t="n">
        <f aca="false">'Modèle Prudent'!AO52</f>
        <v>-222091.323347799</v>
      </c>
      <c r="D21" s="20" t="n">
        <f aca="false">'Modèle Central'!AO52</f>
        <v>-78066.1803498498</v>
      </c>
      <c r="E21" s="20" t="n">
        <f aca="false">'Modèle Ambitieux'!AO52</f>
        <v>201640.420900057</v>
      </c>
    </row>
    <row r="22" customFormat="false" ht="15" hidden="false" customHeight="false" outlineLevel="0" collapsed="false">
      <c r="A22" s="9" t="s">
        <v>302</v>
      </c>
      <c r="B22" s="4" t="s">
        <v>70</v>
      </c>
      <c r="C22" s="20" t="n">
        <f aca="false">'Modèle Prudent'!AP52</f>
        <v>-258219.28289659</v>
      </c>
      <c r="D22" s="20" t="n">
        <f aca="false">'Modèle Central'!AP52</f>
        <v>423745.203309991</v>
      </c>
      <c r="E22" s="20" t="n">
        <f aca="false">'Modèle Ambitieux'!AP52</f>
        <v>1388082.06953642</v>
      </c>
    </row>
    <row r="23" customFormat="false" ht="15" hidden="false" customHeight="false" outlineLevel="0" collapsed="false">
      <c r="A23" s="9" t="s">
        <v>303</v>
      </c>
      <c r="B23" s="4" t="s">
        <v>70</v>
      </c>
      <c r="C23" s="20" t="n">
        <f aca="false">'Modèle Prudent'!AL66</f>
        <v>423711.53952018</v>
      </c>
      <c r="D23" s="20" t="n">
        <f aca="false">'Modèle Central'!AL66</f>
        <v>1971115.99083411</v>
      </c>
      <c r="E23" s="20" t="n">
        <f aca="false">'Modèle Ambitieux'!AL66</f>
        <v>3397328.11931818</v>
      </c>
    </row>
    <row r="24" customFormat="false" ht="15" hidden="false" customHeight="false" outlineLevel="0" collapsed="false">
      <c r="A24" s="9" t="s">
        <v>304</v>
      </c>
      <c r="B24" s="4" t="s">
        <v>70</v>
      </c>
      <c r="C24" s="21" t="n">
        <f aca="false">'Modèle Prudent'!AL68</f>
        <v>22.75</v>
      </c>
      <c r="D24" s="21" t="n">
        <f aca="false">'Modèle Central'!AL68</f>
        <v>14.31</v>
      </c>
      <c r="E24" s="21" t="n">
        <f aca="false">'Modèle Ambitieux'!AL68</f>
        <v>9.96</v>
      </c>
    </row>
    <row r="25" customFormat="false" ht="15" hidden="false" customHeight="false" outlineLevel="0" collapsed="false">
      <c r="A25" s="9" t="s">
        <v>305</v>
      </c>
      <c r="B25" s="4" t="s">
        <v>53</v>
      </c>
      <c r="C25" s="42" t="n">
        <f aca="false">'Modèle Prudent'!AL70</f>
        <v>0.576346013986014</v>
      </c>
      <c r="D25" s="42" t="n">
        <f aca="false">'Modèle Central'!AL70</f>
        <v>0.736071891891892</v>
      </c>
      <c r="E25" s="42" t="n">
        <f aca="false">'Modèle Ambitieux'!AL70</f>
        <v>0.822001392405063</v>
      </c>
    </row>
    <row r="26" customFormat="false" ht="15" hidden="false" customHeight="false" outlineLevel="0" collapsed="false">
      <c r="A26" s="9" t="s">
        <v>306</v>
      </c>
      <c r="B26" s="4" t="s">
        <v>38</v>
      </c>
      <c r="C26" s="43" t="n">
        <f aca="false">'Modèle Prudent'!AL72</f>
        <v>6.98880868475959</v>
      </c>
      <c r="D26" s="43" t="n">
        <f aca="false">'Modèle Central'!AL72</f>
        <v>3.3046125782367</v>
      </c>
      <c r="E26" s="43" t="n">
        <f aca="false">'Modèle Ambitieux'!AL72</f>
        <v>2.03270467834681</v>
      </c>
    </row>
    <row r="27" customFormat="false" ht="15" hidden="false" customHeight="false" outlineLevel="0" collapsed="false">
      <c r="A27" s="9" t="s">
        <v>307</v>
      </c>
      <c r="B27" s="4" t="s">
        <v>277</v>
      </c>
      <c r="C27" s="44" t="n">
        <f aca="false">'Modèle Prudent'!AL74</f>
        <v>2.3847650462963</v>
      </c>
      <c r="D27" s="44" t="n">
        <f aca="false">'Modèle Central'!AL74</f>
        <v>10.0869111111111</v>
      </c>
      <c r="E27" s="44" t="n">
        <f aca="false">'Modèle Ambitieux'!AL74</f>
        <v>19.6782151515151</v>
      </c>
    </row>
    <row r="28" customFormat="false" ht="15" hidden="false" customHeight="false" outlineLevel="0" collapsed="false">
      <c r="A28" s="9" t="s">
        <v>308</v>
      </c>
      <c r="B28" s="4" t="s">
        <v>70</v>
      </c>
      <c r="C28" s="20" t="n">
        <f aca="false">SUM('Modèle Prudent'!C39:AL39)</f>
        <v>222000</v>
      </c>
      <c r="D28" s="20" t="n">
        <f aca="false">SUM('Modèle Central'!C39:AL39)</f>
        <v>438000</v>
      </c>
      <c r="E28" s="20" t="n">
        <f aca="false">SUM('Modèle Ambitieux'!C39:AL39)</f>
        <v>472000</v>
      </c>
    </row>
    <row r="29" customFormat="false" ht="15" hidden="false" customHeight="false" outlineLevel="0" collapsed="false">
      <c r="A29" s="9" t="s">
        <v>309</v>
      </c>
      <c r="B29" s="4" t="s">
        <v>70</v>
      </c>
      <c r="C29" s="20" t="n">
        <f aca="false">SUM('Modèle Prudent'!C51:AL51)</f>
        <v>648250</v>
      </c>
      <c r="D29" s="20" t="n">
        <f aca="false">SUM('Modèle Central'!C51:AL51)</f>
        <v>648050</v>
      </c>
      <c r="E29" s="20" t="n">
        <f aca="false">SUM('Modèle Ambitieux'!C51:AL51)</f>
        <v>687650</v>
      </c>
    </row>
    <row r="31" customFormat="false" ht="15" hidden="false" customHeight="false" outlineLevel="0" collapsed="false">
      <c r="A31" s="4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8" min="3" style="0" width="18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311</v>
      </c>
    </row>
    <row r="2" customFormat="false" ht="15" hidden="false" customHeight="false" outlineLevel="0" collapsed="false">
      <c r="A2" s="4" t="s">
        <v>312</v>
      </c>
    </row>
    <row r="4" customFormat="false" ht="23.85" hidden="false" customHeight="false" outlineLevel="0" collapsed="false">
      <c r="A4" s="45" t="s">
        <v>313</v>
      </c>
      <c r="B4" s="45" t="s">
        <v>314</v>
      </c>
      <c r="C4" s="45" t="s">
        <v>315</v>
      </c>
      <c r="D4" s="45" t="s">
        <v>316</v>
      </c>
      <c r="E4" s="45" t="s">
        <v>317</v>
      </c>
      <c r="F4" s="45" t="s">
        <v>318</v>
      </c>
      <c r="G4" s="45" t="s">
        <v>319</v>
      </c>
      <c r="H4" s="45" t="s">
        <v>320</v>
      </c>
      <c r="J4" s="28" t="s">
        <v>321</v>
      </c>
    </row>
    <row r="5" customFormat="false" ht="15" hidden="false" customHeight="false" outlineLevel="0" collapsed="false">
      <c r="A5" s="2" t="s">
        <v>322</v>
      </c>
      <c r="B5" s="4" t="s">
        <v>323</v>
      </c>
      <c r="C5" s="26" t="n">
        <f aca="false">MIN('Modèle Central'!C62:AL62)</f>
        <v>-130290.654099663</v>
      </c>
      <c r="D5" s="26" t="n">
        <v>0</v>
      </c>
      <c r="E5" s="26" t="n">
        <f aca="false">MAX(0,-MIN('Modèle Central'!C62:AL62))+Hypothèses!$D$53</f>
        <v>170290.654099663</v>
      </c>
      <c r="F5" s="26" t="n">
        <f aca="false">'Modèle Central'!AL62</f>
        <v>464227.152579553</v>
      </c>
      <c r="G5" s="46" t="n">
        <f aca="false">IFERROR(MATCH(1,'Modèle Central'!C53:AL53,0),"non atteint")</f>
        <v>12</v>
      </c>
      <c r="H5" s="46" t="n">
        <f aca="false">'Modèle Central'!AL18</f>
        <v>2663.67025788394</v>
      </c>
    </row>
    <row r="6" customFormat="false" ht="15" hidden="false" customHeight="false" outlineLevel="0" collapsed="false">
      <c r="A6" s="9" t="s">
        <v>324</v>
      </c>
      <c r="B6" s="4" t="s">
        <v>325</v>
      </c>
      <c r="C6" s="20" t="n">
        <f aca="false">MIN(S01!C62:AL62)</f>
        <v>-143206.843248194</v>
      </c>
      <c r="D6" s="20" t="n">
        <f aca="false">C6-$C$5</f>
        <v>-12916.1891485314</v>
      </c>
      <c r="E6" s="20" t="n">
        <f aca="false">MAX(0,-MIN(S01!C62:AL62))+Hypothèses!$D$53</f>
        <v>183206.843248194</v>
      </c>
      <c r="F6" s="20" t="n">
        <f aca="false">S01!AL62</f>
        <v>282351.229553791</v>
      </c>
      <c r="G6" s="22" t="n">
        <f aca="false">IFERROR(MATCH(1,S01!C53:AL53,0),"non atteint")</f>
        <v>24</v>
      </c>
      <c r="H6" s="22" t="n">
        <f aca="false">S01!AL18</f>
        <v>2229.95761414547</v>
      </c>
      <c r="J6" s="15" t="n">
        <f aca="false">F6-$F$5</f>
        <v>-181875.923025761</v>
      </c>
    </row>
    <row r="7" customFormat="false" ht="15" hidden="false" customHeight="false" outlineLevel="0" collapsed="false">
      <c r="A7" s="9" t="s">
        <v>326</v>
      </c>
      <c r="B7" s="4" t="s">
        <v>327</v>
      </c>
      <c r="C7" s="20" t="n">
        <f aca="false">MIN(S02!C62:AL62)</f>
        <v>-124802.050766156</v>
      </c>
      <c r="D7" s="20" t="n">
        <f aca="false">C7-$C$5</f>
        <v>5488.60333350726</v>
      </c>
      <c r="E7" s="20" t="n">
        <f aca="false">MAX(0,-MIN(S02!C62:AL62))+Hypothèses!$D$53</f>
        <v>164802.050766156</v>
      </c>
      <c r="F7" s="20" t="n">
        <f aca="false">S02!AL62</f>
        <v>571787.792532404</v>
      </c>
      <c r="G7" s="22" t="n">
        <f aca="false">IFERROR(MATCH(1,S02!C53:AL53,0),"non atteint")</f>
        <v>12</v>
      </c>
      <c r="H7" s="22" t="n">
        <f aca="false">S02!AL18</f>
        <v>2929.38342903304</v>
      </c>
      <c r="J7" s="15" t="n">
        <f aca="false">F7-$F$5</f>
        <v>107560.639952851</v>
      </c>
    </row>
    <row r="8" customFormat="false" ht="15" hidden="false" customHeight="false" outlineLevel="0" collapsed="false">
      <c r="A8" s="9" t="s">
        <v>328</v>
      </c>
      <c r="B8" s="4" t="s">
        <v>329</v>
      </c>
      <c r="C8" s="20" t="n">
        <f aca="false">MIN(S03!C62:AL62)</f>
        <v>-248923.088281428</v>
      </c>
      <c r="D8" s="20" t="n">
        <f aca="false">C8-$C$5</f>
        <v>-118632.434181765</v>
      </c>
      <c r="E8" s="20" t="n">
        <f aca="false">MAX(0,-MIN(S03!C62:AL62))+Hypothèses!$D$53</f>
        <v>288923.088281428</v>
      </c>
      <c r="F8" s="20" t="n">
        <f aca="false">S03!AL62</f>
        <v>-67989.0331371416</v>
      </c>
      <c r="G8" s="22" t="n">
        <f aca="false">IFERROR(MATCH(1,S03!C53:AL53,0),"non atteint")</f>
        <v>30</v>
      </c>
      <c r="H8" s="22" t="n">
        <f aca="false">S03!AL18</f>
        <v>1667.32555327327</v>
      </c>
      <c r="J8" s="15" t="n">
        <f aca="false">F8-$F$5</f>
        <v>-532216.185716694</v>
      </c>
    </row>
    <row r="9" customFormat="false" ht="15" hidden="false" customHeight="false" outlineLevel="0" collapsed="false">
      <c r="A9" s="9" t="s">
        <v>330</v>
      </c>
      <c r="B9" s="4" t="s">
        <v>331</v>
      </c>
      <c r="C9" s="20" t="n">
        <f aca="false">MIN(S04!C62:AL62)</f>
        <v>-89310.7668810331</v>
      </c>
      <c r="D9" s="20" t="n">
        <f aca="false">C9-$C$5</f>
        <v>40979.8872186298</v>
      </c>
      <c r="E9" s="20" t="n">
        <f aca="false">MAX(0,-MIN(S04!C62:AL62))+Hypothèses!$D$53</f>
        <v>129310.766881033</v>
      </c>
      <c r="F9" s="20" t="n">
        <f aca="false">S04!AL62</f>
        <v>1072474.22197006</v>
      </c>
      <c r="G9" s="22" t="n">
        <f aca="false">IFERROR(MATCH(1,S04!C53:AL53,0),"non atteint")</f>
        <v>11</v>
      </c>
      <c r="H9" s="22" t="n">
        <f aca="false">S04!AL18</f>
        <v>3802.34992029613</v>
      </c>
      <c r="J9" s="15" t="n">
        <f aca="false">F9-$F$5</f>
        <v>608247.069390508</v>
      </c>
    </row>
    <row r="10" customFormat="false" ht="15" hidden="false" customHeight="false" outlineLevel="0" collapsed="false">
      <c r="A10" s="9" t="s">
        <v>332</v>
      </c>
      <c r="B10" s="4" t="s">
        <v>333</v>
      </c>
      <c r="C10" s="20" t="n">
        <f aca="false">MIN(S05!C62:AL62)</f>
        <v>-151256.240625763</v>
      </c>
      <c r="D10" s="20" t="n">
        <f aca="false">C10-$C$5</f>
        <v>-20965.5865261005</v>
      </c>
      <c r="E10" s="20" t="n">
        <f aca="false">MAX(0,-MIN(S05!C62:AL62))+Hypothèses!$D$53</f>
        <v>191256.240625763</v>
      </c>
      <c r="F10" s="20" t="n">
        <f aca="false">S05!AL62</f>
        <v>307759.801617469</v>
      </c>
      <c r="G10" s="22" t="n">
        <f aca="false">IFERROR(MATCH(1,S05!C53:AL53,0),"non atteint")</f>
        <v>24</v>
      </c>
      <c r="H10" s="22" t="n">
        <f aca="false">S05!AL18</f>
        <v>2663.67025788394</v>
      </c>
      <c r="J10" s="15" t="n">
        <f aca="false">F10-$F$5</f>
        <v>-156467.350962084</v>
      </c>
    </row>
    <row r="11" customFormat="false" ht="15" hidden="false" customHeight="false" outlineLevel="0" collapsed="false">
      <c r="A11" s="9" t="s">
        <v>334</v>
      </c>
      <c r="B11" s="4" t="s">
        <v>335</v>
      </c>
      <c r="C11" s="20" t="n">
        <f aca="false">MIN(S06!C62:AL62)</f>
        <v>-121602.688489959</v>
      </c>
      <c r="D11" s="20" t="n">
        <f aca="false">C11-$C$5</f>
        <v>8687.96560970425</v>
      </c>
      <c r="E11" s="20" t="n">
        <f aca="false">MAX(0,-MIN(S06!C62:AL62))+Hypothèses!$D$53</f>
        <v>161602.688489959</v>
      </c>
      <c r="F11" s="20" t="n">
        <f aca="false">S06!AL62</f>
        <v>542449.093595996</v>
      </c>
      <c r="G11" s="22" t="n">
        <f aca="false">IFERROR(MATCH(1,S06!C53:AL53,0),"non atteint")</f>
        <v>12</v>
      </c>
      <c r="H11" s="22" t="n">
        <f aca="false">S06!AL18</f>
        <v>2663.67025788394</v>
      </c>
      <c r="J11" s="15" t="n">
        <f aca="false">F11-$F$5</f>
        <v>78221.9410164428</v>
      </c>
    </row>
    <row r="12" customFormat="false" ht="15" hidden="false" customHeight="false" outlineLevel="0" collapsed="false">
      <c r="A12" s="9" t="s">
        <v>336</v>
      </c>
      <c r="B12" s="4" t="s">
        <v>337</v>
      </c>
      <c r="C12" s="20" t="n">
        <f aca="false">MIN(S07!C62:AL62)</f>
        <v>-194600.566550438</v>
      </c>
      <c r="D12" s="20" t="n">
        <f aca="false">C12-$C$5</f>
        <v>-64309.9124507748</v>
      </c>
      <c r="E12" s="20" t="n">
        <f aca="false">MAX(0,-MIN(S07!C62:AL62))+Hypothèses!$D$53</f>
        <v>234600.566550438</v>
      </c>
      <c r="F12" s="20" t="n">
        <f aca="false">S07!AL62</f>
        <v>107802.814640011</v>
      </c>
      <c r="G12" s="22" t="n">
        <f aca="false">IFERROR(MATCH(1,S07!C53:AL53,0),"non atteint")</f>
        <v>28</v>
      </c>
      <c r="H12" s="22" t="n">
        <f aca="false">S07!AL18</f>
        <v>2663.67025788394</v>
      </c>
      <c r="J12" s="15" t="n">
        <f aca="false">F12-$F$5</f>
        <v>-356424.337939542</v>
      </c>
    </row>
    <row r="13" customFormat="false" ht="15" hidden="false" customHeight="false" outlineLevel="0" collapsed="false">
      <c r="A13" s="9" t="s">
        <v>338</v>
      </c>
      <c r="B13" s="4" t="s">
        <v>339</v>
      </c>
      <c r="C13" s="20" t="n">
        <f aca="false">MIN(S08!C62:AL62)</f>
        <v>-99247.2733758309</v>
      </c>
      <c r="D13" s="20" t="n">
        <f aca="false">C13-$C$5</f>
        <v>31043.3807238319</v>
      </c>
      <c r="E13" s="20" t="n">
        <f aca="false">MAX(0,-MIN(S08!C62:AL62))+Hypothèses!$D$53</f>
        <v>139247.273375831</v>
      </c>
      <c r="F13" s="20" t="n">
        <f aca="false">S08!AL62</f>
        <v>820651.490519095</v>
      </c>
      <c r="G13" s="22" t="n">
        <f aca="false">IFERROR(MATCH(1,S08!C53:AL53,0),"non atteint")</f>
        <v>11</v>
      </c>
      <c r="H13" s="22" t="n">
        <f aca="false">S08!AL18</f>
        <v>2663.67025788394</v>
      </c>
      <c r="J13" s="15" t="n">
        <f aca="false">F13-$F$5</f>
        <v>356424.337939542</v>
      </c>
    </row>
    <row r="14" customFormat="false" ht="15" hidden="false" customHeight="false" outlineLevel="0" collapsed="false">
      <c r="A14" s="9" t="s">
        <v>340</v>
      </c>
      <c r="B14" s="4" t="s">
        <v>341</v>
      </c>
      <c r="C14" s="20" t="n">
        <f aca="false">MIN(S09!C62:AL62)</f>
        <v>-153445.715852183</v>
      </c>
      <c r="D14" s="20" t="n">
        <f aca="false">C14-$C$5</f>
        <v>-23155.0617525199</v>
      </c>
      <c r="E14" s="20" t="n">
        <f aca="false">MAX(0,-MIN(S09!C62:AL62))+Hypothèses!$D$53</f>
        <v>193445.715852183</v>
      </c>
      <c r="F14" s="20" t="n">
        <f aca="false">S09!AL62</f>
        <v>400193.535887611</v>
      </c>
      <c r="G14" s="22" t="n">
        <f aca="false">IFERROR(MATCH(1,S09!C53:AL53,0),"non atteint")</f>
        <v>23</v>
      </c>
      <c r="H14" s="22" t="n">
        <f aca="false">S09!AL18</f>
        <v>2617.9846317696</v>
      </c>
      <c r="J14" s="15" t="n">
        <f aca="false">F14-$F$5</f>
        <v>-64033.6166919422</v>
      </c>
    </row>
    <row r="15" customFormat="false" ht="15" hidden="false" customHeight="false" outlineLevel="0" collapsed="false">
      <c r="A15" s="9" t="s">
        <v>342</v>
      </c>
      <c r="B15" s="4" t="s">
        <v>343</v>
      </c>
      <c r="C15" s="20" t="n">
        <f aca="false">MIN(S10!C62:AL62)</f>
        <v>-187565.595949015</v>
      </c>
      <c r="D15" s="20" t="n">
        <f aca="false">C15-$C$5</f>
        <v>-57274.941849352</v>
      </c>
      <c r="E15" s="20" t="n">
        <f aca="false">MAX(0,-MIN(S10!C62:AL62))+Hypothèses!$D$53</f>
        <v>227565.595949015</v>
      </c>
      <c r="F15" s="20" t="n">
        <f aca="false">S10!AL62</f>
        <v>299467.152579553</v>
      </c>
      <c r="G15" s="22" t="n">
        <f aca="false">IFERROR(MATCH(1,S10!C53:AL53,0),"non atteint")</f>
        <v>27</v>
      </c>
      <c r="H15" s="22" t="n">
        <f aca="false">S10!AL18</f>
        <v>2663.67025788394</v>
      </c>
      <c r="J15" s="15" t="n">
        <f aca="false">F15-$F$5</f>
        <v>-164760</v>
      </c>
    </row>
    <row r="16" customFormat="false" ht="15" hidden="false" customHeight="false" outlineLevel="0" collapsed="false">
      <c r="A16" s="9" t="s">
        <v>344</v>
      </c>
      <c r="B16" s="4" t="s">
        <v>345</v>
      </c>
      <c r="C16" s="20" t="n">
        <f aca="false">MIN(S11!C62:AL62)</f>
        <v>-178199.101357486</v>
      </c>
      <c r="D16" s="20" t="n">
        <f aca="false">C16-$C$5</f>
        <v>-47908.4472578232</v>
      </c>
      <c r="E16" s="20" t="n">
        <f aca="false">MAX(0,-MIN(S11!C62:AL62))+Hypothèses!$D$53</f>
        <v>218199.101357486</v>
      </c>
      <c r="F16" s="20" t="n">
        <f aca="false">S11!AL62</f>
        <v>73048.7208010698</v>
      </c>
      <c r="G16" s="22" t="n">
        <f aca="false">IFERROR(MATCH(1,S11!C53:AL53,0),"non atteint")</f>
        <v>28</v>
      </c>
      <c r="H16" s="22" t="n">
        <f aca="false">S11!AL18</f>
        <v>1757.52898574556</v>
      </c>
      <c r="J16" s="15" t="n">
        <f aca="false">F16-$F$5</f>
        <v>-391178.431778483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4" min="3" style="0" width="3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10" min="9" style="0" width="30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1" t="s">
        <v>346</v>
      </c>
    </row>
    <row r="2" customFormat="false" ht="15" hidden="false" customHeight="false" outlineLevel="0" collapsed="false">
      <c r="A2" s="4" t="s">
        <v>347</v>
      </c>
    </row>
    <row r="4" customFormat="false" ht="23.85" hidden="false" customHeight="false" outlineLevel="0" collapsed="false">
      <c r="A4" s="45" t="s">
        <v>348</v>
      </c>
      <c r="B4" s="45" t="s">
        <v>282</v>
      </c>
      <c r="C4" s="45" t="s">
        <v>349</v>
      </c>
      <c r="D4" s="45" t="s">
        <v>350</v>
      </c>
      <c r="E4" s="45" t="s">
        <v>351</v>
      </c>
      <c r="F4" s="45" t="s">
        <v>352</v>
      </c>
      <c r="G4" s="45" t="s">
        <v>353</v>
      </c>
      <c r="H4" s="45" t="s">
        <v>354</v>
      </c>
      <c r="I4" s="45" t="s">
        <v>355</v>
      </c>
      <c r="J4" s="45" t="s">
        <v>356</v>
      </c>
      <c r="K4" s="45" t="s">
        <v>357</v>
      </c>
    </row>
    <row r="5" customFormat="false" ht="23.85" hidden="false" customHeight="false" outlineLevel="0" collapsed="false">
      <c r="A5" s="47" t="s">
        <v>358</v>
      </c>
      <c r="B5" s="3" t="s">
        <v>359</v>
      </c>
      <c r="C5" s="3" t="s">
        <v>360</v>
      </c>
      <c r="D5" s="3" t="s">
        <v>361</v>
      </c>
      <c r="E5" s="3" t="s">
        <v>362</v>
      </c>
      <c r="F5" s="3" t="s">
        <v>363</v>
      </c>
      <c r="G5" s="3" t="s">
        <v>364</v>
      </c>
      <c r="H5" s="3" t="s">
        <v>365</v>
      </c>
      <c r="I5" s="3" t="s">
        <v>366</v>
      </c>
      <c r="J5" s="3" t="s">
        <v>367</v>
      </c>
      <c r="K5" s="3" t="s">
        <v>368</v>
      </c>
    </row>
    <row r="6" customFormat="false" ht="23.85" hidden="false" customHeight="false" outlineLevel="0" collapsed="false">
      <c r="A6" s="47" t="s">
        <v>358</v>
      </c>
      <c r="B6" s="3" t="s">
        <v>369</v>
      </c>
      <c r="C6" s="3" t="s">
        <v>370</v>
      </c>
      <c r="D6" s="3" t="s">
        <v>371</v>
      </c>
      <c r="E6" s="3" t="s">
        <v>372</v>
      </c>
      <c r="F6" s="3" t="s">
        <v>363</v>
      </c>
      <c r="G6" s="3" t="s">
        <v>373</v>
      </c>
      <c r="H6" s="3" t="s">
        <v>374</v>
      </c>
      <c r="I6" s="3" t="s">
        <v>375</v>
      </c>
      <c r="J6" s="3" t="s">
        <v>376</v>
      </c>
      <c r="K6" s="3" t="s">
        <v>368</v>
      </c>
    </row>
    <row r="7" customFormat="false" ht="23.85" hidden="false" customHeight="false" outlineLevel="0" collapsed="false">
      <c r="A7" s="47" t="s">
        <v>358</v>
      </c>
      <c r="B7" s="3" t="s">
        <v>377</v>
      </c>
      <c r="C7" s="3" t="s">
        <v>378</v>
      </c>
      <c r="D7" s="3" t="s">
        <v>379</v>
      </c>
      <c r="E7" s="3" t="s">
        <v>380</v>
      </c>
      <c r="F7" s="3" t="s">
        <v>381</v>
      </c>
      <c r="G7" s="3" t="s">
        <v>382</v>
      </c>
      <c r="H7" s="3" t="s">
        <v>383</v>
      </c>
      <c r="I7" s="3" t="s">
        <v>384</v>
      </c>
      <c r="J7" s="3" t="s">
        <v>385</v>
      </c>
      <c r="K7" s="3" t="s">
        <v>386</v>
      </c>
    </row>
    <row r="8" customFormat="false" ht="35.05" hidden="false" customHeight="false" outlineLevel="0" collapsed="false">
      <c r="A8" s="47" t="s">
        <v>358</v>
      </c>
      <c r="B8" s="3" t="s">
        <v>387</v>
      </c>
      <c r="C8" s="3" t="s">
        <v>388</v>
      </c>
      <c r="D8" s="3" t="s">
        <v>389</v>
      </c>
      <c r="E8" s="3" t="s">
        <v>390</v>
      </c>
      <c r="F8" s="3" t="s">
        <v>381</v>
      </c>
      <c r="G8" s="3" t="s">
        <v>391</v>
      </c>
      <c r="H8" s="3" t="s">
        <v>392</v>
      </c>
      <c r="I8" s="3" t="s">
        <v>393</v>
      </c>
      <c r="J8" s="3" t="s">
        <v>394</v>
      </c>
      <c r="K8" s="3" t="s">
        <v>395</v>
      </c>
    </row>
    <row r="9" customFormat="false" ht="23.85" hidden="false" customHeight="false" outlineLevel="0" collapsed="false">
      <c r="A9" s="47" t="s">
        <v>358</v>
      </c>
      <c r="B9" s="3" t="s">
        <v>273</v>
      </c>
      <c r="C9" s="3" t="s">
        <v>396</v>
      </c>
      <c r="D9" s="3" t="s">
        <v>397</v>
      </c>
      <c r="E9" s="3" t="s">
        <v>398</v>
      </c>
      <c r="F9" s="3" t="s">
        <v>363</v>
      </c>
      <c r="G9" s="3" t="s">
        <v>399</v>
      </c>
      <c r="H9" s="3" t="s">
        <v>400</v>
      </c>
      <c r="I9" s="3" t="s">
        <v>401</v>
      </c>
      <c r="J9" s="3" t="s">
        <v>402</v>
      </c>
      <c r="K9" s="3" t="s">
        <v>368</v>
      </c>
    </row>
    <row r="10" customFormat="false" ht="23.85" hidden="false" customHeight="false" outlineLevel="0" collapsed="false">
      <c r="A10" s="47" t="s">
        <v>358</v>
      </c>
      <c r="B10" s="3" t="s">
        <v>403</v>
      </c>
      <c r="C10" s="3" t="s">
        <v>404</v>
      </c>
      <c r="D10" s="3" t="s">
        <v>405</v>
      </c>
      <c r="E10" s="3" t="s">
        <v>398</v>
      </c>
      <c r="F10" s="3" t="s">
        <v>363</v>
      </c>
      <c r="G10" s="3" t="s">
        <v>406</v>
      </c>
      <c r="H10" s="3" t="s">
        <v>407</v>
      </c>
      <c r="I10" s="3" t="s">
        <v>408</v>
      </c>
      <c r="J10" s="3" t="s">
        <v>409</v>
      </c>
      <c r="K10" s="3" t="s">
        <v>368</v>
      </c>
    </row>
    <row r="11" customFormat="false" ht="23.85" hidden="false" customHeight="false" outlineLevel="0" collapsed="false">
      <c r="A11" s="47" t="s">
        <v>358</v>
      </c>
      <c r="B11" s="3" t="s">
        <v>410</v>
      </c>
      <c r="C11" s="3" t="s">
        <v>411</v>
      </c>
      <c r="D11" s="3" t="s">
        <v>412</v>
      </c>
      <c r="E11" s="3" t="s">
        <v>398</v>
      </c>
      <c r="F11" s="3" t="s">
        <v>363</v>
      </c>
      <c r="G11" s="3" t="s">
        <v>413</v>
      </c>
      <c r="H11" s="3" t="s">
        <v>414</v>
      </c>
      <c r="I11" s="3" t="s">
        <v>415</v>
      </c>
      <c r="J11" s="3" t="s">
        <v>416</v>
      </c>
      <c r="K11" s="3" t="s">
        <v>368</v>
      </c>
    </row>
    <row r="12" customFormat="false" ht="23.85" hidden="false" customHeight="false" outlineLevel="0" collapsed="false">
      <c r="A12" s="47" t="s">
        <v>417</v>
      </c>
      <c r="B12" s="3" t="s">
        <v>376</v>
      </c>
      <c r="C12" s="3" t="s">
        <v>418</v>
      </c>
      <c r="D12" s="3" t="s">
        <v>419</v>
      </c>
      <c r="E12" s="3" t="s">
        <v>372</v>
      </c>
      <c r="F12" s="3" t="s">
        <v>381</v>
      </c>
      <c r="G12" s="3" t="s">
        <v>373</v>
      </c>
      <c r="H12" s="3" t="s">
        <v>420</v>
      </c>
      <c r="I12" s="3" t="s">
        <v>421</v>
      </c>
      <c r="J12" s="3" t="s">
        <v>422</v>
      </c>
      <c r="K12" s="3" t="s">
        <v>386</v>
      </c>
    </row>
    <row r="13" customFormat="false" ht="23.85" hidden="false" customHeight="false" outlineLevel="0" collapsed="false">
      <c r="A13" s="47" t="s">
        <v>417</v>
      </c>
      <c r="B13" s="3" t="s">
        <v>423</v>
      </c>
      <c r="C13" s="3" t="s">
        <v>424</v>
      </c>
      <c r="D13" s="3" t="s">
        <v>425</v>
      </c>
      <c r="E13" s="3" t="s">
        <v>372</v>
      </c>
      <c r="F13" s="3" t="s">
        <v>363</v>
      </c>
      <c r="G13" s="3" t="s">
        <v>426</v>
      </c>
      <c r="H13" s="3" t="s">
        <v>427</v>
      </c>
      <c r="I13" s="3" t="s">
        <v>428</v>
      </c>
      <c r="J13" s="3" t="s">
        <v>429</v>
      </c>
      <c r="K13" s="3" t="s">
        <v>386</v>
      </c>
    </row>
    <row r="14" customFormat="false" ht="15" hidden="false" customHeight="false" outlineLevel="0" collapsed="false">
      <c r="A14" s="47" t="s">
        <v>417</v>
      </c>
      <c r="B14" s="3" t="s">
        <v>367</v>
      </c>
      <c r="C14" s="3" t="s">
        <v>430</v>
      </c>
      <c r="D14" s="3" t="s">
        <v>431</v>
      </c>
      <c r="E14" s="3" t="s">
        <v>372</v>
      </c>
      <c r="F14" s="3" t="s">
        <v>363</v>
      </c>
      <c r="G14" s="3" t="s">
        <v>432</v>
      </c>
      <c r="H14" s="3" t="s">
        <v>433</v>
      </c>
      <c r="I14" s="3" t="s">
        <v>434</v>
      </c>
      <c r="J14" s="3" t="s">
        <v>435</v>
      </c>
      <c r="K14" s="3" t="s">
        <v>368</v>
      </c>
    </row>
    <row r="15" customFormat="false" ht="23.85" hidden="false" customHeight="false" outlineLevel="0" collapsed="false">
      <c r="A15" s="47" t="s">
        <v>417</v>
      </c>
      <c r="B15" s="3" t="s">
        <v>436</v>
      </c>
      <c r="C15" s="3" t="s">
        <v>437</v>
      </c>
      <c r="D15" s="3" t="s">
        <v>438</v>
      </c>
      <c r="E15" s="3" t="s">
        <v>380</v>
      </c>
      <c r="F15" s="3" t="s">
        <v>381</v>
      </c>
      <c r="G15" s="3" t="s">
        <v>439</v>
      </c>
      <c r="H15" s="3" t="s">
        <v>440</v>
      </c>
      <c r="I15" s="3" t="s">
        <v>441</v>
      </c>
      <c r="J15" s="3" t="s">
        <v>442</v>
      </c>
      <c r="K15" s="3" t="s">
        <v>386</v>
      </c>
    </row>
    <row r="16" customFormat="false" ht="15" hidden="false" customHeight="false" outlineLevel="0" collapsed="false">
      <c r="A16" s="47" t="s">
        <v>417</v>
      </c>
      <c r="B16" s="3" t="s">
        <v>443</v>
      </c>
      <c r="C16" s="3" t="s">
        <v>444</v>
      </c>
      <c r="D16" s="3" t="s">
        <v>445</v>
      </c>
      <c r="E16" s="3" t="s">
        <v>446</v>
      </c>
      <c r="F16" s="3" t="s">
        <v>363</v>
      </c>
      <c r="G16" s="3" t="s">
        <v>447</v>
      </c>
      <c r="H16" s="3" t="s">
        <v>448</v>
      </c>
      <c r="I16" s="3" t="s">
        <v>449</v>
      </c>
      <c r="J16" s="3" t="s">
        <v>450</v>
      </c>
      <c r="K16" s="3" t="s">
        <v>368</v>
      </c>
    </row>
    <row r="17" customFormat="false" ht="23.85" hidden="false" customHeight="false" outlineLevel="0" collapsed="false">
      <c r="A17" s="47" t="s">
        <v>417</v>
      </c>
      <c r="B17" s="3" t="s">
        <v>451</v>
      </c>
      <c r="C17" s="3" t="s">
        <v>452</v>
      </c>
      <c r="D17" s="3" t="s">
        <v>453</v>
      </c>
      <c r="E17" s="3" t="s">
        <v>372</v>
      </c>
      <c r="F17" s="3" t="s">
        <v>381</v>
      </c>
      <c r="G17" s="3" t="s">
        <v>454</v>
      </c>
      <c r="H17" s="3" t="s">
        <v>455</v>
      </c>
      <c r="I17" s="3" t="s">
        <v>456</v>
      </c>
      <c r="J17" s="3" t="s">
        <v>457</v>
      </c>
      <c r="K17" s="3" t="s">
        <v>386</v>
      </c>
    </row>
    <row r="18" customFormat="false" ht="23.85" hidden="false" customHeight="false" outlineLevel="0" collapsed="false">
      <c r="A18" s="47" t="s">
        <v>417</v>
      </c>
      <c r="B18" s="3" t="s">
        <v>458</v>
      </c>
      <c r="C18" s="3" t="s">
        <v>459</v>
      </c>
      <c r="D18" s="3" t="s">
        <v>460</v>
      </c>
      <c r="E18" s="3" t="s">
        <v>446</v>
      </c>
      <c r="F18" s="3" t="s">
        <v>363</v>
      </c>
      <c r="G18" s="3" t="s">
        <v>461</v>
      </c>
      <c r="H18" s="3" t="s">
        <v>462</v>
      </c>
      <c r="I18" s="3" t="s">
        <v>463</v>
      </c>
      <c r="J18" s="3" t="s">
        <v>464</v>
      </c>
      <c r="K18" s="3" t="s">
        <v>368</v>
      </c>
    </row>
    <row r="19" customFormat="false" ht="23.85" hidden="false" customHeight="false" outlineLevel="0" collapsed="false">
      <c r="A19" s="47" t="s">
        <v>417</v>
      </c>
      <c r="B19" s="3" t="s">
        <v>465</v>
      </c>
      <c r="C19" s="3" t="s">
        <v>466</v>
      </c>
      <c r="D19" s="3" t="s">
        <v>467</v>
      </c>
      <c r="E19" s="3" t="s">
        <v>372</v>
      </c>
      <c r="F19" s="3" t="s">
        <v>381</v>
      </c>
      <c r="G19" s="3" t="s">
        <v>468</v>
      </c>
      <c r="H19" s="3" t="s">
        <v>469</v>
      </c>
      <c r="I19" s="3" t="s">
        <v>470</v>
      </c>
      <c r="J19" s="3" t="s">
        <v>471</v>
      </c>
      <c r="K19" s="3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60"/>
    <col collapsed="false" customWidth="true" hidden="false" outlineLevel="0" max="7" min="7" style="0" width="11"/>
  </cols>
  <sheetData>
    <row r="1" customFormat="false" ht="19.7" hidden="false" customHeight="false" outlineLevel="0" collapsed="false">
      <c r="A1" s="1" t="s">
        <v>472</v>
      </c>
    </row>
    <row r="2" customFormat="false" ht="15" hidden="false" customHeight="false" outlineLevel="0" collapsed="false">
      <c r="A2" s="4" t="s">
        <v>473</v>
      </c>
    </row>
    <row r="4" customFormat="false" ht="23.85" hidden="false" customHeight="false" outlineLevel="0" collapsed="false">
      <c r="A4" s="45" t="s">
        <v>474</v>
      </c>
      <c r="B4" s="45" t="s">
        <v>475</v>
      </c>
      <c r="C4" s="45" t="s">
        <v>476</v>
      </c>
      <c r="D4" s="45" t="s">
        <v>477</v>
      </c>
      <c r="E4" s="45" t="s">
        <v>478</v>
      </c>
      <c r="F4" s="45" t="s">
        <v>479</v>
      </c>
      <c r="G4" s="45" t="s">
        <v>3</v>
      </c>
    </row>
    <row r="5" customFormat="false" ht="23.85" hidden="false" customHeight="false" outlineLevel="0" collapsed="false">
      <c r="A5" s="3" t="s">
        <v>480</v>
      </c>
      <c r="B5" s="3" t="s">
        <v>481</v>
      </c>
      <c r="C5" s="3" t="s">
        <v>482</v>
      </c>
      <c r="D5" s="3" t="s">
        <v>483</v>
      </c>
      <c r="E5" s="48" t="n">
        <v>15000</v>
      </c>
      <c r="F5" s="3" t="s">
        <v>484</v>
      </c>
      <c r="G5" s="3" t="s">
        <v>26</v>
      </c>
    </row>
    <row r="6" customFormat="false" ht="35.05" hidden="false" customHeight="false" outlineLevel="0" collapsed="false">
      <c r="A6" s="3" t="s">
        <v>485</v>
      </c>
      <c r="B6" s="3" t="s">
        <v>486</v>
      </c>
      <c r="C6" s="3" t="s">
        <v>487</v>
      </c>
      <c r="D6" s="3" t="s">
        <v>488</v>
      </c>
      <c r="E6" s="48" t="n">
        <v>150000</v>
      </c>
      <c r="F6" s="3" t="s">
        <v>489</v>
      </c>
      <c r="G6" s="3" t="s">
        <v>26</v>
      </c>
    </row>
    <row r="7" customFormat="false" ht="23.85" hidden="false" customHeight="false" outlineLevel="0" collapsed="false">
      <c r="A7" s="3" t="s">
        <v>490</v>
      </c>
      <c r="B7" s="3" t="s">
        <v>491</v>
      </c>
      <c r="C7" s="3" t="s">
        <v>492</v>
      </c>
      <c r="D7" s="3" t="s">
        <v>493</v>
      </c>
      <c r="E7" s="48" t="n">
        <v>300000</v>
      </c>
      <c r="F7" s="3" t="s">
        <v>494</v>
      </c>
      <c r="G7" s="3" t="s">
        <v>26</v>
      </c>
    </row>
    <row r="9" customFormat="false" ht="15" hidden="false" customHeight="false" outlineLevel="0" collapsed="false">
      <c r="D9" s="2" t="s">
        <v>495</v>
      </c>
      <c r="E9" s="40" t="n">
        <f aca="false">SUM(E5:E7)</f>
        <v>465000</v>
      </c>
    </row>
    <row r="11" customFormat="false" ht="15" hidden="false" customHeight="false" outlineLevel="0" collapsed="false">
      <c r="A11" s="2" t="s">
        <v>496</v>
      </c>
    </row>
    <row r="12" customFormat="false" ht="15" hidden="false" customHeight="false" outlineLevel="0" collapsed="false">
      <c r="A12" s="0" t="s">
        <v>497</v>
      </c>
      <c r="E12" s="20" t="n">
        <f aca="false">Synthèse!D8</f>
        <v>170290.654099663</v>
      </c>
    </row>
    <row r="13" customFormat="false" ht="15" hidden="false" customHeight="false" outlineLevel="0" collapsed="false">
      <c r="A13" s="0" t="s">
        <v>498</v>
      </c>
      <c r="E13" s="30" t="n">
        <f aca="false">IF(E12&gt;0,E9/E12,0)</f>
        <v>2.73062548534142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499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1.6667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9.49999</v>
      </c>
      <c r="H13" s="38" t="n">
        <f aca="false">G18</f>
        <v>9.02498100001</v>
      </c>
      <c r="I13" s="38" t="n">
        <f aca="false">H18</f>
        <v>8.5737229250285</v>
      </c>
      <c r="J13" s="38" t="n">
        <f aca="false">I18</f>
        <v>28.3165026635547</v>
      </c>
      <c r="K13" s="38" t="n">
        <f aca="false">J18</f>
        <v>47.4669792671454</v>
      </c>
      <c r="L13" s="38" t="n">
        <f aca="false">K18</f>
        <v>66.0429224221518</v>
      </c>
      <c r="M13" s="38" t="n">
        <f aca="false">L18</f>
        <v>84.0615687065648</v>
      </c>
      <c r="N13" s="38" t="n">
        <f aca="false">M18</f>
        <v>101.539637583799</v>
      </c>
      <c r="O13" s="38" t="n">
        <f aca="false">N18</f>
        <v>118.493346916648</v>
      </c>
      <c r="P13" s="38" t="n">
        <f aca="false">O18</f>
        <v>181.605094682468</v>
      </c>
      <c r="Q13" s="38" t="n">
        <f aca="false">P18</f>
        <v>242.823426903566</v>
      </c>
      <c r="R13" s="38" t="n">
        <f aca="false">Q18</f>
        <v>302.205147939699</v>
      </c>
      <c r="S13" s="38" t="n">
        <f aca="false">R18</f>
        <v>359.805357963027</v>
      </c>
      <c r="T13" s="38" t="n">
        <f aca="false">S18</f>
        <v>415.677504085444</v>
      </c>
      <c r="U13" s="38" t="n">
        <f aca="false">T18</f>
        <v>469.873429952044</v>
      </c>
      <c r="V13" s="38" t="n">
        <f aca="false">U18</f>
        <v>522.443423846719</v>
      </c>
      <c r="W13" s="38" t="n">
        <f aca="false">V18</f>
        <v>573.43626535456</v>
      </c>
      <c r="X13" s="38" t="n">
        <f aca="false">W18</f>
        <v>622.899270624325</v>
      </c>
      <c r="Y13" s="38" t="n">
        <f aca="false">X18</f>
        <v>670.878336272991</v>
      </c>
      <c r="Z13" s="38" t="n">
        <f aca="false">Y18</f>
        <v>717.417981973132</v>
      </c>
      <c r="AA13" s="38" t="n">
        <f aca="false">Z18</f>
        <v>762.561391762622</v>
      </c>
      <c r="AB13" s="38" t="n">
        <f aca="false">AA18</f>
        <v>906.350454115019</v>
      </c>
      <c r="AC13" s="38" t="n">
        <f aca="false">AB18</f>
        <v>1045.82570080778</v>
      </c>
      <c r="AD13" s="38" t="n">
        <f aca="false">AC18</f>
        <v>1181.11655062451</v>
      </c>
      <c r="AE13" s="38" t="n">
        <f aca="false">AD18</f>
        <v>1312.34853965589</v>
      </c>
      <c r="AF13" s="38" t="n">
        <f aca="false">AE18</f>
        <v>1439.64343778434</v>
      </c>
      <c r="AG13" s="38" t="n">
        <f aca="false">AF18</f>
        <v>1563.11936167404</v>
      </c>
      <c r="AH13" s="38" t="n">
        <f aca="false">AG18</f>
        <v>1682.89088437113</v>
      </c>
      <c r="AI13" s="38" t="n">
        <f aca="false">AH18</f>
        <v>1799.06914161578</v>
      </c>
      <c r="AJ13" s="38" t="n">
        <f aca="false">AI18</f>
        <v>1911.76193496483</v>
      </c>
      <c r="AK13" s="38" t="n">
        <f aca="false">AJ18</f>
        <v>2021.07383182061</v>
      </c>
      <c r="AL13" s="38" t="n">
        <f aca="false">AK18</f>
        <v>2127.10626245883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0.17147445850057</v>
      </c>
      <c r="J16" s="38" t="n">
        <f aca="false">J9*J13*Hypothèses!$D$24</f>
        <v>0.566330053271094</v>
      </c>
      <c r="K16" s="38" t="n">
        <f aca="false">K9*K13*Hypothèses!$D$24</f>
        <v>0.949339585342908</v>
      </c>
      <c r="L16" s="38" t="n">
        <f aca="false">L9*L13*Hypothèses!$D$24</f>
        <v>1.32085844844304</v>
      </c>
      <c r="M16" s="38" t="n">
        <f aca="false">M9*M13*Hypothèses!$D$24</f>
        <v>1.6812313741313</v>
      </c>
      <c r="N16" s="38" t="n">
        <f aca="false">N9*N13*Hypothèses!$D$24</f>
        <v>2.03079275167598</v>
      </c>
      <c r="O16" s="38" t="n">
        <f aca="false">O9*O13*Hypothèses!$D$24</f>
        <v>2.36986693833295</v>
      </c>
      <c r="P16" s="38" t="n">
        <f aca="false">P9*P13*Hypothèses!$D$24</f>
        <v>3.63210189364936</v>
      </c>
      <c r="Q16" s="38" t="n">
        <f aca="false">Q9*Q13*Hypothèses!$D$24</f>
        <v>4.85646853807132</v>
      </c>
      <c r="R16" s="38" t="n">
        <f aca="false">R9*R13*Hypothèses!$D$24</f>
        <v>6.04410295879397</v>
      </c>
      <c r="S16" s="38" t="n">
        <f aca="false">S9*S13*Hypothèses!$D$24</f>
        <v>7.19610715926053</v>
      </c>
      <c r="T16" s="38" t="n">
        <f aca="false">T9*T13*Hypothèses!$D$24</f>
        <v>8.31355008170889</v>
      </c>
      <c r="U16" s="38" t="n">
        <f aca="false">U9*U13*Hypothèses!$D$24</f>
        <v>9.39746859904087</v>
      </c>
      <c r="V16" s="38" t="n">
        <f aca="false">V9*V13*Hypothèses!$D$24</f>
        <v>10.4488684769344</v>
      </c>
      <c r="W16" s="38" t="n">
        <f aca="false">W9*W13*Hypothèses!$D$24</f>
        <v>11.4687253070912</v>
      </c>
      <c r="X16" s="38" t="n">
        <f aca="false">X9*X13*Hypothèses!$D$24</f>
        <v>12.4579854124865</v>
      </c>
      <c r="Y16" s="38" t="n">
        <f aca="false">Y9*Y13*Hypothèses!$D$24</f>
        <v>13.4175667254598</v>
      </c>
      <c r="Z16" s="38" t="n">
        <f aca="false">Z9*Z13*Hypothèses!$D$24</f>
        <v>14.3483596394626</v>
      </c>
      <c r="AA16" s="38" t="n">
        <f aca="false">AA9*AA13*Hypothèses!$D$24</f>
        <v>15.2512278352524</v>
      </c>
      <c r="AB16" s="38" t="n">
        <f aca="false">AB9*AB13*Hypothèses!$D$24</f>
        <v>18.1270090823004</v>
      </c>
      <c r="AC16" s="38" t="n">
        <f aca="false">AC9*AC13*Hypothèses!$D$24</f>
        <v>20.9165140161556</v>
      </c>
      <c r="AD16" s="38" t="n">
        <f aca="false">AD9*AD13*Hypothèses!$D$24</f>
        <v>23.6223310124903</v>
      </c>
      <c r="AE16" s="38" t="n">
        <f aca="false">AE9*AE13*Hypothèses!$D$24</f>
        <v>26.2469707931179</v>
      </c>
      <c r="AF16" s="38" t="n">
        <f aca="false">AF9*AF13*Hypothèses!$D$24</f>
        <v>28.7928687556869</v>
      </c>
      <c r="AG16" s="38" t="n">
        <f aca="false">AG9*AG13*Hypothèses!$D$24</f>
        <v>31.2623872334809</v>
      </c>
      <c r="AH16" s="38" t="n">
        <f aca="false">AH9*AH13*Hypothèses!$D$24</f>
        <v>33.6578176874225</v>
      </c>
      <c r="AI16" s="38" t="n">
        <f aca="false">AI9*AI13*Hypothèses!$D$24</f>
        <v>35.9813828323155</v>
      </c>
      <c r="AJ16" s="38" t="n">
        <f aca="false">AJ9*AJ13*Hypothèses!$D$24</f>
        <v>38.2352386992965</v>
      </c>
      <c r="AK16" s="38" t="n">
        <f aca="false">AK9*AK13*Hypothèses!$D$24</f>
        <v>40.4214766364123</v>
      </c>
      <c r="AL16" s="38" t="n">
        <f aca="false">AL9*AL13*Hypothèses!$D$24</f>
        <v>42.5421252491766</v>
      </c>
      <c r="AN16" s="38" t="n">
        <f aca="false">SUM(C16:N16)</f>
        <v>6.72002667136489</v>
      </c>
      <c r="AO16" s="38" t="n">
        <f aca="false">SUM(O16:Z16)</f>
        <v>103.951171730292</v>
      </c>
      <c r="AP16" s="38" t="n">
        <f aca="false">SUM(AA16:AL16)</f>
        <v>355.057349833108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0.50001</v>
      </c>
      <c r="G17" s="38" t="n">
        <f aca="false">G13*Hypothèses!$D$26*$D$4</f>
        <v>0.47500899999</v>
      </c>
      <c r="H17" s="38" t="n">
        <f aca="false">H13*Hypothèses!$D$26*$D$4</f>
        <v>0.4512580749815</v>
      </c>
      <c r="I17" s="38" t="n">
        <f aca="false">I13*Hypothèses!$D$26*$D$4</f>
        <v>0.42869471997435</v>
      </c>
      <c r="J17" s="38" t="n">
        <f aca="false">J13*Hypothèses!$D$26*$D$4</f>
        <v>1.4158534496804</v>
      </c>
      <c r="K17" s="38" t="n">
        <f aca="false">K13*Hypothèses!$D$26*$D$4</f>
        <v>2.37339643033654</v>
      </c>
      <c r="L17" s="38" t="n">
        <f aca="false">L13*Hypothèses!$D$26*$D$4</f>
        <v>3.30221216403001</v>
      </c>
      <c r="M17" s="38" t="n">
        <f aca="false">M13*Hypothèses!$D$26*$D$4</f>
        <v>4.20316249689695</v>
      </c>
      <c r="N17" s="38" t="n">
        <f aca="false">N13*Hypothèses!$D$26*$D$4</f>
        <v>5.07708341882754</v>
      </c>
      <c r="O17" s="38" t="n">
        <f aca="false">O13*Hypothèses!$D$26*$D$4</f>
        <v>5.9247858391793</v>
      </c>
      <c r="P17" s="38" t="n">
        <f aca="false">P13*Hypothèses!$D$26*$D$4</f>
        <v>9.08043633921808</v>
      </c>
      <c r="Q17" s="38" t="n">
        <f aca="false">Q13*Hypothèses!$D$26*$D$4</f>
        <v>12.1414141686052</v>
      </c>
      <c r="R17" s="38" t="n">
        <f aca="false">R13*Hypothèses!$D$26*$D$4</f>
        <v>15.1105596021329</v>
      </c>
      <c r="S17" s="38" t="n">
        <f aca="false">S13*Hypothèses!$D$26*$D$4</f>
        <v>17.9906277035093</v>
      </c>
      <c r="T17" s="38" t="n">
        <f aca="false">T13*Hypothèses!$D$26*$D$4</f>
        <v>20.7842908817763</v>
      </c>
      <c r="U17" s="38" t="n">
        <f aca="false">U13*Hypothèses!$D$26*$D$4</f>
        <v>23.4941413710321</v>
      </c>
      <c r="V17" s="38" t="n">
        <f aca="false">V13*Hypothèses!$D$26*$D$4</f>
        <v>26.1226936357598</v>
      </c>
      <c r="W17" s="38" t="n">
        <f aca="false">W13*Hypothèses!$D$26*$D$4</f>
        <v>28.6723867039934</v>
      </c>
      <c r="X17" s="38" t="n">
        <f aca="false">X13*Hypothèses!$D$26*$D$4</f>
        <v>31.1455864304869</v>
      </c>
      <c r="Y17" s="38" t="n">
        <f aca="false">Y13*Hypothèses!$D$26*$D$4</f>
        <v>33.5445876919858</v>
      </c>
      <c r="Z17" s="38" t="n">
        <f aca="false">Z13*Hypothèses!$D$26*$D$4</f>
        <v>35.8716165166386</v>
      </c>
      <c r="AA17" s="38" t="n">
        <f aca="false">AA13*Hypothèses!$D$26*$D$4</f>
        <v>38.1288321495229</v>
      </c>
      <c r="AB17" s="38" t="n">
        <f aca="false">AB13*Hypothèses!$D$26*$D$4</f>
        <v>45.318429056205</v>
      </c>
      <c r="AC17" s="38" t="n">
        <f aca="false">AC13*Hypothèses!$D$26*$D$4</f>
        <v>52.2923308660898</v>
      </c>
      <c r="AD17" s="38" t="n">
        <f aca="false">AD13*Hypothèses!$D$26*$D$4</f>
        <v>59.0570086477763</v>
      </c>
      <c r="AE17" s="38" t="n">
        <f aca="false">AE13*Hypothèses!$D$26*$D$4</f>
        <v>65.6187393313344</v>
      </c>
      <c r="AF17" s="38" t="n">
        <f aca="false">AF13*Hypothèses!$D$26*$D$4</f>
        <v>71.983611532655</v>
      </c>
      <c r="AG17" s="38" t="n">
        <f aca="false">AG13*Hypothèses!$D$26*$D$4</f>
        <v>78.1575312030638</v>
      </c>
      <c r="AH17" s="38" t="n">
        <f aca="false">AH13*Hypothèses!$D$26*$D$4</f>
        <v>84.1462271094407</v>
      </c>
      <c r="AI17" s="38" t="n">
        <f aca="false">AI13*Hypothèses!$D$26*$D$4</f>
        <v>89.9552561499304</v>
      </c>
      <c r="AJ17" s="38" t="n">
        <f aca="false">AJ13*Hypothèses!$D$26*$D$4</f>
        <v>95.5900085101763</v>
      </c>
      <c r="AK17" s="38" t="n">
        <f aca="false">AK13*Hypothèses!$D$26*$D$4</f>
        <v>101.055712664863</v>
      </c>
      <c r="AL17" s="38" t="n">
        <f aca="false">AL13*Hypothèses!$D$26*$D$4</f>
        <v>106.357440229204</v>
      </c>
      <c r="AN17" s="38" t="n">
        <f aca="false">SUM(C17:N17)</f>
        <v>18.2266797547173</v>
      </c>
      <c r="AO17" s="38" t="n">
        <f aca="false">SUM(O17:Z17)</f>
        <v>259.883126884318</v>
      </c>
      <c r="AP17" s="38" t="n">
        <f aca="false">SUM(AA17:AL17)</f>
        <v>887.661127450261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9.49999</v>
      </c>
      <c r="G18" s="39" t="n">
        <f aca="false">G13+G14+G15+G16-G17</f>
        <v>9.02498100001</v>
      </c>
      <c r="H18" s="39" t="n">
        <f aca="false">H13+H14+H15+H16-H17</f>
        <v>8.5737229250285</v>
      </c>
      <c r="I18" s="39" t="n">
        <f aca="false">I13+I14+I15+I16-I17</f>
        <v>28.3165026635547</v>
      </c>
      <c r="J18" s="39" t="n">
        <f aca="false">J13+J14+J15+J16-J17</f>
        <v>47.4669792671454</v>
      </c>
      <c r="K18" s="39" t="n">
        <f aca="false">K13+K14+K15+K16-K17</f>
        <v>66.0429224221518</v>
      </c>
      <c r="L18" s="39" t="n">
        <f aca="false">L13+L14+L15+L16-L17</f>
        <v>84.0615687065648</v>
      </c>
      <c r="M18" s="39" t="n">
        <f aca="false">M13+M14+M15+M16-M17</f>
        <v>101.539637583799</v>
      </c>
      <c r="N18" s="39" t="n">
        <f aca="false">N13+N14+N15+N16-N17</f>
        <v>118.493346916648</v>
      </c>
      <c r="O18" s="39" t="n">
        <f aca="false">O13+O14+O15+O16-O17</f>
        <v>181.605094682468</v>
      </c>
      <c r="P18" s="39" t="n">
        <f aca="false">P13+P14+P15+P16-P17</f>
        <v>242.823426903566</v>
      </c>
      <c r="Q18" s="39" t="n">
        <f aca="false">Q13+Q14+Q15+Q16-Q17</f>
        <v>302.205147939699</v>
      </c>
      <c r="R18" s="39" t="n">
        <f aca="false">R13+R14+R15+R16-R17</f>
        <v>359.805357963027</v>
      </c>
      <c r="S18" s="39" t="n">
        <f aca="false">S13+S14+S15+S16-S17</f>
        <v>415.677504085444</v>
      </c>
      <c r="T18" s="39" t="n">
        <f aca="false">T13+T14+T15+T16-T17</f>
        <v>469.873429952044</v>
      </c>
      <c r="U18" s="39" t="n">
        <f aca="false">U13+U14+U15+U16-U17</f>
        <v>522.443423846719</v>
      </c>
      <c r="V18" s="39" t="n">
        <f aca="false">V13+V14+V15+V16-V17</f>
        <v>573.43626535456</v>
      </c>
      <c r="W18" s="39" t="n">
        <f aca="false">W13+W14+W15+W16-W17</f>
        <v>622.899270624325</v>
      </c>
      <c r="X18" s="39" t="n">
        <f aca="false">X13+X14+X15+X16-X17</f>
        <v>670.878336272991</v>
      </c>
      <c r="Y18" s="39" t="n">
        <f aca="false">Y13+Y14+Y15+Y16-Y17</f>
        <v>717.417981973132</v>
      </c>
      <c r="Z18" s="39" t="n">
        <f aca="false">Z13+Z14+Z15+Z16-Z17</f>
        <v>762.561391762622</v>
      </c>
      <c r="AA18" s="39" t="n">
        <f aca="false">AA13+AA14+AA15+AA16-AA17</f>
        <v>906.350454115019</v>
      </c>
      <c r="AB18" s="39" t="n">
        <f aca="false">AB13+AB14+AB15+AB16-AB17</f>
        <v>1045.82570080778</v>
      </c>
      <c r="AC18" s="39" t="n">
        <f aca="false">AC13+AC14+AC15+AC16-AC17</f>
        <v>1181.11655062451</v>
      </c>
      <c r="AD18" s="39" t="n">
        <f aca="false">AD13+AD14+AD15+AD16-AD17</f>
        <v>1312.34853965589</v>
      </c>
      <c r="AE18" s="39" t="n">
        <f aca="false">AE13+AE14+AE15+AE16-AE17</f>
        <v>1439.64343778434</v>
      </c>
      <c r="AF18" s="39" t="n">
        <f aca="false">AF13+AF14+AF15+AF16-AF17</f>
        <v>1563.11936167404</v>
      </c>
      <c r="AG18" s="39" t="n">
        <f aca="false">AG13+AG14+AG15+AG16-AG17</f>
        <v>1682.89088437113</v>
      </c>
      <c r="AH18" s="39" t="n">
        <f aca="false">AH13+AH14+AH15+AH16-AH17</f>
        <v>1799.06914161578</v>
      </c>
      <c r="AI18" s="39" t="n">
        <f aca="false">AI13+AI14+AI15+AI16-AI17</f>
        <v>1911.76193496483</v>
      </c>
      <c r="AJ18" s="39" t="n">
        <f aca="false">AJ13+AJ14+AJ15+AJ16-AJ17</f>
        <v>2021.07383182061</v>
      </c>
      <c r="AK18" s="39" t="n">
        <f aca="false">AK13+AK14+AK15+AK16-AK17</f>
        <v>2127.10626245883</v>
      </c>
      <c r="AL18" s="39" t="n">
        <f aca="false">AL13+AL14+AL15+AL16-AL17</f>
        <v>2229.95761414547</v>
      </c>
      <c r="AN18" s="39" t="n">
        <f aca="false">N18</f>
        <v>118.493346916648</v>
      </c>
      <c r="AO18" s="39" t="n">
        <f aca="false">Z18</f>
        <v>762.561391762622</v>
      </c>
      <c r="AP18" s="39" t="n">
        <f aca="false">AL18</f>
        <v>2229.95761414547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2.3749975</v>
      </c>
      <c r="G19" s="38" t="n">
        <f aca="false">G18*Hypothèses!$D$16</f>
        <v>2.2562452500025</v>
      </c>
      <c r="H19" s="38" t="n">
        <f aca="false">H18*Hypothèses!$D$16</f>
        <v>2.14343073125713</v>
      </c>
      <c r="I19" s="38" t="n">
        <f aca="false">I18*Hypothèses!$D$16</f>
        <v>7.07912566588868</v>
      </c>
      <c r="J19" s="38" t="n">
        <f aca="false">J18*Hypothèses!$D$16</f>
        <v>11.8667448167864</v>
      </c>
      <c r="K19" s="38" t="n">
        <f aca="false">K18*Hypothèses!$D$16</f>
        <v>16.5107306055379</v>
      </c>
      <c r="L19" s="38" t="n">
        <f aca="false">L18*Hypothèses!$D$16</f>
        <v>21.0153921766412</v>
      </c>
      <c r="M19" s="38" t="n">
        <f aca="false">M18*Hypothèses!$D$16</f>
        <v>25.3849093959498</v>
      </c>
      <c r="N19" s="38" t="n">
        <f aca="false">N18*Hypothèses!$D$16</f>
        <v>29.6233367291619</v>
      </c>
      <c r="O19" s="38" t="n">
        <f aca="false">O18*Hypothèses!$D$16</f>
        <v>45.401273670617</v>
      </c>
      <c r="P19" s="38" t="n">
        <f aca="false">P18*Hypothèses!$D$16</f>
        <v>60.7058567258915</v>
      </c>
      <c r="Q19" s="38" t="n">
        <f aca="false">Q18*Hypothèses!$D$16</f>
        <v>75.5512869849247</v>
      </c>
      <c r="R19" s="38" t="n">
        <f aca="false">R18*Hypothèses!$D$16</f>
        <v>89.9513394907566</v>
      </c>
      <c r="S19" s="38" t="n">
        <f aca="false">S18*Hypothèses!$D$16</f>
        <v>103.919376021361</v>
      </c>
      <c r="T19" s="38" t="n">
        <f aca="false">T18*Hypothèses!$D$16</f>
        <v>117.468357488011</v>
      </c>
      <c r="U19" s="38" t="n">
        <f aca="false">U18*Hypothèses!$D$16</f>
        <v>130.61085596168</v>
      </c>
      <c r="V19" s="38" t="n">
        <f aca="false">V18*Hypothèses!$D$16</f>
        <v>143.35906633864</v>
      </c>
      <c r="W19" s="38" t="n">
        <f aca="false">W18*Hypothèses!$D$16</f>
        <v>155.724817656081</v>
      </c>
      <c r="X19" s="38" t="n">
        <f aca="false">X18*Hypothèses!$D$16</f>
        <v>167.719584068248</v>
      </c>
      <c r="Y19" s="38" t="n">
        <f aca="false">Y18*Hypothèses!$D$16</f>
        <v>179.354495493283</v>
      </c>
      <c r="Z19" s="38" t="n">
        <f aca="false">Z18*Hypothèses!$D$16</f>
        <v>190.640347940656</v>
      </c>
      <c r="AA19" s="38" t="n">
        <f aca="false">AA18*Hypothèses!$D$16</f>
        <v>226.587613528755</v>
      </c>
      <c r="AB19" s="38" t="n">
        <f aca="false">AB18*Hypothèses!$D$16</f>
        <v>261.456425201945</v>
      </c>
      <c r="AC19" s="38" t="n">
        <f aca="false">AC18*Hypothèses!$D$16</f>
        <v>295.279137656128</v>
      </c>
      <c r="AD19" s="38" t="n">
        <f aca="false">AD18*Hypothèses!$D$16</f>
        <v>328.087134913974</v>
      </c>
      <c r="AE19" s="38" t="n">
        <f aca="false">AE18*Hypothèses!$D$16</f>
        <v>359.910859446086</v>
      </c>
      <c r="AF19" s="38" t="n">
        <f aca="false">AF18*Hypothèses!$D$16</f>
        <v>390.779840418511</v>
      </c>
      <c r="AG19" s="38" t="n">
        <f aca="false">AG18*Hypothèses!$D$16</f>
        <v>420.722721092782</v>
      </c>
      <c r="AH19" s="38" t="n">
        <f aca="false">AH18*Hypothèses!$D$16</f>
        <v>449.767285403944</v>
      </c>
      <c r="AI19" s="38" t="n">
        <f aca="false">AI18*Hypothèses!$D$16</f>
        <v>477.940483741207</v>
      </c>
      <c r="AJ19" s="38" t="n">
        <f aca="false">AJ18*Hypothèses!$D$16</f>
        <v>505.268457955153</v>
      </c>
      <c r="AK19" s="38" t="n">
        <f aca="false">AK18*Hypothèses!$D$16</f>
        <v>531.776565614708</v>
      </c>
      <c r="AL19" s="38" t="n">
        <f aca="false">AL18*Hypothèses!$D$16</f>
        <v>557.489403536367</v>
      </c>
      <c r="AN19" s="38" t="n">
        <f aca="false">N19</f>
        <v>29.6233367291619</v>
      </c>
      <c r="AO19" s="38" t="n">
        <f aca="false">Z19</f>
        <v>190.640347940656</v>
      </c>
      <c r="AP19" s="38" t="n">
        <f aca="false">AL19</f>
        <v>557.489403536367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5.699994</v>
      </c>
      <c r="G20" s="38" t="n">
        <f aca="false">G18*Hypothèses!$D$17</f>
        <v>5.414988600006</v>
      </c>
      <c r="H20" s="38" t="n">
        <f aca="false">H18*Hypothèses!$D$17</f>
        <v>5.1442337550171</v>
      </c>
      <c r="I20" s="38" t="n">
        <f aca="false">I18*Hypothèses!$D$17</f>
        <v>16.9899015981328</v>
      </c>
      <c r="J20" s="38" t="n">
        <f aca="false">J18*Hypothèses!$D$17</f>
        <v>28.4801875602872</v>
      </c>
      <c r="K20" s="38" t="n">
        <f aca="false">K18*Hypothèses!$D$17</f>
        <v>39.6257534532911</v>
      </c>
      <c r="L20" s="38" t="n">
        <f aca="false">L18*Hypothèses!$D$17</f>
        <v>50.4369412239389</v>
      </c>
      <c r="M20" s="38" t="n">
        <f aca="false">M18*Hypothèses!$D$17</f>
        <v>60.9237825502795</v>
      </c>
      <c r="N20" s="38" t="n">
        <f aca="false">N18*Hypothèses!$D$17</f>
        <v>71.0960081499886</v>
      </c>
      <c r="O20" s="38" t="n">
        <f aca="false">O18*Hypothèses!$D$17</f>
        <v>108.963056809481</v>
      </c>
      <c r="P20" s="38" t="n">
        <f aca="false">P18*Hypothèses!$D$17</f>
        <v>145.69405614214</v>
      </c>
      <c r="Q20" s="38" t="n">
        <f aca="false">Q18*Hypothèses!$D$17</f>
        <v>181.323088763819</v>
      </c>
      <c r="R20" s="38" t="n">
        <f aca="false">R18*Hypothèses!$D$17</f>
        <v>215.883214777816</v>
      </c>
      <c r="S20" s="38" t="n">
        <f aca="false">S18*Hypothèses!$D$17</f>
        <v>249.406502451267</v>
      </c>
      <c r="T20" s="38" t="n">
        <f aca="false">T18*Hypothèses!$D$17</f>
        <v>281.924057971226</v>
      </c>
      <c r="U20" s="38" t="n">
        <f aca="false">U18*Hypothèses!$D$17</f>
        <v>313.466054308031</v>
      </c>
      <c r="V20" s="38" t="n">
        <f aca="false">V18*Hypothèses!$D$17</f>
        <v>344.061759212736</v>
      </c>
      <c r="W20" s="38" t="n">
        <f aca="false">W18*Hypothèses!$D$17</f>
        <v>373.739562374595</v>
      </c>
      <c r="X20" s="38" t="n">
        <f aca="false">X18*Hypothèses!$D$17</f>
        <v>402.527001763795</v>
      </c>
      <c r="Y20" s="38" t="n">
        <f aca="false">Y18*Hypothèses!$D$17</f>
        <v>430.450789183879</v>
      </c>
      <c r="Z20" s="38" t="n">
        <f aca="false">Z18*Hypothèses!$D$17</f>
        <v>457.536835057573</v>
      </c>
      <c r="AA20" s="38" t="n">
        <f aca="false">AA18*Hypothèses!$D$17</f>
        <v>543.810272469011</v>
      </c>
      <c r="AB20" s="38" t="n">
        <f aca="false">AB18*Hypothèses!$D$17</f>
        <v>627.495420484668</v>
      </c>
      <c r="AC20" s="38" t="n">
        <f aca="false">AC18*Hypothèses!$D$17</f>
        <v>708.669930374708</v>
      </c>
      <c r="AD20" s="38" t="n">
        <f aca="false">AD18*Hypothèses!$D$17</f>
        <v>787.409123793536</v>
      </c>
      <c r="AE20" s="38" t="n">
        <f aca="false">AE18*Hypothèses!$D$17</f>
        <v>863.786062670607</v>
      </c>
      <c r="AF20" s="38" t="n">
        <f aca="false">AF18*Hypothèses!$D$17</f>
        <v>937.871617004426</v>
      </c>
      <c r="AG20" s="38" t="n">
        <f aca="false">AG18*Hypothèses!$D$17</f>
        <v>1009.73453062268</v>
      </c>
      <c r="AH20" s="38" t="n">
        <f aca="false">AH18*Hypothèses!$D$17</f>
        <v>1079.44148496947</v>
      </c>
      <c r="AI20" s="38" t="n">
        <f aca="false">AI18*Hypothèses!$D$17</f>
        <v>1147.0571609789</v>
      </c>
      <c r="AJ20" s="38" t="n">
        <f aca="false">AJ18*Hypothèses!$D$17</f>
        <v>1212.64429909237</v>
      </c>
      <c r="AK20" s="38" t="n">
        <f aca="false">AK18*Hypothèses!$D$17</f>
        <v>1276.2637574753</v>
      </c>
      <c r="AL20" s="38" t="n">
        <f aca="false">AL18*Hypothèses!$D$17</f>
        <v>1337.97456848728</v>
      </c>
      <c r="AN20" s="38" t="n">
        <f aca="false">N20</f>
        <v>71.0960081499886</v>
      </c>
      <c r="AO20" s="38" t="n">
        <f aca="false">Z20</f>
        <v>457.536835057573</v>
      </c>
      <c r="AP20" s="38" t="n">
        <f aca="false">AL20</f>
        <v>1337.97456848728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1.4249985</v>
      </c>
      <c r="G21" s="38" t="n">
        <f aca="false">G18*Hypothèses!$D$18</f>
        <v>1.3537471500015</v>
      </c>
      <c r="H21" s="38" t="n">
        <f aca="false">H18*Hypothèses!$D$18</f>
        <v>1.28605843875428</v>
      </c>
      <c r="I21" s="38" t="n">
        <f aca="false">I18*Hypothèses!$D$18</f>
        <v>4.24747539953321</v>
      </c>
      <c r="J21" s="38" t="n">
        <f aca="false">J18*Hypothèses!$D$18</f>
        <v>7.12004689007181</v>
      </c>
      <c r="K21" s="38" t="n">
        <f aca="false">K18*Hypothèses!$D$18</f>
        <v>9.90643836332277</v>
      </c>
      <c r="L21" s="38" t="n">
        <f aca="false">L18*Hypothèses!$D$18</f>
        <v>12.6092353059847</v>
      </c>
      <c r="M21" s="38" t="n">
        <f aca="false">M18*Hypothèses!$D$18</f>
        <v>15.2309456375699</v>
      </c>
      <c r="N21" s="38" t="n">
        <f aca="false">N18*Hypothèses!$D$18</f>
        <v>17.7740020374971</v>
      </c>
      <c r="O21" s="38" t="n">
        <f aca="false">O18*Hypothèses!$D$18</f>
        <v>27.2407642023702</v>
      </c>
      <c r="P21" s="38" t="n">
        <f aca="false">P18*Hypothèses!$D$18</f>
        <v>36.4235140355349</v>
      </c>
      <c r="Q21" s="38" t="n">
        <f aca="false">Q18*Hypothèses!$D$18</f>
        <v>45.3307721909548</v>
      </c>
      <c r="R21" s="38" t="n">
        <f aca="false">R18*Hypothèses!$D$18</f>
        <v>53.970803694454</v>
      </c>
      <c r="S21" s="38" t="n">
        <f aca="false">S18*Hypothèses!$D$18</f>
        <v>62.3516256128167</v>
      </c>
      <c r="T21" s="38" t="n">
        <f aca="false">T18*Hypothèses!$D$18</f>
        <v>70.4810144928066</v>
      </c>
      <c r="U21" s="38" t="n">
        <f aca="false">U18*Hypothèses!$D$18</f>
        <v>78.3665135770079</v>
      </c>
      <c r="V21" s="38" t="n">
        <f aca="false">V18*Hypothèses!$D$18</f>
        <v>86.015439803184</v>
      </c>
      <c r="W21" s="38" t="n">
        <f aca="false">W18*Hypothèses!$D$18</f>
        <v>93.4348905936487</v>
      </c>
      <c r="X21" s="38" t="n">
        <f aca="false">X18*Hypothèses!$D$18</f>
        <v>100.631750440949</v>
      </c>
      <c r="Y21" s="38" t="n">
        <f aca="false">Y18*Hypothèses!$D$18</f>
        <v>107.61269729597</v>
      </c>
      <c r="Z21" s="38" t="n">
        <f aca="false">Z18*Hypothèses!$D$18</f>
        <v>114.384208764393</v>
      </c>
      <c r="AA21" s="38" t="n">
        <f aca="false">AA18*Hypothèses!$D$18</f>
        <v>135.952568117253</v>
      </c>
      <c r="AB21" s="38" t="n">
        <f aca="false">AB18*Hypothèses!$D$18</f>
        <v>156.873855121167</v>
      </c>
      <c r="AC21" s="38" t="n">
        <f aca="false">AC18*Hypothèses!$D$18</f>
        <v>177.167482593677</v>
      </c>
      <c r="AD21" s="38" t="n">
        <f aca="false">AD18*Hypothèses!$D$18</f>
        <v>196.852280948384</v>
      </c>
      <c r="AE21" s="38" t="n">
        <f aca="false">AE18*Hypothèses!$D$18</f>
        <v>215.946515667652</v>
      </c>
      <c r="AF21" s="38" t="n">
        <f aca="false">AF18*Hypothèses!$D$18</f>
        <v>234.467904251106</v>
      </c>
      <c r="AG21" s="38" t="n">
        <f aca="false">AG18*Hypothèses!$D$18</f>
        <v>252.433632655669</v>
      </c>
      <c r="AH21" s="38" t="n">
        <f aca="false">AH18*Hypothèses!$D$18</f>
        <v>269.860371242366</v>
      </c>
      <c r="AI21" s="38" t="n">
        <f aca="false">AI18*Hypothèses!$D$18</f>
        <v>286.764290244724</v>
      </c>
      <c r="AJ21" s="38" t="n">
        <f aca="false">AJ18*Hypothèses!$D$18</f>
        <v>303.161074773092</v>
      </c>
      <c r="AK21" s="38" t="n">
        <f aca="false">AK18*Hypothèses!$D$18</f>
        <v>319.065939368825</v>
      </c>
      <c r="AL21" s="38" t="n">
        <f aca="false">AL18*Hypothèses!$D$18</f>
        <v>334.49364212182</v>
      </c>
      <c r="AN21" s="38" t="n">
        <f aca="false">N21</f>
        <v>17.7740020374971</v>
      </c>
      <c r="AO21" s="38" t="n">
        <f aca="false">Z21</f>
        <v>114.384208764393</v>
      </c>
      <c r="AP21" s="38" t="n">
        <f aca="false">AL21</f>
        <v>334.49364212182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68.8749275</v>
      </c>
      <c r="G23" s="15" t="n">
        <f aca="false">G19*Hypothèses!$D$12*$C$4</f>
        <v>65.4311122500725</v>
      </c>
      <c r="H23" s="15" t="n">
        <f aca="false">H19*Hypothèses!$D$12*$C$4</f>
        <v>62.1594912064566</v>
      </c>
      <c r="I23" s="15" t="n">
        <f aca="false">I19*Hypothèses!$D$12*$C$4</f>
        <v>205.294644310772</v>
      </c>
      <c r="J23" s="15" t="n">
        <f aca="false">J19*Hypothèses!$D$12*$C$4</f>
        <v>344.135599686804</v>
      </c>
      <c r="K23" s="15" t="n">
        <f aca="false">K19*Hypothèses!$D$12*$C$4</f>
        <v>478.8111875606</v>
      </c>
      <c r="L23" s="15" t="n">
        <f aca="false">L19*Hypothèses!$D$12*$C$4</f>
        <v>609.446373122595</v>
      </c>
      <c r="M23" s="15" t="n">
        <f aca="false">M19*Hypothèses!$D$12*$C$4</f>
        <v>736.162372482544</v>
      </c>
      <c r="N23" s="15" t="n">
        <f aca="false">N19*Hypothèses!$D$12*$C$4</f>
        <v>859.076765145695</v>
      </c>
      <c r="O23" s="15" t="n">
        <f aca="false">O19*Hypothèses!$D$12*$C$4</f>
        <v>1316.63693644789</v>
      </c>
      <c r="P23" s="15" t="n">
        <f aca="false">P19*Hypothèses!$D$12*$C$4</f>
        <v>1760.46984505085</v>
      </c>
      <c r="Q23" s="15" t="n">
        <f aca="false">Q19*Hypothèses!$D$12*$C$4</f>
        <v>2190.98732256282</v>
      </c>
      <c r="R23" s="15" t="n">
        <f aca="false">R19*Hypothèses!$D$12*$C$4</f>
        <v>2608.58884523194</v>
      </c>
      <c r="S23" s="15" t="n">
        <f aca="false">S19*Hypothèses!$D$12*$C$4</f>
        <v>3013.66190461947</v>
      </c>
      <c r="T23" s="15" t="n">
        <f aca="false">T19*Hypothèses!$D$12*$C$4</f>
        <v>3406.58236715232</v>
      </c>
      <c r="U23" s="15" t="n">
        <f aca="false">U19*Hypothèses!$D$12*$C$4</f>
        <v>3787.71482288871</v>
      </c>
      <c r="V23" s="15" t="n">
        <f aca="false">V19*Hypothèses!$D$12*$C$4</f>
        <v>4157.41292382056</v>
      </c>
      <c r="W23" s="15" t="n">
        <f aca="false">W19*Hypothèses!$D$12*$C$4</f>
        <v>4516.01971202636</v>
      </c>
      <c r="X23" s="15" t="n">
        <f aca="false">X19*Hypothèses!$D$12*$C$4</f>
        <v>4863.86793797919</v>
      </c>
      <c r="Y23" s="15" t="n">
        <f aca="false">Y19*Hypothèses!$D$12*$C$4</f>
        <v>5201.28036930521</v>
      </c>
      <c r="Z23" s="15" t="n">
        <f aca="false">Z19*Hypothèses!$D$12*$C$4</f>
        <v>5528.57009027901</v>
      </c>
      <c r="AA23" s="15" t="n">
        <f aca="false">AA19*Hypothèses!$D$12*$C$4</f>
        <v>6571.04079233388</v>
      </c>
      <c r="AB23" s="15" t="n">
        <f aca="false">AB19*Hypothèses!$D$12*$C$4</f>
        <v>7582.23633085641</v>
      </c>
      <c r="AC23" s="15" t="n">
        <f aca="false">AC19*Hypothèses!$D$12*$C$4</f>
        <v>8563.09499202772</v>
      </c>
      <c r="AD23" s="15" t="n">
        <f aca="false">AD19*Hypothèses!$D$12*$C$4</f>
        <v>9514.52691250523</v>
      </c>
      <c r="AE23" s="15" t="n">
        <f aca="false">AE19*Hypothèses!$D$12*$C$4</f>
        <v>10437.4149239365</v>
      </c>
      <c r="AF23" s="15" t="n">
        <f aca="false">AF19*Hypothèses!$D$12*$C$4</f>
        <v>11332.6153721368</v>
      </c>
      <c r="AG23" s="15" t="n">
        <f aca="false">AG19*Hypothèses!$D$12*$C$4</f>
        <v>12200.9589116907</v>
      </c>
      <c r="AH23" s="15" t="n">
        <f aca="false">AH19*Hypothèses!$D$12*$C$4</f>
        <v>13043.2512767144</v>
      </c>
      <c r="AI23" s="15" t="n">
        <f aca="false">AI19*Hypothèses!$D$12*$C$4</f>
        <v>13860.274028495</v>
      </c>
      <c r="AJ23" s="15" t="n">
        <f aca="false">AJ19*Hypothèses!$D$12*$C$4</f>
        <v>14652.7852806995</v>
      </c>
      <c r="AK23" s="15" t="n">
        <f aca="false">AK19*Hypothèses!$D$12*$C$4</f>
        <v>15421.5204028265</v>
      </c>
      <c r="AL23" s="15" t="n">
        <f aca="false">AL19*Hypothèses!$D$12*$C$4</f>
        <v>16167.1927025547</v>
      </c>
      <c r="AN23" s="15" t="n">
        <f aca="false">SUM(C23:N23)</f>
        <v>3501.89247326554</v>
      </c>
      <c r="AO23" s="15" t="n">
        <f aca="false">SUM(O23:Z23)</f>
        <v>42351.7930773643</v>
      </c>
      <c r="AP23" s="15" t="n">
        <f aca="false">SUM(AA23:AL23)</f>
        <v>139346.911926777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450.299526</v>
      </c>
      <c r="G24" s="15" t="n">
        <f aca="false">G20*Hypothèses!$D$13*$C$4</f>
        <v>427.784099400474</v>
      </c>
      <c r="H24" s="15" t="n">
        <f aca="false">H20*Hypothèses!$D$13*$C$4</f>
        <v>406.394466646351</v>
      </c>
      <c r="I24" s="15" t="n">
        <f aca="false">I20*Hypothèses!$D$13*$C$4</f>
        <v>1342.20222625249</v>
      </c>
      <c r="J24" s="15" t="n">
        <f aca="false">J20*Hypothèses!$D$13*$C$4</f>
        <v>2249.93481726269</v>
      </c>
      <c r="K24" s="15" t="n">
        <f aca="false">K20*Hypothèses!$D$13*$C$4</f>
        <v>3130.43452280999</v>
      </c>
      <c r="L24" s="15" t="n">
        <f aca="false">L20*Hypothèses!$D$13*$C$4</f>
        <v>3984.51835669117</v>
      </c>
      <c r="M24" s="15" t="n">
        <f aca="false">M20*Hypothèses!$D$13*$C$4</f>
        <v>4812.97882147208</v>
      </c>
      <c r="N24" s="15" t="n">
        <f aca="false">N20*Hypothèses!$D$13*$C$4</f>
        <v>5616.5846438491</v>
      </c>
      <c r="O24" s="15" t="n">
        <f aca="false">O20*Hypothèses!$D$13*$C$4</f>
        <v>8608.08148794898</v>
      </c>
      <c r="P24" s="15" t="n">
        <f aca="false">P20*Hypothèses!$D$13*$C$4</f>
        <v>11509.830435229</v>
      </c>
      <c r="Q24" s="15" t="n">
        <f aca="false">Q20*Hypothèses!$D$13*$C$4</f>
        <v>14324.5240123417</v>
      </c>
      <c r="R24" s="15" t="n">
        <f aca="false">R20*Hypothèses!$D$13*$C$4</f>
        <v>17054.7739674475</v>
      </c>
      <c r="S24" s="15" t="n">
        <f aca="false">S20*Hypothèses!$D$13*$C$4</f>
        <v>19703.1136936501</v>
      </c>
      <c r="T24" s="15" t="n">
        <f aca="false">T20*Hypothèses!$D$13*$C$4</f>
        <v>22272.0005797269</v>
      </c>
      <c r="U24" s="15" t="n">
        <f aca="false">U20*Hypothèses!$D$13*$C$4</f>
        <v>24763.8182903345</v>
      </c>
      <c r="V24" s="15" t="n">
        <f aca="false">V20*Hypothèses!$D$13*$C$4</f>
        <v>27180.8789778062</v>
      </c>
      <c r="W24" s="15" t="n">
        <f aca="false">W20*Hypothèses!$D$13*$C$4</f>
        <v>29525.425427593</v>
      </c>
      <c r="X24" s="15" t="n">
        <f aca="false">X20*Hypothèses!$D$13*$C$4</f>
        <v>31799.6331393398</v>
      </c>
      <c r="Y24" s="15" t="n">
        <f aca="false">Y20*Hypothèses!$D$13*$C$4</f>
        <v>34005.6123455264</v>
      </c>
      <c r="Z24" s="15" t="n">
        <f aca="false">Z20*Hypothèses!$D$13*$C$4</f>
        <v>36145.4099695483</v>
      </c>
      <c r="AA24" s="15" t="n">
        <f aca="false">AA20*Hypothèses!$D$13*$C$4</f>
        <v>42961.0115250519</v>
      </c>
      <c r="AB24" s="15" t="n">
        <f aca="false">AB20*Hypothèses!$D$13*$C$4</f>
        <v>49572.1382182888</v>
      </c>
      <c r="AC24" s="15" t="n">
        <f aca="false">AC20*Hypothèses!$D$13*$C$4</f>
        <v>55984.9244996019</v>
      </c>
      <c r="AD24" s="15" t="n">
        <f aca="false">AD20*Hypothèses!$D$13*$C$4</f>
        <v>62205.3207796894</v>
      </c>
      <c r="AE24" s="15" t="n">
        <f aca="false">AE20*Hypothèses!$D$13*$C$4</f>
        <v>68239.0989509779</v>
      </c>
      <c r="AF24" s="15" t="n">
        <f aca="false">AF20*Hypothèses!$D$13*$C$4</f>
        <v>74091.8577433496</v>
      </c>
      <c r="AG24" s="15" t="n">
        <f aca="false">AG20*Hypothèses!$D$13*$C$4</f>
        <v>79769.0279191914</v>
      </c>
      <c r="AH24" s="15" t="n">
        <f aca="false">AH20*Hypothèses!$D$13*$C$4</f>
        <v>85275.8773125878</v>
      </c>
      <c r="AI24" s="15" t="n">
        <f aca="false">AI20*Hypothèses!$D$13*$C$4</f>
        <v>90617.5157173328</v>
      </c>
      <c r="AJ24" s="15" t="n">
        <f aca="false">AJ20*Hypothèses!$D$13*$C$4</f>
        <v>95798.8996282971</v>
      </c>
      <c r="AK24" s="15" t="n">
        <f aca="false">AK20*Hypothèses!$D$13*$C$4</f>
        <v>100824.836840549</v>
      </c>
      <c r="AL24" s="15" t="n">
        <f aca="false">AL20*Hypothèses!$D$13*$C$4</f>
        <v>105699.990910495</v>
      </c>
      <c r="AN24" s="15" t="n">
        <f aca="false">SUM(C24:N24)</f>
        <v>22895.1314803844</v>
      </c>
      <c r="AO24" s="15" t="n">
        <f aca="false">SUM(O24:Z24)</f>
        <v>276893.102326492</v>
      </c>
      <c r="AP24" s="15" t="n">
        <f aca="false">SUM(AA24:AL24)</f>
        <v>911040.500045413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183.8248065</v>
      </c>
      <c r="G25" s="15" t="n">
        <f aca="false">G21*Hypothèses!$D$14*$C$4</f>
        <v>174.633382350194</v>
      </c>
      <c r="H25" s="15" t="n">
        <f aca="false">H21*Hypothèses!$D$14*$C$4</f>
        <v>165.901538599302</v>
      </c>
      <c r="I25" s="15" t="n">
        <f aca="false">I21*Hypothèses!$D$14*$C$4</f>
        <v>547.924326539784</v>
      </c>
      <c r="J25" s="15" t="n">
        <f aca="false">J21*Hypothèses!$D$14*$C$4</f>
        <v>918.486048819264</v>
      </c>
      <c r="K25" s="15" t="n">
        <f aca="false">K21*Hypothèses!$D$14*$C$4</f>
        <v>1277.93054886864</v>
      </c>
      <c r="L25" s="15" t="n">
        <f aca="false">L21*Hypothèses!$D$14*$C$4</f>
        <v>1626.59135447203</v>
      </c>
      <c r="M25" s="15" t="n">
        <f aca="false">M21*Hypothèses!$D$14*$C$4</f>
        <v>1964.79198724651</v>
      </c>
      <c r="N25" s="15" t="n">
        <f aca="false">N21*Hypothèses!$D$14*$C$4</f>
        <v>2292.84626283713</v>
      </c>
      <c r="O25" s="15" t="n">
        <f aca="false">O21*Hypothèses!$D$14*$C$4</f>
        <v>3514.05858210575</v>
      </c>
      <c r="P25" s="15" t="n">
        <f aca="false">P21*Hypothèses!$D$14*$C$4</f>
        <v>4698.633310584</v>
      </c>
      <c r="Q25" s="15" t="n">
        <f aca="false">Q21*Hypothèses!$D$14*$C$4</f>
        <v>5847.66961263317</v>
      </c>
      <c r="R25" s="15" t="n">
        <f aca="false">R21*Hypothèses!$D$14*$C$4</f>
        <v>6962.23367658456</v>
      </c>
      <c r="S25" s="15" t="n">
        <f aca="false">S21*Hypothèses!$D$14*$C$4</f>
        <v>8043.35970405335</v>
      </c>
      <c r="T25" s="15" t="n">
        <f aca="false">T21*Hypothèses!$D$14*$C$4</f>
        <v>9092.05086957205</v>
      </c>
      <c r="U25" s="15" t="n">
        <f aca="false">U21*Hypothèses!$D$14*$C$4</f>
        <v>10109.280251434</v>
      </c>
      <c r="V25" s="15" t="n">
        <f aca="false">V21*Hypothèses!$D$14*$C$4</f>
        <v>11095.9917346107</v>
      </c>
      <c r="W25" s="15" t="n">
        <f aca="false">W21*Hypothèses!$D$14*$C$4</f>
        <v>12053.1008865807</v>
      </c>
      <c r="X25" s="15" t="n">
        <f aca="false">X21*Hypothèses!$D$14*$C$4</f>
        <v>12981.4958068824</v>
      </c>
      <c r="Y25" s="15" t="n">
        <f aca="false">Y21*Hypothèses!$D$14*$C$4</f>
        <v>13882.0379511801</v>
      </c>
      <c r="Z25" s="15" t="n">
        <f aca="false">Z21*Hypothèses!$D$14*$C$4</f>
        <v>14755.5629306067</v>
      </c>
      <c r="AA25" s="15" t="n">
        <f aca="false">AA21*Hypothèses!$D$14*$C$4</f>
        <v>17537.8812871256</v>
      </c>
      <c r="AB25" s="15" t="n">
        <f aca="false">AB21*Hypothèses!$D$14*$C$4</f>
        <v>20236.7273106306</v>
      </c>
      <c r="AC25" s="15" t="n">
        <f aca="false">AC21*Hypothèses!$D$14*$C$4</f>
        <v>22854.6052545843</v>
      </c>
      <c r="AD25" s="15" t="n">
        <f aca="false">AD21*Hypothèses!$D$14*$C$4</f>
        <v>25393.9442423416</v>
      </c>
      <c r="AE25" s="15" t="n">
        <f aca="false">AE21*Hypothèses!$D$14*$C$4</f>
        <v>27857.1005211271</v>
      </c>
      <c r="AF25" s="15" t="n">
        <f aca="false">AF21*Hypothèses!$D$14*$C$4</f>
        <v>30246.3596483927</v>
      </c>
      <c r="AG25" s="15" t="n">
        <f aca="false">AG21*Hypothèses!$D$14*$C$4</f>
        <v>32563.9386125813</v>
      </c>
      <c r="AH25" s="15" t="n">
        <f aca="false">AH21*Hypothèses!$D$14*$C$4</f>
        <v>34811.9878902653</v>
      </c>
      <c r="AI25" s="15" t="n">
        <f aca="false">AI21*Hypothèses!$D$14*$C$4</f>
        <v>36992.5934415694</v>
      </c>
      <c r="AJ25" s="15" t="n">
        <f aca="false">AJ21*Hypothèses!$D$14*$C$4</f>
        <v>39107.7786457289</v>
      </c>
      <c r="AK25" s="15" t="n">
        <f aca="false">AK21*Hypothèses!$D$14*$C$4</f>
        <v>41159.5061785784</v>
      </c>
      <c r="AL25" s="15" t="n">
        <f aca="false">AL21*Hypothèses!$D$14*$C$4</f>
        <v>43149.6798337148</v>
      </c>
      <c r="AN25" s="15" t="n">
        <f aca="false">SUM(C25:N25)</f>
        <v>9346.43025623285</v>
      </c>
      <c r="AO25" s="15" t="n">
        <f aca="false">SUM(O25:Z25)</f>
        <v>113035.475316828</v>
      </c>
      <c r="AP25" s="15" t="n">
        <f aca="false">SUM(AA25:AL25)</f>
        <v>371912.10286664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702.99926</v>
      </c>
      <c r="G26" s="40" t="n">
        <f aca="false">G23+G24+G25</f>
        <v>667.84859400074</v>
      </c>
      <c r="H26" s="40" t="n">
        <f aca="false">H23+H24+H25</f>
        <v>634.455496452109</v>
      </c>
      <c r="I26" s="40" t="n">
        <f aca="false">I23+I24+I25</f>
        <v>2095.42119710305</v>
      </c>
      <c r="J26" s="40" t="n">
        <f aca="false">J23+J24+J25</f>
        <v>3512.55646576876</v>
      </c>
      <c r="K26" s="40" t="n">
        <f aca="false">K23+K24+K25</f>
        <v>4887.17625923923</v>
      </c>
      <c r="L26" s="40" t="n">
        <f aca="false">L23+L24+L25</f>
        <v>6220.5560842858</v>
      </c>
      <c r="M26" s="40" t="n">
        <f aca="false">M23+M24+M25</f>
        <v>7513.93318120114</v>
      </c>
      <c r="N26" s="40" t="n">
        <f aca="false">N23+N24+N25</f>
        <v>8768.50767183192</v>
      </c>
      <c r="O26" s="40" t="n">
        <f aca="false">O23+O24+O25</f>
        <v>13438.7770065026</v>
      </c>
      <c r="P26" s="40" t="n">
        <f aca="false">P23+P24+P25</f>
        <v>17968.9335908639</v>
      </c>
      <c r="Q26" s="40" t="n">
        <f aca="false">Q23+Q24+Q25</f>
        <v>22363.1809475377</v>
      </c>
      <c r="R26" s="40" t="n">
        <f aca="false">R23+R24+R25</f>
        <v>26625.596489264</v>
      </c>
      <c r="S26" s="40" t="n">
        <f aca="false">S23+S24+S25</f>
        <v>30760.1353023229</v>
      </c>
      <c r="T26" s="40" t="n">
        <f aca="false">T23+T24+T25</f>
        <v>34770.6338164512</v>
      </c>
      <c r="U26" s="40" t="n">
        <f aca="false">U23+U24+U25</f>
        <v>38660.8133646572</v>
      </c>
      <c r="V26" s="40" t="n">
        <f aca="false">V23+V24+V25</f>
        <v>42434.2836362375</v>
      </c>
      <c r="W26" s="40" t="n">
        <f aca="false">W23+W24+W25</f>
        <v>46094.5460262</v>
      </c>
      <c r="X26" s="40" t="n">
        <f aca="false">X23+X24+X25</f>
        <v>49644.9968842013</v>
      </c>
      <c r="Y26" s="40" t="n">
        <f aca="false">Y23+Y24+Y25</f>
        <v>53088.9306660117</v>
      </c>
      <c r="Z26" s="40" t="n">
        <f aca="false">Z23+Z24+Z25</f>
        <v>56429.5429904341</v>
      </c>
      <c r="AA26" s="40" t="n">
        <f aca="false">AA23+AA24+AA25</f>
        <v>67069.9336045114</v>
      </c>
      <c r="AB26" s="40" t="n">
        <f aca="false">AB23+AB24+AB25</f>
        <v>77391.1018597758</v>
      </c>
      <c r="AC26" s="40" t="n">
        <f aca="false">AC23+AC24+AC25</f>
        <v>87402.624746214</v>
      </c>
      <c r="AD26" s="40" t="n">
        <f aca="false">AD23+AD24+AD25</f>
        <v>97113.7919345362</v>
      </c>
      <c r="AE26" s="40" t="n">
        <f aca="false">AE23+AE24+AE25</f>
        <v>106533.614396041</v>
      </c>
      <c r="AF26" s="40" t="n">
        <f aca="false">AF23+AF24+AF25</f>
        <v>115670.832763879</v>
      </c>
      <c r="AG26" s="40" t="n">
        <f aca="false">AG23+AG24+AG25</f>
        <v>124533.925443463</v>
      </c>
      <c r="AH26" s="40" t="n">
        <f aca="false">AH23+AH24+AH25</f>
        <v>133131.116479567</v>
      </c>
      <c r="AI26" s="40" t="n">
        <f aca="false">AI23+AI24+AI25</f>
        <v>141470.383187397</v>
      </c>
      <c r="AJ26" s="40" t="n">
        <f aca="false">AJ23+AJ24+AJ25</f>
        <v>149559.463554725</v>
      </c>
      <c r="AK26" s="40" t="n">
        <f aca="false">AK23+AK24+AK25</f>
        <v>157405.863421953</v>
      </c>
      <c r="AL26" s="40" t="n">
        <f aca="false">AL23+AL24+AL25</f>
        <v>165016.863446765</v>
      </c>
      <c r="AN26" s="40" t="n">
        <f aca="false">SUM(C26:N26)</f>
        <v>35743.4542098827</v>
      </c>
      <c r="AO26" s="40" t="n">
        <f aca="false">SUM(O26:Z26)</f>
        <v>432280.370720684</v>
      </c>
      <c r="AP26" s="40" t="n">
        <f aca="false">SUM(AA26:AL26)</f>
        <v>1422299.51483883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117.166543333333</v>
      </c>
      <c r="G27" s="15" t="n">
        <f aca="false">G26*Hypothèses!$D$15/(1+Hypothèses!$D$15)</f>
        <v>111.308099000123</v>
      </c>
      <c r="H27" s="15" t="n">
        <f aca="false">H26*Hypothèses!$D$15/(1+Hypothèses!$D$15)</f>
        <v>105.742582742018</v>
      </c>
      <c r="I27" s="15" t="n">
        <f aca="false">I26*Hypothèses!$D$15/(1+Hypothèses!$D$15)</f>
        <v>349.236866183842</v>
      </c>
      <c r="J27" s="15" t="n">
        <f aca="false">J26*Hypothèses!$D$15/(1+Hypothèses!$D$15)</f>
        <v>585.426077628127</v>
      </c>
      <c r="K27" s="15" t="n">
        <f aca="false">K26*Hypothèses!$D$15/(1+Hypothèses!$D$15)</f>
        <v>814.529376539872</v>
      </c>
      <c r="L27" s="15" t="n">
        <f aca="false">L26*Hypothèses!$D$15/(1+Hypothèses!$D$15)</f>
        <v>1036.75934738097</v>
      </c>
      <c r="M27" s="15" t="n">
        <f aca="false">M26*Hypothèses!$D$15/(1+Hypothèses!$D$15)</f>
        <v>1252.32219686686</v>
      </c>
      <c r="N27" s="15" t="n">
        <f aca="false">N26*Hypothèses!$D$15/(1+Hypothèses!$D$15)</f>
        <v>1461.41794530532</v>
      </c>
      <c r="O27" s="15" t="n">
        <f aca="false">O26*Hypothèses!$D$15/(1+Hypothèses!$D$15)</f>
        <v>2239.79616775044</v>
      </c>
      <c r="P27" s="15" t="n">
        <f aca="false">P26*Hypothèses!$D$15/(1+Hypothèses!$D$15)</f>
        <v>2994.82226514398</v>
      </c>
      <c r="Q27" s="15" t="n">
        <f aca="false">Q26*Hypothèses!$D$15/(1+Hypothèses!$D$15)</f>
        <v>3727.19682458962</v>
      </c>
      <c r="R27" s="15" t="n">
        <f aca="false">R26*Hypothèses!$D$15/(1+Hypothèses!$D$15)</f>
        <v>4437.59941487733</v>
      </c>
      <c r="S27" s="15" t="n">
        <f aca="false">S26*Hypothèses!$D$15/(1+Hypothèses!$D$15)</f>
        <v>5126.68921705382</v>
      </c>
      <c r="T27" s="15" t="n">
        <f aca="false">T26*Hypothèses!$D$15/(1+Hypothèses!$D$15)</f>
        <v>5795.10563607521</v>
      </c>
      <c r="U27" s="15" t="n">
        <f aca="false">U26*Hypothèses!$D$15/(1+Hypothèses!$D$15)</f>
        <v>6443.46889410954</v>
      </c>
      <c r="V27" s="15" t="n">
        <f aca="false">V26*Hypothèses!$D$15/(1+Hypothèses!$D$15)</f>
        <v>7072.38060603958</v>
      </c>
      <c r="W27" s="15" t="n">
        <f aca="false">W26*Hypothèses!$D$15/(1+Hypothèses!$D$15)</f>
        <v>7682.42433770001</v>
      </c>
      <c r="X27" s="15" t="n">
        <f aca="false">X26*Hypothèses!$D$15/(1+Hypothèses!$D$15)</f>
        <v>8274.16614736689</v>
      </c>
      <c r="Y27" s="15" t="n">
        <f aca="false">Y26*Hypothèses!$D$15/(1+Hypothèses!$D$15)</f>
        <v>8848.15511100196</v>
      </c>
      <c r="Z27" s="15" t="n">
        <f aca="false">Z26*Hypothèses!$D$15/(1+Hypothèses!$D$15)</f>
        <v>9404.92383173901</v>
      </c>
      <c r="AA27" s="15" t="n">
        <f aca="false">AA26*Hypothèses!$D$15/(1+Hypothèses!$D$15)</f>
        <v>11178.3222674186</v>
      </c>
      <c r="AB27" s="15" t="n">
        <f aca="false">AB26*Hypothèses!$D$15/(1+Hypothèses!$D$15)</f>
        <v>12898.5169766293</v>
      </c>
      <c r="AC27" s="15" t="n">
        <f aca="false">AC26*Hypothèses!$D$15/(1+Hypothèses!$D$15)</f>
        <v>14567.104124369</v>
      </c>
      <c r="AD27" s="15" t="n">
        <f aca="false">AD26*Hypothèses!$D$15/(1+Hypothèses!$D$15)</f>
        <v>16185.6319890894</v>
      </c>
      <c r="AE27" s="15" t="n">
        <f aca="false">AE26*Hypothèses!$D$15/(1+Hypothèses!$D$15)</f>
        <v>17755.6023993403</v>
      </c>
      <c r="AF27" s="15" t="n">
        <f aca="false">AF26*Hypothèses!$D$15/(1+Hypothèses!$D$15)</f>
        <v>19278.4721273132</v>
      </c>
      <c r="AG27" s="15" t="n">
        <f aca="false">AG26*Hypothèses!$D$15/(1+Hypothèses!$D$15)</f>
        <v>20755.6542405772</v>
      </c>
      <c r="AH27" s="15" t="n">
        <f aca="false">AH26*Hypothèses!$D$15/(1+Hypothèses!$D$15)</f>
        <v>22188.5194132612</v>
      </c>
      <c r="AI27" s="15" t="n">
        <f aca="false">AI26*Hypothèses!$D$15/(1+Hypothèses!$D$15)</f>
        <v>23578.3971978995</v>
      </c>
      <c r="AJ27" s="15" t="n">
        <f aca="false">AJ26*Hypothèses!$D$15/(1+Hypothèses!$D$15)</f>
        <v>24926.5772591209</v>
      </c>
      <c r="AK27" s="15" t="n">
        <f aca="false">AK26*Hypothèses!$D$15/(1+Hypothèses!$D$15)</f>
        <v>26234.3105703256</v>
      </c>
      <c r="AL27" s="15" t="n">
        <f aca="false">AL26*Hypothèses!$D$15/(1+Hypothèses!$D$15)</f>
        <v>27502.8105744608</v>
      </c>
      <c r="AN27" s="15" t="n">
        <f aca="false">SUM(C27:N27)</f>
        <v>5957.24236831379</v>
      </c>
      <c r="AO27" s="15" t="n">
        <f aca="false">SUM(O27:Z27)</f>
        <v>72046.7284534474</v>
      </c>
      <c r="AP27" s="15" t="n">
        <f aca="false">SUM(AA27:AL27)</f>
        <v>237049.919139805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585.832716666667</v>
      </c>
      <c r="G28" s="40" t="n">
        <f aca="false">G26-G27</f>
        <v>556.540495000617</v>
      </c>
      <c r="H28" s="40" t="n">
        <f aca="false">H26-H27</f>
        <v>528.712913710091</v>
      </c>
      <c r="I28" s="40" t="n">
        <f aca="false">I26-I27</f>
        <v>1746.18433091921</v>
      </c>
      <c r="J28" s="40" t="n">
        <f aca="false">J26-J27</f>
        <v>2927.13038814063</v>
      </c>
      <c r="K28" s="40" t="n">
        <f aca="false">K26-K27</f>
        <v>4072.64688269936</v>
      </c>
      <c r="L28" s="40" t="n">
        <f aca="false">L26-L27</f>
        <v>5183.79673690483</v>
      </c>
      <c r="M28" s="40" t="n">
        <f aca="false">M26-M27</f>
        <v>6261.61098433428</v>
      </c>
      <c r="N28" s="40" t="n">
        <f aca="false">N26-N27</f>
        <v>7307.0897265266</v>
      </c>
      <c r="O28" s="40" t="n">
        <f aca="false">O26-O27</f>
        <v>11198.9808387522</v>
      </c>
      <c r="P28" s="40" t="n">
        <f aca="false">P26-P27</f>
        <v>14974.1113257199</v>
      </c>
      <c r="Q28" s="40" t="n">
        <f aca="false">Q26-Q27</f>
        <v>18635.9841229481</v>
      </c>
      <c r="R28" s="40" t="n">
        <f aca="false">R26-R27</f>
        <v>22187.9970743866</v>
      </c>
      <c r="S28" s="40" t="n">
        <f aca="false">S26-S27</f>
        <v>25633.4460852691</v>
      </c>
      <c r="T28" s="40" t="n">
        <f aca="false">T26-T27</f>
        <v>28975.528180376</v>
      </c>
      <c r="U28" s="40" t="n">
        <f aca="false">U26-U27</f>
        <v>32217.3444705477</v>
      </c>
      <c r="V28" s="40" t="n">
        <f aca="false">V26-V27</f>
        <v>35361.9030301979</v>
      </c>
      <c r="W28" s="40" t="n">
        <f aca="false">W26-W27</f>
        <v>38412.1216885</v>
      </c>
      <c r="X28" s="40" t="n">
        <f aca="false">X26-X27</f>
        <v>41370.8307368345</v>
      </c>
      <c r="Y28" s="40" t="n">
        <f aca="false">Y26-Y27</f>
        <v>44240.7755550098</v>
      </c>
      <c r="Z28" s="40" t="n">
        <f aca="false">Z26-Z27</f>
        <v>47024.619158695</v>
      </c>
      <c r="AA28" s="40" t="n">
        <f aca="false">AA26-AA27</f>
        <v>55891.6113370928</v>
      </c>
      <c r="AB28" s="40" t="n">
        <f aca="false">AB26-AB27</f>
        <v>64492.5848831465</v>
      </c>
      <c r="AC28" s="40" t="n">
        <f aca="false">AC26-AC27</f>
        <v>72835.520621845</v>
      </c>
      <c r="AD28" s="40" t="n">
        <f aca="false">AD26-AD27</f>
        <v>80928.1599454468</v>
      </c>
      <c r="AE28" s="40" t="n">
        <f aca="false">AE26-AE27</f>
        <v>88778.0119967012</v>
      </c>
      <c r="AF28" s="40" t="n">
        <f aca="false">AF26-AF27</f>
        <v>96392.360636566</v>
      </c>
      <c r="AG28" s="40" t="n">
        <f aca="false">AG26-AG27</f>
        <v>103778.271202886</v>
      </c>
      <c r="AH28" s="40" t="n">
        <f aca="false">AH26-AH27</f>
        <v>110942.597066306</v>
      </c>
      <c r="AI28" s="40" t="n">
        <f aca="false">AI26-AI27</f>
        <v>117891.985989498</v>
      </c>
      <c r="AJ28" s="40" t="n">
        <f aca="false">AJ26-AJ27</f>
        <v>124632.886295605</v>
      </c>
      <c r="AK28" s="40" t="n">
        <f aca="false">AK26-AK27</f>
        <v>131171.552851628</v>
      </c>
      <c r="AL28" s="40" t="n">
        <f aca="false">AL26-AL27</f>
        <v>137514.052872304</v>
      </c>
      <c r="AN28" s="40" t="n">
        <f aca="false">SUM(C28:N28)</f>
        <v>29786.211841569</v>
      </c>
      <c r="AO28" s="40" t="n">
        <f aca="false">SUM(O28:Z28)</f>
        <v>360233.642267237</v>
      </c>
      <c r="AP28" s="40" t="n">
        <f aca="false">SUM(AA28:AL28)</f>
        <v>1185249.59569902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7.0299926</v>
      </c>
      <c r="G29" s="15" t="n">
        <f aca="false">G26*Hypothèses!$D$27</f>
        <v>6.6784859400074</v>
      </c>
      <c r="H29" s="15" t="n">
        <f aca="false">H26*Hypothèses!$D$27</f>
        <v>6.34455496452109</v>
      </c>
      <c r="I29" s="15" t="n">
        <f aca="false">I26*Hypothèses!$D$27</f>
        <v>20.9542119710305</v>
      </c>
      <c r="J29" s="15" t="n">
        <f aca="false">J26*Hypothèses!$D$27</f>
        <v>35.1255646576876</v>
      </c>
      <c r="K29" s="15" t="n">
        <f aca="false">K26*Hypothèses!$D$27</f>
        <v>48.8717625923923</v>
      </c>
      <c r="L29" s="15" t="n">
        <f aca="false">L26*Hypothèses!$D$27</f>
        <v>62.205560842858</v>
      </c>
      <c r="M29" s="15" t="n">
        <f aca="false">M26*Hypothèses!$D$27</f>
        <v>75.1393318120114</v>
      </c>
      <c r="N29" s="15" t="n">
        <f aca="false">N26*Hypothèses!$D$27</f>
        <v>87.6850767183192</v>
      </c>
      <c r="O29" s="15" t="n">
        <f aca="false">O26*Hypothèses!$D$27</f>
        <v>134.387770065026</v>
      </c>
      <c r="P29" s="15" t="n">
        <f aca="false">P26*Hypothèses!$D$27</f>
        <v>179.689335908639</v>
      </c>
      <c r="Q29" s="15" t="n">
        <f aca="false">Q26*Hypothèses!$D$27</f>
        <v>223.631809475377</v>
      </c>
      <c r="R29" s="15" t="n">
        <f aca="false">R26*Hypothèses!$D$27</f>
        <v>266.25596489264</v>
      </c>
      <c r="S29" s="15" t="n">
        <f aca="false">S26*Hypothèses!$D$27</f>
        <v>307.601353023229</v>
      </c>
      <c r="T29" s="15" t="n">
        <f aca="false">T26*Hypothèses!$D$27</f>
        <v>347.706338164512</v>
      </c>
      <c r="U29" s="15" t="n">
        <f aca="false">U26*Hypothèses!$D$27</f>
        <v>386.608133646572</v>
      </c>
      <c r="V29" s="15" t="n">
        <f aca="false">V26*Hypothèses!$D$27</f>
        <v>424.342836362375</v>
      </c>
      <c r="W29" s="15" t="n">
        <f aca="false">W26*Hypothèses!$D$27</f>
        <v>460.945460262</v>
      </c>
      <c r="X29" s="15" t="n">
        <f aca="false">X26*Hypothèses!$D$27</f>
        <v>496.449968842013</v>
      </c>
      <c r="Y29" s="15" t="n">
        <f aca="false">Y26*Hypothèses!$D$27</f>
        <v>530.889306660117</v>
      </c>
      <c r="Z29" s="15" t="n">
        <f aca="false">Z26*Hypothèses!$D$27</f>
        <v>564.295429904341</v>
      </c>
      <c r="AA29" s="15" t="n">
        <f aca="false">AA26*Hypothèses!$D$27</f>
        <v>670.699336045114</v>
      </c>
      <c r="AB29" s="15" t="n">
        <f aca="false">AB26*Hypothèses!$D$27</f>
        <v>773.911018597758</v>
      </c>
      <c r="AC29" s="15" t="n">
        <f aca="false">AC26*Hypothèses!$D$27</f>
        <v>874.02624746214</v>
      </c>
      <c r="AD29" s="15" t="n">
        <f aca="false">AD26*Hypothèses!$D$27</f>
        <v>971.137919345362</v>
      </c>
      <c r="AE29" s="15" t="n">
        <f aca="false">AE26*Hypothèses!$D$27</f>
        <v>1065.33614396041</v>
      </c>
      <c r="AF29" s="15" t="n">
        <f aca="false">AF26*Hypothèses!$D$27</f>
        <v>1156.70832763879</v>
      </c>
      <c r="AG29" s="15" t="n">
        <f aca="false">AG26*Hypothèses!$D$27</f>
        <v>1245.33925443463</v>
      </c>
      <c r="AH29" s="15" t="n">
        <f aca="false">AH26*Hypothèses!$D$27</f>
        <v>1331.31116479567</v>
      </c>
      <c r="AI29" s="15" t="n">
        <f aca="false">AI26*Hypothèses!$D$27</f>
        <v>1414.70383187397</v>
      </c>
      <c r="AJ29" s="15" t="n">
        <f aca="false">AJ26*Hypothèses!$D$27</f>
        <v>1495.59463554725</v>
      </c>
      <c r="AK29" s="15" t="n">
        <f aca="false">AK26*Hypothèses!$D$27</f>
        <v>1574.05863421953</v>
      </c>
      <c r="AL29" s="15" t="n">
        <f aca="false">AL26*Hypothèses!$D$27</f>
        <v>1650.16863446765</v>
      </c>
      <c r="AN29" s="15" t="n">
        <f aca="false">SUM(C29:N29)</f>
        <v>357.434542098828</v>
      </c>
      <c r="AO29" s="15" t="n">
        <f aca="false">SUM(O29:Z29)</f>
        <v>4322.80370720684</v>
      </c>
      <c r="AP29" s="15" t="n">
        <f aca="false">SUM(AA29:AL29)</f>
        <v>14222.9951483883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12.814536511</v>
      </c>
      <c r="G30" s="15" t="n">
        <f aca="false">(G26-G29)*Hypothèses!$D$28+G18*Hypothèses!$D$29</f>
        <v>12.1737968709135</v>
      </c>
      <c r="H30" s="15" t="n">
        <f aca="false">(H26-H29)*Hypothèses!$D$28+H18*Hypothèses!$D$29</f>
        <v>11.5650948535709</v>
      </c>
      <c r="I30" s="15" t="n">
        <f aca="false">(I26-I29)*Hypothèses!$D$28+I18*Hypothèses!$D$29</f>
        <v>38.196130442869</v>
      </c>
      <c r="J30" s="15" t="n">
        <f aca="false">(J26-J29)*Hypothèses!$D$28+J18*Hypothèses!$D$29</f>
        <v>64.0282083334524</v>
      </c>
      <c r="K30" s="15" t="n">
        <f aca="false">(K26-K29)*Hypothèses!$D$28+K18*Hypothèses!$D$29</f>
        <v>89.0852980552405</v>
      </c>
      <c r="L30" s="15" t="n">
        <f aca="false">(L26-L29)*Hypothèses!$D$28+L18*Hypothèses!$D$29</f>
        <v>113.390650028285</v>
      </c>
      <c r="M30" s="15" t="n">
        <f aca="false">(M26-M29)*Hypothèses!$D$28+M18*Hypothèses!$D$29</f>
        <v>136.966817136787</v>
      </c>
      <c r="N30" s="15" t="n">
        <f aca="false">(N26-N29)*Hypothèses!$D$28+N18*Hypothèses!$D$29</f>
        <v>159.835675655866</v>
      </c>
      <c r="O30" s="15" t="n">
        <f aca="false">(O26-O29)*Hypothèses!$D$28+O18*Hypothèses!$D$29</f>
        <v>244.967112217181</v>
      </c>
      <c r="P30" s="15" t="n">
        <f aca="false">(P26-P29)*Hypothèses!$D$28+P18*Hypothèses!$D$29</f>
        <v>327.54452055022</v>
      </c>
      <c r="Q30" s="15" t="n">
        <f aca="false">(Q26-Q29)*Hypothèses!$D$28+Q18*Hypothèses!$D$29</f>
        <v>407.64452405586</v>
      </c>
      <c r="R30" s="15" t="n">
        <f aca="false">(R26-R29)*Hypothèses!$D$28+R18*Hypothèses!$D$29</f>
        <v>485.341447356326</v>
      </c>
      <c r="S30" s="15" t="n">
        <f aca="false">(S26-S29)*Hypothèses!$D$28+S18*Hypothèses!$D$29</f>
        <v>560.707385260856</v>
      </c>
      <c r="T30" s="15" t="n">
        <f aca="false">(T26-T29)*Hypothèses!$D$28+T18*Hypothèses!$D$29</f>
        <v>633.812269662312</v>
      </c>
      <c r="U30" s="15" t="n">
        <f aca="false">(U26-U29)*Hypothèses!$D$28+U18*Hypothèses!$D$29</f>
        <v>704.723934426839</v>
      </c>
      <c r="V30" s="15" t="n">
        <f aca="false">(V26-V29)*Hypothèses!$D$28+V18*Hypothèses!$D$29</f>
        <v>773.508178336766</v>
      </c>
      <c r="W30" s="15" t="n">
        <f aca="false">(W26-W29)*Hypothèses!$D$28+W18*Hypothèses!$D$29</f>
        <v>840.228826145152</v>
      </c>
      <c r="X30" s="15" t="n">
        <f aca="false">(X26-X29)*Hypothèses!$D$28+X18*Hypothèses!$D$29</f>
        <v>904.947787798638</v>
      </c>
      <c r="Y30" s="15" t="n">
        <f aca="false">(Y26-Y29)*Hypothèses!$D$28+Y18*Hypothèses!$D$29</f>
        <v>967.725115883557</v>
      </c>
      <c r="Z30" s="15" t="n">
        <f aca="false">(Z26-Z29)*Hypothèses!$D$28+Z18*Hypothèses!$D$29</f>
        <v>1028.6190613486</v>
      </c>
      <c r="AA30" s="15" t="n">
        <f aca="false">(AA26-AA29)*Hypothèses!$D$28+AA18*Hypothèses!$D$29</f>
        <v>1222.57612755575</v>
      </c>
      <c r="AB30" s="15" t="n">
        <f aca="false">(AB26-AB29)*Hypothèses!$D$28+AB18*Hypothèses!$D$29</f>
        <v>1410.71428781962</v>
      </c>
      <c r="AC30" s="15" t="n">
        <f aca="false">(AC26-AC29)*Hypothèses!$D$28+AC18*Hypothèses!$D$29</f>
        <v>1593.20811513741</v>
      </c>
      <c r="AD30" s="15" t="n">
        <f aca="false">(AD26-AD29)*Hypothèses!$D$28+AD18*Hypothèses!$D$29</f>
        <v>1770.22694514184</v>
      </c>
      <c r="AE30" s="15" t="n">
        <f aca="false">(AE26-AE29)*Hypothèses!$D$28+AE18*Hypothèses!$D$29</f>
        <v>1941.9350332273</v>
      </c>
      <c r="AF30" s="15" t="n">
        <f aca="false">(AF26-AF29)*Hypothèses!$D$28+AF18*Hypothèses!$D$29</f>
        <v>2108.49170696212</v>
      </c>
      <c r="AG30" s="15" t="n">
        <f aca="false">(AG26-AG29)*Hypothèses!$D$28+AG18*Hypothèses!$D$29</f>
        <v>2270.05151392821</v>
      </c>
      <c r="AH30" s="15" t="n">
        <f aca="false">(AH26-AH29)*Hypothèses!$D$28+AH18*Hypothèses!$D$29</f>
        <v>2426.76436512552</v>
      </c>
      <c r="AI30" s="15" t="n">
        <f aca="false">(AI26-AI29)*Hypothèses!$D$28+AI18*Hypothèses!$D$29</f>
        <v>2578.77567407406</v>
      </c>
      <c r="AJ30" s="15" t="n">
        <f aca="false">(AJ26-AJ29)*Hypothèses!$D$28+AJ18*Hypothèses!$D$29</f>
        <v>2726.22649174283</v>
      </c>
      <c r="AK30" s="15" t="n">
        <f aca="false">(AK26-AK29)*Hypothèses!$D$28+AK18*Hypothèses!$D$29</f>
        <v>2869.25363743072</v>
      </c>
      <c r="AL30" s="15" t="n">
        <f aca="false">(AL26-AL29)*Hypothèses!$D$28+AL18*Hypothèses!$D$29</f>
        <v>3007.98982572082</v>
      </c>
      <c r="AN30" s="15" t="n">
        <f aca="false">SUM(C30:N30)</f>
        <v>651.545207887984</v>
      </c>
      <c r="AO30" s="15" t="n">
        <f aca="false">SUM(O30:Z30)</f>
        <v>7879.77016304231</v>
      </c>
      <c r="AP30" s="15" t="n">
        <f aca="false">SUM(AA30:AL30)</f>
        <v>25926.2137238662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683.154730889</v>
      </c>
      <c r="G31" s="40" t="n">
        <f aca="false">G26-G29-G30</f>
        <v>648.996311189819</v>
      </c>
      <c r="H31" s="40" t="n">
        <f aca="false">H26-H29-H30</f>
        <v>616.545846634017</v>
      </c>
      <c r="I31" s="40" t="n">
        <f aca="false">I26-I29-I30</f>
        <v>2036.27085468915</v>
      </c>
      <c r="J31" s="40" t="n">
        <f aca="false">J26-J29-J30</f>
        <v>3413.40269277762</v>
      </c>
      <c r="K31" s="40" t="n">
        <f aca="false">K26-K29-K30</f>
        <v>4749.2191985916</v>
      </c>
      <c r="L31" s="40" t="n">
        <f aca="false">L26-L29-L30</f>
        <v>6044.95987341465</v>
      </c>
      <c r="M31" s="40" t="n">
        <f aca="false">M26-M29-M30</f>
        <v>7301.82703225234</v>
      </c>
      <c r="N31" s="40" t="n">
        <f aca="false">N26-N29-N30</f>
        <v>8520.98691945774</v>
      </c>
      <c r="O31" s="40" t="n">
        <f aca="false">O26-O29-O30</f>
        <v>13059.4221242204</v>
      </c>
      <c r="P31" s="40" t="n">
        <f aca="false">P26-P29-P30</f>
        <v>17461.699734405</v>
      </c>
      <c r="Q31" s="40" t="n">
        <f aca="false">Q26-Q29-Q30</f>
        <v>21731.9046140065</v>
      </c>
      <c r="R31" s="40" t="n">
        <f aca="false">R26-R29-R30</f>
        <v>25873.999077015</v>
      </c>
      <c r="S31" s="40" t="n">
        <f aca="false">S26-S29-S30</f>
        <v>29891.8265640388</v>
      </c>
      <c r="T31" s="40" t="n">
        <f aca="false">T26-T29-T30</f>
        <v>33789.1152086244</v>
      </c>
      <c r="U31" s="40" t="n">
        <f aca="false">U26-U29-U30</f>
        <v>37569.4812965838</v>
      </c>
      <c r="V31" s="40" t="n">
        <f aca="false">V26-V29-V30</f>
        <v>41236.4326215383</v>
      </c>
      <c r="W31" s="40" t="n">
        <f aca="false">W26-W29-W30</f>
        <v>44793.3717397929</v>
      </c>
      <c r="X31" s="40" t="n">
        <f aca="false">X26-X29-X30</f>
        <v>48243.5991275607</v>
      </c>
      <c r="Y31" s="40" t="n">
        <f aca="false">Y26-Y29-Y30</f>
        <v>51590.3162434681</v>
      </c>
      <c r="Z31" s="40" t="n">
        <f aca="false">Z26-Z29-Z30</f>
        <v>54836.6284991811</v>
      </c>
      <c r="AA31" s="40" t="n">
        <f aca="false">AA26-AA29-AA30</f>
        <v>65176.6581409105</v>
      </c>
      <c r="AB31" s="40" t="n">
        <f aca="false">AB26-AB29-AB30</f>
        <v>75206.4765533584</v>
      </c>
      <c r="AC31" s="40" t="n">
        <f aca="false">AC26-AC29-AC30</f>
        <v>84935.3903836144</v>
      </c>
      <c r="AD31" s="40" t="n">
        <f aca="false">AD26-AD29-AD30</f>
        <v>94372.427070049</v>
      </c>
      <c r="AE31" s="40" t="n">
        <f aca="false">AE26-AE29-AE30</f>
        <v>103526.343218854</v>
      </c>
      <c r="AF31" s="40" t="n">
        <f aca="false">AF26-AF29-AF30</f>
        <v>112405.632729278</v>
      </c>
      <c r="AG31" s="40" t="n">
        <f aca="false">AG26-AG29-AG30</f>
        <v>121018.534675101</v>
      </c>
      <c r="AH31" s="40" t="n">
        <f aca="false">AH26-AH29-AH30</f>
        <v>129373.040949646</v>
      </c>
      <c r="AI31" s="40" t="n">
        <f aca="false">AI26-AI29-AI30</f>
        <v>137476.903681449</v>
      </c>
      <c r="AJ31" s="40" t="n">
        <f aca="false">AJ26-AJ29-AJ30</f>
        <v>145337.642427435</v>
      </c>
      <c r="AK31" s="40" t="n">
        <f aca="false">AK26-AK29-AK30</f>
        <v>152962.551150303</v>
      </c>
      <c r="AL31" s="40" t="n">
        <f aca="false">AL26-AL29-AL30</f>
        <v>160358.704986576</v>
      </c>
      <c r="AN31" s="40" t="n">
        <f aca="false">SUM(C31:N31)</f>
        <v>34734.4744598959</v>
      </c>
      <c r="AO31" s="40" t="n">
        <f aca="false">SUM(O31:Z31)</f>
        <v>420077.796850435</v>
      </c>
      <c r="AP31" s="40" t="n">
        <f aca="false">SUM(AA31:AL31)</f>
        <v>1382150.30596658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93.1949019</v>
      </c>
      <c r="G33" s="15" t="n">
        <f aca="false">(G19*Hypothèses!$D$31+G20*Hypothèses!$D$32+G21*Hypothèses!$D$33)*Hypothèses!$D$34*$F$4</f>
        <v>88.5350636100981</v>
      </c>
      <c r="H33" s="15" t="n">
        <f aca="false">(H19*Hypothèses!$D$31+H20*Hypothèses!$D$32+H21*Hypothèses!$D$33)*Hypothèses!$D$34*$F$4</f>
        <v>84.1082218945296</v>
      </c>
      <c r="I33" s="15" t="n">
        <f aca="false">(I19*Hypothèses!$D$31+I20*Hypothèses!$D$32+I21*Hypothèses!$D$33)*Hypothèses!$D$34*$F$4</f>
        <v>277.784891129472</v>
      </c>
      <c r="J33" s="15" t="n">
        <f aca="false">(J19*Hypothèses!$D$31+J20*Hypothèses!$D$32+J21*Hypothèses!$D$33)*Hypothèses!$D$34*$F$4</f>
        <v>465.651066610697</v>
      </c>
      <c r="K33" s="15" t="n">
        <f aca="false">(K19*Hypothèses!$D$31+K20*Hypothèses!$D$32+K21*Hypothèses!$D$33)*Hypothèses!$D$34*$F$4</f>
        <v>647.881068961309</v>
      </c>
      <c r="L33" s="15" t="n">
        <f aca="false">(L19*Hypothèses!$D$31+L20*Hypothèses!$D$32+L21*Hypothèses!$D$33)*Hypothèses!$D$34*$F$4</f>
        <v>824.643989011401</v>
      </c>
      <c r="M33" s="15" t="n">
        <f aca="false">(M19*Hypothèses!$D$31+M20*Hypothèses!$D$32+M21*Hypothèses!$D$33)*Hypothèses!$D$34*$F$4</f>
        <v>996.10384469707</v>
      </c>
      <c r="N33" s="15" t="n">
        <f aca="false">(N19*Hypothèses!$D$31+N20*Hypothèses!$D$32+N21*Hypothèses!$D$33)*Hypothèses!$D$34*$F$4</f>
        <v>1162.41973325231</v>
      </c>
      <c r="O33" s="15" t="n">
        <f aca="false">(O19*Hypothèses!$D$31+O20*Hypothèses!$D$32+O21*Hypothèses!$D$33)*Hypothèses!$D$34*$F$4</f>
        <v>1781.54597883501</v>
      </c>
      <c r="P33" s="15" t="n">
        <f aca="false">(P19*Hypothèses!$D$31+P20*Hypothèses!$D$32+P21*Hypothèses!$D$33)*Hypothèses!$D$34*$F$4</f>
        <v>2382.09781792398</v>
      </c>
      <c r="Q33" s="15" t="n">
        <f aca="false">(Q19*Hypothèses!$D$31+Q20*Hypothèses!$D$32+Q21*Hypothèses!$D$33)*Hypothèses!$D$34*$F$4</f>
        <v>2964.63250128844</v>
      </c>
      <c r="R33" s="15" t="n">
        <f aca="false">(R19*Hypothèses!$D$31+R20*Hypothèses!$D$32+R21*Hypothèses!$D$33)*Hypothèses!$D$34*$F$4</f>
        <v>3529.69056161729</v>
      </c>
      <c r="S33" s="15" t="n">
        <f aca="false">(S19*Hypothèses!$D$31+S20*Hypothèses!$D$32+S21*Hypothèses!$D$33)*Hypothèses!$D$34*$F$4</f>
        <v>4077.79631507821</v>
      </c>
      <c r="T33" s="15" t="n">
        <f aca="false">(T19*Hypothèses!$D$31+T20*Hypothèses!$D$32+T21*Hypothèses!$D$33)*Hypothèses!$D$34*$F$4</f>
        <v>4609.45834782955</v>
      </c>
      <c r="U33" s="15" t="n">
        <f aca="false">(U19*Hypothèses!$D$31+U20*Hypothèses!$D$32+U21*Hypothèses!$D$33)*Hypothèses!$D$34*$F$4</f>
        <v>5125.16998793631</v>
      </c>
      <c r="V33" s="15" t="n">
        <f aca="false">(V19*Hypothèses!$D$31+V20*Hypothèses!$D$32+V21*Hypothèses!$D$33)*Hypothèses!$D$34*$F$4</f>
        <v>5625.40976312824</v>
      </c>
      <c r="W33" s="15" t="n">
        <f aca="false">(W19*Hypothèses!$D$31+W20*Hypothèses!$D$32+W21*Hypothèses!$D$33)*Hypothèses!$D$34*$F$4</f>
        <v>6110.64184482463</v>
      </c>
      <c r="X33" s="15" t="n">
        <f aca="false">(X19*Hypothèses!$D$31+X20*Hypothèses!$D$32+X21*Hypothèses!$D$33)*Hypothèses!$D$34*$F$4</f>
        <v>6581.31647883804</v>
      </c>
      <c r="Y33" s="15" t="n">
        <f aca="false">(Y19*Hypothèses!$D$31+Y20*Hypothèses!$D$32+Y21*Hypothèses!$D$33)*Hypothèses!$D$34*$F$4</f>
        <v>7037.87040315642</v>
      </c>
      <c r="Z33" s="15" t="n">
        <f aca="false">(Z19*Hypothèses!$D$31+Z20*Hypothèses!$D$32+Z21*Hypothèses!$D$33)*Hypothèses!$D$34*$F$4</f>
        <v>7480.72725319132</v>
      </c>
      <c r="AA33" s="15" t="n">
        <f aca="false">(AA19*Hypothèses!$D$31+AA20*Hypothèses!$D$32+AA21*Hypothèses!$D$33)*Hypothèses!$D$34*$F$4</f>
        <v>8891.29795486833</v>
      </c>
      <c r="AB33" s="15" t="n">
        <f aca="false">(AB19*Hypothèses!$D$31+AB20*Hypothèses!$D$32+AB21*Hypothèses!$D$33)*Hypothèses!$D$34*$F$4</f>
        <v>10259.5501249243</v>
      </c>
      <c r="AC33" s="15" t="n">
        <f aca="false">(AC19*Hypothèses!$D$31+AC20*Hypothèses!$D$32+AC21*Hypothèses!$D$33)*Hypothèses!$D$34*$F$4</f>
        <v>11586.7533616265</v>
      </c>
      <c r="AD33" s="15" t="n">
        <f aca="false">(AD19*Hypothèses!$D$31+AD20*Hypothèses!$D$32+AD21*Hypothèses!$D$33)*Hypothèses!$D$34*$F$4</f>
        <v>12874.1391740243</v>
      </c>
      <c r="AE33" s="15" t="n">
        <f aca="false">(AE19*Hypothèses!$D$31+AE20*Hypothèses!$D$32+AE21*Hypothèses!$D$33)*Hypothèses!$D$34*$F$4</f>
        <v>14122.9021246644</v>
      </c>
      <c r="AF33" s="15" t="n">
        <f aca="false">(AF19*Hypothèses!$D$31+AF20*Hypothèses!$D$32+AF21*Hypothèses!$D$33)*Hypothèses!$D$34*$F$4</f>
        <v>15334.2009380224</v>
      </c>
      <c r="AG33" s="15" t="n">
        <f aca="false">(AG19*Hypothèses!$D$31+AG20*Hypothèses!$D$32+AG21*Hypothèses!$D$33)*Hypothèses!$D$34*$F$4</f>
        <v>16509.1595756808</v>
      </c>
      <c r="AH33" s="15" t="n">
        <f aca="false">(AH19*Hypothèses!$D$31+AH20*Hypothèses!$D$32+AH21*Hypothèses!$D$33)*Hypothèses!$D$34*$F$4</f>
        <v>17648.8682792508</v>
      </c>
      <c r="AI33" s="15" t="n">
        <f aca="false">(AI19*Hypothèses!$D$31+AI20*Hypothèses!$D$32+AI21*Hypothèses!$D$33)*Hypothèses!$D$34*$F$4</f>
        <v>18754.384582005</v>
      </c>
      <c r="AJ33" s="15" t="n">
        <f aca="false">(AJ19*Hypothèses!$D$31+AJ20*Hypothèses!$D$32+AJ21*Hypothèses!$D$33)*Hypothèses!$D$34*$F$4</f>
        <v>19826.7342901602</v>
      </c>
      <c r="AK33" s="15" t="n">
        <f aca="false">(AK19*Hypothèses!$D$31+AK20*Hypothèses!$D$32+AK21*Hypothèses!$D$33)*Hypothèses!$D$34*$F$4</f>
        <v>20866.9124347211</v>
      </c>
      <c r="AL33" s="15" t="n">
        <f aca="false">(AL19*Hypothèses!$D$31+AL20*Hypothèses!$D$32+AL21*Hypothèses!$D$33)*Hypothèses!$D$34*$F$4</f>
        <v>21875.8841947671</v>
      </c>
      <c r="AN33" s="15" t="n">
        <f aca="false">SUM(C33:N33)</f>
        <v>4738.42278106689</v>
      </c>
      <c r="AO33" s="15" t="n">
        <f aca="false">SUM(O33:Z33)</f>
        <v>57306.3572536474</v>
      </c>
      <c r="AP33" s="15" t="n">
        <f aca="false">SUM(AA33:AL33)</f>
        <v>188550.787034715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14.249985</v>
      </c>
      <c r="G34" s="15" t="n">
        <f aca="false">G18*Hypothèses!$D$35</f>
        <v>13.537471500015</v>
      </c>
      <c r="H34" s="15" t="n">
        <f aca="false">H18*Hypothèses!$D$35</f>
        <v>12.8605843875428</v>
      </c>
      <c r="I34" s="15" t="n">
        <f aca="false">I18*Hypothèses!$D$35</f>
        <v>42.4747539953321</v>
      </c>
      <c r="J34" s="15" t="n">
        <f aca="false">J18*Hypothèses!$D$35</f>
        <v>71.2004689007181</v>
      </c>
      <c r="K34" s="15" t="n">
        <f aca="false">K18*Hypothèses!$D$35</f>
        <v>99.0643836332277</v>
      </c>
      <c r="L34" s="15" t="n">
        <f aca="false">L18*Hypothèses!$D$35</f>
        <v>126.092353059847</v>
      </c>
      <c r="M34" s="15" t="n">
        <f aca="false">M18*Hypothèses!$D$35</f>
        <v>152.309456375699</v>
      </c>
      <c r="N34" s="15" t="n">
        <f aca="false">N18*Hypothèses!$D$35</f>
        <v>177.740020374971</v>
      </c>
      <c r="O34" s="15" t="n">
        <f aca="false">O18*Hypothèses!$D$35</f>
        <v>272.407642023702</v>
      </c>
      <c r="P34" s="15" t="n">
        <f aca="false">P18*Hypothèses!$D$35</f>
        <v>364.235140355349</v>
      </c>
      <c r="Q34" s="15" t="n">
        <f aca="false">Q18*Hypothèses!$D$35</f>
        <v>453.307721909548</v>
      </c>
      <c r="R34" s="15" t="n">
        <f aca="false">R18*Hypothèses!$D$35</f>
        <v>539.70803694454</v>
      </c>
      <c r="S34" s="15" t="n">
        <f aca="false">S18*Hypothèses!$D$35</f>
        <v>623.516256128167</v>
      </c>
      <c r="T34" s="15" t="n">
        <f aca="false">T18*Hypothèses!$D$35</f>
        <v>704.810144928066</v>
      </c>
      <c r="U34" s="15" t="n">
        <f aca="false">U18*Hypothèses!$D$35</f>
        <v>783.665135770079</v>
      </c>
      <c r="V34" s="15" t="n">
        <f aca="false">V18*Hypothèses!$D$35</f>
        <v>860.15439803184</v>
      </c>
      <c r="W34" s="15" t="n">
        <f aca="false">W18*Hypothèses!$D$35</f>
        <v>934.348905936487</v>
      </c>
      <c r="X34" s="15" t="n">
        <f aca="false">X18*Hypothèses!$D$35</f>
        <v>1006.31750440949</v>
      </c>
      <c r="Y34" s="15" t="n">
        <f aca="false">Y18*Hypothèses!$D$35</f>
        <v>1076.1269729597</v>
      </c>
      <c r="Z34" s="15" t="n">
        <f aca="false">Z18*Hypothèses!$D$35</f>
        <v>1143.84208764393</v>
      </c>
      <c r="AA34" s="15" t="n">
        <f aca="false">AA18*Hypothèses!$D$35</f>
        <v>1359.52568117253</v>
      </c>
      <c r="AB34" s="15" t="n">
        <f aca="false">AB18*Hypothèses!$D$35</f>
        <v>1568.73855121167</v>
      </c>
      <c r="AC34" s="15" t="n">
        <f aca="false">AC18*Hypothèses!$D$35</f>
        <v>1771.67482593677</v>
      </c>
      <c r="AD34" s="15" t="n">
        <f aca="false">AD18*Hypothèses!$D$35</f>
        <v>1968.52280948384</v>
      </c>
      <c r="AE34" s="15" t="n">
        <f aca="false">AE18*Hypothèses!$D$35</f>
        <v>2159.46515667652</v>
      </c>
      <c r="AF34" s="15" t="n">
        <f aca="false">AF18*Hypothèses!$D$35</f>
        <v>2344.67904251106</v>
      </c>
      <c r="AG34" s="15" t="n">
        <f aca="false">AG18*Hypothèses!$D$35</f>
        <v>2524.33632655669</v>
      </c>
      <c r="AH34" s="15" t="n">
        <f aca="false">AH18*Hypothèses!$D$35</f>
        <v>2698.60371242366</v>
      </c>
      <c r="AI34" s="15" t="n">
        <f aca="false">AI18*Hypothèses!$D$35</f>
        <v>2867.64290244724</v>
      </c>
      <c r="AJ34" s="15" t="n">
        <f aca="false">AJ18*Hypothèses!$D$35</f>
        <v>3031.61074773092</v>
      </c>
      <c r="AK34" s="15" t="n">
        <f aca="false">AK18*Hypothèses!$D$35</f>
        <v>3190.65939368825</v>
      </c>
      <c r="AL34" s="15" t="n">
        <f aca="false">AL18*Hypothèses!$D$35</f>
        <v>3344.9364212182</v>
      </c>
      <c r="AN34" s="15" t="n">
        <f aca="false">SUM(C34:N34)</f>
        <v>724.529477227353</v>
      </c>
      <c r="AO34" s="15" t="n">
        <f aca="false">SUM(O34:Z34)</f>
        <v>8762.4399470409</v>
      </c>
      <c r="AP34" s="15" t="n">
        <f aca="false">SUM(AA34:AL34)</f>
        <v>28830.3955710574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28.49997</v>
      </c>
      <c r="G35" s="15" t="n">
        <f aca="false">G18*Hypothèses!$D$36</f>
        <v>27.07494300003</v>
      </c>
      <c r="H35" s="15" t="n">
        <f aca="false">H18*Hypothèses!$D$36</f>
        <v>25.7211687750855</v>
      </c>
      <c r="I35" s="15" t="n">
        <f aca="false">I18*Hypothèses!$D$36</f>
        <v>84.9495079906642</v>
      </c>
      <c r="J35" s="15" t="n">
        <f aca="false">J18*Hypothèses!$D$36</f>
        <v>142.400937801436</v>
      </c>
      <c r="K35" s="15" t="n">
        <f aca="false">K18*Hypothèses!$D$36</f>
        <v>198.128767266455</v>
      </c>
      <c r="L35" s="15" t="n">
        <f aca="false">L18*Hypothèses!$D$36</f>
        <v>252.184706119694</v>
      </c>
      <c r="M35" s="15" t="n">
        <f aca="false">M18*Hypothèses!$D$36</f>
        <v>304.618912751397</v>
      </c>
      <c r="N35" s="15" t="n">
        <f aca="false">N18*Hypothèses!$D$36</f>
        <v>355.480040749943</v>
      </c>
      <c r="O35" s="15" t="n">
        <f aca="false">O18*Hypothèses!$D$36</f>
        <v>544.815284047404</v>
      </c>
      <c r="P35" s="15" t="n">
        <f aca="false">P18*Hypothèses!$D$36</f>
        <v>728.470280710698</v>
      </c>
      <c r="Q35" s="15" t="n">
        <f aca="false">Q18*Hypothèses!$D$36</f>
        <v>906.615443819096</v>
      </c>
      <c r="R35" s="15" t="n">
        <f aca="false">R18*Hypothèses!$D$36</f>
        <v>1079.41607388908</v>
      </c>
      <c r="S35" s="15" t="n">
        <f aca="false">S18*Hypothèses!$D$36</f>
        <v>1247.03251225633</v>
      </c>
      <c r="T35" s="15" t="n">
        <f aca="false">T18*Hypothèses!$D$36</f>
        <v>1409.62028985613</v>
      </c>
      <c r="U35" s="15" t="n">
        <f aca="false">U18*Hypothèses!$D$36</f>
        <v>1567.33027154016</v>
      </c>
      <c r="V35" s="15" t="n">
        <f aca="false">V18*Hypothèses!$D$36</f>
        <v>1720.30879606368</v>
      </c>
      <c r="W35" s="15" t="n">
        <f aca="false">W18*Hypothèses!$D$36</f>
        <v>1868.69781187297</v>
      </c>
      <c r="X35" s="15" t="n">
        <f aca="false">X18*Hypothèses!$D$36</f>
        <v>2012.63500881897</v>
      </c>
      <c r="Y35" s="15" t="n">
        <f aca="false">Y18*Hypothèses!$D$36</f>
        <v>2152.2539459194</v>
      </c>
      <c r="Z35" s="15" t="n">
        <f aca="false">Z18*Hypothèses!$D$36</f>
        <v>2287.68417528787</v>
      </c>
      <c r="AA35" s="15" t="n">
        <f aca="false">AA18*Hypothèses!$D$36</f>
        <v>2719.05136234506</v>
      </c>
      <c r="AB35" s="15" t="n">
        <f aca="false">AB18*Hypothèses!$D$36</f>
        <v>3137.47710242334</v>
      </c>
      <c r="AC35" s="15" t="n">
        <f aca="false">AC18*Hypothèses!$D$36</f>
        <v>3543.34965187354</v>
      </c>
      <c r="AD35" s="15" t="n">
        <f aca="false">AD18*Hypothèses!$D$36</f>
        <v>3937.04561896768</v>
      </c>
      <c r="AE35" s="15" t="n">
        <f aca="false">AE18*Hypothèses!$D$36</f>
        <v>4318.93031335303</v>
      </c>
      <c r="AF35" s="15" t="n">
        <f aca="false">AF18*Hypothèses!$D$36</f>
        <v>4689.35808502213</v>
      </c>
      <c r="AG35" s="15" t="n">
        <f aca="false">AG18*Hypothèses!$D$36</f>
        <v>5048.67265311338</v>
      </c>
      <c r="AH35" s="15" t="n">
        <f aca="false">AH18*Hypothèses!$D$36</f>
        <v>5397.20742484733</v>
      </c>
      <c r="AI35" s="15" t="n">
        <f aca="false">AI18*Hypothèses!$D$36</f>
        <v>5735.28580489448</v>
      </c>
      <c r="AJ35" s="15" t="n">
        <f aca="false">AJ18*Hypothèses!$D$36</f>
        <v>6063.22149546184</v>
      </c>
      <c r="AK35" s="15" t="n">
        <f aca="false">AK18*Hypothèses!$D$36</f>
        <v>6381.31878737649</v>
      </c>
      <c r="AL35" s="15" t="n">
        <f aca="false">AL18*Hypothèses!$D$36</f>
        <v>6689.87284243641</v>
      </c>
      <c r="AN35" s="15" t="n">
        <f aca="false">SUM(C35:N35)</f>
        <v>1449.05895445471</v>
      </c>
      <c r="AO35" s="15" t="n">
        <f aca="false">SUM(O35:Z35)</f>
        <v>17524.8798940818</v>
      </c>
      <c r="AP35" s="15" t="n">
        <f aca="false">SUM(AA35:AL35)</f>
        <v>57660.7911421147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135.9448569</v>
      </c>
      <c r="G36" s="40" t="n">
        <f aca="false">G33+G34+G35</f>
        <v>129.147478110143</v>
      </c>
      <c r="H36" s="40" t="n">
        <f aca="false">H33+H34+H35</f>
        <v>122.689975057158</v>
      </c>
      <c r="I36" s="40" t="n">
        <f aca="false">I33+I34+I35</f>
        <v>405.209153115468</v>
      </c>
      <c r="J36" s="40" t="n">
        <f aca="false">J33+J34+J35</f>
        <v>679.252473312851</v>
      </c>
      <c r="K36" s="40" t="n">
        <f aca="false">K33+K34+K35</f>
        <v>945.074219860992</v>
      </c>
      <c r="L36" s="40" t="n">
        <f aca="false">L33+L34+L35</f>
        <v>1202.92104819094</v>
      </c>
      <c r="M36" s="40" t="n">
        <f aca="false">M33+M34+M35</f>
        <v>1453.03221382417</v>
      </c>
      <c r="N36" s="40" t="n">
        <f aca="false">N33+N34+N35</f>
        <v>1695.63979437723</v>
      </c>
      <c r="O36" s="40" t="n">
        <f aca="false">O33+O34+O35</f>
        <v>2598.76890490612</v>
      </c>
      <c r="P36" s="40" t="n">
        <f aca="false">P33+P34+P35</f>
        <v>3474.80323899003</v>
      </c>
      <c r="Q36" s="40" t="n">
        <f aca="false">Q33+Q34+Q35</f>
        <v>4324.55566701709</v>
      </c>
      <c r="R36" s="40" t="n">
        <f aca="false">R33+R34+R35</f>
        <v>5148.81467245091</v>
      </c>
      <c r="S36" s="40" t="n">
        <f aca="false">S33+S34+S35</f>
        <v>5948.34508346271</v>
      </c>
      <c r="T36" s="40" t="n">
        <f aca="false">T33+T34+T35</f>
        <v>6723.88878261375</v>
      </c>
      <c r="U36" s="40" t="n">
        <f aca="false">U33+U34+U35</f>
        <v>7476.16539524655</v>
      </c>
      <c r="V36" s="40" t="n">
        <f aca="false">V33+V34+V35</f>
        <v>8205.87295722376</v>
      </c>
      <c r="W36" s="40" t="n">
        <f aca="false">W33+W34+W35</f>
        <v>8913.68856263409</v>
      </c>
      <c r="X36" s="40" t="n">
        <f aca="false">X33+X34+X35</f>
        <v>9600.2689920665</v>
      </c>
      <c r="Y36" s="40" t="n">
        <f aca="false">Y33+Y34+Y35</f>
        <v>10266.2513220355</v>
      </c>
      <c r="Z36" s="40" t="n">
        <f aca="false">Z33+Z34+Z35</f>
        <v>10912.2535161231</v>
      </c>
      <c r="AA36" s="40" t="n">
        <f aca="false">AA33+AA34+AA35</f>
        <v>12969.8749983859</v>
      </c>
      <c r="AB36" s="40" t="n">
        <f aca="false">AB33+AB34+AB35</f>
        <v>14965.7657785593</v>
      </c>
      <c r="AC36" s="40" t="n">
        <f aca="false">AC33+AC34+AC35</f>
        <v>16901.7778394368</v>
      </c>
      <c r="AD36" s="40" t="n">
        <f aca="false">AD33+AD34+AD35</f>
        <v>18779.7076024758</v>
      </c>
      <c r="AE36" s="40" t="n">
        <f aca="false">AE33+AE34+AE35</f>
        <v>20601.297594694</v>
      </c>
      <c r="AF36" s="40" t="n">
        <f aca="false">AF33+AF34+AF35</f>
        <v>22368.2380655556</v>
      </c>
      <c r="AG36" s="40" t="n">
        <f aca="false">AG33+AG34+AG35</f>
        <v>24082.1685553508</v>
      </c>
      <c r="AH36" s="40" t="n">
        <f aca="false">AH33+AH34+AH35</f>
        <v>25744.6794165217</v>
      </c>
      <c r="AI36" s="40" t="n">
        <f aca="false">AI33+AI34+AI35</f>
        <v>27357.3132893467</v>
      </c>
      <c r="AJ36" s="40" t="n">
        <f aca="false">AJ33+AJ34+AJ35</f>
        <v>28921.566533353</v>
      </c>
      <c r="AK36" s="40" t="n">
        <f aca="false">AK33+AK34+AK35</f>
        <v>30438.8906157859</v>
      </c>
      <c r="AL36" s="40" t="n">
        <f aca="false">AL33+AL34+AL35</f>
        <v>31910.6934584217</v>
      </c>
      <c r="AN36" s="40" t="n">
        <f aca="false">SUM(C36:N36)</f>
        <v>6912.01121274895</v>
      </c>
      <c r="AO36" s="40" t="n">
        <f aca="false">SUM(O36:Z36)</f>
        <v>83593.6770947701</v>
      </c>
      <c r="AP36" s="40" t="n">
        <f aca="false">SUM(AA36:AL36)</f>
        <v>275041.973747887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431.214996089</v>
      </c>
      <c r="G37" s="40" t="n">
        <f aca="false">G28-G36-G30-G29/(1+Hypothèses!$D$15)</f>
        <v>409.653815069554</v>
      </c>
      <c r="H37" s="40" t="n">
        <f aca="false">H28-H36-H30-H29/(1+Hypothèses!$D$15)</f>
        <v>389.170714662261</v>
      </c>
      <c r="I37" s="40" t="n">
        <f aca="false">I28-I36-I30-I29/(1+Hypothèses!$D$15)</f>
        <v>1285.31720405168</v>
      </c>
      <c r="J37" s="40" t="n">
        <f aca="false">J28-J36-J30-J29/(1+Hypothèses!$D$15)</f>
        <v>2154.57840261292</v>
      </c>
      <c r="K37" s="40" t="n">
        <f aca="false">K28-K36-K30-K29/(1+Hypothèses!$D$15)</f>
        <v>2997.76089595613</v>
      </c>
      <c r="L37" s="40" t="n">
        <f aca="false">L28-L36-L30-L29/(1+Hypothèses!$D$15)</f>
        <v>3815.64707131655</v>
      </c>
      <c r="M37" s="40" t="n">
        <f aca="false">M28-M36-M30-M29/(1+Hypothèses!$D$15)</f>
        <v>4608.99584352999</v>
      </c>
      <c r="N37" s="40" t="n">
        <f aca="false">N28-N36-N30-N29/(1+Hypothèses!$D$15)</f>
        <v>5378.54335922824</v>
      </c>
      <c r="O37" s="40" t="n">
        <f aca="false">O28-O36-O30-O29/(1+Hypothèses!$D$15)</f>
        <v>8243.25501324137</v>
      </c>
      <c r="P37" s="40" t="n">
        <f aca="false">P28-P36-P30-P29/(1+Hypothèses!$D$15)</f>
        <v>11022.0224529224</v>
      </c>
      <c r="Q37" s="40" t="n">
        <f aca="false">Q28-Q36-Q30-Q29/(1+Hypothèses!$D$15)</f>
        <v>13717.4240906457</v>
      </c>
      <c r="R37" s="40" t="n">
        <f aca="false">R28-R36-R30-R29/(1+Hypothèses!$D$15)</f>
        <v>16331.9609838355</v>
      </c>
      <c r="S37" s="40" t="n">
        <f aca="false">S28-S36-S30-S29/(1+Hypothèses!$D$15)</f>
        <v>18868.0591556928</v>
      </c>
      <c r="T37" s="40" t="n">
        <f aca="false">T28-T36-T30-T29/(1+Hypothèses!$D$15)</f>
        <v>21328.0718462962</v>
      </c>
      <c r="U37" s="40" t="n">
        <f aca="false">U28-U36-U30-U29/(1+Hypothèses!$D$15)</f>
        <v>23714.2816961688</v>
      </c>
      <c r="V37" s="40" t="n">
        <f aca="false">V28-V36-V30-V29/(1+Hypothèses!$D$15)</f>
        <v>26028.9028643354</v>
      </c>
      <c r="W37" s="40" t="n">
        <f aca="false">W28-W36-W30-W29/(1+Hypothèses!$D$15)</f>
        <v>28274.0830828358</v>
      </c>
      <c r="X37" s="40" t="n">
        <f aca="false">X28-X36-X30-X29/(1+Hypothèses!$D$15)</f>
        <v>30451.905649601</v>
      </c>
      <c r="Y37" s="40" t="n">
        <f aca="false">Y28-Y36-Y30-Y29/(1+Hypothèses!$D$15)</f>
        <v>32564.3913615406</v>
      </c>
      <c r="Z37" s="40" t="n">
        <f aca="false">Z28-Z36-Z30-Z29/(1+Hypothèses!$D$15)</f>
        <v>34613.5003896364</v>
      </c>
      <c r="AA37" s="40" t="n">
        <f aca="false">AA28-AA36-AA30-AA29/(1+Hypothèses!$D$15)</f>
        <v>41140.2440977802</v>
      </c>
      <c r="AB37" s="40" t="n">
        <f aca="false">AB28-AB36-AB30-AB29/(1+Hypothèses!$D$15)</f>
        <v>47471.178967936</v>
      </c>
      <c r="AC37" s="40" t="n">
        <f aca="false">AC28-AC36-AC30-AC29/(1+Hypothèses!$D$15)</f>
        <v>53612.1794610523</v>
      </c>
      <c r="AD37" s="40" t="n">
        <f aca="false">AD28-AD36-AD30-AD29/(1+Hypothèses!$D$15)</f>
        <v>59568.9437983747</v>
      </c>
      <c r="AE37" s="40" t="n">
        <f aca="false">AE28-AE36-AE30-AE29/(1+Hypothèses!$D$15)</f>
        <v>65346.9992488129</v>
      </c>
      <c r="AF37" s="40" t="n">
        <f aca="false">AF28-AF36-AF30-AF29/(1+Hypothèses!$D$15)</f>
        <v>70951.7072576827</v>
      </c>
      <c r="AG37" s="40" t="n">
        <f aca="false">AG28-AG36-AG30-AG29/(1+Hypothèses!$D$15)</f>
        <v>76388.2684215783</v>
      </c>
      <c r="AH37" s="40" t="n">
        <f aca="false">AH28-AH36-AH30-AH29/(1+Hypothèses!$D$15)</f>
        <v>81661.7273139958</v>
      </c>
      <c r="AI37" s="40" t="n">
        <f aca="false">AI28-AI36-AI30-AI29/(1+Hypothèses!$D$15)</f>
        <v>86776.977166182</v>
      </c>
      <c r="AJ37" s="40" t="n">
        <f aca="false">AJ28-AJ36-AJ30-AJ29/(1+Hypothèses!$D$15)</f>
        <v>91738.7644075527</v>
      </c>
      <c r="AK37" s="40" t="n">
        <f aca="false">AK28-AK36-AK30-AK29/(1+Hypothèses!$D$15)</f>
        <v>96551.693069895</v>
      </c>
      <c r="AL37" s="40" t="n">
        <f aca="false">AL28-AL36-AL30-AL29/(1+Hypothèses!$D$15)</f>
        <v>101220.229059438</v>
      </c>
      <c r="AN37" s="40" t="n">
        <f aca="false">SUM(C37:N37)</f>
        <v>21924.7933025163</v>
      </c>
      <c r="AO37" s="40" t="n">
        <f aca="false">SUM(O37:Z37)</f>
        <v>265157.858586752</v>
      </c>
      <c r="AP37" s="40" t="n">
        <f aca="false">SUM(AA37:AL37)</f>
        <v>872428.912270281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-13887.7556666667</v>
      </c>
      <c r="F52" s="40" t="n">
        <f aca="false">F37-F39-F51</f>
        <v>-13910.4516705777</v>
      </c>
      <c r="G52" s="40" t="n">
        <f aca="false">G37-G39-G51</f>
        <v>-13932.0128515971</v>
      </c>
      <c r="H52" s="40" t="n">
        <f aca="false">H37-H39-H51</f>
        <v>-13952.4959520044</v>
      </c>
      <c r="I52" s="40" t="n">
        <f aca="false">I37-I39-I51</f>
        <v>-9364.68279594832</v>
      </c>
      <c r="J52" s="40" t="n">
        <f aca="false">J37-J39-J51</f>
        <v>-3495.42159738708</v>
      </c>
      <c r="K52" s="40" t="n">
        <f aca="false">K37-K39-K51</f>
        <v>-2652.23910404387</v>
      </c>
      <c r="L52" s="40" t="n">
        <f aca="false">L37-L39-L51</f>
        <v>-1834.35292868345</v>
      </c>
      <c r="M52" s="40" t="n">
        <f aca="false">M37-M39-M51</f>
        <v>-1041.00415647002</v>
      </c>
      <c r="N52" s="40" t="n">
        <f aca="false">N37-N39-N51</f>
        <v>-271.456640771758</v>
      </c>
      <c r="O52" s="40" t="n">
        <f aca="false">O37-O39-O51</f>
        <v>-18906.7449867586</v>
      </c>
      <c r="P52" s="40" t="n">
        <f aca="false">P37-P39-P51</f>
        <v>-16127.9775470776</v>
      </c>
      <c r="Q52" s="40" t="n">
        <f aca="false">Q37-Q39-Q51</f>
        <v>-13432.5759093543</v>
      </c>
      <c r="R52" s="40" t="n">
        <f aca="false">R37-R39-R51</f>
        <v>-10818.0390161645</v>
      </c>
      <c r="S52" s="40" t="n">
        <f aca="false">S37-S39-S51</f>
        <v>-8281.94084430718</v>
      </c>
      <c r="T52" s="40" t="n">
        <f aca="false">T37-T39-T51</f>
        <v>-5821.92815370379</v>
      </c>
      <c r="U52" s="40" t="n">
        <f aca="false">U37-U39-U51</f>
        <v>-14935.7183038312</v>
      </c>
      <c r="V52" s="40" t="n">
        <f aca="false">V37-V39-V51</f>
        <v>-7621.09713566463</v>
      </c>
      <c r="W52" s="40" t="n">
        <f aca="false">W37-W39-W51</f>
        <v>-5375.91691716421</v>
      </c>
      <c r="X52" s="40" t="n">
        <f aca="false">X37-X39-X51</f>
        <v>-3198.09435039904</v>
      </c>
      <c r="Y52" s="40" t="n">
        <f aca="false">Y37-Y39-Y51</f>
        <v>-1085.60863845938</v>
      </c>
      <c r="Z52" s="40" t="n">
        <f aca="false">Z37-Z39-Z51</f>
        <v>963.500389636356</v>
      </c>
      <c r="AA52" s="40" t="n">
        <f aca="false">AA37-AA39-AA51</f>
        <v>-7509.75590221979</v>
      </c>
      <c r="AB52" s="40" t="n">
        <f aca="false">AB37-AB39-AB51</f>
        <v>-1178.82103206396</v>
      </c>
      <c r="AC52" s="40" t="n">
        <f aca="false">AC37-AC39-AC51</f>
        <v>4962.17946105232</v>
      </c>
      <c r="AD52" s="40" t="n">
        <f aca="false">AD37-AD39-AD51</f>
        <v>10918.9437983747</v>
      </c>
      <c r="AE52" s="40" t="n">
        <f aca="false">AE37-AE39-AE51</f>
        <v>16696.9992488129</v>
      </c>
      <c r="AF52" s="40" t="n">
        <f aca="false">AF37-AF39-AF51</f>
        <v>22301.7072576827</v>
      </c>
      <c r="AG52" s="40" t="n">
        <f aca="false">AG37-AG39-AG51</f>
        <v>22738.2684215783</v>
      </c>
      <c r="AH52" s="40" t="n">
        <f aca="false">AH37-AH39-AH51</f>
        <v>33011.7273139958</v>
      </c>
      <c r="AI52" s="40" t="n">
        <f aca="false">AI37-AI39-AI51</f>
        <v>38126.977166182</v>
      </c>
      <c r="AJ52" s="40" t="n">
        <f aca="false">AJ37-AJ39-AJ51</f>
        <v>43088.7644075527</v>
      </c>
      <c r="AK52" s="40" t="n">
        <f aca="false">AK37-AK39-AK51</f>
        <v>47901.693069895</v>
      </c>
      <c r="AL52" s="40" t="n">
        <f aca="false">AL37-AL39-AL51</f>
        <v>52570.2290594384</v>
      </c>
      <c r="AN52" s="40" t="n">
        <f aca="false">SUM(C52:N52)</f>
        <v>-105525.206697484</v>
      </c>
      <c r="AO52" s="40" t="n">
        <f aca="false">SUM(O52:Z52)</f>
        <v>-104642.141413248</v>
      </c>
      <c r="AP52" s="40" t="n">
        <f aca="false">SUM(AA52:AL52)</f>
        <v>283628.912270281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0</v>
      </c>
      <c r="Z53" s="13" t="n">
        <f aca="false">IF(Z52&gt;0,1,0)</f>
        <v>1</v>
      </c>
      <c r="AA53" s="13" t="n">
        <f aca="false">IF(AA52&gt;0,1,0)</f>
        <v>0</v>
      </c>
      <c r="AB53" s="13" t="n">
        <f aca="false">IF(AB52&gt;0,1,0)</f>
        <v>0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117.166543333333</v>
      </c>
      <c r="H55" s="15" t="n">
        <f aca="false">G27</f>
        <v>111.308099000123</v>
      </c>
      <c r="I55" s="15" t="n">
        <f aca="false">H27</f>
        <v>105.742582742018</v>
      </c>
      <c r="J55" s="15" t="n">
        <f aca="false">I27</f>
        <v>349.236866183842</v>
      </c>
      <c r="K55" s="15" t="n">
        <f aca="false">J27</f>
        <v>585.426077628127</v>
      </c>
      <c r="L55" s="15" t="n">
        <f aca="false">K27</f>
        <v>814.529376539872</v>
      </c>
      <c r="M55" s="15" t="n">
        <f aca="false">L27</f>
        <v>1036.75934738097</v>
      </c>
      <c r="N55" s="15" t="n">
        <f aca="false">M27</f>
        <v>1252.32219686686</v>
      </c>
      <c r="O55" s="15" t="n">
        <f aca="false">N27</f>
        <v>1461.41794530532</v>
      </c>
      <c r="P55" s="15" t="n">
        <f aca="false">O27</f>
        <v>2239.79616775044</v>
      </c>
      <c r="Q55" s="15" t="n">
        <f aca="false">P27</f>
        <v>2994.82226514398</v>
      </c>
      <c r="R55" s="15" t="n">
        <f aca="false">Q27</f>
        <v>3727.19682458962</v>
      </c>
      <c r="S55" s="15" t="n">
        <f aca="false">R27</f>
        <v>4437.59941487733</v>
      </c>
      <c r="T55" s="15" t="n">
        <f aca="false">S27</f>
        <v>5126.68921705382</v>
      </c>
      <c r="U55" s="15" t="n">
        <f aca="false">T27</f>
        <v>5795.10563607521</v>
      </c>
      <c r="V55" s="15" t="n">
        <f aca="false">U27</f>
        <v>6443.46889410954</v>
      </c>
      <c r="W55" s="15" t="n">
        <f aca="false">V27</f>
        <v>7072.38060603958</v>
      </c>
      <c r="X55" s="15" t="n">
        <f aca="false">W27</f>
        <v>7682.42433770001</v>
      </c>
      <c r="Y55" s="15" t="n">
        <f aca="false">X27</f>
        <v>8274.16614736689</v>
      </c>
      <c r="Z55" s="15" t="n">
        <f aca="false">Y27</f>
        <v>8848.15511100196</v>
      </c>
      <c r="AA55" s="15" t="n">
        <f aca="false">Z27</f>
        <v>9404.92383173901</v>
      </c>
      <c r="AB55" s="15" t="n">
        <f aca="false">AA27</f>
        <v>11178.3222674186</v>
      </c>
      <c r="AC55" s="15" t="n">
        <f aca="false">AB27</f>
        <v>12898.5169766293</v>
      </c>
      <c r="AD55" s="15" t="n">
        <f aca="false">AC27</f>
        <v>14567.104124369</v>
      </c>
      <c r="AE55" s="15" t="n">
        <f aca="false">AD27</f>
        <v>16185.6319890894</v>
      </c>
      <c r="AF55" s="15" t="n">
        <f aca="false">AE27</f>
        <v>17755.6023993403</v>
      </c>
      <c r="AG55" s="15" t="n">
        <f aca="false">AF27</f>
        <v>19278.4721273132</v>
      </c>
      <c r="AH55" s="15" t="n">
        <f aca="false">AG27</f>
        <v>20755.6542405772</v>
      </c>
      <c r="AI55" s="15" t="n">
        <f aca="false">AH27</f>
        <v>22188.5194132612</v>
      </c>
      <c r="AJ55" s="15" t="n">
        <f aca="false">AI27</f>
        <v>23578.3971978995</v>
      </c>
      <c r="AK55" s="15" t="n">
        <f aca="false">AJ27</f>
        <v>24926.5772591209</v>
      </c>
      <c r="AL55" s="15" t="n">
        <f aca="false">AK27</f>
        <v>26234.3105703256</v>
      </c>
      <c r="AN55" s="15" t="n">
        <f aca="false">SUM(C55:N55)</f>
        <v>4495.82442300847</v>
      </c>
      <c r="AO55" s="15" t="n">
        <f aca="false">SUM(O55:Z55)</f>
        <v>64103.2225670137</v>
      </c>
      <c r="AP55" s="15" t="n">
        <f aca="false">SUM(AA55:AL55)</f>
        <v>218952.032397083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2895.52230471333</v>
      </c>
      <c r="H56" s="15" t="n">
        <f aca="false">(G36+G39+G43+G44+G45+G47+G48+G49+G50)*Hypothèses!$D$15</f>
        <v>2894.16282895536</v>
      </c>
      <c r="I56" s="15" t="n">
        <f aca="false">(H36+H39+H43+H44+H45+H47+H48+H49+H50)*Hypothèses!$D$15</f>
        <v>2892.87132834477</v>
      </c>
      <c r="J56" s="15" t="n">
        <f aca="false">(I36+I39+I43+I44+I45+I47+I48+I49+I50)*Hypothèses!$D$15</f>
        <v>2181.04183062309</v>
      </c>
      <c r="K56" s="15" t="n">
        <f aca="false">(J36+J39+J43+J44+J45+J47+J48+J49+J50)*Hypothèses!$D$15</f>
        <v>1235.85049466257</v>
      </c>
      <c r="L56" s="15" t="n">
        <f aca="false">(K36+K39+K43+K44+K45+K47+K48+K49+K50)*Hypothèses!$D$15</f>
        <v>1289.0148439722</v>
      </c>
      <c r="M56" s="15" t="n">
        <f aca="false">(L36+L39+L43+L44+L45+L47+L48+L49+L50)*Hypothèses!$D$15</f>
        <v>1340.58420963819</v>
      </c>
      <c r="N56" s="15" t="n">
        <f aca="false">(M36+M39+M43+M44+M45+M47+M48+M49+M50)*Hypothèses!$D$15</f>
        <v>1390.60644276483</v>
      </c>
      <c r="O56" s="15" t="n">
        <f aca="false">(N36+N39+N43+N44+N45+N47+N48+N49+N50)*Hypothèses!$D$15</f>
        <v>1439.12795887545</v>
      </c>
      <c r="P56" s="15" t="n">
        <f aca="false">(O36+O39+O43+O44+O45+O47+O48+O49+O50)*Hypothèses!$D$15</f>
        <v>3019.75378098122</v>
      </c>
      <c r="Q56" s="15" t="n">
        <f aca="false">(P36+P39+P43+P44+P45+P47+P48+P49+P50)*Hypothèses!$D$15</f>
        <v>3194.96064779801</v>
      </c>
      <c r="R56" s="15" t="n">
        <f aca="false">(Q36+Q39+Q43+Q44+Q45+Q47+Q48+Q49+Q50)*Hypothèses!$D$15</f>
        <v>3364.91113340342</v>
      </c>
      <c r="S56" s="15" t="n">
        <f aca="false">(R36+R39+R43+R44+R45+R47+R48+R49+R50)*Hypothèses!$D$15</f>
        <v>3529.76293449018</v>
      </c>
      <c r="T56" s="15" t="n">
        <f aca="false">(S36+S39+S43+S44+S45+S47+S48+S49+S50)*Hypothèses!$D$15</f>
        <v>3689.66901669254</v>
      </c>
      <c r="U56" s="15" t="n">
        <f aca="false">(T36+T39+T43+T44+T45+T47+T48+T49+T50)*Hypothèses!$D$15</f>
        <v>3844.77775652275</v>
      </c>
      <c r="V56" s="15" t="n">
        <f aca="false">(U36+U39+U43+U44+U45+U47+U48+U49+U50)*Hypothèses!$D$15</f>
        <v>4995.23307904931</v>
      </c>
      <c r="W56" s="15" t="n">
        <f aca="false">(V36+V39+V43+V44+V45+V47+V48+V49+V50)*Hypothèses!$D$15</f>
        <v>4141.17459144475</v>
      </c>
      <c r="X56" s="15" t="n">
        <f aca="false">(W36+W39+W43+W44+W45+W47+W48+W49+W50)*Hypothèses!$D$15</f>
        <v>4282.73771252682</v>
      </c>
      <c r="Y56" s="15" t="n">
        <f aca="false">(X36+X39+X43+X44+X45+X47+X48+X49+X50)*Hypothèses!$D$15</f>
        <v>4420.0537984133</v>
      </c>
      <c r="Z56" s="15" t="n">
        <f aca="false">(Y36+Y39+Y43+Y44+Y45+Y47+Y48+Y49+Y50)*Hypothèses!$D$15</f>
        <v>4553.2502644071</v>
      </c>
      <c r="AA56" s="15" t="n">
        <f aca="false">(Z36+Z39+Z43+Z44+Z45+Z47+Z48+Z49+Z50)*Hypothèses!$D$15</f>
        <v>4682.45070322463</v>
      </c>
      <c r="AB56" s="15" t="n">
        <f aca="false">(AA36+AA39+AA43+AA44+AA45+AA47+AA48+AA49+AA50)*Hypothèses!$D$15</f>
        <v>8093.97499967718</v>
      </c>
      <c r="AC56" s="15" t="n">
        <f aca="false">(AB36+AB39+AB43+AB44+AB45+AB47+AB48+AB49+AB50)*Hypothèses!$D$15</f>
        <v>8493.15315571187</v>
      </c>
      <c r="AD56" s="15" t="n">
        <f aca="false">(AC36+AC39+AC43+AC44+AC45+AC47+AC48+AC49+AC50)*Hypothèses!$D$15</f>
        <v>8880.35556788736</v>
      </c>
      <c r="AE56" s="15" t="n">
        <f aca="false">(AD36+AD39+AD43+AD44+AD45+AD47+AD48+AD49+AD50)*Hypothèses!$D$15</f>
        <v>9255.94152049517</v>
      </c>
      <c r="AF56" s="15" t="n">
        <f aca="false">(AE36+AE39+AE43+AE44+AE45+AE47+AE48+AE49+AE50)*Hypothèses!$D$15</f>
        <v>9620.25951893879</v>
      </c>
      <c r="AG56" s="15" t="n">
        <f aca="false">(AF36+AF39+AF43+AF44+AF45+AF47+AF48+AF49+AF50)*Hypothèses!$D$15</f>
        <v>9973.64761311111</v>
      </c>
      <c r="AH56" s="15" t="n">
        <f aca="false">(AG36+AG39+AG43+AG44+AG45+AG47+AG48+AG49+AG50)*Hypothèses!$D$15</f>
        <v>11316.4337110702</v>
      </c>
      <c r="AI56" s="15" t="n">
        <f aca="false">(AH36+AH39+AH43+AH44+AH45+AH47+AH48+AH49+AH50)*Hypothèses!$D$15</f>
        <v>10648.9358833044</v>
      </c>
      <c r="AJ56" s="15" t="n">
        <f aca="false">(AI36+AI39+AI43+AI44+AI45+AI47+AI48+AI49+AI50)*Hypothèses!$D$15</f>
        <v>10971.4626578693</v>
      </c>
      <c r="AK56" s="15" t="n">
        <f aca="false">(AJ36+AJ39+AJ43+AJ44+AJ45+AJ47+AJ48+AJ49+AJ50)*Hypothèses!$D$15</f>
        <v>11284.3133066706</v>
      </c>
      <c r="AL56" s="15" t="n">
        <f aca="false">(AK36+AK39+AK43+AK44+AK45+AK47+AK48+AK49+AK50)*Hypothèses!$D$15</f>
        <v>11587.7781231572</v>
      </c>
      <c r="AN56" s="15" t="n">
        <f aca="false">SUM(C56:N56)</f>
        <v>25253.2742836743</v>
      </c>
      <c r="AO56" s="15" t="n">
        <f aca="false">SUM(O56:Z56)</f>
        <v>44475.4126746048</v>
      </c>
      <c r="AP56" s="15" t="n">
        <f aca="false">SUM(AA56:AL56)</f>
        <v>114808.706761118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-38712.3223333333</v>
      </c>
      <c r="G58" s="15" t="n">
        <f aca="false">F60</f>
        <v>-49733.159126011</v>
      </c>
      <c r="H58" s="15" t="n">
        <f aca="false">G60</f>
        <v>-60776.621198218</v>
      </c>
      <c r="I58" s="15" t="n">
        <f aca="false">H60</f>
        <v>-71841.5772633526</v>
      </c>
      <c r="J58" s="15" t="n">
        <f aca="false">I60</f>
        <v>-78073.3868161761</v>
      </c>
      <c r="K58" s="15" t="n">
        <f aca="false">J60</f>
        <v>-79157.4316322721</v>
      </c>
      <c r="L58" s="15" t="n">
        <f aca="false">K60</f>
        <v>-80352.8622365071</v>
      </c>
      <c r="M58" s="15" t="n">
        <f aca="false">L60</f>
        <v>-80686.337943851</v>
      </c>
      <c r="N58" s="15" t="n">
        <f aca="false">M60</f>
        <v>-80183.7182631656</v>
      </c>
      <c r="O58" s="15" t="n">
        <f aca="false">N60</f>
        <v>-78870.0868921871</v>
      </c>
      <c r="P58" s="15" t="n">
        <f aca="false">O60</f>
        <v>-95581.7236593027</v>
      </c>
      <c r="Q58" s="15" t="n">
        <f aca="false">P60</f>
        <v>-107964.869550657</v>
      </c>
      <c r="R58" s="15" t="n">
        <f aca="false">Q60</f>
        <v>-117507.382221014</v>
      </c>
      <c r="S58" s="15" t="n">
        <f aca="false">R60</f>
        <v>-124294.483507636</v>
      </c>
      <c r="T58" s="15" t="n">
        <f aca="false">S60</f>
        <v>-128408.838507447</v>
      </c>
      <c r="U58" s="15" t="n">
        <f aca="false">T60</f>
        <v>-129930.632281797</v>
      </c>
      <c r="V58" s="15" t="n">
        <f aca="false">U60</f>
        <v>-140437.644260013</v>
      </c>
      <c r="W58" s="15" t="n">
        <f aca="false">V60</f>
        <v>-142505.320410758</v>
      </c>
      <c r="X58" s="15" t="n">
        <f aca="false">W60</f>
        <v>-143206.843248194</v>
      </c>
      <c r="Y58" s="15" t="n">
        <f aca="false">X60</f>
        <v>-141613.199737873</v>
      </c>
      <c r="Z58" s="15" t="n">
        <f aca="false">Y60</f>
        <v>-137793.247165394</v>
      </c>
      <c r="AA58" s="15" t="n">
        <f aca="false">Z60</f>
        <v>-131813.777028931</v>
      </c>
      <c r="AB58" s="15" t="n">
        <f aca="false">AA60</f>
        <v>-132979.467014921</v>
      </c>
      <c r="AC58" s="15" t="n">
        <f aca="false">AB60</f>
        <v>-124473.103507863</v>
      </c>
      <c r="AD58" s="15" t="n">
        <f aca="false">AC60</f>
        <v>-109494.854784603</v>
      </c>
      <c r="AE58" s="15" t="n">
        <f aca="false">AD60</f>
        <v>-88238.8838735115</v>
      </c>
      <c r="AF58" s="15" t="n">
        <f aca="false">AE60</f>
        <v>-60893.528717946</v>
      </c>
      <c r="AG58" s="15" t="n">
        <f aca="false">AF60</f>
        <v>-27641.4769346247</v>
      </c>
      <c r="AH58" s="15" t="n">
        <f aca="false">AG60</f>
        <v>6340.06467092296</v>
      </c>
      <c r="AI58" s="15" t="n">
        <f aca="false">AH60</f>
        <v>51879.2056745403</v>
      </c>
      <c r="AJ58" s="15" t="n">
        <f aca="false">AI60</f>
        <v>101809.212536686</v>
      </c>
      <c r="AK58" s="15" t="n">
        <f aca="false">AJ60</f>
        <v>156968.353890738</v>
      </c>
      <c r="AL58" s="15" t="n">
        <f aca="false">AK60</f>
        <v>217199.750472805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-10397.3223333333</v>
      </c>
      <c r="F59" s="15" t="n">
        <f aca="false">F31-F36-F39-F51-F55+F56+F57</f>
        <v>-11020.8367926777</v>
      </c>
      <c r="G59" s="15" t="n">
        <f aca="false">G31-G36-G39-G51-G55+G56+G57</f>
        <v>-11043.462072207</v>
      </c>
      <c r="H59" s="15" t="n">
        <f aca="false">H31-H36-H39-H51-H55+H56+H57</f>
        <v>-11064.9560651346</v>
      </c>
      <c r="I59" s="15" t="n">
        <f aca="false">I31-I36-I39-I51-I55+I56+I57</f>
        <v>-6231.80955282357</v>
      </c>
      <c r="J59" s="15" t="n">
        <f aca="false">J31-J36-J39-J51-J55+J56+J57</f>
        <v>-1084.04481609598</v>
      </c>
      <c r="K59" s="15" t="n">
        <f aca="false">K31-K36-K39-K51-K55+K56+K57</f>
        <v>-1195.43060423495</v>
      </c>
      <c r="L59" s="15" t="n">
        <f aca="false">L31-L36-L39-L51-L55+L56+L57</f>
        <v>-333.475707343965</v>
      </c>
      <c r="M59" s="15" t="n">
        <f aca="false">M31-M36-M39-M51-M55+M56+M57</f>
        <v>502.619680685396</v>
      </c>
      <c r="N59" s="15" t="n">
        <f aca="false">N31-N36-N39-N51-N55+N56+N57</f>
        <v>1313.63137097849</v>
      </c>
      <c r="O59" s="15" t="n">
        <f aca="false">O31-O36-O39-O51-O55+O56+O57</f>
        <v>-16711.6367671156</v>
      </c>
      <c r="P59" s="15" t="n">
        <f aca="false">P31-P36-P39-P51-P55+P56+P57</f>
        <v>-12383.1458913542</v>
      </c>
      <c r="Q59" s="15" t="n">
        <f aca="false">Q31-Q36-Q39-Q51-Q55+Q56+Q57</f>
        <v>-9542.5126703566</v>
      </c>
      <c r="R59" s="15" t="n">
        <f aca="false">R31-R36-R39-R51-R55+R56+R57</f>
        <v>-6787.10128662212</v>
      </c>
      <c r="S59" s="15" t="n">
        <f aca="false">S31-S36-S39-S51-S55+S56+S57</f>
        <v>-4114.35499981105</v>
      </c>
      <c r="T59" s="15" t="n">
        <f aca="false">T31-T36-T39-T51-T55+T56+T57</f>
        <v>-1521.79377435061</v>
      </c>
      <c r="U59" s="15" t="n">
        <f aca="false">U31-U36-U39-U51-U55+U56+U57</f>
        <v>-10507.0119782152</v>
      </c>
      <c r="V59" s="15" t="n">
        <f aca="false">V31-V36-V39-V51-V55+V56+V57</f>
        <v>-2067.67615074566</v>
      </c>
      <c r="W59" s="15" t="n">
        <f aca="false">W31-W36-W39-W51-W55+W56+W57</f>
        <v>-701.522837436036</v>
      </c>
      <c r="X59" s="15" t="n">
        <f aca="false">X31-X36-X39-X51-X55+X56+X57</f>
        <v>1593.64351032101</v>
      </c>
      <c r="Y59" s="15" t="n">
        <f aca="false">Y31-Y36-Y39-Y51-Y55+Y56+Y57</f>
        <v>3819.95257247896</v>
      </c>
      <c r="Z59" s="15" t="n">
        <f aca="false">Z31-Z36-Z39-Z51-Z55+Z56+Z57</f>
        <v>5979.47013646312</v>
      </c>
      <c r="AA59" s="15" t="n">
        <f aca="false">AA31-AA36-AA39-AA51-AA55+AA56+AA57</f>
        <v>-1165.6899859898</v>
      </c>
      <c r="AB59" s="15" t="n">
        <f aca="false">AB31-AB36-AB39-AB51-AB55+AB56+AB57</f>
        <v>8506.36350705767</v>
      </c>
      <c r="AC59" s="15" t="n">
        <f aca="false">AC31-AC36-AC39-AC51-AC55+AC56+AC57</f>
        <v>14978.2487232602</v>
      </c>
      <c r="AD59" s="15" t="n">
        <f aca="false">AD31-AD36-AD39-AD51-AD55+AD56+AD57</f>
        <v>21255.9709110915</v>
      </c>
      <c r="AE59" s="15" t="n">
        <f aca="false">AE31-AE36-AE39-AE51-AE55+AE56+AE57</f>
        <v>27345.3551555656</v>
      </c>
      <c r="AF59" s="15" t="n">
        <f aca="false">AF31-AF36-AF39-AF51-AF55+AF56+AF57</f>
        <v>33252.0517833213</v>
      </c>
      <c r="AG59" s="15" t="n">
        <f aca="false">AG31-AG36-AG39-AG51-AG55+AG56+AG57</f>
        <v>33981.5416055476</v>
      </c>
      <c r="AH59" s="15" t="n">
        <f aca="false">AH31-AH36-AH39-AH51-AH55+AH56+AH57</f>
        <v>45539.1410036174</v>
      </c>
      <c r="AI59" s="15" t="n">
        <f aca="false">AI31-AI36-AI39-AI51-AI55+AI56+AI57</f>
        <v>49930.0068621456</v>
      </c>
      <c r="AJ59" s="15" t="n">
        <f aca="false">AJ31-AJ36-AJ39-AJ51-AJ55+AJ56+AJ57</f>
        <v>55159.1413540522</v>
      </c>
      <c r="AK59" s="15" t="n">
        <f aca="false">AK31-AK36-AK39-AK51-AK55+AK56+AK57</f>
        <v>60231.396582067</v>
      </c>
      <c r="AL59" s="15" t="n">
        <f aca="false">AL31-AL36-AL39-AL51-AL55+AL56+AL57</f>
        <v>65151.4790809862</v>
      </c>
      <c r="AN59" s="15" t="n">
        <f aca="false">SUM(C59:N59)</f>
        <v>-78870.0868921871</v>
      </c>
      <c r="AO59" s="15" t="n">
        <f aca="false">SUM(O59:Z59)</f>
        <v>-52943.690136744</v>
      </c>
      <c r="AP59" s="15" t="n">
        <f aca="false">SUM(AA59:AL59)</f>
        <v>414165.006582723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-38712.3223333333</v>
      </c>
      <c r="F60" s="40" t="n">
        <f aca="false">F58+F59</f>
        <v>-49733.159126011</v>
      </c>
      <c r="G60" s="40" t="n">
        <f aca="false">G58+G59</f>
        <v>-60776.621198218</v>
      </c>
      <c r="H60" s="40" t="n">
        <f aca="false">H58+H59</f>
        <v>-71841.5772633526</v>
      </c>
      <c r="I60" s="40" t="n">
        <f aca="false">I58+I59</f>
        <v>-78073.3868161761</v>
      </c>
      <c r="J60" s="40" t="n">
        <f aca="false">J58+J59</f>
        <v>-79157.4316322721</v>
      </c>
      <c r="K60" s="40" t="n">
        <f aca="false">K58+K59</f>
        <v>-80352.8622365071</v>
      </c>
      <c r="L60" s="40" t="n">
        <f aca="false">L58+L59</f>
        <v>-80686.337943851</v>
      </c>
      <c r="M60" s="40" t="n">
        <f aca="false">M58+M59</f>
        <v>-80183.7182631656</v>
      </c>
      <c r="N60" s="40" t="n">
        <f aca="false">N58+N59</f>
        <v>-78870.0868921871</v>
      </c>
      <c r="O60" s="40" t="n">
        <f aca="false">O58+O59</f>
        <v>-95581.7236593027</v>
      </c>
      <c r="P60" s="40" t="n">
        <f aca="false">P58+P59</f>
        <v>-107964.869550657</v>
      </c>
      <c r="Q60" s="40" t="n">
        <f aca="false">Q58+Q59</f>
        <v>-117507.382221014</v>
      </c>
      <c r="R60" s="40" t="n">
        <f aca="false">R58+R59</f>
        <v>-124294.483507636</v>
      </c>
      <c r="S60" s="40" t="n">
        <f aca="false">S58+S59</f>
        <v>-128408.838507447</v>
      </c>
      <c r="T60" s="40" t="n">
        <f aca="false">T58+T59</f>
        <v>-129930.632281797</v>
      </c>
      <c r="U60" s="40" t="n">
        <f aca="false">U58+U59</f>
        <v>-140437.644260013</v>
      </c>
      <c r="V60" s="40" t="n">
        <f aca="false">V58+V59</f>
        <v>-142505.320410758</v>
      </c>
      <c r="W60" s="40" t="n">
        <f aca="false">W58+W59</f>
        <v>-143206.843248194</v>
      </c>
      <c r="X60" s="40" t="n">
        <f aca="false">X58+X59</f>
        <v>-141613.199737873</v>
      </c>
      <c r="Y60" s="40" t="n">
        <f aca="false">Y58+Y59</f>
        <v>-137793.247165394</v>
      </c>
      <c r="Z60" s="40" t="n">
        <f aca="false">Z58+Z59</f>
        <v>-131813.777028931</v>
      </c>
      <c r="AA60" s="40" t="n">
        <f aca="false">AA58+AA59</f>
        <v>-132979.467014921</v>
      </c>
      <c r="AB60" s="40" t="n">
        <f aca="false">AB58+AB59</f>
        <v>-124473.103507863</v>
      </c>
      <c r="AC60" s="40" t="n">
        <f aca="false">AC58+AC59</f>
        <v>-109494.854784603</v>
      </c>
      <c r="AD60" s="40" t="n">
        <f aca="false">AD58+AD59</f>
        <v>-88238.8838735115</v>
      </c>
      <c r="AE60" s="40" t="n">
        <f aca="false">AE58+AE59</f>
        <v>-60893.528717946</v>
      </c>
      <c r="AF60" s="40" t="n">
        <f aca="false">AF58+AF59</f>
        <v>-27641.4769346247</v>
      </c>
      <c r="AG60" s="40" t="n">
        <f aca="false">AG58+AG59</f>
        <v>6340.06467092296</v>
      </c>
      <c r="AH60" s="40" t="n">
        <f aca="false">AH58+AH59</f>
        <v>51879.2056745403</v>
      </c>
      <c r="AI60" s="40" t="n">
        <f aca="false">AI58+AI59</f>
        <v>101809.212536686</v>
      </c>
      <c r="AJ60" s="40" t="n">
        <f aca="false">AJ58+AJ59</f>
        <v>156968.353890738</v>
      </c>
      <c r="AK60" s="40" t="n">
        <f aca="false">AK58+AK59</f>
        <v>217199.750472805</v>
      </c>
      <c r="AL60" s="40" t="n">
        <f aca="false">AL58+AL59</f>
        <v>282351.229553791</v>
      </c>
      <c r="AN60" s="40" t="n">
        <f aca="false">N60</f>
        <v>-78870.0868921871</v>
      </c>
      <c r="AO60" s="40" t="n">
        <f aca="false">Z60</f>
        <v>-131813.777028931</v>
      </c>
      <c r="AP60" s="40" t="n">
        <f aca="false">AL60</f>
        <v>282351.229553791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-38712.3223333333</v>
      </c>
      <c r="F62" s="40" t="n">
        <f aca="false">F60-F61</f>
        <v>-49733.159126011</v>
      </c>
      <c r="G62" s="40" t="n">
        <f aca="false">G60-G61</f>
        <v>-60776.621198218</v>
      </c>
      <c r="H62" s="40" t="n">
        <f aca="false">H60-H61</f>
        <v>-71841.5772633526</v>
      </c>
      <c r="I62" s="40" t="n">
        <f aca="false">I60-I61</f>
        <v>-78073.3868161761</v>
      </c>
      <c r="J62" s="40" t="n">
        <f aca="false">J60-J61</f>
        <v>-79157.4316322721</v>
      </c>
      <c r="K62" s="40" t="n">
        <f aca="false">K60-K61</f>
        <v>-80352.8622365071</v>
      </c>
      <c r="L62" s="40" t="n">
        <f aca="false">L60-L61</f>
        <v>-80686.337943851</v>
      </c>
      <c r="M62" s="40" t="n">
        <f aca="false">M60-M61</f>
        <v>-80183.7182631656</v>
      </c>
      <c r="N62" s="40" t="n">
        <f aca="false">N60-N61</f>
        <v>-78870.0868921871</v>
      </c>
      <c r="O62" s="40" t="n">
        <f aca="false">O60-O61</f>
        <v>-95581.7236593027</v>
      </c>
      <c r="P62" s="40" t="n">
        <f aca="false">P60-P61</f>
        <v>-107964.869550657</v>
      </c>
      <c r="Q62" s="40" t="n">
        <f aca="false">Q60-Q61</f>
        <v>-117507.382221014</v>
      </c>
      <c r="R62" s="40" t="n">
        <f aca="false">R60-R61</f>
        <v>-124294.483507636</v>
      </c>
      <c r="S62" s="40" t="n">
        <f aca="false">S60-S61</f>
        <v>-128408.838507447</v>
      </c>
      <c r="T62" s="40" t="n">
        <f aca="false">T60-T61</f>
        <v>-129930.632281797</v>
      </c>
      <c r="U62" s="40" t="n">
        <f aca="false">U60-U61</f>
        <v>-140437.644260013</v>
      </c>
      <c r="V62" s="40" t="n">
        <f aca="false">V60-V61</f>
        <v>-142505.320410758</v>
      </c>
      <c r="W62" s="40" t="n">
        <f aca="false">W60-W61</f>
        <v>-143206.843248194</v>
      </c>
      <c r="X62" s="40" t="n">
        <f aca="false">X60-X61</f>
        <v>-141613.199737873</v>
      </c>
      <c r="Y62" s="40" t="n">
        <f aca="false">Y60-Y61</f>
        <v>-137793.247165394</v>
      </c>
      <c r="Z62" s="40" t="n">
        <f aca="false">Z60-Z61</f>
        <v>-131813.777028931</v>
      </c>
      <c r="AA62" s="40" t="n">
        <f aca="false">AA60-AA61</f>
        <v>-132979.467014921</v>
      </c>
      <c r="AB62" s="40" t="n">
        <f aca="false">AB60-AB61</f>
        <v>-124473.103507863</v>
      </c>
      <c r="AC62" s="40" t="n">
        <f aca="false">AC60-AC61</f>
        <v>-109494.854784603</v>
      </c>
      <c r="AD62" s="40" t="n">
        <f aca="false">AD60-AD61</f>
        <v>-88238.8838735115</v>
      </c>
      <c r="AE62" s="40" t="n">
        <f aca="false">AE60-AE61</f>
        <v>-60893.528717946</v>
      </c>
      <c r="AF62" s="40" t="n">
        <f aca="false">AF60-AF61</f>
        <v>-27641.4769346247</v>
      </c>
      <c r="AG62" s="40" t="n">
        <f aca="false">AG60-AG61</f>
        <v>6340.06467092296</v>
      </c>
      <c r="AH62" s="40" t="n">
        <f aca="false">AH60-AH61</f>
        <v>51879.2056745403</v>
      </c>
      <c r="AI62" s="40" t="n">
        <f aca="false">AI60-AI61</f>
        <v>101809.212536686</v>
      </c>
      <c r="AJ62" s="40" t="n">
        <f aca="false">AJ60-AJ61</f>
        <v>156968.353890738</v>
      </c>
      <c r="AK62" s="40" t="n">
        <f aca="false">AK60-AK61</f>
        <v>217199.750472805</v>
      </c>
      <c r="AL62" s="40" t="n">
        <f aca="false">AL60-AL61</f>
        <v>282351.229553791</v>
      </c>
      <c r="AN62" s="40" t="n">
        <f aca="false">N62</f>
        <v>-78870.0868921871</v>
      </c>
      <c r="AO62" s="40" t="n">
        <f aca="false">Z62</f>
        <v>-131813.777028931</v>
      </c>
      <c r="AP62" s="40" t="n">
        <f aca="false">AL62</f>
        <v>282351.229553791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-38712.3223333333</v>
      </c>
      <c r="F63" s="15" t="n">
        <f aca="false">MIN(E63,F62)</f>
        <v>-49733.159126011</v>
      </c>
      <c r="G63" s="15" t="n">
        <f aca="false">MIN(F63,G62)</f>
        <v>-60776.621198218</v>
      </c>
      <c r="H63" s="15" t="n">
        <f aca="false">MIN(G63,H62)</f>
        <v>-71841.5772633526</v>
      </c>
      <c r="I63" s="15" t="n">
        <f aca="false">MIN(H63,I62)</f>
        <v>-78073.3868161761</v>
      </c>
      <c r="J63" s="15" t="n">
        <f aca="false">MIN(I63,J62)</f>
        <v>-79157.4316322721</v>
      </c>
      <c r="K63" s="15" t="n">
        <f aca="false">MIN(J63,K62)</f>
        <v>-80352.8622365071</v>
      </c>
      <c r="L63" s="15" t="n">
        <f aca="false">MIN(K63,L62)</f>
        <v>-80686.337943851</v>
      </c>
      <c r="M63" s="15" t="n">
        <f aca="false">MIN(L63,M62)</f>
        <v>-80686.337943851</v>
      </c>
      <c r="N63" s="15" t="n">
        <f aca="false">MIN(M63,N62)</f>
        <v>-80686.337943851</v>
      </c>
      <c r="O63" s="15" t="n">
        <f aca="false">MIN(N63,O62)</f>
        <v>-95581.7236593027</v>
      </c>
      <c r="P63" s="15" t="n">
        <f aca="false">MIN(O63,P62)</f>
        <v>-107964.869550657</v>
      </c>
      <c r="Q63" s="15" t="n">
        <f aca="false">MIN(P63,Q62)</f>
        <v>-117507.382221014</v>
      </c>
      <c r="R63" s="15" t="n">
        <f aca="false">MIN(Q63,R62)</f>
        <v>-124294.483507636</v>
      </c>
      <c r="S63" s="15" t="n">
        <f aca="false">MIN(R63,S62)</f>
        <v>-128408.838507447</v>
      </c>
      <c r="T63" s="15" t="n">
        <f aca="false">MIN(S63,T62)</f>
        <v>-129930.632281797</v>
      </c>
      <c r="U63" s="15" t="n">
        <f aca="false">MIN(T63,U62)</f>
        <v>-140437.644260013</v>
      </c>
      <c r="V63" s="15" t="n">
        <f aca="false">MIN(U63,V62)</f>
        <v>-142505.320410758</v>
      </c>
      <c r="W63" s="15" t="n">
        <f aca="false">MIN(V63,W62)</f>
        <v>-143206.843248194</v>
      </c>
      <c r="X63" s="15" t="n">
        <f aca="false">MIN(W63,X62)</f>
        <v>-143206.843248194</v>
      </c>
      <c r="Y63" s="15" t="n">
        <f aca="false">MIN(X63,Y62)</f>
        <v>-143206.843248194</v>
      </c>
      <c r="Z63" s="15" t="n">
        <f aca="false">MIN(Y63,Z62)</f>
        <v>-143206.843248194</v>
      </c>
      <c r="AA63" s="15" t="n">
        <f aca="false">MIN(Z63,AA62)</f>
        <v>-143206.843248194</v>
      </c>
      <c r="AB63" s="15" t="n">
        <f aca="false">MIN(AA63,AB62)</f>
        <v>-143206.843248194</v>
      </c>
      <c r="AC63" s="15" t="n">
        <f aca="false">MIN(AB63,AC62)</f>
        <v>-143206.843248194</v>
      </c>
      <c r="AD63" s="15" t="n">
        <f aca="false">MIN(AC63,AD62)</f>
        <v>-143206.843248194</v>
      </c>
      <c r="AE63" s="15" t="n">
        <f aca="false">MIN(AD63,AE62)</f>
        <v>-143206.843248194</v>
      </c>
      <c r="AF63" s="15" t="n">
        <f aca="false">MIN(AE63,AF62)</f>
        <v>-143206.843248194</v>
      </c>
      <c r="AG63" s="15" t="n">
        <f aca="false">MIN(AF63,AG62)</f>
        <v>-143206.843248194</v>
      </c>
      <c r="AH63" s="15" t="n">
        <f aca="false">MIN(AG63,AH62)</f>
        <v>-143206.843248194</v>
      </c>
      <c r="AI63" s="15" t="n">
        <f aca="false">MIN(AH63,AI62)</f>
        <v>-143206.843248194</v>
      </c>
      <c r="AJ63" s="15" t="n">
        <f aca="false">MIN(AI63,AJ62)</f>
        <v>-143206.843248194</v>
      </c>
      <c r="AK63" s="15" t="n">
        <f aca="false">MIN(AJ63,AK62)</f>
        <v>-143206.843248194</v>
      </c>
      <c r="AL63" s="15" t="n">
        <f aca="false">MIN(AK63,AL62)</f>
        <v>-143206.843248194</v>
      </c>
      <c r="AN63" s="15" t="n">
        <f aca="false">N63</f>
        <v>-80686.337943851</v>
      </c>
      <c r="AO63" s="15" t="n">
        <f aca="false">Z63</f>
        <v>-143206.843248194</v>
      </c>
      <c r="AP63" s="15" t="n">
        <f aca="false">AL63</f>
        <v>-143206.843248194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0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7029.9926</v>
      </c>
      <c r="G66" s="15" t="n">
        <f aca="false">G28*12</f>
        <v>6678.4859400074</v>
      </c>
      <c r="H66" s="15" t="n">
        <f aca="false">H28*12</f>
        <v>6344.55496452109</v>
      </c>
      <c r="I66" s="15" t="n">
        <f aca="false">I28*12</f>
        <v>20954.2119710305</v>
      </c>
      <c r="J66" s="15" t="n">
        <f aca="false">J28*12</f>
        <v>35125.5646576876</v>
      </c>
      <c r="K66" s="15" t="n">
        <f aca="false">K28*12</f>
        <v>48871.7625923923</v>
      </c>
      <c r="L66" s="15" t="n">
        <f aca="false">L28*12</f>
        <v>62205.560842858</v>
      </c>
      <c r="M66" s="15" t="n">
        <f aca="false">M28*12</f>
        <v>75139.3318120114</v>
      </c>
      <c r="N66" s="15" t="n">
        <f aca="false">N28*12</f>
        <v>87685.0767183192</v>
      </c>
      <c r="O66" s="15" t="n">
        <f aca="false">O28*12</f>
        <v>134387.770065026</v>
      </c>
      <c r="P66" s="15" t="n">
        <f aca="false">P28*12</f>
        <v>179689.335908639</v>
      </c>
      <c r="Q66" s="15" t="n">
        <f aca="false">Q28*12</f>
        <v>223631.809475377</v>
      </c>
      <c r="R66" s="15" t="n">
        <f aca="false">R28*12</f>
        <v>266255.96489264</v>
      </c>
      <c r="S66" s="15" t="n">
        <f aca="false">S28*12</f>
        <v>307601.353023229</v>
      </c>
      <c r="T66" s="15" t="n">
        <f aca="false">T28*12</f>
        <v>347706.338164512</v>
      </c>
      <c r="U66" s="15" t="n">
        <f aca="false">U28*12</f>
        <v>386608.133646572</v>
      </c>
      <c r="V66" s="15" t="n">
        <f aca="false">V28*12</f>
        <v>424342.836362375</v>
      </c>
      <c r="W66" s="15" t="n">
        <f aca="false">W28*12</f>
        <v>460945.460262</v>
      </c>
      <c r="X66" s="15" t="n">
        <f aca="false">X28*12</f>
        <v>496449.968842013</v>
      </c>
      <c r="Y66" s="15" t="n">
        <f aca="false">Y28*12</f>
        <v>530889.306660118</v>
      </c>
      <c r="Z66" s="15" t="n">
        <f aca="false">Z28*12</f>
        <v>564295.42990434</v>
      </c>
      <c r="AA66" s="15" t="n">
        <f aca="false">AA28*12</f>
        <v>670699.336045114</v>
      </c>
      <c r="AB66" s="15" t="n">
        <f aca="false">AB28*12</f>
        <v>773911.018597758</v>
      </c>
      <c r="AC66" s="15" t="n">
        <f aca="false">AC28*12</f>
        <v>874026.24746214</v>
      </c>
      <c r="AD66" s="15" t="n">
        <f aca="false">AD28*12</f>
        <v>971137.919345362</v>
      </c>
      <c r="AE66" s="15" t="n">
        <f aca="false">AE28*12</f>
        <v>1065336.14396041</v>
      </c>
      <c r="AF66" s="15" t="n">
        <f aca="false">AF28*12</f>
        <v>1156708.32763879</v>
      </c>
      <c r="AG66" s="15" t="n">
        <f aca="false">AG28*12</f>
        <v>1245339.25443463</v>
      </c>
      <c r="AH66" s="15" t="n">
        <f aca="false">AH28*12</f>
        <v>1331311.16479567</v>
      </c>
      <c r="AI66" s="15" t="n">
        <f aca="false">AI28*12</f>
        <v>1414703.83187397</v>
      </c>
      <c r="AJ66" s="15" t="n">
        <f aca="false">AJ28*12</f>
        <v>1495594.63554725</v>
      </c>
      <c r="AK66" s="15" t="n">
        <f aca="false">AK28*12</f>
        <v>1574058.63421953</v>
      </c>
      <c r="AL66" s="15" t="n">
        <f aca="false">AL28*12</f>
        <v>1650168.63446765</v>
      </c>
      <c r="AN66" s="15" t="n">
        <f aca="false">N66</f>
        <v>87685.0767183192</v>
      </c>
      <c r="AO66" s="15" t="n">
        <f aca="false">Z66</f>
        <v>564295.42990434</v>
      </c>
      <c r="AP66" s="15" t="n">
        <f aca="false">AL66</f>
        <v>1650168.63446765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3.3046125782367</v>
      </c>
      <c r="F72" s="38" t="n">
        <f aca="false">IF(F69&gt;0,Hypothèses!$D$23*$E$4/F69,0)</f>
        <v>3.3046125782367</v>
      </c>
      <c r="G72" s="38" t="n">
        <f aca="false">IF(G69&gt;0,Hypothèses!$D$23*$E$4/G69,0)</f>
        <v>3.3046125782367</v>
      </c>
      <c r="H72" s="38" t="n">
        <f aca="false">IF(H69&gt;0,Hypothèses!$D$23*$E$4/H69,0)</f>
        <v>3.3046125782367</v>
      </c>
      <c r="I72" s="38" t="n">
        <f aca="false">IF(I69&gt;0,Hypothèses!$D$23*$E$4/I69,0)</f>
        <v>3.3046125782367</v>
      </c>
      <c r="J72" s="38" t="n">
        <f aca="false">IF(J69&gt;0,Hypothèses!$D$23*$E$4/J69,0)</f>
        <v>3.3046125782367</v>
      </c>
      <c r="K72" s="38" t="n">
        <f aca="false">IF(K69&gt;0,Hypothèses!$D$23*$E$4/K69,0)</f>
        <v>3.3046125782367</v>
      </c>
      <c r="L72" s="38" t="n">
        <f aca="false">IF(L69&gt;0,Hypothèses!$D$23*$E$4/L69,0)</f>
        <v>3.3046125782367</v>
      </c>
      <c r="M72" s="38" t="n">
        <f aca="false">IF(M69&gt;0,Hypothèses!$D$23*$E$4/M69,0)</f>
        <v>3.3046125782367</v>
      </c>
      <c r="N72" s="38" t="n">
        <f aca="false">IF(N69&gt;0,Hypothèses!$D$23*$E$4/N69,0)</f>
        <v>3.3046125782367</v>
      </c>
      <c r="O72" s="38" t="n">
        <f aca="false">IF(O69&gt;0,Hypothèses!$D$23*$E$4/O69,0)</f>
        <v>3.3046125782367</v>
      </c>
      <c r="P72" s="38" t="n">
        <f aca="false">IF(P69&gt;0,Hypothèses!$D$23*$E$4/P69,0)</f>
        <v>3.3046125782367</v>
      </c>
      <c r="Q72" s="38" t="n">
        <f aca="false">IF(Q69&gt;0,Hypothèses!$D$23*$E$4/Q69,0)</f>
        <v>3.3046125782367</v>
      </c>
      <c r="R72" s="38" t="n">
        <f aca="false">IF(R69&gt;0,Hypothèses!$D$23*$E$4/R69,0)</f>
        <v>3.3046125782367</v>
      </c>
      <c r="S72" s="38" t="n">
        <f aca="false">IF(S69&gt;0,Hypothèses!$D$23*$E$4/S69,0)</f>
        <v>3.3046125782367</v>
      </c>
      <c r="T72" s="38" t="n">
        <f aca="false">IF(T69&gt;0,Hypothèses!$D$23*$E$4/T69,0)</f>
        <v>3.3046125782367</v>
      </c>
      <c r="U72" s="38" t="n">
        <f aca="false">IF(U69&gt;0,Hypothèses!$D$23*$E$4/U69,0)</f>
        <v>3.3046125782367</v>
      </c>
      <c r="V72" s="38" t="n">
        <f aca="false">IF(V69&gt;0,Hypothèses!$D$23*$E$4/V69,0)</f>
        <v>3.3046125782367</v>
      </c>
      <c r="W72" s="38" t="n">
        <f aca="false">IF(W69&gt;0,Hypothèses!$D$23*$E$4/W69,0)</f>
        <v>3.3046125782367</v>
      </c>
      <c r="X72" s="38" t="n">
        <f aca="false">IF(X69&gt;0,Hypothèses!$D$23*$E$4/X69,0)</f>
        <v>3.3046125782367</v>
      </c>
      <c r="Y72" s="38" t="n">
        <f aca="false">IF(Y69&gt;0,Hypothèses!$D$23*$E$4/Y69,0)</f>
        <v>3.3046125782367</v>
      </c>
      <c r="Z72" s="38" t="n">
        <f aca="false">IF(Z69&gt;0,Hypothèses!$D$23*$E$4/Z69,0)</f>
        <v>3.3046125782367</v>
      </c>
      <c r="AA72" s="38" t="n">
        <f aca="false">IF(AA69&gt;0,Hypothèses!$D$23*$E$4/AA69,0)</f>
        <v>3.3046125782367</v>
      </c>
      <c r="AB72" s="38" t="n">
        <f aca="false">IF(AB69&gt;0,Hypothèses!$D$23*$E$4/AB69,0)</f>
        <v>3.3046125782367</v>
      </c>
      <c r="AC72" s="38" t="n">
        <f aca="false">IF(AC69&gt;0,Hypothèses!$D$23*$E$4/AC69,0)</f>
        <v>3.3046125782367</v>
      </c>
      <c r="AD72" s="38" t="n">
        <f aca="false">IF(AD69&gt;0,Hypothèses!$D$23*$E$4/AD69,0)</f>
        <v>3.3046125782367</v>
      </c>
      <c r="AE72" s="38" t="n">
        <f aca="false">IF(AE69&gt;0,Hypothèses!$D$23*$E$4/AE69,0)</f>
        <v>3.3046125782367</v>
      </c>
      <c r="AF72" s="38" t="n">
        <f aca="false">IF(AF69&gt;0,Hypothèses!$D$23*$E$4/AF69,0)</f>
        <v>3.3046125782367</v>
      </c>
      <c r="AG72" s="38" t="n">
        <f aca="false">IF(AG69&gt;0,Hypothèses!$D$23*$E$4/AG69,0)</f>
        <v>3.3046125782367</v>
      </c>
      <c r="AH72" s="38" t="n">
        <f aca="false">IF(AH69&gt;0,Hypothèses!$D$23*$E$4/AH69,0)</f>
        <v>3.3046125782367</v>
      </c>
      <c r="AI72" s="38" t="n">
        <f aca="false">IF(AI69&gt;0,Hypothèses!$D$23*$E$4/AI69,0)</f>
        <v>3.3046125782367</v>
      </c>
      <c r="AJ72" s="38" t="n">
        <f aca="false">IF(AJ69&gt;0,Hypothèses!$D$23*$E$4/AJ69,0)</f>
        <v>3.3046125782367</v>
      </c>
      <c r="AK72" s="38" t="n">
        <f aca="false">IF(AK69&gt;0,Hypothèses!$D$23*$E$4/AK69,0)</f>
        <v>3.3046125782367</v>
      </c>
      <c r="AL72" s="38" t="n">
        <f aca="false">IF(AL69&gt;0,Hypothèses!$D$23*$E$4/AL69,0)</f>
        <v>3.3046125782367</v>
      </c>
      <c r="AN72" s="38" t="n">
        <f aca="false">N72</f>
        <v>3.3046125782367</v>
      </c>
      <c r="AO72" s="38" t="n">
        <f aca="false">Z72</f>
        <v>3.3046125782367</v>
      </c>
      <c r="AP72" s="38" t="n">
        <f aca="false">AL72</f>
        <v>3.3046125782367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907.803843923122</v>
      </c>
      <c r="F73" s="15" t="n">
        <f aca="false">IF(Hypothèses!$D$26*$D$4&gt;0,F69/(Hypothèses!$D$26*$D$4),0)</f>
        <v>907.803843923122</v>
      </c>
      <c r="G73" s="15" t="n">
        <f aca="false">IF(Hypothèses!$D$26*$D$4&gt;0,G69/(Hypothèses!$D$26*$D$4),0)</f>
        <v>907.803843923122</v>
      </c>
      <c r="H73" s="15" t="n">
        <f aca="false">IF(Hypothèses!$D$26*$D$4&gt;0,H69/(Hypothèses!$D$26*$D$4),0)</f>
        <v>907.803843923122</v>
      </c>
      <c r="I73" s="15" t="n">
        <f aca="false">IF(Hypothèses!$D$26*$D$4&gt;0,I69/(Hypothèses!$D$26*$D$4),0)</f>
        <v>907.803843923122</v>
      </c>
      <c r="J73" s="15" t="n">
        <f aca="false">IF(Hypothèses!$D$26*$D$4&gt;0,J69/(Hypothèses!$D$26*$D$4),0)</f>
        <v>907.803843923122</v>
      </c>
      <c r="K73" s="15" t="n">
        <f aca="false">IF(Hypothèses!$D$26*$D$4&gt;0,K69/(Hypothèses!$D$26*$D$4),0)</f>
        <v>907.803843923122</v>
      </c>
      <c r="L73" s="15" t="n">
        <f aca="false">IF(Hypothèses!$D$26*$D$4&gt;0,L69/(Hypothèses!$D$26*$D$4),0)</f>
        <v>907.803843923122</v>
      </c>
      <c r="M73" s="15" t="n">
        <f aca="false">IF(Hypothèses!$D$26*$D$4&gt;0,M69/(Hypothèses!$D$26*$D$4),0)</f>
        <v>907.803843923122</v>
      </c>
      <c r="N73" s="15" t="n">
        <f aca="false">IF(Hypothèses!$D$26*$D$4&gt;0,N69/(Hypothèses!$D$26*$D$4),0)</f>
        <v>907.803843923122</v>
      </c>
      <c r="O73" s="15" t="n">
        <f aca="false">IF(Hypothèses!$D$26*$D$4&gt;0,O69/(Hypothèses!$D$26*$D$4),0)</f>
        <v>907.803843923122</v>
      </c>
      <c r="P73" s="15" t="n">
        <f aca="false">IF(Hypothèses!$D$26*$D$4&gt;0,P69/(Hypothèses!$D$26*$D$4),0)</f>
        <v>907.803843923122</v>
      </c>
      <c r="Q73" s="15" t="n">
        <f aca="false">IF(Hypothèses!$D$26*$D$4&gt;0,Q69/(Hypothèses!$D$26*$D$4),0)</f>
        <v>907.803843923122</v>
      </c>
      <c r="R73" s="15" t="n">
        <f aca="false">IF(Hypothèses!$D$26*$D$4&gt;0,R69/(Hypothèses!$D$26*$D$4),0)</f>
        <v>907.803843923121</v>
      </c>
      <c r="S73" s="15" t="n">
        <f aca="false">IF(Hypothèses!$D$26*$D$4&gt;0,S69/(Hypothèses!$D$26*$D$4),0)</f>
        <v>907.803843923122</v>
      </c>
      <c r="T73" s="15" t="n">
        <f aca="false">IF(Hypothèses!$D$26*$D$4&gt;0,T69/(Hypothèses!$D$26*$D$4),0)</f>
        <v>907.803843923122</v>
      </c>
      <c r="U73" s="15" t="n">
        <f aca="false">IF(Hypothèses!$D$26*$D$4&gt;0,U69/(Hypothèses!$D$26*$D$4),0)</f>
        <v>907.803843923122</v>
      </c>
      <c r="V73" s="15" t="n">
        <f aca="false">IF(Hypothèses!$D$26*$D$4&gt;0,V69/(Hypothèses!$D$26*$D$4),0)</f>
        <v>907.803843923121</v>
      </c>
      <c r="W73" s="15" t="n">
        <f aca="false">IF(Hypothèses!$D$26*$D$4&gt;0,W69/(Hypothèses!$D$26*$D$4),0)</f>
        <v>907.803843923122</v>
      </c>
      <c r="X73" s="15" t="n">
        <f aca="false">IF(Hypothèses!$D$26*$D$4&gt;0,X69/(Hypothèses!$D$26*$D$4),0)</f>
        <v>907.803843923122</v>
      </c>
      <c r="Y73" s="15" t="n">
        <f aca="false">IF(Hypothèses!$D$26*$D$4&gt;0,Y69/(Hypothèses!$D$26*$D$4),0)</f>
        <v>907.803843923122</v>
      </c>
      <c r="Z73" s="15" t="n">
        <f aca="false">IF(Hypothèses!$D$26*$D$4&gt;0,Z69/(Hypothèses!$D$26*$D$4),0)</f>
        <v>907.803843923121</v>
      </c>
      <c r="AA73" s="15" t="n">
        <f aca="false">IF(Hypothèses!$D$26*$D$4&gt;0,AA69/(Hypothèses!$D$26*$D$4),0)</f>
        <v>907.803843923122</v>
      </c>
      <c r="AB73" s="15" t="n">
        <f aca="false">IF(Hypothèses!$D$26*$D$4&gt;0,AB69/(Hypothèses!$D$26*$D$4),0)</f>
        <v>907.803843923122</v>
      </c>
      <c r="AC73" s="15" t="n">
        <f aca="false">IF(Hypothèses!$D$26*$D$4&gt;0,AC69/(Hypothèses!$D$26*$D$4),0)</f>
        <v>907.803843923121</v>
      </c>
      <c r="AD73" s="15" t="n">
        <f aca="false">IF(Hypothèses!$D$26*$D$4&gt;0,AD69/(Hypothèses!$D$26*$D$4),0)</f>
        <v>907.803843923122</v>
      </c>
      <c r="AE73" s="15" t="n">
        <f aca="false">IF(Hypothèses!$D$26*$D$4&gt;0,AE69/(Hypothèses!$D$26*$D$4),0)</f>
        <v>907.803843923122</v>
      </c>
      <c r="AF73" s="15" t="n">
        <f aca="false">IF(Hypothèses!$D$26*$D$4&gt;0,AF69/(Hypothèses!$D$26*$D$4),0)</f>
        <v>907.803843923122</v>
      </c>
      <c r="AG73" s="15" t="n">
        <f aca="false">IF(Hypothèses!$D$26*$D$4&gt;0,AG69/(Hypothèses!$D$26*$D$4),0)</f>
        <v>907.803843923122</v>
      </c>
      <c r="AH73" s="15" t="n">
        <f aca="false">IF(Hypothèses!$D$26*$D$4&gt;0,AH69/(Hypothèses!$D$26*$D$4),0)</f>
        <v>907.803843923122</v>
      </c>
      <c r="AI73" s="15" t="n">
        <f aca="false">IF(Hypothèses!$D$26*$D$4&gt;0,AI69/(Hypothèses!$D$26*$D$4),0)</f>
        <v>907.803843923122</v>
      </c>
      <c r="AJ73" s="15" t="n">
        <f aca="false">IF(Hypothèses!$D$26*$D$4&gt;0,AJ69/(Hypothèses!$D$26*$D$4),0)</f>
        <v>907.803843923122</v>
      </c>
      <c r="AK73" s="15" t="n">
        <f aca="false">IF(Hypothèses!$D$26*$D$4&gt;0,AK69/(Hypothèses!$D$26*$D$4),0)</f>
        <v>907.803843923122</v>
      </c>
      <c r="AL73" s="15" t="n">
        <f aca="false">IF(Hypothèses!$D$26*$D$4&gt;0,AL69/(Hypothèses!$D$26*$D$4),0)</f>
        <v>907.803843923122</v>
      </c>
      <c r="AN73" s="15" t="n">
        <f aca="false">N73</f>
        <v>907.803843923122</v>
      </c>
      <c r="AO73" s="15" t="n">
        <f aca="false">Z73</f>
        <v>907.803843923121</v>
      </c>
      <c r="AP73" s="15" t="n">
        <f aca="false">AL73</f>
        <v>907.803843923122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6.05202562615414</v>
      </c>
      <c r="F74" s="41" t="n">
        <f aca="false">IF(Hypothèses!$D$23*$E$4&gt;0,F73/(Hypothèses!$D$23*$E$4),0)</f>
        <v>6.05202562615414</v>
      </c>
      <c r="G74" s="41" t="n">
        <f aca="false">IF(Hypothèses!$D$23*$E$4&gt;0,G73/(Hypothèses!$D$23*$E$4),0)</f>
        <v>6.05202562615414</v>
      </c>
      <c r="H74" s="41" t="n">
        <f aca="false">IF(Hypothèses!$D$23*$E$4&gt;0,H73/(Hypothèses!$D$23*$E$4),0)</f>
        <v>6.05202562615414</v>
      </c>
      <c r="I74" s="41" t="n">
        <f aca="false">IF(Hypothèses!$D$23*$E$4&gt;0,I73/(Hypothèses!$D$23*$E$4),0)</f>
        <v>6.05202562615414</v>
      </c>
      <c r="J74" s="41" t="n">
        <f aca="false">IF(Hypothèses!$D$23*$E$4&gt;0,J73/(Hypothèses!$D$23*$E$4),0)</f>
        <v>6.05202562615414</v>
      </c>
      <c r="K74" s="41" t="n">
        <f aca="false">IF(Hypothèses!$D$23*$E$4&gt;0,K73/(Hypothèses!$D$23*$E$4),0)</f>
        <v>6.05202562615415</v>
      </c>
      <c r="L74" s="41" t="n">
        <f aca="false">IF(Hypothèses!$D$23*$E$4&gt;0,L73/(Hypothèses!$D$23*$E$4),0)</f>
        <v>6.05202562615414</v>
      </c>
      <c r="M74" s="41" t="n">
        <f aca="false">IF(Hypothèses!$D$23*$E$4&gt;0,M73/(Hypothèses!$D$23*$E$4),0)</f>
        <v>6.05202562615414</v>
      </c>
      <c r="N74" s="41" t="n">
        <f aca="false">IF(Hypothèses!$D$23*$E$4&gt;0,N73/(Hypothèses!$D$23*$E$4),0)</f>
        <v>6.05202562615414</v>
      </c>
      <c r="O74" s="41" t="n">
        <f aca="false">IF(Hypothèses!$D$23*$E$4&gt;0,O73/(Hypothèses!$D$23*$E$4),0)</f>
        <v>6.05202562615415</v>
      </c>
      <c r="P74" s="41" t="n">
        <f aca="false">IF(Hypothèses!$D$23*$E$4&gt;0,P73/(Hypothèses!$D$23*$E$4),0)</f>
        <v>6.05202562615414</v>
      </c>
      <c r="Q74" s="41" t="n">
        <f aca="false">IF(Hypothèses!$D$23*$E$4&gt;0,Q73/(Hypothèses!$D$23*$E$4),0)</f>
        <v>6.05202562615414</v>
      </c>
      <c r="R74" s="41" t="n">
        <f aca="false">IF(Hypothèses!$D$23*$E$4&gt;0,R73/(Hypothèses!$D$23*$E$4),0)</f>
        <v>6.05202562615414</v>
      </c>
      <c r="S74" s="41" t="n">
        <f aca="false">IF(Hypothèses!$D$23*$E$4&gt;0,S73/(Hypothèses!$D$23*$E$4),0)</f>
        <v>6.05202562615414</v>
      </c>
      <c r="T74" s="41" t="n">
        <f aca="false">IF(Hypothèses!$D$23*$E$4&gt;0,T73/(Hypothèses!$D$23*$E$4),0)</f>
        <v>6.05202562615415</v>
      </c>
      <c r="U74" s="41" t="n">
        <f aca="false">IF(Hypothèses!$D$23*$E$4&gt;0,U73/(Hypothèses!$D$23*$E$4),0)</f>
        <v>6.05202562615414</v>
      </c>
      <c r="V74" s="41" t="n">
        <f aca="false">IF(Hypothèses!$D$23*$E$4&gt;0,V73/(Hypothèses!$D$23*$E$4),0)</f>
        <v>6.05202562615414</v>
      </c>
      <c r="W74" s="41" t="n">
        <f aca="false">IF(Hypothèses!$D$23*$E$4&gt;0,W73/(Hypothèses!$D$23*$E$4),0)</f>
        <v>6.05202562615415</v>
      </c>
      <c r="X74" s="41" t="n">
        <f aca="false">IF(Hypothèses!$D$23*$E$4&gt;0,X73/(Hypothèses!$D$23*$E$4),0)</f>
        <v>6.05202562615414</v>
      </c>
      <c r="Y74" s="41" t="n">
        <f aca="false">IF(Hypothèses!$D$23*$E$4&gt;0,Y73/(Hypothèses!$D$23*$E$4),0)</f>
        <v>6.05202562615415</v>
      </c>
      <c r="Z74" s="41" t="n">
        <f aca="false">IF(Hypothèses!$D$23*$E$4&gt;0,Z73/(Hypothèses!$D$23*$E$4),0)</f>
        <v>6.05202562615414</v>
      </c>
      <c r="AA74" s="41" t="n">
        <f aca="false">IF(Hypothèses!$D$23*$E$4&gt;0,AA73/(Hypothèses!$D$23*$E$4),0)</f>
        <v>6.05202562615414</v>
      </c>
      <c r="AB74" s="41" t="n">
        <f aca="false">IF(Hypothèses!$D$23*$E$4&gt;0,AB73/(Hypothèses!$D$23*$E$4),0)</f>
        <v>6.05202562615414</v>
      </c>
      <c r="AC74" s="41" t="n">
        <f aca="false">IF(Hypothèses!$D$23*$E$4&gt;0,AC73/(Hypothèses!$D$23*$E$4),0)</f>
        <v>6.05202562615414</v>
      </c>
      <c r="AD74" s="41" t="n">
        <f aca="false">IF(Hypothèses!$D$23*$E$4&gt;0,AD73/(Hypothèses!$D$23*$E$4),0)</f>
        <v>6.05202562615414</v>
      </c>
      <c r="AE74" s="41" t="n">
        <f aca="false">IF(Hypothèses!$D$23*$E$4&gt;0,AE73/(Hypothèses!$D$23*$E$4),0)</f>
        <v>6.05202562615414</v>
      </c>
      <c r="AF74" s="41" t="n">
        <f aca="false">IF(Hypothèses!$D$23*$E$4&gt;0,AF73/(Hypothèses!$D$23*$E$4),0)</f>
        <v>6.05202562615415</v>
      </c>
      <c r="AG74" s="41" t="n">
        <f aca="false">IF(Hypothèses!$D$23*$E$4&gt;0,AG73/(Hypothèses!$D$23*$E$4),0)</f>
        <v>6.05202562615415</v>
      </c>
      <c r="AH74" s="41" t="n">
        <f aca="false">IF(Hypothèses!$D$23*$E$4&gt;0,AH73/(Hypothèses!$D$23*$E$4),0)</f>
        <v>6.05202562615414</v>
      </c>
      <c r="AI74" s="41" t="n">
        <f aca="false">IF(Hypothèses!$D$23*$E$4&gt;0,AI73/(Hypothèses!$D$23*$E$4),0)</f>
        <v>6.05202562615414</v>
      </c>
      <c r="AJ74" s="41" t="n">
        <f aca="false">IF(Hypothèses!$D$23*$E$4&gt;0,AJ73/(Hypothèses!$D$23*$E$4),0)</f>
        <v>6.05202562615415</v>
      </c>
      <c r="AK74" s="41" t="n">
        <f aca="false">IF(Hypothèses!$D$23*$E$4&gt;0,AK73/(Hypothèses!$D$23*$E$4),0)</f>
        <v>6.05202562615415</v>
      </c>
      <c r="AL74" s="41" t="n">
        <f aca="false">IF(Hypothèses!$D$23*$E$4&gt;0,AL73/(Hypothèses!$D$23*$E$4),0)</f>
        <v>6.05202562615414</v>
      </c>
      <c r="AN74" s="41" t="n">
        <f aca="false">N74</f>
        <v>6.05202562615414</v>
      </c>
      <c r="AO74" s="41" t="n">
        <f aca="false">Z74</f>
        <v>6.05202562615414</v>
      </c>
      <c r="AP74" s="41" t="n">
        <f aca="false">AL74</f>
        <v>6.05202562615414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500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0.6667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9.79999</v>
      </c>
      <c r="H13" s="38" t="n">
        <f aca="false">G18</f>
        <v>9.60398040001</v>
      </c>
      <c r="I13" s="38" t="n">
        <f aca="false">H18</f>
        <v>9.4118911880294</v>
      </c>
      <c r="J13" s="38" t="n">
        <f aca="false">I18</f>
        <v>29.4118817761382</v>
      </c>
      <c r="K13" s="38" t="n">
        <f aca="false">J18</f>
        <v>49.4118523642564</v>
      </c>
      <c r="L13" s="38" t="n">
        <f aca="false">K18</f>
        <v>69.4118029524041</v>
      </c>
      <c r="M13" s="38" t="n">
        <f aca="false">L18</f>
        <v>89.4117335406011</v>
      </c>
      <c r="N13" s="38" t="n">
        <f aca="false">M18</f>
        <v>109.411644128868</v>
      </c>
      <c r="O13" s="38" t="n">
        <f aca="false">N18</f>
        <v>129.411534717223</v>
      </c>
      <c r="P13" s="38" t="n">
        <f aca="false">O18</f>
        <v>196.078071972355</v>
      </c>
      <c r="Q13" s="38" t="n">
        <f aca="false">P18</f>
        <v>262.74454256095</v>
      </c>
      <c r="R13" s="38" t="n">
        <f aca="false">Q18</f>
        <v>329.410946483074</v>
      </c>
      <c r="S13" s="38" t="n">
        <f aca="false">R18</f>
        <v>396.077283738794</v>
      </c>
      <c r="T13" s="38" t="n">
        <f aca="false">S18</f>
        <v>462.743554328177</v>
      </c>
      <c r="U13" s="38" t="n">
        <f aca="false">T18</f>
        <v>529.40975825129</v>
      </c>
      <c r="V13" s="38" t="n">
        <f aca="false">U18</f>
        <v>596.075895508198</v>
      </c>
      <c r="W13" s="38" t="n">
        <f aca="false">V18</f>
        <v>662.741966098969</v>
      </c>
      <c r="X13" s="38" t="n">
        <f aca="false">W18</f>
        <v>729.40797002367</v>
      </c>
      <c r="Y13" s="38" t="n">
        <f aca="false">X18</f>
        <v>796.073907282366</v>
      </c>
      <c r="Z13" s="38" t="n">
        <f aca="false">Y18</f>
        <v>862.739777875126</v>
      </c>
      <c r="AA13" s="38" t="n">
        <f aca="false">Z18</f>
        <v>929.405581802014</v>
      </c>
      <c r="AB13" s="38" t="n">
        <f aca="false">AA18</f>
        <v>1096.0713190631</v>
      </c>
      <c r="AC13" s="38" t="n">
        <f aca="false">AB18</f>
        <v>1262.73688965845</v>
      </c>
      <c r="AD13" s="38" t="n">
        <f aca="false">AC18</f>
        <v>1429.40229358822</v>
      </c>
      <c r="AE13" s="38" t="n">
        <f aca="false">AD18</f>
        <v>1596.0675308526</v>
      </c>
      <c r="AF13" s="38" t="n">
        <f aca="false">AE18</f>
        <v>1762.73260145173</v>
      </c>
      <c r="AG13" s="38" t="n">
        <f aca="false">AF18</f>
        <v>1929.3975053858</v>
      </c>
      <c r="AH13" s="38" t="n">
        <f aca="false">AG18</f>
        <v>2096.06224265496</v>
      </c>
      <c r="AI13" s="38" t="n">
        <f aca="false">AH18</f>
        <v>2262.72681325938</v>
      </c>
      <c r="AJ13" s="38" t="n">
        <f aca="false">AI18</f>
        <v>2429.39121719924</v>
      </c>
      <c r="AK13" s="38" t="n">
        <f aca="false">AJ18</f>
        <v>2596.05545447469</v>
      </c>
      <c r="AL13" s="38" t="n">
        <f aca="false">AK18</f>
        <v>2762.7195250859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0.188237823760588</v>
      </c>
      <c r="J16" s="38" t="n">
        <f aca="false">J9*J13*Hypothèses!$D$24</f>
        <v>0.588237635522764</v>
      </c>
      <c r="K16" s="38" t="n">
        <f aca="false">K9*K13*Hypothèses!$D$24</f>
        <v>0.988237047285129</v>
      </c>
      <c r="L16" s="38" t="n">
        <f aca="false">L9*L13*Hypothèses!$D$24</f>
        <v>1.38823605904808</v>
      </c>
      <c r="M16" s="38" t="n">
        <f aca="false">M9*M13*Hypothèses!$D$24</f>
        <v>1.78823467081202</v>
      </c>
      <c r="N16" s="38" t="n">
        <f aca="false">N9*N13*Hypothèses!$D$24</f>
        <v>2.18823288257735</v>
      </c>
      <c r="O16" s="38" t="n">
        <f aca="false">O9*O13*Hypothèses!$D$24</f>
        <v>2.58823069434447</v>
      </c>
      <c r="P16" s="38" t="n">
        <f aca="false">P9*P13*Hypothèses!$D$24</f>
        <v>3.92156143944711</v>
      </c>
      <c r="Q16" s="38" t="n">
        <f aca="false">Q9*Q13*Hypothèses!$D$24</f>
        <v>5.254890851219</v>
      </c>
      <c r="R16" s="38" t="n">
        <f aca="false">R9*R13*Hypothèses!$D$24</f>
        <v>6.58821892966148</v>
      </c>
      <c r="S16" s="38" t="n">
        <f aca="false">S9*S13*Hypothèses!$D$24</f>
        <v>7.92154567477589</v>
      </c>
      <c r="T16" s="38" t="n">
        <f aca="false">T9*T13*Hypothèses!$D$24</f>
        <v>9.25487108656355</v>
      </c>
      <c r="U16" s="38" t="n">
        <f aca="false">U9*U13*Hypothèses!$D$24</f>
        <v>10.5881951650258</v>
      </c>
      <c r="V16" s="38" t="n">
        <f aca="false">V9*V13*Hypothèses!$D$24</f>
        <v>11.921517910164</v>
      </c>
      <c r="W16" s="38" t="n">
        <f aca="false">W9*W13*Hypothèses!$D$24</f>
        <v>13.2548393219794</v>
      </c>
      <c r="X16" s="38" t="n">
        <f aca="false">X9*X13*Hypothèses!$D$24</f>
        <v>14.5881594004734</v>
      </c>
      <c r="Y16" s="38" t="n">
        <f aca="false">Y9*Y13*Hypothèses!$D$24</f>
        <v>15.9214781456473</v>
      </c>
      <c r="Z16" s="38" t="n">
        <f aca="false">Z9*Z13*Hypothèses!$D$24</f>
        <v>17.2547955575025</v>
      </c>
      <c r="AA16" s="38" t="n">
        <f aca="false">AA9*AA13*Hypothèses!$D$24</f>
        <v>18.5881116360403</v>
      </c>
      <c r="AB16" s="38" t="n">
        <f aca="false">AB9*AB13*Hypothèses!$D$24</f>
        <v>21.921426381262</v>
      </c>
      <c r="AC16" s="38" t="n">
        <f aca="false">AC9*AC13*Hypothèses!$D$24</f>
        <v>25.2547377931689</v>
      </c>
      <c r="AD16" s="38" t="n">
        <f aca="false">AD9*AD13*Hypothèses!$D$24</f>
        <v>28.5880458717645</v>
      </c>
      <c r="AE16" s="38" t="n">
        <f aca="false">AE9*AE13*Hypothèses!$D$24</f>
        <v>31.9213506170519</v>
      </c>
      <c r="AF16" s="38" t="n">
        <f aca="false">AF9*AF13*Hypothèses!$D$24</f>
        <v>35.2546520290347</v>
      </c>
      <c r="AG16" s="38" t="n">
        <f aca="false">AG9*AG13*Hypothèses!$D$24</f>
        <v>38.587950107716</v>
      </c>
      <c r="AH16" s="38" t="n">
        <f aca="false">AH9*AH13*Hypothèses!$D$24</f>
        <v>41.9212448530992</v>
      </c>
      <c r="AI16" s="38" t="n">
        <f aca="false">AI9*AI13*Hypothèses!$D$24</f>
        <v>45.2545362651877</v>
      </c>
      <c r="AJ16" s="38" t="n">
        <f aca="false">AJ9*AJ13*Hypothèses!$D$24</f>
        <v>48.5878243439848</v>
      </c>
      <c r="AK16" s="38" t="n">
        <f aca="false">AK9*AK13*Hypothèses!$D$24</f>
        <v>51.9211090894937</v>
      </c>
      <c r="AL16" s="38" t="n">
        <f aca="false">AL9*AL13*Hypothèses!$D$24</f>
        <v>55.254390501718</v>
      </c>
      <c r="AN16" s="38" t="n">
        <f aca="false">SUM(C16:N16)</f>
        <v>7.12941611900594</v>
      </c>
      <c r="AO16" s="38" t="n">
        <f aca="false">SUM(O16:Z16)</f>
        <v>119.058304176804</v>
      </c>
      <c r="AP16" s="38" t="n">
        <f aca="false">SUM(AA16:AL16)</f>
        <v>443.055379489522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0.20001</v>
      </c>
      <c r="G17" s="38" t="n">
        <f aca="false">G13*Hypothèses!$D$26*$D$4</f>
        <v>0.19600959999</v>
      </c>
      <c r="H17" s="38" t="n">
        <f aca="false">H13*Hypothèses!$D$26*$D$4</f>
        <v>0.1920892119806</v>
      </c>
      <c r="I17" s="38" t="n">
        <f aca="false">I13*Hypothèses!$D$26*$D$4</f>
        <v>0.188247235651776</v>
      </c>
      <c r="J17" s="38" t="n">
        <f aca="false">J13*Hypothèses!$D$26*$D$4</f>
        <v>0.58826704740454</v>
      </c>
      <c r="K17" s="38" t="n">
        <f aca="false">K13*Hypothèses!$D$26*$D$4</f>
        <v>0.988286459137493</v>
      </c>
      <c r="L17" s="38" t="n">
        <f aca="false">L13*Hypothèses!$D$26*$D$4</f>
        <v>1.38830547085103</v>
      </c>
      <c r="M17" s="38" t="n">
        <f aca="false">M13*Hypothèses!$D$26*$D$4</f>
        <v>1.78832408254556</v>
      </c>
      <c r="N17" s="38" t="n">
        <f aca="false">N13*Hypothèses!$D$26*$D$4</f>
        <v>2.18834229422148</v>
      </c>
      <c r="O17" s="38" t="n">
        <f aca="false">O13*Hypothèses!$D$26*$D$4</f>
        <v>2.58836010587919</v>
      </c>
      <c r="P17" s="38" t="n">
        <f aca="false">P13*Hypothèses!$D$26*$D$4</f>
        <v>3.92175751751908</v>
      </c>
      <c r="Q17" s="38" t="n">
        <f aca="false">Q13*Hypothèses!$D$26*$D$4</f>
        <v>5.25515359576156</v>
      </c>
      <c r="R17" s="38" t="n">
        <f aca="false">R13*Hypothèses!$D$26*$D$4</f>
        <v>6.58854834060797</v>
      </c>
      <c r="S17" s="38" t="n">
        <f aca="false">S13*Hypothèses!$D$26*$D$4</f>
        <v>7.92194175205963</v>
      </c>
      <c r="T17" s="38" t="n">
        <f aca="false">T13*Hypothèses!$D$26*$D$4</f>
        <v>9.25533383011787</v>
      </c>
      <c r="U17" s="38" t="n">
        <f aca="false">U13*Hypothèses!$D$26*$D$4</f>
        <v>10.588724574784</v>
      </c>
      <c r="V17" s="38" t="n">
        <f aca="false">V13*Hypothèses!$D$26*$D$4</f>
        <v>11.9221139860595</v>
      </c>
      <c r="W17" s="38" t="n">
        <f aca="false">W13*Hypothèses!$D$26*$D$4</f>
        <v>13.2555020639455</v>
      </c>
      <c r="X17" s="38" t="n">
        <f aca="false">X13*Hypothèses!$D$26*$D$4</f>
        <v>14.5888888084434</v>
      </c>
      <c r="Y17" s="38" t="n">
        <f aca="false">Y13*Hypothèses!$D$26*$D$4</f>
        <v>15.9222742195546</v>
      </c>
      <c r="Z17" s="38" t="n">
        <f aca="false">Z13*Hypothèses!$D$26*$D$4</f>
        <v>17.2556582972804</v>
      </c>
      <c r="AA17" s="38" t="n">
        <f aca="false">AA13*Hypothèses!$D$26*$D$4</f>
        <v>18.5890410416221</v>
      </c>
      <c r="AB17" s="38" t="n">
        <f aca="false">AB13*Hypothèses!$D$26*$D$4</f>
        <v>21.922522452581</v>
      </c>
      <c r="AC17" s="38" t="n">
        <f aca="false">AC13*Hypothèses!$D$26*$D$4</f>
        <v>25.2560005300586</v>
      </c>
      <c r="AD17" s="38" t="n">
        <f aca="false">AD13*Hypothèses!$D$26*$D$4</f>
        <v>28.5894752740581</v>
      </c>
      <c r="AE17" s="38" t="n">
        <f aca="false">AE13*Hypothèses!$D$26*$D$4</f>
        <v>31.9229466845828</v>
      </c>
      <c r="AF17" s="38" t="n">
        <f aca="false">AF13*Hypothèses!$D$26*$D$4</f>
        <v>35.2564147616361</v>
      </c>
      <c r="AG17" s="38" t="n">
        <f aca="false">AG13*Hypothèses!$D$26*$D$4</f>
        <v>38.5898795052214</v>
      </c>
      <c r="AH17" s="38" t="n">
        <f aca="false">AH13*Hypothèses!$D$26*$D$4</f>
        <v>41.9233409153418</v>
      </c>
      <c r="AI17" s="38" t="n">
        <f aca="false">AI13*Hypothèses!$D$26*$D$4</f>
        <v>45.2567989920009</v>
      </c>
      <c r="AJ17" s="38" t="n">
        <f aca="false">AJ13*Hypothèses!$D$26*$D$4</f>
        <v>48.590253735202</v>
      </c>
      <c r="AK17" s="38" t="n">
        <f aca="false">AK13*Hypothèses!$D$26*$D$4</f>
        <v>51.9237051449482</v>
      </c>
      <c r="AL17" s="38" t="n">
        <f aca="false">AL13*Hypothèses!$D$26*$D$4</f>
        <v>55.2571532212431</v>
      </c>
      <c r="AN17" s="38" t="n">
        <f aca="false">SUM(C17:N17)</f>
        <v>7.71788140178249</v>
      </c>
      <c r="AO17" s="38" t="n">
        <f aca="false">SUM(O17:Z17)</f>
        <v>119.064257092013</v>
      </c>
      <c r="AP17" s="38" t="n">
        <f aca="false">SUM(AA17:AL17)</f>
        <v>443.077532258496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9.79999</v>
      </c>
      <c r="G18" s="39" t="n">
        <f aca="false">G13+G14+G15+G16-G17</f>
        <v>9.60398040001</v>
      </c>
      <c r="H18" s="39" t="n">
        <f aca="false">H13+H14+H15+H16-H17</f>
        <v>9.4118911880294</v>
      </c>
      <c r="I18" s="39" t="n">
        <f aca="false">I13+I14+I15+I16-I17</f>
        <v>29.4118817761382</v>
      </c>
      <c r="J18" s="39" t="n">
        <f aca="false">J13+J14+J15+J16-J17</f>
        <v>49.4118523642564</v>
      </c>
      <c r="K18" s="39" t="n">
        <f aca="false">K13+K14+K15+K16-K17</f>
        <v>69.4118029524041</v>
      </c>
      <c r="L18" s="39" t="n">
        <f aca="false">L13+L14+L15+L16-L17</f>
        <v>89.4117335406011</v>
      </c>
      <c r="M18" s="39" t="n">
        <f aca="false">M13+M14+M15+M16-M17</f>
        <v>109.411644128868</v>
      </c>
      <c r="N18" s="39" t="n">
        <f aca="false">N13+N14+N15+N16-N17</f>
        <v>129.411534717223</v>
      </c>
      <c r="O18" s="39" t="n">
        <f aca="false">O13+O14+O15+O16-O17</f>
        <v>196.078071972355</v>
      </c>
      <c r="P18" s="39" t="n">
        <f aca="false">P13+P14+P15+P16-P17</f>
        <v>262.74454256095</v>
      </c>
      <c r="Q18" s="39" t="n">
        <f aca="false">Q13+Q14+Q15+Q16-Q17</f>
        <v>329.410946483074</v>
      </c>
      <c r="R18" s="39" t="n">
        <f aca="false">R13+R14+R15+R16-R17</f>
        <v>396.077283738794</v>
      </c>
      <c r="S18" s="39" t="n">
        <f aca="false">S13+S14+S15+S16-S17</f>
        <v>462.743554328177</v>
      </c>
      <c r="T18" s="39" t="n">
        <f aca="false">T13+T14+T15+T16-T17</f>
        <v>529.40975825129</v>
      </c>
      <c r="U18" s="39" t="n">
        <f aca="false">U13+U14+U15+U16-U17</f>
        <v>596.075895508198</v>
      </c>
      <c r="V18" s="39" t="n">
        <f aca="false">V13+V14+V15+V16-V17</f>
        <v>662.741966098969</v>
      </c>
      <c r="W18" s="39" t="n">
        <f aca="false">W13+W14+W15+W16-W17</f>
        <v>729.40797002367</v>
      </c>
      <c r="X18" s="39" t="n">
        <f aca="false">X13+X14+X15+X16-X17</f>
        <v>796.073907282366</v>
      </c>
      <c r="Y18" s="39" t="n">
        <f aca="false">Y13+Y14+Y15+Y16-Y17</f>
        <v>862.739777875126</v>
      </c>
      <c r="Z18" s="39" t="n">
        <f aca="false">Z13+Z14+Z15+Z16-Z17</f>
        <v>929.405581802014</v>
      </c>
      <c r="AA18" s="39" t="n">
        <f aca="false">AA13+AA14+AA15+AA16-AA17</f>
        <v>1096.0713190631</v>
      </c>
      <c r="AB18" s="39" t="n">
        <f aca="false">AB13+AB14+AB15+AB16-AB17</f>
        <v>1262.73688965845</v>
      </c>
      <c r="AC18" s="39" t="n">
        <f aca="false">AC13+AC14+AC15+AC16-AC17</f>
        <v>1429.40229358822</v>
      </c>
      <c r="AD18" s="39" t="n">
        <f aca="false">AD13+AD14+AD15+AD16-AD17</f>
        <v>1596.0675308526</v>
      </c>
      <c r="AE18" s="39" t="n">
        <f aca="false">AE13+AE14+AE15+AE16-AE17</f>
        <v>1762.73260145173</v>
      </c>
      <c r="AF18" s="39" t="n">
        <f aca="false">AF13+AF14+AF15+AF16-AF17</f>
        <v>1929.3975053858</v>
      </c>
      <c r="AG18" s="39" t="n">
        <f aca="false">AG13+AG14+AG15+AG16-AG17</f>
        <v>2096.06224265496</v>
      </c>
      <c r="AH18" s="39" t="n">
        <f aca="false">AH13+AH14+AH15+AH16-AH17</f>
        <v>2262.72681325938</v>
      </c>
      <c r="AI18" s="39" t="n">
        <f aca="false">AI13+AI14+AI15+AI16-AI17</f>
        <v>2429.39121719924</v>
      </c>
      <c r="AJ18" s="39" t="n">
        <f aca="false">AJ13+AJ14+AJ15+AJ16-AJ17</f>
        <v>2596.05545447469</v>
      </c>
      <c r="AK18" s="39" t="n">
        <f aca="false">AK13+AK14+AK15+AK16-AK17</f>
        <v>2762.7195250859</v>
      </c>
      <c r="AL18" s="39" t="n">
        <f aca="false">AL13+AL14+AL15+AL16-AL17</f>
        <v>2929.38342903304</v>
      </c>
      <c r="AN18" s="39" t="n">
        <f aca="false">N18</f>
        <v>129.411534717223</v>
      </c>
      <c r="AO18" s="39" t="n">
        <f aca="false">Z18</f>
        <v>929.405581802014</v>
      </c>
      <c r="AP18" s="39" t="n">
        <f aca="false">AL18</f>
        <v>2929.38342903304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2.4499975</v>
      </c>
      <c r="G19" s="38" t="n">
        <f aca="false">G18*Hypothèses!$D$16</f>
        <v>2.4009951000025</v>
      </c>
      <c r="H19" s="38" t="n">
        <f aca="false">H18*Hypothèses!$D$16</f>
        <v>2.35297279700735</v>
      </c>
      <c r="I19" s="38" t="n">
        <f aca="false">I18*Hypothèses!$D$16</f>
        <v>7.35297044403455</v>
      </c>
      <c r="J19" s="38" t="n">
        <f aca="false">J18*Hypothèses!$D$16</f>
        <v>12.3529630910641</v>
      </c>
      <c r="K19" s="38" t="n">
        <f aca="false">K18*Hypothèses!$D$16</f>
        <v>17.352950738101</v>
      </c>
      <c r="L19" s="38" t="n">
        <f aca="false">L18*Hypothèses!$D$16</f>
        <v>22.3529333851503</v>
      </c>
      <c r="M19" s="38" t="n">
        <f aca="false">M18*Hypothèses!$D$16</f>
        <v>27.3529110322169</v>
      </c>
      <c r="N19" s="38" t="n">
        <f aca="false">N18*Hypothèses!$D$16</f>
        <v>32.3528836793059</v>
      </c>
      <c r="O19" s="38" t="n">
        <f aca="false">O18*Hypothèses!$D$16</f>
        <v>49.0195179930889</v>
      </c>
      <c r="P19" s="38" t="n">
        <f aca="false">P18*Hypothèses!$D$16</f>
        <v>65.6861356402375</v>
      </c>
      <c r="Q19" s="38" t="n">
        <f aca="false">Q18*Hypothèses!$D$16</f>
        <v>82.3527366207686</v>
      </c>
      <c r="R19" s="38" t="n">
        <f aca="false">R18*Hypothèses!$D$16</f>
        <v>99.0193209346986</v>
      </c>
      <c r="S19" s="38" t="n">
        <f aca="false">S18*Hypothèses!$D$16</f>
        <v>115.685888582044</v>
      </c>
      <c r="T19" s="38" t="n">
        <f aca="false">T18*Hypothèses!$D$16</f>
        <v>132.352439562822</v>
      </c>
      <c r="U19" s="38" t="n">
        <f aca="false">U18*Hypothèses!$D$16</f>
        <v>149.01897387705</v>
      </c>
      <c r="V19" s="38" t="n">
        <f aca="false">V18*Hypothèses!$D$16</f>
        <v>165.685491524742</v>
      </c>
      <c r="W19" s="38" t="n">
        <f aca="false">W18*Hypothèses!$D$16</f>
        <v>182.351992505917</v>
      </c>
      <c r="X19" s="38" t="n">
        <f aca="false">X18*Hypothèses!$D$16</f>
        <v>199.018476820592</v>
      </c>
      <c r="Y19" s="38" t="n">
        <f aca="false">Y18*Hypothèses!$D$16</f>
        <v>215.684944468781</v>
      </c>
      <c r="Z19" s="38" t="n">
        <f aca="false">Z18*Hypothèses!$D$16</f>
        <v>232.351395450504</v>
      </c>
      <c r="AA19" s="38" t="n">
        <f aca="false">AA18*Hypothèses!$D$16</f>
        <v>274.017829765775</v>
      </c>
      <c r="AB19" s="38" t="n">
        <f aca="false">AB18*Hypothèses!$D$16</f>
        <v>315.684222414612</v>
      </c>
      <c r="AC19" s="38" t="n">
        <f aca="false">AC18*Hypothèses!$D$16</f>
        <v>357.350573397056</v>
      </c>
      <c r="AD19" s="38" t="n">
        <f aca="false">AD18*Hypothèses!$D$16</f>
        <v>399.016882713149</v>
      </c>
      <c r="AE19" s="38" t="n">
        <f aca="false">AE18*Hypothèses!$D$16</f>
        <v>440.683150362933</v>
      </c>
      <c r="AF19" s="38" t="n">
        <f aca="false">AF18*Hypothèses!$D$16</f>
        <v>482.34937634645</v>
      </c>
      <c r="AG19" s="38" t="n">
        <f aca="false">AG18*Hypothèses!$D$16</f>
        <v>524.01556066374</v>
      </c>
      <c r="AH19" s="38" t="n">
        <f aca="false">AH18*Hypothèses!$D$16</f>
        <v>565.681703314846</v>
      </c>
      <c r="AI19" s="38" t="n">
        <f aca="false">AI18*Hypothèses!$D$16</f>
        <v>607.347804299809</v>
      </c>
      <c r="AJ19" s="38" t="n">
        <f aca="false">AJ18*Hypothèses!$D$16</f>
        <v>649.013863618672</v>
      </c>
      <c r="AK19" s="38" t="n">
        <f aca="false">AK18*Hypothèses!$D$16</f>
        <v>690.679881271475</v>
      </c>
      <c r="AL19" s="38" t="n">
        <f aca="false">AL18*Hypothèses!$D$16</f>
        <v>732.34585725826</v>
      </c>
      <c r="AN19" s="38" t="n">
        <f aca="false">N19</f>
        <v>32.3528836793059</v>
      </c>
      <c r="AO19" s="38" t="n">
        <f aca="false">Z19</f>
        <v>232.351395450504</v>
      </c>
      <c r="AP19" s="38" t="n">
        <f aca="false">AL19</f>
        <v>732.34585725826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5.879994</v>
      </c>
      <c r="G20" s="38" t="n">
        <f aca="false">G18*Hypothèses!$D$17</f>
        <v>5.762388240006</v>
      </c>
      <c r="H20" s="38" t="n">
        <f aca="false">H18*Hypothèses!$D$17</f>
        <v>5.64713471281764</v>
      </c>
      <c r="I20" s="38" t="n">
        <f aca="false">I18*Hypothèses!$D$17</f>
        <v>17.6471290656829</v>
      </c>
      <c r="J20" s="38" t="n">
        <f aca="false">J18*Hypothèses!$D$17</f>
        <v>29.6471114185539</v>
      </c>
      <c r="K20" s="38" t="n">
        <f aca="false">K18*Hypothèses!$D$17</f>
        <v>41.6470817714424</v>
      </c>
      <c r="L20" s="38" t="n">
        <f aca="false">L18*Hypothèses!$D$17</f>
        <v>53.6470401243607</v>
      </c>
      <c r="M20" s="38" t="n">
        <f aca="false">M18*Hypothèses!$D$17</f>
        <v>65.6469864773205</v>
      </c>
      <c r="N20" s="38" t="n">
        <f aca="false">N18*Hypothèses!$D$17</f>
        <v>77.6469208303341</v>
      </c>
      <c r="O20" s="38" t="n">
        <f aca="false">O18*Hypothèses!$D$17</f>
        <v>117.646843183413</v>
      </c>
      <c r="P20" s="38" t="n">
        <f aca="false">P18*Hypothèses!$D$17</f>
        <v>157.64672553657</v>
      </c>
      <c r="Q20" s="38" t="n">
        <f aca="false">Q18*Hypothèses!$D$17</f>
        <v>197.646567889845</v>
      </c>
      <c r="R20" s="38" t="n">
        <f aca="false">R18*Hypothèses!$D$17</f>
        <v>237.646370243277</v>
      </c>
      <c r="S20" s="38" t="n">
        <f aca="false">S18*Hypothèses!$D$17</f>
        <v>277.646132596906</v>
      </c>
      <c r="T20" s="38" t="n">
        <f aca="false">T18*Hypothèses!$D$17</f>
        <v>317.645854950774</v>
      </c>
      <c r="U20" s="38" t="n">
        <f aca="false">U18*Hypothèses!$D$17</f>
        <v>357.645537304919</v>
      </c>
      <c r="V20" s="38" t="n">
        <f aca="false">V18*Hypothèses!$D$17</f>
        <v>397.645179659382</v>
      </c>
      <c r="W20" s="38" t="n">
        <f aca="false">W18*Hypothèses!$D$17</f>
        <v>437.644782014202</v>
      </c>
      <c r="X20" s="38" t="n">
        <f aca="false">X18*Hypothèses!$D$17</f>
        <v>477.64434436942</v>
      </c>
      <c r="Y20" s="38" t="n">
        <f aca="false">Y18*Hypothèses!$D$17</f>
        <v>517.643866725075</v>
      </c>
      <c r="Z20" s="38" t="n">
        <f aca="false">Z18*Hypothèses!$D$17</f>
        <v>557.643349081209</v>
      </c>
      <c r="AA20" s="38" t="n">
        <f aca="false">AA18*Hypothèses!$D$17</f>
        <v>657.64279143786</v>
      </c>
      <c r="AB20" s="38" t="n">
        <f aca="false">AB18*Hypothèses!$D$17</f>
        <v>757.642133795068</v>
      </c>
      <c r="AC20" s="38" t="n">
        <f aca="false">AC18*Hypothèses!$D$17</f>
        <v>857.641376152934</v>
      </c>
      <c r="AD20" s="38" t="n">
        <f aca="false">AD18*Hypothèses!$D$17</f>
        <v>957.640518511558</v>
      </c>
      <c r="AE20" s="38" t="n">
        <f aca="false">AE18*Hypothèses!$D$17</f>
        <v>1057.63956087104</v>
      </c>
      <c r="AF20" s="38" t="n">
        <f aca="false">AF18*Hypothèses!$D$17</f>
        <v>1157.63850323148</v>
      </c>
      <c r="AG20" s="38" t="n">
        <f aca="false">AG18*Hypothèses!$D$17</f>
        <v>1257.63734559298</v>
      </c>
      <c r="AH20" s="38" t="n">
        <f aca="false">AH18*Hypothèses!$D$17</f>
        <v>1357.63608795563</v>
      </c>
      <c r="AI20" s="38" t="n">
        <f aca="false">AI18*Hypothèses!$D$17</f>
        <v>1457.63473031954</v>
      </c>
      <c r="AJ20" s="38" t="n">
        <f aca="false">AJ18*Hypothèses!$D$17</f>
        <v>1557.63327268481</v>
      </c>
      <c r="AK20" s="38" t="n">
        <f aca="false">AK18*Hypothèses!$D$17</f>
        <v>1657.63171505154</v>
      </c>
      <c r="AL20" s="38" t="n">
        <f aca="false">AL18*Hypothèses!$D$17</f>
        <v>1757.63005741982</v>
      </c>
      <c r="AN20" s="38" t="n">
        <f aca="false">N20</f>
        <v>77.6469208303341</v>
      </c>
      <c r="AO20" s="38" t="n">
        <f aca="false">Z20</f>
        <v>557.643349081209</v>
      </c>
      <c r="AP20" s="38" t="n">
        <f aca="false">AL20</f>
        <v>1757.63005741982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1.4699985</v>
      </c>
      <c r="G21" s="38" t="n">
        <f aca="false">G18*Hypothèses!$D$18</f>
        <v>1.4405970600015</v>
      </c>
      <c r="H21" s="38" t="n">
        <f aca="false">H18*Hypothèses!$D$18</f>
        <v>1.41178367820441</v>
      </c>
      <c r="I21" s="38" t="n">
        <f aca="false">I18*Hypothèses!$D$18</f>
        <v>4.41178226642073</v>
      </c>
      <c r="J21" s="38" t="n">
        <f aca="false">J18*Hypothèses!$D$18</f>
        <v>7.41177785463847</v>
      </c>
      <c r="K21" s="38" t="n">
        <f aca="false">K18*Hypothèses!$D$18</f>
        <v>10.4117704428606</v>
      </c>
      <c r="L21" s="38" t="n">
        <f aca="false">L18*Hypothèses!$D$18</f>
        <v>13.4117600310902</v>
      </c>
      <c r="M21" s="38" t="n">
        <f aca="false">M18*Hypothèses!$D$18</f>
        <v>16.4117466193301</v>
      </c>
      <c r="N21" s="38" t="n">
        <f aca="false">N18*Hypothèses!$D$18</f>
        <v>19.4117302075835</v>
      </c>
      <c r="O21" s="38" t="n">
        <f aca="false">O18*Hypothèses!$D$18</f>
        <v>29.4117107958533</v>
      </c>
      <c r="P21" s="38" t="n">
        <f aca="false">P18*Hypothèses!$D$18</f>
        <v>39.4116813841425</v>
      </c>
      <c r="Q21" s="38" t="n">
        <f aca="false">Q18*Hypothèses!$D$18</f>
        <v>49.4116419724611</v>
      </c>
      <c r="R21" s="38" t="n">
        <f aca="false">R18*Hypothèses!$D$18</f>
        <v>59.4115925608192</v>
      </c>
      <c r="S21" s="38" t="n">
        <f aca="false">S18*Hypothèses!$D$18</f>
        <v>69.4115331492266</v>
      </c>
      <c r="T21" s="38" t="n">
        <f aca="false">T18*Hypothèses!$D$18</f>
        <v>79.4114637376934</v>
      </c>
      <c r="U21" s="38" t="n">
        <f aca="false">U18*Hypothèses!$D$18</f>
        <v>89.4113843262297</v>
      </c>
      <c r="V21" s="38" t="n">
        <f aca="false">V18*Hypothèses!$D$18</f>
        <v>99.4112949148454</v>
      </c>
      <c r="W21" s="38" t="n">
        <f aca="false">W18*Hypothèses!$D$18</f>
        <v>109.41119550355</v>
      </c>
      <c r="X21" s="38" t="n">
        <f aca="false">X18*Hypothèses!$D$18</f>
        <v>119.411086092355</v>
      </c>
      <c r="Y21" s="38" t="n">
        <f aca="false">Y18*Hypothèses!$D$18</f>
        <v>129.410966681269</v>
      </c>
      <c r="Z21" s="38" t="n">
        <f aca="false">Z18*Hypothèses!$D$18</f>
        <v>139.410837270302</v>
      </c>
      <c r="AA21" s="38" t="n">
        <f aca="false">AA18*Hypothèses!$D$18</f>
        <v>164.410697859465</v>
      </c>
      <c r="AB21" s="38" t="n">
        <f aca="false">AB18*Hypothèses!$D$18</f>
        <v>189.410533448767</v>
      </c>
      <c r="AC21" s="38" t="n">
        <f aca="false">AC18*Hypothèses!$D$18</f>
        <v>214.410344038234</v>
      </c>
      <c r="AD21" s="38" t="n">
        <f aca="false">AD18*Hypothèses!$D$18</f>
        <v>239.41012962789</v>
      </c>
      <c r="AE21" s="38" t="n">
        <f aca="false">AE18*Hypothèses!$D$18</f>
        <v>264.40989021776</v>
      </c>
      <c r="AF21" s="38" t="n">
        <f aca="false">AF18*Hypothèses!$D$18</f>
        <v>289.40962580787</v>
      </c>
      <c r="AG21" s="38" t="n">
        <f aca="false">AG18*Hypothèses!$D$18</f>
        <v>314.409336398244</v>
      </c>
      <c r="AH21" s="38" t="n">
        <f aca="false">AH18*Hypothèses!$D$18</f>
        <v>339.409021988908</v>
      </c>
      <c r="AI21" s="38" t="n">
        <f aca="false">AI18*Hypothèses!$D$18</f>
        <v>364.408682579886</v>
      </c>
      <c r="AJ21" s="38" t="n">
        <f aca="false">AJ18*Hypothèses!$D$18</f>
        <v>389.408318171203</v>
      </c>
      <c r="AK21" s="38" t="n">
        <f aca="false">AK18*Hypothèses!$D$18</f>
        <v>414.407928762885</v>
      </c>
      <c r="AL21" s="38" t="n">
        <f aca="false">AL18*Hypothèses!$D$18</f>
        <v>439.407514354956</v>
      </c>
      <c r="AN21" s="38" t="n">
        <f aca="false">N21</f>
        <v>19.4117302075835</v>
      </c>
      <c r="AO21" s="38" t="n">
        <f aca="false">Z21</f>
        <v>139.410837270302</v>
      </c>
      <c r="AP21" s="38" t="n">
        <f aca="false">AL21</f>
        <v>439.407514354956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71.0499275</v>
      </c>
      <c r="G23" s="15" t="n">
        <f aca="false">G19*Hypothèses!$D$12*$C$4</f>
        <v>69.6288579000725</v>
      </c>
      <c r="H23" s="15" t="n">
        <f aca="false">H19*Hypothèses!$D$12*$C$4</f>
        <v>68.2362111132132</v>
      </c>
      <c r="I23" s="15" t="n">
        <f aca="false">I19*Hypothèses!$D$12*$C$4</f>
        <v>213.236142877002</v>
      </c>
      <c r="J23" s="15" t="n">
        <f aca="false">J19*Hypothèses!$D$12*$C$4</f>
        <v>358.235929640859</v>
      </c>
      <c r="K23" s="15" t="n">
        <f aca="false">K19*Hypothèses!$D$12*$C$4</f>
        <v>503.23557140493</v>
      </c>
      <c r="L23" s="15" t="n">
        <f aca="false">L19*Hypothèses!$D$12*$C$4</f>
        <v>648.235068169358</v>
      </c>
      <c r="M23" s="15" t="n">
        <f aca="false">M19*Hypothèses!$D$12*$C$4</f>
        <v>793.23441993429</v>
      </c>
      <c r="N23" s="15" t="n">
        <f aca="false">N19*Hypothèses!$D$12*$C$4</f>
        <v>938.23362669987</v>
      </c>
      <c r="O23" s="15" t="n">
        <f aca="false">O19*Hypothèses!$D$12*$C$4</f>
        <v>1421.56602179958</v>
      </c>
      <c r="P23" s="15" t="n">
        <f aca="false">P19*Hypothèses!$D$12*$C$4</f>
        <v>1904.89793356689</v>
      </c>
      <c r="Q23" s="15" t="n">
        <f aca="false">Q19*Hypothèses!$D$12*$C$4</f>
        <v>2388.22936200229</v>
      </c>
      <c r="R23" s="15" t="n">
        <f aca="false">R19*Hypothèses!$D$12*$C$4</f>
        <v>2871.56030710626</v>
      </c>
      <c r="S23" s="15" t="n">
        <f aca="false">S19*Hypothèses!$D$12*$C$4</f>
        <v>3354.89076887929</v>
      </c>
      <c r="T23" s="15" t="n">
        <f aca="false">T19*Hypothèses!$D$12*$C$4</f>
        <v>3838.22074732185</v>
      </c>
      <c r="U23" s="15" t="n">
        <f aca="false">U19*Hypothèses!$D$12*$C$4</f>
        <v>4321.55024243444</v>
      </c>
      <c r="V23" s="15" t="n">
        <f aca="false">V19*Hypothèses!$D$12*$C$4</f>
        <v>4804.87925421753</v>
      </c>
      <c r="W23" s="15" t="n">
        <f aca="false">W19*Hypothèses!$D$12*$C$4</f>
        <v>5288.20778267161</v>
      </c>
      <c r="X23" s="15" t="n">
        <f aca="false">X19*Hypothèses!$D$12*$C$4</f>
        <v>5771.53582779716</v>
      </c>
      <c r="Y23" s="15" t="n">
        <f aca="false">Y19*Hypothèses!$D$12*$C$4</f>
        <v>6254.86338959466</v>
      </c>
      <c r="Z23" s="15" t="n">
        <f aca="false">Z19*Hypothèses!$D$12*$C$4</f>
        <v>6738.1904680646</v>
      </c>
      <c r="AA23" s="15" t="n">
        <f aca="false">AA19*Hypothèses!$D$12*$C$4</f>
        <v>7946.51706320747</v>
      </c>
      <c r="AB23" s="15" t="n">
        <f aca="false">AB19*Hypothèses!$D$12*$C$4</f>
        <v>9154.84245002374</v>
      </c>
      <c r="AC23" s="15" t="n">
        <f aca="false">AC19*Hypothèses!$D$12*$C$4</f>
        <v>10363.1666285146</v>
      </c>
      <c r="AD23" s="15" t="n">
        <f aca="false">AD19*Hypothèses!$D$12*$C$4</f>
        <v>11571.4895986813</v>
      </c>
      <c r="AE23" s="15" t="n">
        <f aca="false">AE19*Hypothèses!$D$12*$C$4</f>
        <v>12779.8113605251</v>
      </c>
      <c r="AF23" s="15" t="n">
        <f aca="false">AF19*Hypothèses!$D$12*$C$4</f>
        <v>13988.131914047</v>
      </c>
      <c r="AG23" s="15" t="n">
        <f aca="false">AG19*Hypothèses!$D$12*$C$4</f>
        <v>15196.4512592485</v>
      </c>
      <c r="AH23" s="15" t="n">
        <f aca="false">AH19*Hypothèses!$D$12*$C$4</f>
        <v>16404.7693961305</v>
      </c>
      <c r="AI23" s="15" t="n">
        <f aca="false">AI19*Hypothèses!$D$12*$C$4</f>
        <v>17613.0863246945</v>
      </c>
      <c r="AJ23" s="15" t="n">
        <f aca="false">AJ19*Hypothèses!$D$12*$C$4</f>
        <v>18821.4020449415</v>
      </c>
      <c r="AK23" s="15" t="n">
        <f aca="false">AK19*Hypothèses!$D$12*$C$4</f>
        <v>20029.7165568728</v>
      </c>
      <c r="AL23" s="15" t="n">
        <f aca="false">AL19*Hypothèses!$D$12*$C$4</f>
        <v>21238.0298604895</v>
      </c>
      <c r="AN23" s="15" t="n">
        <f aca="false">SUM(C23:N23)</f>
        <v>3735.82575523959</v>
      </c>
      <c r="AO23" s="15" t="n">
        <f aca="false">SUM(O23:Z23)</f>
        <v>48958.5921054561</v>
      </c>
      <c r="AP23" s="15" t="n">
        <f aca="false">SUM(AA23:AL23)</f>
        <v>175107.414457377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464.519526</v>
      </c>
      <c r="G24" s="15" t="n">
        <f aca="false">G20*Hypothèses!$D$13*$C$4</f>
        <v>455.228670960474</v>
      </c>
      <c r="H24" s="15" t="n">
        <f aca="false">H20*Hypothèses!$D$13*$C$4</f>
        <v>446.123642312594</v>
      </c>
      <c r="I24" s="15" t="n">
        <f aca="false">I20*Hypothèses!$D$13*$C$4</f>
        <v>1394.12319618895</v>
      </c>
      <c r="J24" s="15" t="n">
        <f aca="false">J20*Hypothèses!$D$13*$C$4</f>
        <v>2342.12180206576</v>
      </c>
      <c r="K24" s="15" t="n">
        <f aca="false">K20*Hypothèses!$D$13*$C$4</f>
        <v>3290.11945994395</v>
      </c>
      <c r="L24" s="15" t="n">
        <f aca="false">L20*Hypothèses!$D$13*$C$4</f>
        <v>4238.11616982449</v>
      </c>
      <c r="M24" s="15" t="n">
        <f aca="false">M20*Hypothèses!$D$13*$C$4</f>
        <v>5186.11193170832</v>
      </c>
      <c r="N24" s="15" t="n">
        <f aca="false">N20*Hypothèses!$D$13*$C$4</f>
        <v>6134.10674559639</v>
      </c>
      <c r="O24" s="15" t="n">
        <f aca="false">O20*Hypothèses!$D$13*$C$4</f>
        <v>9294.10061148965</v>
      </c>
      <c r="P24" s="15" t="n">
        <f aca="false">P20*Hypothèses!$D$13*$C$4</f>
        <v>12454.091317389</v>
      </c>
      <c r="Q24" s="15" t="n">
        <f aca="false">Q20*Hypothèses!$D$13*$C$4</f>
        <v>15614.0788632977</v>
      </c>
      <c r="R24" s="15" t="n">
        <f aca="false">R20*Hypothèses!$D$13*$C$4</f>
        <v>18774.0632492189</v>
      </c>
      <c r="S24" s="15" t="n">
        <f aca="false">S20*Hypothèses!$D$13*$C$4</f>
        <v>21934.0444751556</v>
      </c>
      <c r="T24" s="15" t="n">
        <f aca="false">T20*Hypothèses!$D$13*$C$4</f>
        <v>25094.0225411111</v>
      </c>
      <c r="U24" s="15" t="n">
        <f aca="false">U20*Hypothèses!$D$13*$C$4</f>
        <v>28253.9974470886</v>
      </c>
      <c r="V24" s="15" t="n">
        <f aca="false">V20*Hypothèses!$D$13*$C$4</f>
        <v>31413.9691930911</v>
      </c>
      <c r="W24" s="15" t="n">
        <f aca="false">W20*Hypothèses!$D$13*$C$4</f>
        <v>34573.9377791219</v>
      </c>
      <c r="X24" s="15" t="n">
        <f aca="false">X20*Hypothèses!$D$13*$C$4</f>
        <v>37733.9032051842</v>
      </c>
      <c r="Y24" s="15" t="n">
        <f aca="false">Y20*Hypothèses!$D$13*$C$4</f>
        <v>40893.865471281</v>
      </c>
      <c r="Z24" s="15" t="n">
        <f aca="false">Z20*Hypothèses!$D$13*$C$4</f>
        <v>44053.8245774155</v>
      </c>
      <c r="AA24" s="15" t="n">
        <f aca="false">AA20*Hypothèses!$D$13*$C$4</f>
        <v>51953.7805235909</v>
      </c>
      <c r="AB24" s="15" t="n">
        <f aca="false">AB20*Hypothèses!$D$13*$C$4</f>
        <v>59853.7285698104</v>
      </c>
      <c r="AC24" s="15" t="n">
        <f aca="false">AC20*Hypothèses!$D$13*$C$4</f>
        <v>67753.6687160818</v>
      </c>
      <c r="AD24" s="15" t="n">
        <f aca="false">AD20*Hypothèses!$D$13*$C$4</f>
        <v>75653.6009624131</v>
      </c>
      <c r="AE24" s="15" t="n">
        <f aca="false">AE20*Hypothèses!$D$13*$C$4</f>
        <v>83553.5253088122</v>
      </c>
      <c r="AF24" s="15" t="n">
        <f aca="false">AF20*Hypothèses!$D$13*$C$4</f>
        <v>91453.4417552868</v>
      </c>
      <c r="AG24" s="15" t="n">
        <f aca="false">AG20*Hypothèses!$D$13*$C$4</f>
        <v>99353.3503018451</v>
      </c>
      <c r="AH24" s="15" t="n">
        <f aca="false">AH20*Hypothèses!$D$13*$C$4</f>
        <v>107253.250948495</v>
      </c>
      <c r="AI24" s="15" t="n">
        <f aca="false">AI20*Hypothèses!$D$13*$C$4</f>
        <v>115153.143695244</v>
      </c>
      <c r="AJ24" s="15" t="n">
        <f aca="false">AJ20*Hypothèses!$D$13*$C$4</f>
        <v>123053.0285421</v>
      </c>
      <c r="AK24" s="15" t="n">
        <f aca="false">AK20*Hypothèses!$D$13*$C$4</f>
        <v>130952.905489072</v>
      </c>
      <c r="AL24" s="15" t="n">
        <f aca="false">AL20*Hypothèses!$D$13*$C$4</f>
        <v>138852.774536166</v>
      </c>
      <c r="AN24" s="15" t="n">
        <f aca="false">SUM(C24:N24)</f>
        <v>24424.5711446009</v>
      </c>
      <c r="AO24" s="15" t="n">
        <f aca="false">SUM(O24:Z24)</f>
        <v>320087.898730844</v>
      </c>
      <c r="AP24" s="15" t="n">
        <f aca="false">SUM(AA24:AL24)</f>
        <v>1144840.19934892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189.6298065</v>
      </c>
      <c r="G25" s="15" t="n">
        <f aca="false">G21*Hypothèses!$D$14*$C$4</f>
        <v>185.837020740193</v>
      </c>
      <c r="H25" s="15" t="n">
        <f aca="false">H21*Hypothèses!$D$14*$C$4</f>
        <v>182.120094488369</v>
      </c>
      <c r="I25" s="15" t="n">
        <f aca="false">I21*Hypothèses!$D$14*$C$4</f>
        <v>569.119912368274</v>
      </c>
      <c r="J25" s="15" t="n">
        <f aca="false">J21*Hypothèses!$D$14*$C$4</f>
        <v>956.119343248362</v>
      </c>
      <c r="K25" s="15" t="n">
        <f aca="false">K21*Hypothèses!$D$14*$C$4</f>
        <v>1343.11838712902</v>
      </c>
      <c r="L25" s="15" t="n">
        <f aca="false">L21*Hypothèses!$D$14*$C$4</f>
        <v>1730.11704401063</v>
      </c>
      <c r="M25" s="15" t="n">
        <f aca="false">M21*Hypothèses!$D$14*$C$4</f>
        <v>2117.11531389359</v>
      </c>
      <c r="N25" s="15" t="n">
        <f aca="false">N21*Hypothèses!$D$14*$C$4</f>
        <v>2504.11319677827</v>
      </c>
      <c r="O25" s="15" t="n">
        <f aca="false">O21*Hypothèses!$D$14*$C$4</f>
        <v>3794.11069266508</v>
      </c>
      <c r="P25" s="15" t="n">
        <f aca="false">P21*Hypothèses!$D$14*$C$4</f>
        <v>5084.10689855438</v>
      </c>
      <c r="Q25" s="15" t="n">
        <f aca="false">Q21*Hypothèses!$D$14*$C$4</f>
        <v>6374.10181444749</v>
      </c>
      <c r="R25" s="15" t="n">
        <f aca="false">R21*Hypothèses!$D$14*$C$4</f>
        <v>7664.09544034567</v>
      </c>
      <c r="S25" s="15" t="n">
        <f aca="false">S21*Hypothèses!$D$14*$C$4</f>
        <v>8954.08777625023</v>
      </c>
      <c r="T25" s="15" t="n">
        <f aca="false">T21*Hypothèses!$D$14*$C$4</f>
        <v>10244.0788221625</v>
      </c>
      <c r="U25" s="15" t="n">
        <f aca="false">U21*Hypothèses!$D$14*$C$4</f>
        <v>11534.0685780836</v>
      </c>
      <c r="V25" s="15" t="n">
        <f aca="false">V21*Hypothèses!$D$14*$C$4</f>
        <v>12824.0570440151</v>
      </c>
      <c r="W25" s="15" t="n">
        <f aca="false">W21*Hypothèses!$D$14*$C$4</f>
        <v>14114.044219958</v>
      </c>
      <c r="X25" s="15" t="n">
        <f aca="false">X21*Hypothèses!$D$14*$C$4</f>
        <v>15404.0301059138</v>
      </c>
      <c r="Y25" s="15" t="n">
        <f aca="false">Y21*Hypothèses!$D$14*$C$4</f>
        <v>16694.0147018837</v>
      </c>
      <c r="Z25" s="15" t="n">
        <f aca="false">Z21*Hypothèses!$D$14*$C$4</f>
        <v>17983.998007869</v>
      </c>
      <c r="AA25" s="15" t="n">
        <f aca="false">AA21*Hypothèses!$D$14*$C$4</f>
        <v>21208.980023871</v>
      </c>
      <c r="AB25" s="15" t="n">
        <f aca="false">AB21*Hypothèses!$D$14*$C$4</f>
        <v>24433.958814891</v>
      </c>
      <c r="AC25" s="15" t="n">
        <f aca="false">AC21*Hypothèses!$D$14*$C$4</f>
        <v>27658.9343809321</v>
      </c>
      <c r="AD25" s="15" t="n">
        <f aca="false">AD21*Hypothèses!$D$14*$C$4</f>
        <v>30883.9067219978</v>
      </c>
      <c r="AE25" s="15" t="n">
        <f aca="false">AE21*Hypothèses!$D$14*$C$4</f>
        <v>34108.875838091</v>
      </c>
      <c r="AF25" s="15" t="n">
        <f aca="false">AF21*Hypothèses!$D$14*$C$4</f>
        <v>37333.8417292152</v>
      </c>
      <c r="AG25" s="15" t="n">
        <f aca="false">AG21*Hypothèses!$D$14*$C$4</f>
        <v>40558.8043953735</v>
      </c>
      <c r="AH25" s="15" t="n">
        <f aca="false">AH21*Hypothèses!$D$14*$C$4</f>
        <v>43783.7638365691</v>
      </c>
      <c r="AI25" s="15" t="n">
        <f aca="false">AI21*Hypothèses!$D$14*$C$4</f>
        <v>47008.7200528052</v>
      </c>
      <c r="AJ25" s="15" t="n">
        <f aca="false">AJ21*Hypothèses!$D$14*$C$4</f>
        <v>50233.6730440852</v>
      </c>
      <c r="AK25" s="15" t="n">
        <f aca="false">AK21*Hypothèses!$D$14*$C$4</f>
        <v>53458.6228104121</v>
      </c>
      <c r="AL25" s="15" t="n">
        <f aca="false">AL21*Hypothèses!$D$14*$C$4</f>
        <v>56683.5693517893</v>
      </c>
      <c r="AN25" s="15" t="n">
        <f aca="false">SUM(C25:N25)</f>
        <v>9970.79011915671</v>
      </c>
      <c r="AO25" s="15" t="n">
        <f aca="false">SUM(O25:Z25)</f>
        <v>130668.794102148</v>
      </c>
      <c r="AP25" s="15" t="n">
        <f aca="false">SUM(AA25:AL25)</f>
        <v>467355.651000032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725.19926</v>
      </c>
      <c r="G26" s="40" t="n">
        <f aca="false">G23+G24+G25</f>
        <v>710.69454960074</v>
      </c>
      <c r="H26" s="40" t="n">
        <f aca="false">H23+H24+H25</f>
        <v>696.479947914176</v>
      </c>
      <c r="I26" s="40" t="n">
        <f aca="false">I23+I24+I25</f>
        <v>2176.47925143423</v>
      </c>
      <c r="J26" s="40" t="n">
        <f aca="false">J23+J24+J25</f>
        <v>3656.47707495498</v>
      </c>
      <c r="K26" s="40" t="n">
        <f aca="false">K23+K24+K25</f>
        <v>5136.4734184779</v>
      </c>
      <c r="L26" s="40" t="n">
        <f aca="false">L23+L24+L25</f>
        <v>6616.46828200448</v>
      </c>
      <c r="M26" s="40" t="n">
        <f aca="false">M23+M24+M25</f>
        <v>8096.4616655362</v>
      </c>
      <c r="N26" s="40" t="n">
        <f aca="false">N23+N24+N25</f>
        <v>9576.45356907453</v>
      </c>
      <c r="O26" s="40" t="n">
        <f aca="false">O23+O24+O25</f>
        <v>14509.7773259543</v>
      </c>
      <c r="P26" s="40" t="n">
        <f aca="false">P23+P24+P25</f>
        <v>19443.0961495103</v>
      </c>
      <c r="Q26" s="40" t="n">
        <f aca="false">Q23+Q24+Q25</f>
        <v>24376.4100397475</v>
      </c>
      <c r="R26" s="40" t="n">
        <f aca="false">R23+R24+R25</f>
        <v>29309.7189966708</v>
      </c>
      <c r="S26" s="40" t="n">
        <f aca="false">S23+S24+S25</f>
        <v>34243.0230202851</v>
      </c>
      <c r="T26" s="40" t="n">
        <f aca="false">T23+T24+T25</f>
        <v>39176.3221105954</v>
      </c>
      <c r="U26" s="40" t="n">
        <f aca="false">U23+U24+U25</f>
        <v>44109.6162676067</v>
      </c>
      <c r="V26" s="40" t="n">
        <f aca="false">V23+V24+V25</f>
        <v>49042.9054913237</v>
      </c>
      <c r="W26" s="40" t="n">
        <f aca="false">W23+W24+W25</f>
        <v>53976.1897817516</v>
      </c>
      <c r="X26" s="40" t="n">
        <f aca="false">X23+X24+X25</f>
        <v>58909.4691388951</v>
      </c>
      <c r="Y26" s="40" t="n">
        <f aca="false">Y23+Y24+Y25</f>
        <v>63842.7435627593</v>
      </c>
      <c r="Z26" s="40" t="n">
        <f aca="false">Z23+Z24+Z25</f>
        <v>68776.013053349</v>
      </c>
      <c r="AA26" s="40" t="n">
        <f aca="false">AA23+AA24+AA25</f>
        <v>81109.2776106694</v>
      </c>
      <c r="AB26" s="40" t="n">
        <f aca="false">AB23+AB24+AB25</f>
        <v>93442.5298347251</v>
      </c>
      <c r="AC26" s="40" t="n">
        <f aca="false">AC23+AC24+AC25</f>
        <v>105775.769725529</v>
      </c>
      <c r="AD26" s="40" t="n">
        <f aca="false">AD23+AD24+AD25</f>
        <v>118108.997283092</v>
      </c>
      <c r="AE26" s="40" t="n">
        <f aca="false">AE23+AE24+AE25</f>
        <v>130442.212507428</v>
      </c>
      <c r="AF26" s="40" t="n">
        <f aca="false">AF23+AF24+AF25</f>
        <v>142775.415398549</v>
      </c>
      <c r="AG26" s="40" t="n">
        <f aca="false">AG23+AG24+AG25</f>
        <v>155108.605956467</v>
      </c>
      <c r="AH26" s="40" t="n">
        <f aca="false">AH23+AH24+AH25</f>
        <v>167441.784181194</v>
      </c>
      <c r="AI26" s="40" t="n">
        <f aca="false">AI23+AI24+AI25</f>
        <v>179774.950072744</v>
      </c>
      <c r="AJ26" s="40" t="n">
        <f aca="false">AJ23+AJ24+AJ25</f>
        <v>192108.103631127</v>
      </c>
      <c r="AK26" s="40" t="n">
        <f aca="false">AK23+AK24+AK25</f>
        <v>204441.244856356</v>
      </c>
      <c r="AL26" s="40" t="n">
        <f aca="false">AL23+AL24+AL25</f>
        <v>216774.373748445</v>
      </c>
      <c r="AN26" s="40" t="n">
        <f aca="false">SUM(C26:N26)</f>
        <v>38131.1870189972</v>
      </c>
      <c r="AO26" s="40" t="n">
        <f aca="false">SUM(O26:Z26)</f>
        <v>499715.284938449</v>
      </c>
      <c r="AP26" s="40" t="n">
        <f aca="false">SUM(AA26:AL26)</f>
        <v>1787303.26480633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120.866543333333</v>
      </c>
      <c r="G27" s="15" t="n">
        <f aca="false">G26*Hypothèses!$D$15/(1+Hypothèses!$D$15)</f>
        <v>118.449091600123</v>
      </c>
      <c r="H27" s="15" t="n">
        <f aca="false">H26*Hypothèses!$D$15/(1+Hypothèses!$D$15)</f>
        <v>116.079991319029</v>
      </c>
      <c r="I27" s="15" t="n">
        <f aca="false">I26*Hypothèses!$D$15/(1+Hypothèses!$D$15)</f>
        <v>362.746541905705</v>
      </c>
      <c r="J27" s="15" t="n">
        <f aca="false">J26*Hypothèses!$D$15/(1+Hypothèses!$D$15)</f>
        <v>609.412845825829</v>
      </c>
      <c r="K27" s="15" t="n">
        <f aca="false">K26*Hypothèses!$D$15/(1+Hypothèses!$D$15)</f>
        <v>856.07890307965</v>
      </c>
      <c r="L27" s="15" t="n">
        <f aca="false">L26*Hypothèses!$D$15/(1+Hypothèses!$D$15)</f>
        <v>1102.74471366741</v>
      </c>
      <c r="M27" s="15" t="n">
        <f aca="false">M26*Hypothèses!$D$15/(1+Hypothèses!$D$15)</f>
        <v>1349.41027758937</v>
      </c>
      <c r="N27" s="15" t="n">
        <f aca="false">N26*Hypothèses!$D$15/(1+Hypothèses!$D$15)</f>
        <v>1596.07559484576</v>
      </c>
      <c r="O27" s="15" t="n">
        <f aca="false">O26*Hypothèses!$D$15/(1+Hypothèses!$D$15)</f>
        <v>2418.29622099238</v>
      </c>
      <c r="P27" s="15" t="n">
        <f aca="false">P26*Hypothèses!$D$15/(1+Hypothèses!$D$15)</f>
        <v>3240.51602491838</v>
      </c>
      <c r="Q27" s="15" t="n">
        <f aca="false">Q26*Hypothèses!$D$15/(1+Hypothèses!$D$15)</f>
        <v>4062.73500662458</v>
      </c>
      <c r="R27" s="15" t="n">
        <f aca="false">R26*Hypothèses!$D$15/(1+Hypothèses!$D$15)</f>
        <v>4884.9531661118</v>
      </c>
      <c r="S27" s="15" t="n">
        <f aca="false">S26*Hypothèses!$D$15/(1+Hypothèses!$D$15)</f>
        <v>5707.17050338086</v>
      </c>
      <c r="T27" s="15" t="n">
        <f aca="false">T26*Hypothèses!$D$15/(1+Hypothèses!$D$15)</f>
        <v>6529.38701843257</v>
      </c>
      <c r="U27" s="15" t="n">
        <f aca="false">U26*Hypothèses!$D$15/(1+Hypothèses!$D$15)</f>
        <v>7351.60271126778</v>
      </c>
      <c r="V27" s="15" t="n">
        <f aca="false">V26*Hypothèses!$D$15/(1+Hypothèses!$D$15)</f>
        <v>8173.81758188729</v>
      </c>
      <c r="W27" s="15" t="n">
        <f aca="false">W26*Hypothèses!$D$15/(1+Hypothèses!$D$15)</f>
        <v>8996.03163029193</v>
      </c>
      <c r="X27" s="15" t="n">
        <f aca="false">X26*Hypothèses!$D$15/(1+Hypothèses!$D$15)</f>
        <v>9818.24485648252</v>
      </c>
      <c r="Y27" s="15" t="n">
        <f aca="false">Y26*Hypothèses!$D$15/(1+Hypothèses!$D$15)</f>
        <v>10640.4572604599</v>
      </c>
      <c r="Z27" s="15" t="n">
        <f aca="false">Z26*Hypothèses!$D$15/(1+Hypothèses!$D$15)</f>
        <v>11462.6688422248</v>
      </c>
      <c r="AA27" s="15" t="n">
        <f aca="false">AA26*Hypothèses!$D$15/(1+Hypothèses!$D$15)</f>
        <v>13518.2129351116</v>
      </c>
      <c r="AB27" s="15" t="n">
        <f aca="false">AB26*Hypothèses!$D$15/(1+Hypothèses!$D$15)</f>
        <v>15573.7549724542</v>
      </c>
      <c r="AC27" s="15" t="n">
        <f aca="false">AC26*Hypothèses!$D$15/(1+Hypothèses!$D$15)</f>
        <v>17629.2949542548</v>
      </c>
      <c r="AD27" s="15" t="n">
        <f aca="false">AD26*Hypothèses!$D$15/(1+Hypothèses!$D$15)</f>
        <v>19684.8328805154</v>
      </c>
      <c r="AE27" s="15" t="n">
        <f aca="false">AE26*Hypothèses!$D$15/(1+Hypothèses!$D$15)</f>
        <v>21740.368751238</v>
      </c>
      <c r="AF27" s="15" t="n">
        <f aca="false">AF26*Hypothèses!$D$15/(1+Hypothèses!$D$15)</f>
        <v>23795.9025664248</v>
      </c>
      <c r="AG27" s="15" t="n">
        <f aca="false">AG26*Hypothèses!$D$15/(1+Hypothèses!$D$15)</f>
        <v>25851.4343260778</v>
      </c>
      <c r="AH27" s="15" t="n">
        <f aca="false">AH26*Hypothèses!$D$15/(1+Hypothèses!$D$15)</f>
        <v>27906.9640301991</v>
      </c>
      <c r="AI27" s="15" t="n">
        <f aca="false">AI26*Hypothèses!$D$15/(1+Hypothèses!$D$15)</f>
        <v>29962.4916787906</v>
      </c>
      <c r="AJ27" s="15" t="n">
        <f aca="false">AJ26*Hypothèses!$D$15/(1+Hypothèses!$D$15)</f>
        <v>32018.0172718545</v>
      </c>
      <c r="AK27" s="15" t="n">
        <f aca="false">AK26*Hypothèses!$D$15/(1+Hypothèses!$D$15)</f>
        <v>34073.5408093928</v>
      </c>
      <c r="AL27" s="15" t="n">
        <f aca="false">AL26*Hypothèses!$D$15/(1+Hypothèses!$D$15)</f>
        <v>36129.0622914075</v>
      </c>
      <c r="AN27" s="15" t="n">
        <f aca="false">SUM(C27:N27)</f>
        <v>6355.19783649954</v>
      </c>
      <c r="AO27" s="15" t="n">
        <f aca="false">SUM(O27:Z27)</f>
        <v>83285.8808230748</v>
      </c>
      <c r="AP27" s="15" t="n">
        <f aca="false">SUM(AA27:AL27)</f>
        <v>297883.877467721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604.332716666667</v>
      </c>
      <c r="G28" s="40" t="n">
        <f aca="false">G26-G27</f>
        <v>592.245458000617</v>
      </c>
      <c r="H28" s="40" t="n">
        <f aca="false">H26-H27</f>
        <v>580.399956595146</v>
      </c>
      <c r="I28" s="40" t="n">
        <f aca="false">I26-I27</f>
        <v>1813.73270952852</v>
      </c>
      <c r="J28" s="40" t="n">
        <f aca="false">J26-J27</f>
        <v>3047.06422912915</v>
      </c>
      <c r="K28" s="40" t="n">
        <f aca="false">K26-K27</f>
        <v>4280.39451539825</v>
      </c>
      <c r="L28" s="40" t="n">
        <f aca="false">L26-L27</f>
        <v>5513.72356833707</v>
      </c>
      <c r="M28" s="40" t="n">
        <f aca="false">M26-M27</f>
        <v>6747.05138794683</v>
      </c>
      <c r="N28" s="40" t="n">
        <f aca="false">N26-N27</f>
        <v>7980.37797422878</v>
      </c>
      <c r="O28" s="40" t="n">
        <f aca="false">O26-O27</f>
        <v>12091.4811049619</v>
      </c>
      <c r="P28" s="40" t="n">
        <f aca="false">P26-P27</f>
        <v>16202.5801245919</v>
      </c>
      <c r="Q28" s="40" t="n">
        <f aca="false">Q26-Q27</f>
        <v>20313.6750331229</v>
      </c>
      <c r="R28" s="40" t="n">
        <f aca="false">R26-R27</f>
        <v>24424.765830559</v>
      </c>
      <c r="S28" s="40" t="n">
        <f aca="false">S26-S27</f>
        <v>28535.8525169043</v>
      </c>
      <c r="T28" s="40" t="n">
        <f aca="false">T26-T27</f>
        <v>32646.9350921629</v>
      </c>
      <c r="U28" s="40" t="n">
        <f aca="false">U26-U27</f>
        <v>36758.0135563389</v>
      </c>
      <c r="V28" s="40" t="n">
        <f aca="false">V26-V27</f>
        <v>40869.0879094364</v>
      </c>
      <c r="W28" s="40" t="n">
        <f aca="false">W26-W27</f>
        <v>44980.1581514596</v>
      </c>
      <c r="X28" s="40" t="n">
        <f aca="false">X26-X27</f>
        <v>49091.2242824126</v>
      </c>
      <c r="Y28" s="40" t="n">
        <f aca="false">Y26-Y27</f>
        <v>53202.2863022994</v>
      </c>
      <c r="Z28" s="40" t="n">
        <f aca="false">Z26-Z27</f>
        <v>57313.3442111242</v>
      </c>
      <c r="AA28" s="40" t="n">
        <f aca="false">AA26-AA27</f>
        <v>67591.0646755578</v>
      </c>
      <c r="AB28" s="40" t="n">
        <f aca="false">AB26-AB27</f>
        <v>77868.7748622709</v>
      </c>
      <c r="AC28" s="40" t="n">
        <f aca="false">AC26-AC27</f>
        <v>88146.4747712738</v>
      </c>
      <c r="AD28" s="40" t="n">
        <f aca="false">AD26-AD27</f>
        <v>98424.1644025768</v>
      </c>
      <c r="AE28" s="40" t="n">
        <f aca="false">AE26-AE27</f>
        <v>108701.84375619</v>
      </c>
      <c r="AF28" s="40" t="n">
        <f aca="false">AF26-AF27</f>
        <v>118979.512832124</v>
      </c>
      <c r="AG28" s="40" t="n">
        <f aca="false">AG26-AG27</f>
        <v>129257.171630389</v>
      </c>
      <c r="AH28" s="40" t="n">
        <f aca="false">AH26-AH27</f>
        <v>139534.820150995</v>
      </c>
      <c r="AI28" s="40" t="n">
        <f aca="false">AI26-AI27</f>
        <v>149812.458393953</v>
      </c>
      <c r="AJ28" s="40" t="n">
        <f aca="false">AJ26-AJ27</f>
        <v>160090.086359272</v>
      </c>
      <c r="AK28" s="40" t="n">
        <f aca="false">AK26-AK27</f>
        <v>170367.704046964</v>
      </c>
      <c r="AL28" s="40" t="n">
        <f aca="false">AL26-AL27</f>
        <v>180645.311457037</v>
      </c>
      <c r="AN28" s="40" t="n">
        <f aca="false">SUM(C28:N28)</f>
        <v>31775.9891824977</v>
      </c>
      <c r="AO28" s="40" t="n">
        <f aca="false">SUM(O28:Z28)</f>
        <v>416429.404115374</v>
      </c>
      <c r="AP28" s="40" t="n">
        <f aca="false">SUM(AA28:AL28)</f>
        <v>1489419.3873386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7.2519926</v>
      </c>
      <c r="G29" s="15" t="n">
        <f aca="false">G26*Hypothèses!$D$27</f>
        <v>7.1069454960074</v>
      </c>
      <c r="H29" s="15" t="n">
        <f aca="false">H26*Hypothèses!$D$27</f>
        <v>6.96479947914176</v>
      </c>
      <c r="I29" s="15" t="n">
        <f aca="false">I26*Hypothèses!$D$27</f>
        <v>21.7647925143423</v>
      </c>
      <c r="J29" s="15" t="n">
        <f aca="false">J26*Hypothèses!$D$27</f>
        <v>36.5647707495498</v>
      </c>
      <c r="K29" s="15" t="n">
        <f aca="false">K26*Hypothèses!$D$27</f>
        <v>51.364734184779</v>
      </c>
      <c r="L29" s="15" t="n">
        <f aca="false">L26*Hypothèses!$D$27</f>
        <v>66.1646828200448</v>
      </c>
      <c r="M29" s="15" t="n">
        <f aca="false">M26*Hypothèses!$D$27</f>
        <v>80.964616655362</v>
      </c>
      <c r="N29" s="15" t="n">
        <f aca="false">N26*Hypothèses!$D$27</f>
        <v>95.7645356907454</v>
      </c>
      <c r="O29" s="15" t="n">
        <f aca="false">O26*Hypothèses!$D$27</f>
        <v>145.097773259543</v>
      </c>
      <c r="P29" s="15" t="n">
        <f aca="false">P26*Hypothèses!$D$27</f>
        <v>194.430961495103</v>
      </c>
      <c r="Q29" s="15" t="n">
        <f aca="false">Q26*Hypothèses!$D$27</f>
        <v>243.764100397475</v>
      </c>
      <c r="R29" s="15" t="n">
        <f aca="false">R26*Hypothèses!$D$27</f>
        <v>293.097189966708</v>
      </c>
      <c r="S29" s="15" t="n">
        <f aca="false">S26*Hypothèses!$D$27</f>
        <v>342.430230202851</v>
      </c>
      <c r="T29" s="15" t="n">
        <f aca="false">T26*Hypothèses!$D$27</f>
        <v>391.763221105954</v>
      </c>
      <c r="U29" s="15" t="n">
        <f aca="false">U26*Hypothèses!$D$27</f>
        <v>441.096162676067</v>
      </c>
      <c r="V29" s="15" t="n">
        <f aca="false">V26*Hypothèses!$D$27</f>
        <v>490.429054913237</v>
      </c>
      <c r="W29" s="15" t="n">
        <f aca="false">W26*Hypothèses!$D$27</f>
        <v>539.761897817516</v>
      </c>
      <c r="X29" s="15" t="n">
        <f aca="false">X26*Hypothèses!$D$27</f>
        <v>589.094691388951</v>
      </c>
      <c r="Y29" s="15" t="n">
        <f aca="false">Y26*Hypothèses!$D$27</f>
        <v>638.427435627593</v>
      </c>
      <c r="Z29" s="15" t="n">
        <f aca="false">Z26*Hypothèses!$D$27</f>
        <v>687.760130533491</v>
      </c>
      <c r="AA29" s="15" t="n">
        <f aca="false">AA26*Hypothèses!$D$27</f>
        <v>811.092776106694</v>
      </c>
      <c r="AB29" s="15" t="n">
        <f aca="false">AB26*Hypothèses!$D$27</f>
        <v>934.425298347251</v>
      </c>
      <c r="AC29" s="15" t="n">
        <f aca="false">AC26*Hypothèses!$D$27</f>
        <v>1057.75769725529</v>
      </c>
      <c r="AD29" s="15" t="n">
        <f aca="false">AD26*Hypothèses!$D$27</f>
        <v>1181.08997283092</v>
      </c>
      <c r="AE29" s="15" t="n">
        <f aca="false">AE26*Hypothèses!$D$27</f>
        <v>1304.42212507428</v>
      </c>
      <c r="AF29" s="15" t="n">
        <f aca="false">AF26*Hypothèses!$D$27</f>
        <v>1427.75415398549</v>
      </c>
      <c r="AG29" s="15" t="n">
        <f aca="false">AG26*Hypothèses!$D$27</f>
        <v>1551.08605956467</v>
      </c>
      <c r="AH29" s="15" t="n">
        <f aca="false">AH26*Hypothèses!$D$27</f>
        <v>1674.41784181194</v>
      </c>
      <c r="AI29" s="15" t="n">
        <f aca="false">AI26*Hypothèses!$D$27</f>
        <v>1797.74950072744</v>
      </c>
      <c r="AJ29" s="15" t="n">
        <f aca="false">AJ26*Hypothèses!$D$27</f>
        <v>1921.08103631127</v>
      </c>
      <c r="AK29" s="15" t="n">
        <f aca="false">AK26*Hypothèses!$D$27</f>
        <v>2044.41244856356</v>
      </c>
      <c r="AL29" s="15" t="n">
        <f aca="false">AL26*Hypothèses!$D$27</f>
        <v>2167.74373748445</v>
      </c>
      <c r="AN29" s="15" t="n">
        <f aca="false">SUM(C29:N29)</f>
        <v>381.311870189972</v>
      </c>
      <c r="AO29" s="15" t="n">
        <f aca="false">SUM(O29:Z29)</f>
        <v>4997.15284938449</v>
      </c>
      <c r="AP29" s="15" t="n">
        <f aca="false">SUM(AA29:AL29)</f>
        <v>17873.0326480633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13.219206511</v>
      </c>
      <c r="G30" s="15" t="n">
        <f aca="false">(G26-G29)*Hypothèses!$D$28+G18*Hypothèses!$D$29</f>
        <v>12.9548091615735</v>
      </c>
      <c r="H30" s="15" t="n">
        <f aca="false">(H26-H29)*Hypothèses!$D$28+H18*Hypothèses!$D$29</f>
        <v>12.6957000235329</v>
      </c>
      <c r="I30" s="15" t="n">
        <f aca="false">(I26-I29)*Hypothèses!$D$28+I18*Hypothèses!$D$29</f>
        <v>39.6736873278328</v>
      </c>
      <c r="J30" s="15" t="n">
        <f aca="false">(J26-J29)*Hypothèses!$D$28+J18*Hypothèses!$D$29</f>
        <v>66.6516476541455</v>
      </c>
      <c r="K30" s="15" t="n">
        <f aca="false">(K26-K29)*Hypothèses!$D$28+K18*Hypothèses!$D$29</f>
        <v>93.6295810024979</v>
      </c>
      <c r="L30" s="15" t="n">
        <f aca="false">(L26-L29)*Hypothèses!$D$28+L18*Hypothèses!$D$29</f>
        <v>120.607487372917</v>
      </c>
      <c r="M30" s="15" t="n">
        <f aca="false">(M26-M29)*Hypothèses!$D$28+M18*Hypothèses!$D$29</f>
        <v>147.585366765429</v>
      </c>
      <c r="N30" s="15" t="n">
        <f aca="false">(N26-N29)*Hypothèses!$D$28+N18*Hypothèses!$D$29</f>
        <v>174.563219180063</v>
      </c>
      <c r="O30" s="15" t="n">
        <f aca="false">(O26-O29)*Hypothèses!$D$28+O18*Hypothèses!$D$29</f>
        <v>264.48971128351</v>
      </c>
      <c r="P30" s="15" t="n">
        <f aca="false">(P26-P29)*Hypothèses!$D$28+P18*Hypothèses!$D$29</f>
        <v>354.416113460466</v>
      </c>
      <c r="Q30" s="15" t="n">
        <f aca="false">(Q26-Q29)*Hypothèses!$D$28+Q18*Hypothèses!$D$29</f>
        <v>444.342425711019</v>
      </c>
      <c r="R30" s="15" t="n">
        <f aca="false">(R26-R29)*Hypothèses!$D$28+R18*Hypothèses!$D$29</f>
        <v>534.26864803526</v>
      </c>
      <c r="S30" s="15" t="n">
        <f aca="false">(S26-S29)*Hypothèses!$D$28+S18*Hypothèses!$D$29</f>
        <v>624.194780433278</v>
      </c>
      <c r="T30" s="15" t="n">
        <f aca="false">(T26-T29)*Hypothèses!$D$28+T18*Hypothèses!$D$29</f>
        <v>714.120822905165</v>
      </c>
      <c r="U30" s="15" t="n">
        <f aca="false">(U26-U29)*Hypothèses!$D$28+U18*Hypothèses!$D$29</f>
        <v>804.046775451008</v>
      </c>
      <c r="V30" s="15" t="n">
        <f aca="false">(V26-V29)*Hypothèses!$D$28+V18*Hypothèses!$D$29</f>
        <v>893.9726380709</v>
      </c>
      <c r="W30" s="15" t="n">
        <f aca="false">(W26-W29)*Hypothèses!$D$28+W18*Hypothèses!$D$29</f>
        <v>983.898410764928</v>
      </c>
      <c r="X30" s="15" t="n">
        <f aca="false">(X26-X29)*Hypothèses!$D$28+X18*Hypothèses!$D$29</f>
        <v>1073.82409353318</v>
      </c>
      <c r="Y30" s="15" t="n">
        <f aca="false">(Y26-Y29)*Hypothèses!$D$28+Y18*Hypothèses!$D$29</f>
        <v>1163.74968637576</v>
      </c>
      <c r="Z30" s="15" t="n">
        <f aca="false">(Z26-Z29)*Hypothèses!$D$28+Z18*Hypothèses!$D$29</f>
        <v>1253.67518929274</v>
      </c>
      <c r="AA30" s="15" t="n">
        <f aca="false">(AA26-AA29)*Hypothèses!$D$28+AA18*Hypothèses!$D$29</f>
        <v>1478.49060228421</v>
      </c>
      <c r="AB30" s="15" t="n">
        <f aca="false">(AB26-AB29)*Hypothèses!$D$28+AB18*Hypothèses!$D$29</f>
        <v>1703.30579046028</v>
      </c>
      <c r="AC30" s="15" t="n">
        <f aca="false">(AC26-AC29)*Hypothèses!$D$28+AC18*Hypothèses!$D$29</f>
        <v>1928.12075382116</v>
      </c>
      <c r="AD30" s="15" t="n">
        <f aca="false">(AD26-AD29)*Hypothèses!$D$28+AD18*Hypothèses!$D$29</f>
        <v>2152.93549236707</v>
      </c>
      <c r="AE30" s="15" t="n">
        <f aca="false">(AE26-AE29)*Hypothèses!$D$28+AE18*Hypothèses!$D$29</f>
        <v>2377.75000609824</v>
      </c>
      <c r="AF30" s="15" t="n">
        <f aca="false">(AF26-AF29)*Hypothèses!$D$28+AF18*Hypothèses!$D$29</f>
        <v>2602.5642950149</v>
      </c>
      <c r="AG30" s="15" t="n">
        <f aca="false">(AG26-AG29)*Hypothèses!$D$28+AG18*Hypothèses!$D$29</f>
        <v>2827.37835911728</v>
      </c>
      <c r="AH30" s="15" t="n">
        <f aca="false">(AH26-AH29)*Hypothèses!$D$28+AH18*Hypothèses!$D$29</f>
        <v>3052.19219840558</v>
      </c>
      <c r="AI30" s="15" t="n">
        <f aca="false">(AI26-AI29)*Hypothèses!$D$28+AI18*Hypothèses!$D$29</f>
        <v>3277.00581288005</v>
      </c>
      <c r="AJ30" s="15" t="n">
        <f aca="false">(AJ26-AJ29)*Hypothèses!$D$28+AJ18*Hypothèses!$D$29</f>
        <v>3501.8192025409</v>
      </c>
      <c r="AK30" s="15" t="n">
        <f aca="false">(AK26-AK29)*Hypothèses!$D$28+AK18*Hypothèses!$D$29</f>
        <v>3726.63236738837</v>
      </c>
      <c r="AL30" s="15" t="n">
        <f aca="false">(AL26-AL29)*Hypothèses!$D$28+AL18*Hypothèses!$D$29</f>
        <v>3951.44530742267</v>
      </c>
      <c r="AN30" s="15" t="n">
        <f aca="false">SUM(C30:N30)</f>
        <v>695.069704998992</v>
      </c>
      <c r="AO30" s="15" t="n">
        <f aca="false">SUM(O30:Z30)</f>
        <v>9108.99929531721</v>
      </c>
      <c r="AP30" s="15" t="n">
        <f aca="false">SUM(AA30:AL30)</f>
        <v>32579.6401878007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704.728060889</v>
      </c>
      <c r="G31" s="40" t="n">
        <f aca="false">G26-G29-G30</f>
        <v>690.632794943159</v>
      </c>
      <c r="H31" s="40" t="n">
        <f aca="false">H26-H29-H30</f>
        <v>676.819448411501</v>
      </c>
      <c r="I31" s="40" t="n">
        <f aca="false">I26-I29-I30</f>
        <v>2115.04077159205</v>
      </c>
      <c r="J31" s="40" t="n">
        <f aca="false">J26-J29-J30</f>
        <v>3553.26065655128</v>
      </c>
      <c r="K31" s="40" t="n">
        <f aca="false">K26-K29-K30</f>
        <v>4991.47910329063</v>
      </c>
      <c r="L31" s="40" t="n">
        <f aca="false">L26-L29-L30</f>
        <v>6429.69611181152</v>
      </c>
      <c r="M31" s="40" t="n">
        <f aca="false">M26-M29-M30</f>
        <v>7867.91168211541</v>
      </c>
      <c r="N31" s="40" t="n">
        <f aca="false">N26-N29-N30</f>
        <v>9306.12581420373</v>
      </c>
      <c r="O31" s="40" t="n">
        <f aca="false">O26-O29-O30</f>
        <v>14100.1898414112</v>
      </c>
      <c r="P31" s="40" t="n">
        <f aca="false">P26-P29-P30</f>
        <v>18894.2490745547</v>
      </c>
      <c r="Q31" s="40" t="n">
        <f aca="false">Q26-Q29-Q30</f>
        <v>23688.303513639</v>
      </c>
      <c r="R31" s="40" t="n">
        <f aca="false">R26-R29-R30</f>
        <v>28482.3531586688</v>
      </c>
      <c r="S31" s="40" t="n">
        <f aca="false">S26-S29-S30</f>
        <v>33276.398009649</v>
      </c>
      <c r="T31" s="40" t="n">
        <f aca="false">T26-T29-T30</f>
        <v>38070.4380665843</v>
      </c>
      <c r="U31" s="40" t="n">
        <f aca="false">U26-U29-U30</f>
        <v>42864.4733294796</v>
      </c>
      <c r="V31" s="40" t="n">
        <f aca="false">V26-V29-V30</f>
        <v>47658.5037983396</v>
      </c>
      <c r="W31" s="40" t="n">
        <f aca="false">W26-W29-W30</f>
        <v>52452.5294731691</v>
      </c>
      <c r="X31" s="40" t="n">
        <f aca="false">X26-X29-X30</f>
        <v>57246.550353973</v>
      </c>
      <c r="Y31" s="40" t="n">
        <f aca="false">Y26-Y29-Y30</f>
        <v>62040.5664407559</v>
      </c>
      <c r="Z31" s="40" t="n">
        <f aca="false">Z26-Z29-Z30</f>
        <v>66834.5777335228</v>
      </c>
      <c r="AA31" s="40" t="n">
        <f aca="false">AA26-AA29-AA30</f>
        <v>78819.6942322784</v>
      </c>
      <c r="AB31" s="40" t="n">
        <f aca="false">AB26-AB29-AB30</f>
        <v>90804.7987459176</v>
      </c>
      <c r="AC31" s="40" t="n">
        <f aca="false">AC26-AC29-AC30</f>
        <v>102789.891274452</v>
      </c>
      <c r="AD31" s="40" t="n">
        <f aca="false">AD26-AD29-AD30</f>
        <v>114774.971817894</v>
      </c>
      <c r="AE31" s="40" t="n">
        <f aca="false">AE26-AE29-AE30</f>
        <v>126760.040376256</v>
      </c>
      <c r="AF31" s="40" t="n">
        <f aca="false">AF26-AF29-AF30</f>
        <v>138745.096949549</v>
      </c>
      <c r="AG31" s="40" t="n">
        <f aca="false">AG26-AG29-AG30</f>
        <v>150730.141537785</v>
      </c>
      <c r="AH31" s="40" t="n">
        <f aca="false">AH26-AH29-AH30</f>
        <v>162715.174140977</v>
      </c>
      <c r="AI31" s="40" t="n">
        <f aca="false">AI26-AI29-AI30</f>
        <v>174700.194759136</v>
      </c>
      <c r="AJ31" s="40" t="n">
        <f aca="false">AJ26-AJ29-AJ30</f>
        <v>186685.203392275</v>
      </c>
      <c r="AK31" s="40" t="n">
        <f aca="false">AK26-AK29-AK30</f>
        <v>198670.200040405</v>
      </c>
      <c r="AL31" s="40" t="n">
        <f aca="false">AL26-AL29-AL30</f>
        <v>210655.184703538</v>
      </c>
      <c r="AN31" s="40" t="n">
        <f aca="false">SUM(C31:N31)</f>
        <v>37054.8054438083</v>
      </c>
      <c r="AO31" s="40" t="n">
        <f aca="false">SUM(O31:Z31)</f>
        <v>485609.132793747</v>
      </c>
      <c r="AP31" s="40" t="n">
        <f aca="false">SUM(AA31:AL31)</f>
        <v>1736850.59197046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96.1379019</v>
      </c>
      <c r="G33" s="15" t="n">
        <f aca="false">(G19*Hypothèses!$D$31+G20*Hypothèses!$D$32+G21*Hypothèses!$D$33)*Hypothèses!$D$34*$F$4</f>
        <v>94.2150477240981</v>
      </c>
      <c r="H33" s="15" t="n">
        <f aca="false">(H19*Hypothèses!$D$31+H20*Hypothèses!$D$32+H21*Hypothèses!$D$33)*Hypothèses!$D$34*$F$4</f>
        <v>92.3306525545684</v>
      </c>
      <c r="I33" s="15" t="n">
        <f aca="false">(I19*Hypothèses!$D$31+I20*Hypothèses!$D$32+I21*Hypothèses!$D$33)*Hypothèses!$D$34*$F$4</f>
        <v>288.530560223916</v>
      </c>
      <c r="J33" s="15" t="n">
        <f aca="false">(J19*Hypothèses!$D$31+J20*Hypothèses!$D$32+J21*Hypothèses!$D$33)*Hypothèses!$D$34*$F$4</f>
        <v>484.730271693356</v>
      </c>
      <c r="K33" s="15" t="n">
        <f aca="false">(K19*Hypothèses!$D$31+K20*Hypothèses!$D$32+K21*Hypothèses!$D$33)*Hypothèses!$D$34*$F$4</f>
        <v>680.929786963084</v>
      </c>
      <c r="L33" s="15" t="n">
        <f aca="false">(L19*Hypothèses!$D$31+L20*Hypothèses!$D$32+L21*Hypothèses!$D$33)*Hypothèses!$D$34*$F$4</f>
        <v>877.129106033297</v>
      </c>
      <c r="M33" s="15" t="n">
        <f aca="false">(M19*Hypothèses!$D$31+M20*Hypothèses!$D$32+M21*Hypothèses!$D$33)*Hypothèses!$D$34*$F$4</f>
        <v>1073.32822890419</v>
      </c>
      <c r="N33" s="15" t="n">
        <f aca="false">(N19*Hypothèses!$D$31+N20*Hypothèses!$D$32+N21*Hypothèses!$D$33)*Hypothèses!$D$34*$F$4</f>
        <v>1269.52715557596</v>
      </c>
      <c r="O33" s="15" t="n">
        <f aca="false">(O19*Hypothèses!$D$31+O20*Hypothèses!$D$32+O21*Hypothèses!$D$33)*Hypothèses!$D$34*$F$4</f>
        <v>1923.52588604881</v>
      </c>
      <c r="P33" s="15" t="n">
        <f aca="false">(P19*Hypothèses!$D$31+P20*Hypothèses!$D$32+P21*Hypothèses!$D$33)*Hypothèses!$D$34*$F$4</f>
        <v>2577.52396252292</v>
      </c>
      <c r="Q33" s="15" t="n">
        <f aca="false">(Q19*Hypothèses!$D$31+Q20*Hypothèses!$D$32+Q21*Hypothèses!$D$33)*Hypothèses!$D$34*$F$4</f>
        <v>3231.52138499896</v>
      </c>
      <c r="R33" s="15" t="n">
        <f aca="false">(R19*Hypothèses!$D$31+R20*Hypothèses!$D$32+R21*Hypothèses!$D$33)*Hypothèses!$D$34*$F$4</f>
        <v>3885.51815347757</v>
      </c>
      <c r="S33" s="15" t="n">
        <f aca="false">(S19*Hypothèses!$D$31+S20*Hypothèses!$D$32+S21*Hypothèses!$D$33)*Hypothèses!$D$34*$F$4</f>
        <v>4539.51426795942</v>
      </c>
      <c r="T33" s="15" t="n">
        <f aca="false">(T19*Hypothèses!$D$31+T20*Hypothèses!$D$32+T21*Hypothèses!$D$33)*Hypothèses!$D$34*$F$4</f>
        <v>5193.50972844515</v>
      </c>
      <c r="U33" s="15" t="n">
        <f aca="false">(U19*Hypothèses!$D$31+U20*Hypothèses!$D$32+U21*Hypothèses!$D$33)*Hypothèses!$D$34*$F$4</f>
        <v>5847.50453493542</v>
      </c>
      <c r="V33" s="15" t="n">
        <f aca="false">(V19*Hypothèses!$D$31+V20*Hypothèses!$D$32+V21*Hypothèses!$D$33)*Hypothèses!$D$34*$F$4</f>
        <v>6501.49868743089</v>
      </c>
      <c r="W33" s="15" t="n">
        <f aca="false">(W19*Hypothèses!$D$31+W20*Hypothèses!$D$32+W21*Hypothèses!$D$33)*Hypothèses!$D$34*$F$4</f>
        <v>7155.4921859322</v>
      </c>
      <c r="X33" s="15" t="n">
        <f aca="false">(X19*Hypothèses!$D$31+X20*Hypothèses!$D$32+X21*Hypothèses!$D$33)*Hypothèses!$D$34*$F$4</f>
        <v>7809.48503044001</v>
      </c>
      <c r="Y33" s="15" t="n">
        <f aca="false">(Y19*Hypothèses!$D$31+Y20*Hypothèses!$D$32+Y21*Hypothèses!$D$33)*Hypothèses!$D$34*$F$4</f>
        <v>8463.47722095498</v>
      </c>
      <c r="Z33" s="15" t="n">
        <f aca="false">(Z19*Hypothèses!$D$31+Z20*Hypothèses!$D$32+Z21*Hypothèses!$D$33)*Hypothèses!$D$34*$F$4</f>
        <v>9117.46875747776</v>
      </c>
      <c r="AA33" s="15" t="n">
        <f aca="false">(AA19*Hypothèses!$D$31+AA20*Hypothèses!$D$32+AA21*Hypothèses!$D$33)*Hypothèses!$D$34*$F$4</f>
        <v>10752.459640009</v>
      </c>
      <c r="AB33" s="15" t="n">
        <f aca="false">(AB19*Hypothèses!$D$31+AB20*Hypothèses!$D$32+AB21*Hypothèses!$D$33)*Hypothèses!$D$34*$F$4</f>
        <v>12387.4488875494</v>
      </c>
      <c r="AC33" s="15" t="n">
        <f aca="false">(AC19*Hypothèses!$D$31+AC20*Hypothèses!$D$32+AC21*Hypothèses!$D$33)*Hypothèses!$D$34*$F$4</f>
        <v>14022.4365001005</v>
      </c>
      <c r="AD33" s="15" t="n">
        <f aca="false">(AD19*Hypothèses!$D$31+AD20*Hypothèses!$D$32+AD21*Hypothèses!$D$33)*Hypothèses!$D$34*$F$4</f>
        <v>15657.422477664</v>
      </c>
      <c r="AE33" s="15" t="n">
        <f aca="false">(AE19*Hypothèses!$D$31+AE20*Hypothèses!$D$32+AE21*Hypothèses!$D$33)*Hypothèses!$D$34*$F$4</f>
        <v>17292.4068202415</v>
      </c>
      <c r="AF33" s="15" t="n">
        <f aca="false">(AF19*Hypothèses!$D$31+AF20*Hypothèses!$D$32+AF21*Hypothèses!$D$33)*Hypothèses!$D$34*$F$4</f>
        <v>18927.3895278347</v>
      </c>
      <c r="AG33" s="15" t="n">
        <f aca="false">(AG19*Hypothèses!$D$31+AG20*Hypothèses!$D$32+AG21*Hypothèses!$D$33)*Hypothèses!$D$34*$F$4</f>
        <v>20562.3706004452</v>
      </c>
      <c r="AH33" s="15" t="n">
        <f aca="false">(AH19*Hypothèses!$D$31+AH20*Hypothèses!$D$32+AH21*Hypothèses!$D$33)*Hypothèses!$D$34*$F$4</f>
        <v>22197.3500380746</v>
      </c>
      <c r="AI33" s="15" t="n">
        <f aca="false">(AI19*Hypothèses!$D$31+AI20*Hypothèses!$D$32+AI21*Hypothèses!$D$33)*Hypothèses!$D$34*$F$4</f>
        <v>23832.3278407245</v>
      </c>
      <c r="AJ33" s="15" t="n">
        <f aca="false">(AJ19*Hypothèses!$D$31+AJ20*Hypothèses!$D$32+AJ21*Hypothèses!$D$33)*Hypothèses!$D$34*$F$4</f>
        <v>25467.3040083967</v>
      </c>
      <c r="AK33" s="15" t="n">
        <f aca="false">(AK19*Hypothèses!$D$31+AK20*Hypothèses!$D$32+AK21*Hypothèses!$D$33)*Hypothèses!$D$34*$F$4</f>
        <v>27102.2785410927</v>
      </c>
      <c r="AL33" s="15" t="n">
        <f aca="false">(AL19*Hypothèses!$D$31+AL20*Hypothèses!$D$32+AL21*Hypothèses!$D$33)*Hypothèses!$D$34*$F$4</f>
        <v>28737.2514388141</v>
      </c>
      <c r="AN33" s="15" t="n">
        <f aca="false">SUM(C33:N33)</f>
        <v>5054.95871157247</v>
      </c>
      <c r="AO33" s="15" t="n">
        <f aca="false">SUM(O33:Z33)</f>
        <v>66246.0398006241</v>
      </c>
      <c r="AP33" s="15" t="n">
        <f aca="false">SUM(AA33:AL33)</f>
        <v>236938.446320947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14.699985</v>
      </c>
      <c r="G34" s="15" t="n">
        <f aca="false">G18*Hypothèses!$D$35</f>
        <v>14.405970600015</v>
      </c>
      <c r="H34" s="15" t="n">
        <f aca="false">H18*Hypothèses!$D$35</f>
        <v>14.1178367820441</v>
      </c>
      <c r="I34" s="15" t="n">
        <f aca="false">I18*Hypothèses!$D$35</f>
        <v>44.1178226642073</v>
      </c>
      <c r="J34" s="15" t="n">
        <f aca="false">J18*Hypothèses!$D$35</f>
        <v>74.1177785463847</v>
      </c>
      <c r="K34" s="15" t="n">
        <f aca="false">K18*Hypothèses!$D$35</f>
        <v>104.117704428606</v>
      </c>
      <c r="L34" s="15" t="n">
        <f aca="false">L18*Hypothèses!$D$35</f>
        <v>134.117600310902</v>
      </c>
      <c r="M34" s="15" t="n">
        <f aca="false">M18*Hypothèses!$D$35</f>
        <v>164.117466193301</v>
      </c>
      <c r="N34" s="15" t="n">
        <f aca="false">N18*Hypothèses!$D$35</f>
        <v>194.117302075835</v>
      </c>
      <c r="O34" s="15" t="n">
        <f aca="false">O18*Hypothèses!$D$35</f>
        <v>294.117107958533</v>
      </c>
      <c r="P34" s="15" t="n">
        <f aca="false">P18*Hypothèses!$D$35</f>
        <v>394.116813841425</v>
      </c>
      <c r="Q34" s="15" t="n">
        <f aca="false">Q18*Hypothèses!$D$35</f>
        <v>494.116419724611</v>
      </c>
      <c r="R34" s="15" t="n">
        <f aca="false">R18*Hypothèses!$D$35</f>
        <v>594.115925608192</v>
      </c>
      <c r="S34" s="15" t="n">
        <f aca="false">S18*Hypothèses!$D$35</f>
        <v>694.115331492266</v>
      </c>
      <c r="T34" s="15" t="n">
        <f aca="false">T18*Hypothèses!$D$35</f>
        <v>794.114637376935</v>
      </c>
      <c r="U34" s="15" t="n">
        <f aca="false">U18*Hypothèses!$D$35</f>
        <v>894.113843262297</v>
      </c>
      <c r="V34" s="15" t="n">
        <f aca="false">V18*Hypothèses!$D$35</f>
        <v>994.112949148454</v>
      </c>
      <c r="W34" s="15" t="n">
        <f aca="false">W18*Hypothèses!$D$35</f>
        <v>1094.1119550355</v>
      </c>
      <c r="X34" s="15" t="n">
        <f aca="false">X18*Hypothèses!$D$35</f>
        <v>1194.11086092355</v>
      </c>
      <c r="Y34" s="15" t="n">
        <f aca="false">Y18*Hypothèses!$D$35</f>
        <v>1294.10966681269</v>
      </c>
      <c r="Z34" s="15" t="n">
        <f aca="false">Z18*Hypothèses!$D$35</f>
        <v>1394.10837270302</v>
      </c>
      <c r="AA34" s="15" t="n">
        <f aca="false">AA18*Hypothèses!$D$35</f>
        <v>1644.10697859465</v>
      </c>
      <c r="AB34" s="15" t="n">
        <f aca="false">AB18*Hypothèses!$D$35</f>
        <v>1894.10533448767</v>
      </c>
      <c r="AC34" s="15" t="n">
        <f aca="false">AC18*Hypothèses!$D$35</f>
        <v>2144.10344038234</v>
      </c>
      <c r="AD34" s="15" t="n">
        <f aca="false">AD18*Hypothèses!$D$35</f>
        <v>2394.1012962789</v>
      </c>
      <c r="AE34" s="15" t="n">
        <f aca="false">AE18*Hypothèses!$D$35</f>
        <v>2644.0989021776</v>
      </c>
      <c r="AF34" s="15" t="n">
        <f aca="false">AF18*Hypothèses!$D$35</f>
        <v>2894.0962580787</v>
      </c>
      <c r="AG34" s="15" t="n">
        <f aca="false">AG18*Hypothèses!$D$35</f>
        <v>3144.09336398244</v>
      </c>
      <c r="AH34" s="15" t="n">
        <f aca="false">AH18*Hypothèses!$D$35</f>
        <v>3394.09021988908</v>
      </c>
      <c r="AI34" s="15" t="n">
        <f aca="false">AI18*Hypothèses!$D$35</f>
        <v>3644.08682579886</v>
      </c>
      <c r="AJ34" s="15" t="n">
        <f aca="false">AJ18*Hypothèses!$D$35</f>
        <v>3894.08318171203</v>
      </c>
      <c r="AK34" s="15" t="n">
        <f aca="false">AK18*Hypothèses!$D$35</f>
        <v>4144.07928762885</v>
      </c>
      <c r="AL34" s="15" t="n">
        <f aca="false">AL18*Hypothèses!$D$35</f>
        <v>4394.07514354956</v>
      </c>
      <c r="AN34" s="15" t="n">
        <f aca="false">SUM(C34:N34)</f>
        <v>772.929466601295</v>
      </c>
      <c r="AO34" s="15" t="n">
        <f aca="false">SUM(O34:Z34)</f>
        <v>10129.3638838875</v>
      </c>
      <c r="AP34" s="15" t="n">
        <f aca="false">SUM(AA34:AL34)</f>
        <v>36229.1202325607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29.39997</v>
      </c>
      <c r="G35" s="15" t="n">
        <f aca="false">G18*Hypothèses!$D$36</f>
        <v>28.81194120003</v>
      </c>
      <c r="H35" s="15" t="n">
        <f aca="false">H18*Hypothèses!$D$36</f>
        <v>28.2356735640882</v>
      </c>
      <c r="I35" s="15" t="n">
        <f aca="false">I18*Hypothèses!$D$36</f>
        <v>88.2356453284146</v>
      </c>
      <c r="J35" s="15" t="n">
        <f aca="false">J18*Hypothèses!$D$36</f>
        <v>148.235557092769</v>
      </c>
      <c r="K35" s="15" t="n">
        <f aca="false">K18*Hypothèses!$D$36</f>
        <v>208.235408857212</v>
      </c>
      <c r="L35" s="15" t="n">
        <f aca="false">L18*Hypothèses!$D$36</f>
        <v>268.235200621803</v>
      </c>
      <c r="M35" s="15" t="n">
        <f aca="false">M18*Hypothèses!$D$36</f>
        <v>328.234932386603</v>
      </c>
      <c r="N35" s="15" t="n">
        <f aca="false">N18*Hypothèses!$D$36</f>
        <v>388.23460415167</v>
      </c>
      <c r="O35" s="15" t="n">
        <f aca="false">O18*Hypothèses!$D$36</f>
        <v>588.234215917066</v>
      </c>
      <c r="P35" s="15" t="n">
        <f aca="false">P18*Hypothèses!$D$36</f>
        <v>788.23362768285</v>
      </c>
      <c r="Q35" s="15" t="n">
        <f aca="false">Q18*Hypothèses!$D$36</f>
        <v>988.232839449223</v>
      </c>
      <c r="R35" s="15" t="n">
        <f aca="false">R18*Hypothèses!$D$36</f>
        <v>1188.23185121638</v>
      </c>
      <c r="S35" s="15" t="n">
        <f aca="false">S18*Hypothèses!$D$36</f>
        <v>1388.23066298453</v>
      </c>
      <c r="T35" s="15" t="n">
        <f aca="false">T18*Hypothèses!$D$36</f>
        <v>1588.22927475387</v>
      </c>
      <c r="U35" s="15" t="n">
        <f aca="false">U18*Hypothèses!$D$36</f>
        <v>1788.22768652459</v>
      </c>
      <c r="V35" s="15" t="n">
        <f aca="false">V18*Hypothèses!$D$36</f>
        <v>1988.22589829691</v>
      </c>
      <c r="W35" s="15" t="n">
        <f aca="false">W18*Hypothèses!$D$36</f>
        <v>2188.22391007101</v>
      </c>
      <c r="X35" s="15" t="n">
        <f aca="false">X18*Hypothèses!$D$36</f>
        <v>2388.2217218471</v>
      </c>
      <c r="Y35" s="15" t="n">
        <f aca="false">Y18*Hypothèses!$D$36</f>
        <v>2588.21933362538</v>
      </c>
      <c r="Z35" s="15" t="n">
        <f aca="false">Z18*Hypothèses!$D$36</f>
        <v>2788.21674540604</v>
      </c>
      <c r="AA35" s="15" t="n">
        <f aca="false">AA18*Hypothèses!$D$36</f>
        <v>3288.2139571893</v>
      </c>
      <c r="AB35" s="15" t="n">
        <f aca="false">AB18*Hypothèses!$D$36</f>
        <v>3788.21066897534</v>
      </c>
      <c r="AC35" s="15" t="n">
        <f aca="false">AC18*Hypothèses!$D$36</f>
        <v>4288.20688076467</v>
      </c>
      <c r="AD35" s="15" t="n">
        <f aca="false">AD18*Hypothèses!$D$36</f>
        <v>4788.20259255779</v>
      </c>
      <c r="AE35" s="15" t="n">
        <f aca="false">AE18*Hypothèses!$D$36</f>
        <v>5288.1978043552</v>
      </c>
      <c r="AF35" s="15" t="n">
        <f aca="false">AF18*Hypothèses!$D$36</f>
        <v>5788.1925161574</v>
      </c>
      <c r="AG35" s="15" t="n">
        <f aca="false">AG18*Hypothèses!$D$36</f>
        <v>6288.18672796488</v>
      </c>
      <c r="AH35" s="15" t="n">
        <f aca="false">AH18*Hypothèses!$D$36</f>
        <v>6788.18043977815</v>
      </c>
      <c r="AI35" s="15" t="n">
        <f aca="false">AI18*Hypothèses!$D$36</f>
        <v>7288.17365159771</v>
      </c>
      <c r="AJ35" s="15" t="n">
        <f aca="false">AJ18*Hypothèses!$D$36</f>
        <v>7788.16636342406</v>
      </c>
      <c r="AK35" s="15" t="n">
        <f aca="false">AK18*Hypothèses!$D$36</f>
        <v>8288.1585752577</v>
      </c>
      <c r="AL35" s="15" t="n">
        <f aca="false">AL18*Hypothèses!$D$36</f>
        <v>8788.15028709912</v>
      </c>
      <c r="AN35" s="15" t="n">
        <f aca="false">SUM(C35:N35)</f>
        <v>1545.85893320259</v>
      </c>
      <c r="AO35" s="15" t="n">
        <f aca="false">SUM(O35:Z35)</f>
        <v>20258.727767775</v>
      </c>
      <c r="AP35" s="15" t="n">
        <f aca="false">SUM(AA35:AL35)</f>
        <v>72458.2404651213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140.2378569</v>
      </c>
      <c r="G36" s="40" t="n">
        <f aca="false">G33+G34+G35</f>
        <v>137.432959524143</v>
      </c>
      <c r="H36" s="40" t="n">
        <f aca="false">H33+H34+H35</f>
        <v>134.684162900701</v>
      </c>
      <c r="I36" s="40" t="n">
        <f aca="false">I33+I34+I35</f>
        <v>420.884028216538</v>
      </c>
      <c r="J36" s="40" t="n">
        <f aca="false">J33+J34+J35</f>
        <v>707.08360733251</v>
      </c>
      <c r="K36" s="40" t="n">
        <f aca="false">K33+K34+K35</f>
        <v>993.282900248902</v>
      </c>
      <c r="L36" s="40" t="n">
        <f aca="false">L33+L34+L35</f>
        <v>1279.481906966</v>
      </c>
      <c r="M36" s="40" t="n">
        <f aca="false">M33+M34+M35</f>
        <v>1565.6806274841</v>
      </c>
      <c r="N36" s="40" t="n">
        <f aca="false">N33+N34+N35</f>
        <v>1851.87906180347</v>
      </c>
      <c r="O36" s="40" t="n">
        <f aca="false">O33+O34+O35</f>
        <v>2805.87720992441</v>
      </c>
      <c r="P36" s="40" t="n">
        <f aca="false">P33+P34+P35</f>
        <v>3759.8744040472</v>
      </c>
      <c r="Q36" s="40" t="n">
        <f aca="false">Q33+Q34+Q35</f>
        <v>4713.87064417279</v>
      </c>
      <c r="R36" s="40" t="n">
        <f aca="false">R33+R34+R35</f>
        <v>5667.86593030215</v>
      </c>
      <c r="S36" s="40" t="n">
        <f aca="false">S33+S34+S35</f>
        <v>6621.86026243622</v>
      </c>
      <c r="T36" s="40" t="n">
        <f aca="false">T33+T34+T35</f>
        <v>7575.85364057596</v>
      </c>
      <c r="U36" s="40" t="n">
        <f aca="false">U33+U34+U35</f>
        <v>8529.84606472232</v>
      </c>
      <c r="V36" s="40" t="n">
        <f aca="false">V33+V34+V35</f>
        <v>9483.83753487625</v>
      </c>
      <c r="W36" s="40" t="n">
        <f aca="false">W33+W34+W35</f>
        <v>10437.8280510387</v>
      </c>
      <c r="X36" s="40" t="n">
        <f aca="false">X33+X34+X35</f>
        <v>11391.8176132107</v>
      </c>
      <c r="Y36" s="40" t="n">
        <f aca="false">Y33+Y34+Y35</f>
        <v>12345.806221393</v>
      </c>
      <c r="Z36" s="40" t="n">
        <f aca="false">Z33+Z34+Z35</f>
        <v>13299.7938755868</v>
      </c>
      <c r="AA36" s="40" t="n">
        <f aca="false">AA33+AA34+AA35</f>
        <v>15684.780575793</v>
      </c>
      <c r="AB36" s="40" t="n">
        <f aca="false">AB33+AB34+AB35</f>
        <v>18069.7648910124</v>
      </c>
      <c r="AC36" s="40" t="n">
        <f aca="false">AC33+AC34+AC35</f>
        <v>20454.7468212475</v>
      </c>
      <c r="AD36" s="40" t="n">
        <f aca="false">AD33+AD34+AD35</f>
        <v>22839.7263665007</v>
      </c>
      <c r="AE36" s="40" t="n">
        <f aca="false">AE33+AE34+AE35</f>
        <v>25224.7035267743</v>
      </c>
      <c r="AF36" s="40" t="n">
        <f aca="false">AF33+AF34+AF35</f>
        <v>27609.6783020708</v>
      </c>
      <c r="AG36" s="40" t="n">
        <f aca="false">AG33+AG34+AG35</f>
        <v>29994.6506923925</v>
      </c>
      <c r="AH36" s="40" t="n">
        <f aca="false">AH33+AH34+AH35</f>
        <v>32379.6206977418</v>
      </c>
      <c r="AI36" s="40" t="n">
        <f aca="false">AI33+AI34+AI35</f>
        <v>34764.5883181211</v>
      </c>
      <c r="AJ36" s="40" t="n">
        <f aca="false">AJ33+AJ34+AJ35</f>
        <v>37149.5535535328</v>
      </c>
      <c r="AK36" s="40" t="n">
        <f aca="false">AK33+AK34+AK35</f>
        <v>39534.5164039792</v>
      </c>
      <c r="AL36" s="40" t="n">
        <f aca="false">AL33+AL34+AL35</f>
        <v>41919.4768694628</v>
      </c>
      <c r="AN36" s="40" t="n">
        <f aca="false">SUM(C36:N36)</f>
        <v>7373.74711137636</v>
      </c>
      <c r="AO36" s="40" t="n">
        <f aca="false">SUM(O36:Z36)</f>
        <v>96634.1314522865</v>
      </c>
      <c r="AP36" s="40" t="n">
        <f aca="false">SUM(AA36:AL36)</f>
        <v>345625.807018629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444.832326089</v>
      </c>
      <c r="G37" s="40" t="n">
        <f aca="false">G28-G36-G30-G29/(1+Hypothèses!$D$15)</f>
        <v>435.935234734894</v>
      </c>
      <c r="H37" s="40" t="n">
        <f aca="false">H28-H36-H30-H29/(1+Hypothèses!$D$15)</f>
        <v>427.216094104961</v>
      </c>
      <c r="I37" s="40" t="n">
        <f aca="false">I28-I36-I30-I29/(1+Hypothèses!$D$15)</f>
        <v>1335.03766688887</v>
      </c>
      <c r="J37" s="40" t="n">
        <f aca="false">J28-J36-J30-J29/(1+Hypothèses!$D$15)</f>
        <v>2242.8583318512</v>
      </c>
      <c r="K37" s="40" t="n">
        <f aca="false">K28-K36-K30-K29/(1+Hypothèses!$D$15)</f>
        <v>3150.67808899287</v>
      </c>
      <c r="L37" s="40" t="n">
        <f aca="false">L28-L36-L30-L29/(1+Hypothèses!$D$15)</f>
        <v>4058.49693831478</v>
      </c>
      <c r="M37" s="40" t="n">
        <f aca="false">M28-M36-M30-M29/(1+Hypothèses!$D$15)</f>
        <v>4966.31487981784</v>
      </c>
      <c r="N37" s="40" t="n">
        <f aca="false">N28-N36-N30-N29/(1+Hypothèses!$D$15)</f>
        <v>5874.13191350296</v>
      </c>
      <c r="O37" s="40" t="n">
        <f aca="false">O28-O36-O30-O29/(1+Hypothèses!$D$15)</f>
        <v>8900.19937270438</v>
      </c>
      <c r="P37" s="40" t="n">
        <f aca="false">P28-P36-P30-P29/(1+Hypothèses!$D$15)</f>
        <v>11926.2638058383</v>
      </c>
      <c r="Q37" s="40" t="n">
        <f aca="false">Q28-Q36-Q30-Q29/(1+Hypothèses!$D$15)</f>
        <v>14952.3252129079</v>
      </c>
      <c r="R37" s="40" t="n">
        <f aca="false">R28-R36-R30-R29/(1+Hypothèses!$D$15)</f>
        <v>17978.383593916</v>
      </c>
      <c r="S37" s="40" t="n">
        <f aca="false">S28-S36-S30-S29/(1+Hypothèses!$D$15)</f>
        <v>21004.4389488657</v>
      </c>
      <c r="T37" s="40" t="n">
        <f aca="false">T28-T36-T30-T29/(1+Hypothèses!$D$15)</f>
        <v>24030.4912777601</v>
      </c>
      <c r="U37" s="40" t="n">
        <f aca="false">U28-U36-U30-U29/(1+Hypothèses!$D$15)</f>
        <v>27056.5405806022</v>
      </c>
      <c r="V37" s="40" t="n">
        <f aca="false">V28-V36-V30-V29/(1+Hypothèses!$D$15)</f>
        <v>30082.5868573949</v>
      </c>
      <c r="W37" s="40" t="n">
        <f aca="false">W28-W36-W30-W29/(1+Hypothèses!$D$15)</f>
        <v>33108.6301081414</v>
      </c>
      <c r="X37" s="40" t="n">
        <f aca="false">X28-X36-X30-X29/(1+Hypothèses!$D$15)</f>
        <v>36134.6703328446</v>
      </c>
      <c r="Y37" s="40" t="n">
        <f aca="false">Y28-Y36-Y30-Y29/(1+Hypothèses!$D$15)</f>
        <v>39160.7075315076</v>
      </c>
      <c r="Z37" s="40" t="n">
        <f aca="false">Z28-Z36-Z30-Z29/(1+Hypothèses!$D$15)</f>
        <v>42186.7417041334</v>
      </c>
      <c r="AA37" s="40" t="n">
        <f aca="false">AA28-AA36-AA30-AA29/(1+Hypothèses!$D$15)</f>
        <v>49751.8828507251</v>
      </c>
      <c r="AB37" s="40" t="n">
        <f aca="false">AB28-AB36-AB30-AB29/(1+Hypothèses!$D$15)</f>
        <v>57317.0164321755</v>
      </c>
      <c r="AC37" s="40" t="n">
        <f aca="false">AC28-AC36-AC30-AC29/(1+Hypothèses!$D$15)</f>
        <v>64882.1424484924</v>
      </c>
      <c r="AD37" s="40" t="n">
        <f aca="false">AD28-AD36-AD30-AD29/(1+Hypothèses!$D$15)</f>
        <v>72447.2608996833</v>
      </c>
      <c r="AE37" s="40" t="n">
        <f aca="false">AE28-AE36-AE30-AE29/(1+Hypothèses!$D$15)</f>
        <v>80012.3717857558</v>
      </c>
      <c r="AF37" s="40" t="n">
        <f aca="false">AF28-AF36-AF30-AF29/(1+Hypothèses!$D$15)</f>
        <v>87577.4751067173</v>
      </c>
      <c r="AG37" s="40" t="n">
        <f aca="false">AG28-AG36-AG30-AG29/(1+Hypothèses!$D$15)</f>
        <v>95142.5708625755</v>
      </c>
      <c r="AH37" s="40" t="n">
        <f aca="false">AH28-AH36-AH30-AH29/(1+Hypothèses!$D$15)</f>
        <v>102707.659053338</v>
      </c>
      <c r="AI37" s="40" t="n">
        <f aca="false">AI28-AI36-AI30-AI29/(1+Hypothèses!$D$15)</f>
        <v>110272.739679012</v>
      </c>
      <c r="AJ37" s="40" t="n">
        <f aca="false">AJ28-AJ36-AJ30-AJ29/(1+Hypothèses!$D$15)</f>
        <v>117837.812739606</v>
      </c>
      <c r="AK37" s="40" t="n">
        <f aca="false">AK28-AK36-AK30-AK29/(1+Hypothèses!$D$15)</f>
        <v>125402.878235126</v>
      </c>
      <c r="AL37" s="40" t="n">
        <f aca="false">AL28-AL36-AL30-AL29/(1+Hypothèses!$D$15)</f>
        <v>132967.936165582</v>
      </c>
      <c r="AN37" s="40" t="n">
        <f aca="false">SUM(C37:N37)</f>
        <v>23389.4124742974</v>
      </c>
      <c r="AO37" s="40" t="n">
        <f aca="false">SUM(O37:Z37)</f>
        <v>306521.979326617</v>
      </c>
      <c r="AP37" s="40" t="n">
        <f aca="false">SUM(AA37:AL37)</f>
        <v>1096319.74625879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-13887.7556666667</v>
      </c>
      <c r="F52" s="40" t="n">
        <f aca="false">F37-F39-F51</f>
        <v>-13896.8343405777</v>
      </c>
      <c r="G52" s="40" t="n">
        <f aca="false">G37-G39-G51</f>
        <v>-13905.7314319318</v>
      </c>
      <c r="H52" s="40" t="n">
        <f aca="false">H37-H39-H51</f>
        <v>-13914.4505725617</v>
      </c>
      <c r="I52" s="40" t="n">
        <f aca="false">I37-I39-I51</f>
        <v>-9314.96233311113</v>
      </c>
      <c r="J52" s="40" t="n">
        <f aca="false">J37-J39-J51</f>
        <v>-3407.1416681488</v>
      </c>
      <c r="K52" s="40" t="n">
        <f aca="false">K37-K39-K51</f>
        <v>-2499.32191100713</v>
      </c>
      <c r="L52" s="40" t="n">
        <f aca="false">L37-L39-L51</f>
        <v>-1591.50306168522</v>
      </c>
      <c r="M52" s="40" t="n">
        <f aca="false">M37-M39-M51</f>
        <v>-683.685120182159</v>
      </c>
      <c r="N52" s="40" t="n">
        <f aca="false">N37-N39-N51</f>
        <v>224.131913502962</v>
      </c>
      <c r="O52" s="40" t="n">
        <f aca="false">O37-O39-O51</f>
        <v>-18249.8006272956</v>
      </c>
      <c r="P52" s="40" t="n">
        <f aca="false">P37-P39-P51</f>
        <v>-15223.7361941617</v>
      </c>
      <c r="Q52" s="40" t="n">
        <f aca="false">Q37-Q39-Q51</f>
        <v>-12197.6747870921</v>
      </c>
      <c r="R52" s="40" t="n">
        <f aca="false">R37-R39-R51</f>
        <v>-9171.61640608402</v>
      </c>
      <c r="S52" s="40" t="n">
        <f aca="false">S37-S39-S51</f>
        <v>-6145.56105113427</v>
      </c>
      <c r="T52" s="40" t="n">
        <f aca="false">T37-T39-T51</f>
        <v>-3119.50872223989</v>
      </c>
      <c r="U52" s="40" t="n">
        <f aca="false">U37-U39-U51</f>
        <v>-11593.4594193978</v>
      </c>
      <c r="V52" s="40" t="n">
        <f aca="false">V37-V39-V51</f>
        <v>-3567.41314260508</v>
      </c>
      <c r="W52" s="40" t="n">
        <f aca="false">W37-W39-W51</f>
        <v>-541.369891858616</v>
      </c>
      <c r="X52" s="40" t="n">
        <f aca="false">X37-X39-X51</f>
        <v>2484.67033284461</v>
      </c>
      <c r="Y52" s="40" t="n">
        <f aca="false">Y37-Y39-Y51</f>
        <v>5510.70753150761</v>
      </c>
      <c r="Z52" s="40" t="n">
        <f aca="false">Z37-Z39-Z51</f>
        <v>8536.74170413341</v>
      </c>
      <c r="AA52" s="40" t="n">
        <f aca="false">AA37-AA39-AA51</f>
        <v>1101.88285072506</v>
      </c>
      <c r="AB52" s="40" t="n">
        <f aca="false">AB37-AB39-AB51</f>
        <v>8667.01643217554</v>
      </c>
      <c r="AC52" s="40" t="n">
        <f aca="false">AC37-AC39-AC51</f>
        <v>16232.1424484924</v>
      </c>
      <c r="AD52" s="40" t="n">
        <f aca="false">AD37-AD39-AD51</f>
        <v>23797.2608996833</v>
      </c>
      <c r="AE52" s="40" t="n">
        <f aca="false">AE37-AE39-AE51</f>
        <v>31362.3717857558</v>
      </c>
      <c r="AF52" s="40" t="n">
        <f aca="false">AF37-AF39-AF51</f>
        <v>38927.4751067173</v>
      </c>
      <c r="AG52" s="40" t="n">
        <f aca="false">AG37-AG39-AG51</f>
        <v>41492.5708625755</v>
      </c>
      <c r="AH52" s="40" t="n">
        <f aca="false">AH37-AH39-AH51</f>
        <v>54057.659053338</v>
      </c>
      <c r="AI52" s="40" t="n">
        <f aca="false">AI37-AI39-AI51</f>
        <v>61622.7396790123</v>
      </c>
      <c r="AJ52" s="40" t="n">
        <f aca="false">AJ37-AJ39-AJ51</f>
        <v>69187.8127396059</v>
      </c>
      <c r="AK52" s="40" t="n">
        <f aca="false">AK37-AK39-AK51</f>
        <v>76752.8782351265</v>
      </c>
      <c r="AL52" s="40" t="n">
        <f aca="false">AL37-AL39-AL51</f>
        <v>84317.9361655816</v>
      </c>
      <c r="AN52" s="40" t="n">
        <f aca="false">SUM(C52:N52)</f>
        <v>-104060.587525703</v>
      </c>
      <c r="AO52" s="40" t="n">
        <f aca="false">SUM(O52:Z52)</f>
        <v>-63278.0206733835</v>
      </c>
      <c r="AP52" s="40" t="n">
        <f aca="false">SUM(AA52:AL52)</f>
        <v>507519.746258789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1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1</v>
      </c>
      <c r="Y53" s="13" t="n">
        <f aca="false">IF(Y52&gt;0,1,0)</f>
        <v>1</v>
      </c>
      <c r="Z53" s="13" t="n">
        <f aca="false">IF(Z52&gt;0,1,0)</f>
        <v>1</v>
      </c>
      <c r="AA53" s="13" t="n">
        <f aca="false">IF(AA52&gt;0,1,0)</f>
        <v>1</v>
      </c>
      <c r="AB53" s="13" t="n">
        <f aca="false">IF(AB52&gt;0,1,0)</f>
        <v>1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120.866543333333</v>
      </c>
      <c r="H55" s="15" t="n">
        <f aca="false">G27</f>
        <v>118.449091600123</v>
      </c>
      <c r="I55" s="15" t="n">
        <f aca="false">H27</f>
        <v>116.079991319029</v>
      </c>
      <c r="J55" s="15" t="n">
        <f aca="false">I27</f>
        <v>362.746541905705</v>
      </c>
      <c r="K55" s="15" t="n">
        <f aca="false">J27</f>
        <v>609.412845825829</v>
      </c>
      <c r="L55" s="15" t="n">
        <f aca="false">K27</f>
        <v>856.07890307965</v>
      </c>
      <c r="M55" s="15" t="n">
        <f aca="false">L27</f>
        <v>1102.74471366741</v>
      </c>
      <c r="N55" s="15" t="n">
        <f aca="false">M27</f>
        <v>1349.41027758937</v>
      </c>
      <c r="O55" s="15" t="n">
        <f aca="false">N27</f>
        <v>1596.07559484576</v>
      </c>
      <c r="P55" s="15" t="n">
        <f aca="false">O27</f>
        <v>2418.29622099238</v>
      </c>
      <c r="Q55" s="15" t="n">
        <f aca="false">P27</f>
        <v>3240.51602491838</v>
      </c>
      <c r="R55" s="15" t="n">
        <f aca="false">Q27</f>
        <v>4062.73500662458</v>
      </c>
      <c r="S55" s="15" t="n">
        <f aca="false">R27</f>
        <v>4884.9531661118</v>
      </c>
      <c r="T55" s="15" t="n">
        <f aca="false">S27</f>
        <v>5707.17050338086</v>
      </c>
      <c r="U55" s="15" t="n">
        <f aca="false">T27</f>
        <v>6529.38701843257</v>
      </c>
      <c r="V55" s="15" t="n">
        <f aca="false">U27</f>
        <v>7351.60271126778</v>
      </c>
      <c r="W55" s="15" t="n">
        <f aca="false">V27</f>
        <v>8173.81758188729</v>
      </c>
      <c r="X55" s="15" t="n">
        <f aca="false">W27</f>
        <v>8996.03163029193</v>
      </c>
      <c r="Y55" s="15" t="n">
        <f aca="false">X27</f>
        <v>9818.24485648252</v>
      </c>
      <c r="Z55" s="15" t="n">
        <f aca="false">Y27</f>
        <v>10640.4572604599</v>
      </c>
      <c r="AA55" s="15" t="n">
        <f aca="false">Z27</f>
        <v>11462.6688422248</v>
      </c>
      <c r="AB55" s="15" t="n">
        <f aca="false">AA27</f>
        <v>13518.2129351116</v>
      </c>
      <c r="AC55" s="15" t="n">
        <f aca="false">AB27</f>
        <v>15573.7549724542</v>
      </c>
      <c r="AD55" s="15" t="n">
        <f aca="false">AC27</f>
        <v>17629.2949542548</v>
      </c>
      <c r="AE55" s="15" t="n">
        <f aca="false">AD27</f>
        <v>19684.8328805154</v>
      </c>
      <c r="AF55" s="15" t="n">
        <f aca="false">AE27</f>
        <v>21740.368751238</v>
      </c>
      <c r="AG55" s="15" t="n">
        <f aca="false">AF27</f>
        <v>23795.9025664248</v>
      </c>
      <c r="AH55" s="15" t="n">
        <f aca="false">AG27</f>
        <v>25851.4343260778</v>
      </c>
      <c r="AI55" s="15" t="n">
        <f aca="false">AH27</f>
        <v>27906.9640301991</v>
      </c>
      <c r="AJ55" s="15" t="n">
        <f aca="false">AI27</f>
        <v>29962.4916787906</v>
      </c>
      <c r="AK55" s="15" t="n">
        <f aca="false">AJ27</f>
        <v>32018.0172718545</v>
      </c>
      <c r="AL55" s="15" t="n">
        <f aca="false">AK27</f>
        <v>34073.5408093928</v>
      </c>
      <c r="AN55" s="15" t="n">
        <f aca="false">SUM(C55:N55)</f>
        <v>4759.12224165378</v>
      </c>
      <c r="AO55" s="15" t="n">
        <f aca="false">SUM(O55:Z55)</f>
        <v>73419.2875756957</v>
      </c>
      <c r="AP55" s="15" t="n">
        <f aca="false">SUM(AA55:AL55)</f>
        <v>273217.484018538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2896.38090471333</v>
      </c>
      <c r="H56" s="15" t="n">
        <f aca="false">(G36+G39+G43+G44+G45+G47+G48+G49+G50)*Hypothèses!$D$15</f>
        <v>2895.81992523816</v>
      </c>
      <c r="I56" s="15" t="n">
        <f aca="false">(H36+H39+H43+H44+H45+H47+H48+H49+H50)*Hypothèses!$D$15</f>
        <v>2895.27016591347</v>
      </c>
      <c r="J56" s="15" t="n">
        <f aca="false">(I36+I39+I43+I44+I45+I47+I48+I49+I50)*Hypothèses!$D$15</f>
        <v>2184.17680564331</v>
      </c>
      <c r="K56" s="15" t="n">
        <f aca="false">(J36+J39+J43+J44+J45+J47+J48+J49+J50)*Hypothèses!$D$15</f>
        <v>1241.4167214665</v>
      </c>
      <c r="L56" s="15" t="n">
        <f aca="false">(K36+K39+K43+K44+K45+K47+K48+K49+K50)*Hypothèses!$D$15</f>
        <v>1298.65658004978</v>
      </c>
      <c r="M56" s="15" t="n">
        <f aca="false">(L36+L39+L43+L44+L45+L47+L48+L49+L50)*Hypothèses!$D$15</f>
        <v>1355.8963813932</v>
      </c>
      <c r="N56" s="15" t="n">
        <f aca="false">(M36+M39+M43+M44+M45+M47+M48+M49+M50)*Hypothèses!$D$15</f>
        <v>1413.13612549682</v>
      </c>
      <c r="O56" s="15" t="n">
        <f aca="false">(N36+N39+N43+N44+N45+N47+N48+N49+N50)*Hypothèses!$D$15</f>
        <v>1470.37581236069</v>
      </c>
      <c r="P56" s="15" t="n">
        <f aca="false">(O36+O39+O43+O44+O45+O47+O48+O49+O50)*Hypothèses!$D$15</f>
        <v>3061.17544198488</v>
      </c>
      <c r="Q56" s="15" t="n">
        <f aca="false">(P36+P39+P43+P44+P45+P47+P48+P49+P50)*Hypothèses!$D$15</f>
        <v>3251.97488080944</v>
      </c>
      <c r="R56" s="15" t="n">
        <f aca="false">(Q36+Q39+Q43+Q44+Q45+Q47+Q48+Q49+Q50)*Hypothèses!$D$15</f>
        <v>3442.77412883456</v>
      </c>
      <c r="S56" s="15" t="n">
        <f aca="false">(R36+R39+R43+R44+R45+R47+R48+R49+R50)*Hypothèses!$D$15</f>
        <v>3633.57318606043</v>
      </c>
      <c r="T56" s="15" t="n">
        <f aca="false">(S36+S39+S43+S44+S45+S47+S48+S49+S50)*Hypothèses!$D$15</f>
        <v>3824.37205248724</v>
      </c>
      <c r="U56" s="15" t="n">
        <f aca="false">(T36+T39+T43+T44+T45+T47+T48+T49+T50)*Hypothèses!$D$15</f>
        <v>4015.17072811519</v>
      </c>
      <c r="V56" s="15" t="n">
        <f aca="false">(U36+U39+U43+U44+U45+U47+U48+U49+U50)*Hypothèses!$D$15</f>
        <v>5205.96921294446</v>
      </c>
      <c r="W56" s="15" t="n">
        <f aca="false">(V36+V39+V43+V44+V45+V47+V48+V49+V50)*Hypothèses!$D$15</f>
        <v>4396.76750697525</v>
      </c>
      <c r="X56" s="15" t="n">
        <f aca="false">(W36+W39+W43+W44+W45+W47+W48+W49+W50)*Hypothèses!$D$15</f>
        <v>4587.56561020774</v>
      </c>
      <c r="Y56" s="15" t="n">
        <f aca="false">(X36+X39+X43+X44+X45+X47+X48+X49+X50)*Hypothèses!$D$15</f>
        <v>4778.36352264213</v>
      </c>
      <c r="Z56" s="15" t="n">
        <f aca="false">(Y36+Y39+Y43+Y44+Y45+Y47+Y48+Y49+Y50)*Hypothèses!$D$15</f>
        <v>4969.16124427861</v>
      </c>
      <c r="AA56" s="15" t="n">
        <f aca="false">(Z36+Z39+Z43+Z44+Z45+Z47+Z48+Z49+Z50)*Hypothèses!$D$15</f>
        <v>5159.95877511737</v>
      </c>
      <c r="AB56" s="15" t="n">
        <f aca="false">(AA36+AA39+AA43+AA44+AA45+AA47+AA48+AA49+AA50)*Hypothèses!$D$15</f>
        <v>8636.95611515859</v>
      </c>
      <c r="AC56" s="15" t="n">
        <f aca="false">(AB36+AB39+AB43+AB44+AB45+AB47+AB48+AB49+AB50)*Hypothèses!$D$15</f>
        <v>9113.95297820248</v>
      </c>
      <c r="AD56" s="15" t="n">
        <f aca="false">(AC36+AC39+AC43+AC44+AC45+AC47+AC48+AC49+AC50)*Hypothèses!$D$15</f>
        <v>9590.9493642495</v>
      </c>
      <c r="AE56" s="15" t="n">
        <f aca="false">(AD36+AD39+AD43+AD44+AD45+AD47+AD48+AD49+AD50)*Hypothèses!$D$15</f>
        <v>10067.9452733001</v>
      </c>
      <c r="AF56" s="15" t="n">
        <f aca="false">(AE36+AE39+AE43+AE44+AE45+AE47+AE48+AE49+AE50)*Hypothèses!$D$15</f>
        <v>10544.9407053549</v>
      </c>
      <c r="AG56" s="15" t="n">
        <f aca="false">(AF36+AF39+AF43+AF44+AF45+AF47+AF48+AF49+AF50)*Hypothèses!$D$15</f>
        <v>11021.9356604142</v>
      </c>
      <c r="AH56" s="15" t="n">
        <f aca="false">(AG36+AG39+AG43+AG44+AG45+AG47+AG48+AG49+AG50)*Hypothèses!$D$15</f>
        <v>12498.9301384785</v>
      </c>
      <c r="AI56" s="15" t="n">
        <f aca="false">(AH36+AH39+AH43+AH44+AH45+AH47+AH48+AH49+AH50)*Hypothèses!$D$15</f>
        <v>11975.9241395484</v>
      </c>
      <c r="AJ56" s="15" t="n">
        <f aca="false">(AI36+AI39+AI43+AI44+AI45+AI47+AI48+AI49+AI50)*Hypothèses!$D$15</f>
        <v>12452.9176636242</v>
      </c>
      <c r="AK56" s="15" t="n">
        <f aca="false">(AJ36+AJ39+AJ43+AJ44+AJ45+AJ47+AJ48+AJ49+AJ50)*Hypothèses!$D$15</f>
        <v>12929.9107107066</v>
      </c>
      <c r="AL56" s="15" t="n">
        <f aca="false">(AK36+AK39+AK43+AK44+AK45+AK47+AK48+AK49+AK50)*Hypothèses!$D$15</f>
        <v>13406.9032807958</v>
      </c>
      <c r="AN56" s="15" t="n">
        <f aca="false">SUM(C56:N56)</f>
        <v>25314.3736099146</v>
      </c>
      <c r="AO56" s="15" t="n">
        <f aca="false">SUM(O56:Z56)</f>
        <v>46637.2433277006</v>
      </c>
      <c r="AP56" s="15" t="n">
        <f aca="false">SUM(AA56:AL56)</f>
        <v>127401.224804951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-38712.3223333333</v>
      </c>
      <c r="G58" s="15" t="n">
        <f aca="false">F60</f>
        <v>-49715.878796011</v>
      </c>
      <c r="H58" s="15" t="n">
        <f aca="false">G60</f>
        <v>-60728.8312658786</v>
      </c>
      <c r="I58" s="15" t="n">
        <f aca="false">H60</f>
        <v>-71750.9918133965</v>
      </c>
      <c r="J58" s="15" t="n">
        <f aca="false">I60</f>
        <v>-77927.6448954265</v>
      </c>
      <c r="K58" s="15" t="n">
        <f aca="false">J60</f>
        <v>-78910.0375824701</v>
      </c>
      <c r="L58" s="15" t="n">
        <f aca="false">K60</f>
        <v>-79929.8375037877</v>
      </c>
      <c r="M58" s="15" t="n">
        <f aca="false">L60</f>
        <v>-79987.0456219721</v>
      </c>
      <c r="N58" s="15" t="n">
        <f aca="false">M60</f>
        <v>-79081.662899615</v>
      </c>
      <c r="O58" s="15" t="n">
        <f aca="false">N60</f>
        <v>-77213.6902993073</v>
      </c>
      <c r="P58" s="15" t="n">
        <f aca="false">O60</f>
        <v>-93195.0774503055</v>
      </c>
      <c r="Q58" s="15" t="n">
        <f aca="false">P60</f>
        <v>-104567.823558805</v>
      </c>
      <c r="R58" s="15" t="n">
        <f aca="false">Q60</f>
        <v>-112731.931833448</v>
      </c>
      <c r="S58" s="15" t="n">
        <f aca="false">R60</f>
        <v>-117687.405482872</v>
      </c>
      <c r="T58" s="15" t="n">
        <f aca="false">S60</f>
        <v>-119434.24771571</v>
      </c>
      <c r="U58" s="15" t="n">
        <f aca="false">T60</f>
        <v>-117972.461740595</v>
      </c>
      <c r="V58" s="15" t="n">
        <f aca="false">U60</f>
        <v>-124802.050766156</v>
      </c>
      <c r="W58" s="15" t="n">
        <f aca="false">V60</f>
        <v>-122423.018001016</v>
      </c>
      <c r="X58" s="15" t="n">
        <f aca="false">W60</f>
        <v>-117835.366653797</v>
      </c>
      <c r="Y58" s="15" t="n">
        <f aca="false">X60</f>
        <v>-110039.099933119</v>
      </c>
      <c r="Z58" s="15" t="n">
        <f aca="false">Y60</f>
        <v>-99034.2210475965</v>
      </c>
      <c r="AA58" s="15" t="n">
        <f aca="false">Z60</f>
        <v>-84820.7332058418</v>
      </c>
      <c r="AB58" s="15" t="n">
        <f aca="false">AA60</f>
        <v>-76638.5296164638</v>
      </c>
      <c r="AC58" s="15" t="n">
        <f aca="false">AB60</f>
        <v>-57434.7525815116</v>
      </c>
      <c r="AD58" s="15" t="n">
        <f aca="false">AC60</f>
        <v>-30209.4101225587</v>
      </c>
      <c r="AE58" s="15" t="n">
        <f aca="false">AD60</f>
        <v>5037.48973882962</v>
      </c>
      <c r="AF58" s="15" t="n">
        <f aca="false">AE60</f>
        <v>48305.9389810958</v>
      </c>
      <c r="AG58" s="15" t="n">
        <f aca="false">AF60</f>
        <v>99595.9295826905</v>
      </c>
      <c r="AH58" s="15" t="n">
        <f aca="false">AG60</f>
        <v>153907.453522072</v>
      </c>
      <c r="AI58" s="15" t="n">
        <f aca="false">AH60</f>
        <v>222240.502777708</v>
      </c>
      <c r="AJ58" s="15" t="n">
        <f aca="false">AI60</f>
        <v>297595.069328072</v>
      </c>
      <c r="AK58" s="15" t="n">
        <f aca="false">AJ60</f>
        <v>380971.145151648</v>
      </c>
      <c r="AL58" s="15" t="n">
        <f aca="false">AK60</f>
        <v>472368.722226925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-10397.3223333333</v>
      </c>
      <c r="F59" s="15" t="n">
        <f aca="false">F31-F36-F39-F51-F55+F56+F57</f>
        <v>-11003.5564626777</v>
      </c>
      <c r="G59" s="15" t="n">
        <f aca="false">G31-G36-G39-G51-G55+G56+G57</f>
        <v>-11012.9524698677</v>
      </c>
      <c r="H59" s="15" t="n">
        <f aca="false">H31-H36-H39-H51-H55+H56+H57</f>
        <v>-11022.1605475178</v>
      </c>
      <c r="I59" s="15" t="n">
        <f aca="false">I31-I36-I39-I51-I55+I56+I57</f>
        <v>-6176.65308203004</v>
      </c>
      <c r="J59" s="15" t="n">
        <f aca="false">J31-J36-J39-J51-J55+J56+J57</f>
        <v>-982.392687043625</v>
      </c>
      <c r="K59" s="15" t="n">
        <f aca="false">K31-K36-K39-K51-K55+K56+K57</f>
        <v>-1019.7999213176</v>
      </c>
      <c r="L59" s="15" t="n">
        <f aca="false">L31-L36-L39-L51-L55+L56+L57</f>
        <v>-57.208118184351</v>
      </c>
      <c r="M59" s="15" t="n">
        <f aca="false">M31-M36-M39-M51-M55+M56+M57</f>
        <v>905.3827223571</v>
      </c>
      <c r="N59" s="15" t="n">
        <f aca="false">N31-N36-N39-N51-N55+N56+N57</f>
        <v>1867.97260030771</v>
      </c>
      <c r="O59" s="15" t="n">
        <f aca="false">O31-O36-O39-O51-O55+O56+O57</f>
        <v>-15981.3871509982</v>
      </c>
      <c r="P59" s="15" t="n">
        <f aca="false">P31-P36-P39-P51-P55+P56+P57</f>
        <v>-11372.7461085</v>
      </c>
      <c r="Q59" s="15" t="n">
        <f aca="false">Q31-Q36-Q39-Q51-Q55+Q56+Q57</f>
        <v>-8164.10827464274</v>
      </c>
      <c r="R59" s="15" t="n">
        <f aca="false">R31-R36-R39-R51-R55+R56+R57</f>
        <v>-4955.47364942336</v>
      </c>
      <c r="S59" s="15" t="n">
        <f aca="false">S31-S36-S39-S51-S55+S56+S57</f>
        <v>-1746.84223283859</v>
      </c>
      <c r="T59" s="15" t="n">
        <f aca="false">T31-T36-T39-T51-T55+T56+T57</f>
        <v>1461.78597511475</v>
      </c>
      <c r="U59" s="15" t="n">
        <f aca="false">U31-U36-U39-U51-U55+U56+U57</f>
        <v>-6829.58902556012</v>
      </c>
      <c r="V59" s="15" t="n">
        <f aca="false">V31-V36-V39-V51-V55+V56+V57</f>
        <v>2379.03276514003</v>
      </c>
      <c r="W59" s="15" t="n">
        <f aca="false">W31-W36-W39-W51-W55+W56+W57</f>
        <v>4587.65134721835</v>
      </c>
      <c r="X59" s="15" t="n">
        <f aca="false">X31-X36-X39-X51-X55+X56+X57</f>
        <v>7796.26672067812</v>
      </c>
      <c r="Y59" s="15" t="n">
        <f aca="false">Y31-Y36-Y39-Y51-Y55+Y56+Y57</f>
        <v>11004.8788855225</v>
      </c>
      <c r="Z59" s="15" t="n">
        <f aca="false">Z31-Z36-Z39-Z51-Z55+Z56+Z57</f>
        <v>14213.4878417547</v>
      </c>
      <c r="AA59" s="15" t="n">
        <f aca="false">AA31-AA36-AA39-AA51-AA55+AA56+AA57</f>
        <v>8182.20358937801</v>
      </c>
      <c r="AB59" s="15" t="n">
        <f aca="false">AB31-AB36-AB39-AB51-AB55+AB56+AB57</f>
        <v>19203.7770349522</v>
      </c>
      <c r="AC59" s="15" t="n">
        <f aca="false">AC31-AC36-AC39-AC51-AC55+AC56+AC57</f>
        <v>27225.3424589529</v>
      </c>
      <c r="AD59" s="15" t="n">
        <f aca="false">AD31-AD36-AD39-AD51-AD55+AD56+AD57</f>
        <v>35246.8998613883</v>
      </c>
      <c r="AE59" s="15" t="n">
        <f aca="false">AE31-AE36-AE39-AE51-AE55+AE56+AE57</f>
        <v>43268.4492422662</v>
      </c>
      <c r="AF59" s="15" t="n">
        <f aca="false">AF31-AF36-AF39-AF51-AF55+AF56+AF57</f>
        <v>51289.9906015947</v>
      </c>
      <c r="AG59" s="15" t="n">
        <f aca="false">AG31-AG36-AG39-AG51-AG55+AG56+AG57</f>
        <v>54311.5239393819</v>
      </c>
      <c r="AH59" s="15" t="n">
        <f aca="false">AH31-AH36-AH39-AH51-AH55+AH56+AH57</f>
        <v>68333.0492556357</v>
      </c>
      <c r="AI59" s="15" t="n">
        <f aca="false">AI31-AI36-AI39-AI51-AI55+AI56+AI57</f>
        <v>75354.5665503643</v>
      </c>
      <c r="AJ59" s="15" t="n">
        <f aca="false">AJ31-AJ36-AJ39-AJ51-AJ55+AJ56+AJ57</f>
        <v>83376.0758235755</v>
      </c>
      <c r="AK59" s="15" t="n">
        <f aca="false">AK31-AK36-AK39-AK51-AK55+AK56+AK57</f>
        <v>91397.5770752774</v>
      </c>
      <c r="AL59" s="15" t="n">
        <f aca="false">AL31-AL36-AL39-AL51-AL55+AL56+AL57</f>
        <v>99419.0703054781</v>
      </c>
      <c r="AN59" s="15" t="n">
        <f aca="false">SUM(C59:N59)</f>
        <v>-77213.6902993073</v>
      </c>
      <c r="AO59" s="15" t="n">
        <f aca="false">SUM(O59:Z59)</f>
        <v>-7607.04290653452</v>
      </c>
      <c r="AP59" s="15" t="n">
        <f aca="false">SUM(AA59:AL59)</f>
        <v>656608.525738245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-38712.3223333333</v>
      </c>
      <c r="F60" s="40" t="n">
        <f aca="false">F58+F59</f>
        <v>-49715.878796011</v>
      </c>
      <c r="G60" s="40" t="n">
        <f aca="false">G58+G59</f>
        <v>-60728.8312658786</v>
      </c>
      <c r="H60" s="40" t="n">
        <f aca="false">H58+H59</f>
        <v>-71750.9918133965</v>
      </c>
      <c r="I60" s="40" t="n">
        <f aca="false">I58+I59</f>
        <v>-77927.6448954265</v>
      </c>
      <c r="J60" s="40" t="n">
        <f aca="false">J58+J59</f>
        <v>-78910.0375824701</v>
      </c>
      <c r="K60" s="40" t="n">
        <f aca="false">K58+K59</f>
        <v>-79929.8375037877</v>
      </c>
      <c r="L60" s="40" t="n">
        <f aca="false">L58+L59</f>
        <v>-79987.0456219721</v>
      </c>
      <c r="M60" s="40" t="n">
        <f aca="false">M58+M59</f>
        <v>-79081.662899615</v>
      </c>
      <c r="N60" s="40" t="n">
        <f aca="false">N58+N59</f>
        <v>-77213.6902993073</v>
      </c>
      <c r="O60" s="40" t="n">
        <f aca="false">O58+O59</f>
        <v>-93195.0774503055</v>
      </c>
      <c r="P60" s="40" t="n">
        <f aca="false">P58+P59</f>
        <v>-104567.823558805</v>
      </c>
      <c r="Q60" s="40" t="n">
        <f aca="false">Q58+Q59</f>
        <v>-112731.931833448</v>
      </c>
      <c r="R60" s="40" t="n">
        <f aca="false">R58+R59</f>
        <v>-117687.405482872</v>
      </c>
      <c r="S60" s="40" t="n">
        <f aca="false">S58+S59</f>
        <v>-119434.24771571</v>
      </c>
      <c r="T60" s="40" t="n">
        <f aca="false">T58+T59</f>
        <v>-117972.461740595</v>
      </c>
      <c r="U60" s="40" t="n">
        <f aca="false">U58+U59</f>
        <v>-124802.050766156</v>
      </c>
      <c r="V60" s="40" t="n">
        <f aca="false">V58+V59</f>
        <v>-122423.018001016</v>
      </c>
      <c r="W60" s="40" t="n">
        <f aca="false">W58+W59</f>
        <v>-117835.366653797</v>
      </c>
      <c r="X60" s="40" t="n">
        <f aca="false">X58+X59</f>
        <v>-110039.099933119</v>
      </c>
      <c r="Y60" s="40" t="n">
        <f aca="false">Y58+Y59</f>
        <v>-99034.2210475965</v>
      </c>
      <c r="Z60" s="40" t="n">
        <f aca="false">Z58+Z59</f>
        <v>-84820.7332058418</v>
      </c>
      <c r="AA60" s="40" t="n">
        <f aca="false">AA58+AA59</f>
        <v>-76638.5296164638</v>
      </c>
      <c r="AB60" s="40" t="n">
        <f aca="false">AB58+AB59</f>
        <v>-57434.7525815116</v>
      </c>
      <c r="AC60" s="40" t="n">
        <f aca="false">AC58+AC59</f>
        <v>-30209.4101225587</v>
      </c>
      <c r="AD60" s="40" t="n">
        <f aca="false">AD58+AD59</f>
        <v>5037.48973882962</v>
      </c>
      <c r="AE60" s="40" t="n">
        <f aca="false">AE58+AE59</f>
        <v>48305.9389810958</v>
      </c>
      <c r="AF60" s="40" t="n">
        <f aca="false">AF58+AF59</f>
        <v>99595.9295826905</v>
      </c>
      <c r="AG60" s="40" t="n">
        <f aca="false">AG58+AG59</f>
        <v>153907.453522072</v>
      </c>
      <c r="AH60" s="40" t="n">
        <f aca="false">AH58+AH59</f>
        <v>222240.502777708</v>
      </c>
      <c r="AI60" s="40" t="n">
        <f aca="false">AI58+AI59</f>
        <v>297595.069328072</v>
      </c>
      <c r="AJ60" s="40" t="n">
        <f aca="false">AJ58+AJ59</f>
        <v>380971.145151648</v>
      </c>
      <c r="AK60" s="40" t="n">
        <f aca="false">AK58+AK59</f>
        <v>472368.722226925</v>
      </c>
      <c r="AL60" s="40" t="n">
        <f aca="false">AL58+AL59</f>
        <v>571787.792532404</v>
      </c>
      <c r="AN60" s="40" t="n">
        <f aca="false">N60</f>
        <v>-77213.6902993073</v>
      </c>
      <c r="AO60" s="40" t="n">
        <f aca="false">Z60</f>
        <v>-84820.7332058418</v>
      </c>
      <c r="AP60" s="40" t="n">
        <f aca="false">AL60</f>
        <v>571787.792532404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-38712.3223333333</v>
      </c>
      <c r="F62" s="40" t="n">
        <f aca="false">F60-F61</f>
        <v>-49715.878796011</v>
      </c>
      <c r="G62" s="40" t="n">
        <f aca="false">G60-G61</f>
        <v>-60728.8312658786</v>
      </c>
      <c r="H62" s="40" t="n">
        <f aca="false">H60-H61</f>
        <v>-71750.9918133965</v>
      </c>
      <c r="I62" s="40" t="n">
        <f aca="false">I60-I61</f>
        <v>-77927.6448954265</v>
      </c>
      <c r="J62" s="40" t="n">
        <f aca="false">J60-J61</f>
        <v>-78910.0375824701</v>
      </c>
      <c r="K62" s="40" t="n">
        <f aca="false">K60-K61</f>
        <v>-79929.8375037877</v>
      </c>
      <c r="L62" s="40" t="n">
        <f aca="false">L60-L61</f>
        <v>-79987.0456219721</v>
      </c>
      <c r="M62" s="40" t="n">
        <f aca="false">M60-M61</f>
        <v>-79081.662899615</v>
      </c>
      <c r="N62" s="40" t="n">
        <f aca="false">N60-N61</f>
        <v>-77213.6902993073</v>
      </c>
      <c r="O62" s="40" t="n">
        <f aca="false">O60-O61</f>
        <v>-93195.0774503055</v>
      </c>
      <c r="P62" s="40" t="n">
        <f aca="false">P60-P61</f>
        <v>-104567.823558805</v>
      </c>
      <c r="Q62" s="40" t="n">
        <f aca="false">Q60-Q61</f>
        <v>-112731.931833448</v>
      </c>
      <c r="R62" s="40" t="n">
        <f aca="false">R60-R61</f>
        <v>-117687.405482872</v>
      </c>
      <c r="S62" s="40" t="n">
        <f aca="false">S60-S61</f>
        <v>-119434.24771571</v>
      </c>
      <c r="T62" s="40" t="n">
        <f aca="false">T60-T61</f>
        <v>-117972.461740595</v>
      </c>
      <c r="U62" s="40" t="n">
        <f aca="false">U60-U61</f>
        <v>-124802.050766156</v>
      </c>
      <c r="V62" s="40" t="n">
        <f aca="false">V60-V61</f>
        <v>-122423.018001016</v>
      </c>
      <c r="W62" s="40" t="n">
        <f aca="false">W60-W61</f>
        <v>-117835.366653797</v>
      </c>
      <c r="X62" s="40" t="n">
        <f aca="false">X60-X61</f>
        <v>-110039.099933119</v>
      </c>
      <c r="Y62" s="40" t="n">
        <f aca="false">Y60-Y61</f>
        <v>-99034.2210475965</v>
      </c>
      <c r="Z62" s="40" t="n">
        <f aca="false">Z60-Z61</f>
        <v>-84820.7332058418</v>
      </c>
      <c r="AA62" s="40" t="n">
        <f aca="false">AA60-AA61</f>
        <v>-76638.5296164638</v>
      </c>
      <c r="AB62" s="40" t="n">
        <f aca="false">AB60-AB61</f>
        <v>-57434.7525815116</v>
      </c>
      <c r="AC62" s="40" t="n">
        <f aca="false">AC60-AC61</f>
        <v>-30209.4101225587</v>
      </c>
      <c r="AD62" s="40" t="n">
        <f aca="false">AD60-AD61</f>
        <v>5037.48973882962</v>
      </c>
      <c r="AE62" s="40" t="n">
        <f aca="false">AE60-AE61</f>
        <v>48305.9389810958</v>
      </c>
      <c r="AF62" s="40" t="n">
        <f aca="false">AF60-AF61</f>
        <v>99595.9295826905</v>
      </c>
      <c r="AG62" s="40" t="n">
        <f aca="false">AG60-AG61</f>
        <v>153907.453522072</v>
      </c>
      <c r="AH62" s="40" t="n">
        <f aca="false">AH60-AH61</f>
        <v>222240.502777708</v>
      </c>
      <c r="AI62" s="40" t="n">
        <f aca="false">AI60-AI61</f>
        <v>297595.069328072</v>
      </c>
      <c r="AJ62" s="40" t="n">
        <f aca="false">AJ60-AJ61</f>
        <v>380971.145151648</v>
      </c>
      <c r="AK62" s="40" t="n">
        <f aca="false">AK60-AK61</f>
        <v>472368.722226925</v>
      </c>
      <c r="AL62" s="40" t="n">
        <f aca="false">AL60-AL61</f>
        <v>571787.792532404</v>
      </c>
      <c r="AN62" s="40" t="n">
        <f aca="false">N62</f>
        <v>-77213.6902993073</v>
      </c>
      <c r="AO62" s="40" t="n">
        <f aca="false">Z62</f>
        <v>-84820.7332058418</v>
      </c>
      <c r="AP62" s="40" t="n">
        <f aca="false">AL62</f>
        <v>571787.792532404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-38712.3223333333</v>
      </c>
      <c r="F63" s="15" t="n">
        <f aca="false">MIN(E63,F62)</f>
        <v>-49715.878796011</v>
      </c>
      <c r="G63" s="15" t="n">
        <f aca="false">MIN(F63,G62)</f>
        <v>-60728.8312658786</v>
      </c>
      <c r="H63" s="15" t="n">
        <f aca="false">MIN(G63,H62)</f>
        <v>-71750.9918133965</v>
      </c>
      <c r="I63" s="15" t="n">
        <f aca="false">MIN(H63,I62)</f>
        <v>-77927.6448954265</v>
      </c>
      <c r="J63" s="15" t="n">
        <f aca="false">MIN(I63,J62)</f>
        <v>-78910.0375824701</v>
      </c>
      <c r="K63" s="15" t="n">
        <f aca="false">MIN(J63,K62)</f>
        <v>-79929.8375037877</v>
      </c>
      <c r="L63" s="15" t="n">
        <f aca="false">MIN(K63,L62)</f>
        <v>-79987.0456219721</v>
      </c>
      <c r="M63" s="15" t="n">
        <f aca="false">MIN(L63,M62)</f>
        <v>-79987.0456219721</v>
      </c>
      <c r="N63" s="15" t="n">
        <f aca="false">MIN(M63,N62)</f>
        <v>-79987.0456219721</v>
      </c>
      <c r="O63" s="15" t="n">
        <f aca="false">MIN(N63,O62)</f>
        <v>-93195.0774503055</v>
      </c>
      <c r="P63" s="15" t="n">
        <f aca="false">MIN(O63,P62)</f>
        <v>-104567.823558805</v>
      </c>
      <c r="Q63" s="15" t="n">
        <f aca="false">MIN(P63,Q62)</f>
        <v>-112731.931833448</v>
      </c>
      <c r="R63" s="15" t="n">
        <f aca="false">MIN(Q63,R62)</f>
        <v>-117687.405482872</v>
      </c>
      <c r="S63" s="15" t="n">
        <f aca="false">MIN(R63,S62)</f>
        <v>-119434.24771571</v>
      </c>
      <c r="T63" s="15" t="n">
        <f aca="false">MIN(S63,T62)</f>
        <v>-119434.24771571</v>
      </c>
      <c r="U63" s="15" t="n">
        <f aca="false">MIN(T63,U62)</f>
        <v>-124802.050766156</v>
      </c>
      <c r="V63" s="15" t="n">
        <f aca="false">MIN(U63,V62)</f>
        <v>-124802.050766156</v>
      </c>
      <c r="W63" s="15" t="n">
        <f aca="false">MIN(V63,W62)</f>
        <v>-124802.050766156</v>
      </c>
      <c r="X63" s="15" t="n">
        <f aca="false">MIN(W63,X62)</f>
        <v>-124802.050766156</v>
      </c>
      <c r="Y63" s="15" t="n">
        <f aca="false">MIN(X63,Y62)</f>
        <v>-124802.050766156</v>
      </c>
      <c r="Z63" s="15" t="n">
        <f aca="false">MIN(Y63,Z62)</f>
        <v>-124802.050766156</v>
      </c>
      <c r="AA63" s="15" t="n">
        <f aca="false">MIN(Z63,AA62)</f>
        <v>-124802.050766156</v>
      </c>
      <c r="AB63" s="15" t="n">
        <f aca="false">MIN(AA63,AB62)</f>
        <v>-124802.050766156</v>
      </c>
      <c r="AC63" s="15" t="n">
        <f aca="false">MIN(AB63,AC62)</f>
        <v>-124802.050766156</v>
      </c>
      <c r="AD63" s="15" t="n">
        <f aca="false">MIN(AC63,AD62)</f>
        <v>-124802.050766156</v>
      </c>
      <c r="AE63" s="15" t="n">
        <f aca="false">MIN(AD63,AE62)</f>
        <v>-124802.050766156</v>
      </c>
      <c r="AF63" s="15" t="n">
        <f aca="false">MIN(AE63,AF62)</f>
        <v>-124802.050766156</v>
      </c>
      <c r="AG63" s="15" t="n">
        <f aca="false">MIN(AF63,AG62)</f>
        <v>-124802.050766156</v>
      </c>
      <c r="AH63" s="15" t="n">
        <f aca="false">MIN(AG63,AH62)</f>
        <v>-124802.050766156</v>
      </c>
      <c r="AI63" s="15" t="n">
        <f aca="false">MIN(AH63,AI62)</f>
        <v>-124802.050766156</v>
      </c>
      <c r="AJ63" s="15" t="n">
        <f aca="false">MIN(AI63,AJ62)</f>
        <v>-124802.050766156</v>
      </c>
      <c r="AK63" s="15" t="n">
        <f aca="false">MIN(AJ63,AK62)</f>
        <v>-124802.050766156</v>
      </c>
      <c r="AL63" s="15" t="n">
        <f aca="false">MIN(AK63,AL62)</f>
        <v>-124802.050766156</v>
      </c>
      <c r="AN63" s="15" t="n">
        <f aca="false">N63</f>
        <v>-79987.0456219721</v>
      </c>
      <c r="AO63" s="15" t="n">
        <f aca="false">Z63</f>
        <v>-124802.050766156</v>
      </c>
      <c r="AP63" s="15" t="n">
        <f aca="false">AL63</f>
        <v>-124802.050766156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1</v>
      </c>
      <c r="AE64" s="13" t="n">
        <f aca="false">IF(AND(AE9=1,AE62&gt;0),1,0)</f>
        <v>1</v>
      </c>
      <c r="AF64" s="13" t="n">
        <f aca="false">IF(AND(AF9=1,AF62&gt;0),1,0)</f>
        <v>1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7251.9926</v>
      </c>
      <c r="G66" s="15" t="n">
        <f aca="false">G28*12</f>
        <v>7106.9454960074</v>
      </c>
      <c r="H66" s="15" t="n">
        <f aca="false">H28*12</f>
        <v>6964.79947914176</v>
      </c>
      <c r="I66" s="15" t="n">
        <f aca="false">I28*12</f>
        <v>21764.7925143423</v>
      </c>
      <c r="J66" s="15" t="n">
        <f aca="false">J28*12</f>
        <v>36564.7707495498</v>
      </c>
      <c r="K66" s="15" t="n">
        <f aca="false">K28*12</f>
        <v>51364.734184779</v>
      </c>
      <c r="L66" s="15" t="n">
        <f aca="false">L28*12</f>
        <v>66164.6828200448</v>
      </c>
      <c r="M66" s="15" t="n">
        <f aca="false">M28*12</f>
        <v>80964.616655362</v>
      </c>
      <c r="N66" s="15" t="n">
        <f aca="false">N28*12</f>
        <v>95764.5356907453</v>
      </c>
      <c r="O66" s="15" t="n">
        <f aca="false">O28*12</f>
        <v>145097.773259543</v>
      </c>
      <c r="P66" s="15" t="n">
        <f aca="false">P28*12</f>
        <v>194430.961495103</v>
      </c>
      <c r="Q66" s="15" t="n">
        <f aca="false">Q28*12</f>
        <v>243764.100397475</v>
      </c>
      <c r="R66" s="15" t="n">
        <f aca="false">R28*12</f>
        <v>293097.189966708</v>
      </c>
      <c r="S66" s="15" t="n">
        <f aca="false">S28*12</f>
        <v>342430.230202851</v>
      </c>
      <c r="T66" s="15" t="n">
        <f aca="false">T28*12</f>
        <v>391763.221105954</v>
      </c>
      <c r="U66" s="15" t="n">
        <f aca="false">U28*12</f>
        <v>441096.162676067</v>
      </c>
      <c r="V66" s="15" t="n">
        <f aca="false">V28*12</f>
        <v>490429.054913237</v>
      </c>
      <c r="W66" s="15" t="n">
        <f aca="false">W28*12</f>
        <v>539761.897817516</v>
      </c>
      <c r="X66" s="15" t="n">
        <f aca="false">X28*12</f>
        <v>589094.691388951</v>
      </c>
      <c r="Y66" s="15" t="n">
        <f aca="false">Y28*12</f>
        <v>638427.435627593</v>
      </c>
      <c r="Z66" s="15" t="n">
        <f aca="false">Z28*12</f>
        <v>687760.13053349</v>
      </c>
      <c r="AA66" s="15" t="n">
        <f aca="false">AA28*12</f>
        <v>811092.776106694</v>
      </c>
      <c r="AB66" s="15" t="n">
        <f aca="false">AB28*12</f>
        <v>934425.298347251</v>
      </c>
      <c r="AC66" s="15" t="n">
        <f aca="false">AC28*12</f>
        <v>1057757.69725529</v>
      </c>
      <c r="AD66" s="15" t="n">
        <f aca="false">AD28*12</f>
        <v>1181089.97283092</v>
      </c>
      <c r="AE66" s="15" t="n">
        <f aca="false">AE28*12</f>
        <v>1304422.12507428</v>
      </c>
      <c r="AF66" s="15" t="n">
        <f aca="false">AF28*12</f>
        <v>1427754.15398549</v>
      </c>
      <c r="AG66" s="15" t="n">
        <f aca="false">AG28*12</f>
        <v>1551086.05956467</v>
      </c>
      <c r="AH66" s="15" t="n">
        <f aca="false">AH28*12</f>
        <v>1674417.84181194</v>
      </c>
      <c r="AI66" s="15" t="n">
        <f aca="false">AI28*12</f>
        <v>1797749.50072744</v>
      </c>
      <c r="AJ66" s="15" t="n">
        <f aca="false">AJ28*12</f>
        <v>1921081.03631127</v>
      </c>
      <c r="AK66" s="15" t="n">
        <f aca="false">AK28*12</f>
        <v>2044412.44856356</v>
      </c>
      <c r="AL66" s="15" t="n">
        <f aca="false">AL28*12</f>
        <v>2167743.73748445</v>
      </c>
      <c r="AN66" s="15" t="n">
        <f aca="false">N66</f>
        <v>95764.5356907453</v>
      </c>
      <c r="AO66" s="15" t="n">
        <f aca="false">Z66</f>
        <v>687760.13053349</v>
      </c>
      <c r="AP66" s="15" t="n">
        <f aca="false">AL66</f>
        <v>2167743.73748445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3.3046125782367</v>
      </c>
      <c r="F72" s="38" t="n">
        <f aca="false">IF(F69&gt;0,Hypothèses!$D$23*$E$4/F69,0)</f>
        <v>3.3046125782367</v>
      </c>
      <c r="G72" s="38" t="n">
        <f aca="false">IF(G69&gt;0,Hypothèses!$D$23*$E$4/G69,0)</f>
        <v>3.3046125782367</v>
      </c>
      <c r="H72" s="38" t="n">
        <f aca="false">IF(H69&gt;0,Hypothèses!$D$23*$E$4/H69,0)</f>
        <v>3.3046125782367</v>
      </c>
      <c r="I72" s="38" t="n">
        <f aca="false">IF(I69&gt;0,Hypothèses!$D$23*$E$4/I69,0)</f>
        <v>3.3046125782367</v>
      </c>
      <c r="J72" s="38" t="n">
        <f aca="false">IF(J69&gt;0,Hypothèses!$D$23*$E$4/J69,0)</f>
        <v>3.3046125782367</v>
      </c>
      <c r="K72" s="38" t="n">
        <f aca="false">IF(K69&gt;0,Hypothèses!$D$23*$E$4/K69,0)</f>
        <v>3.3046125782367</v>
      </c>
      <c r="L72" s="38" t="n">
        <f aca="false">IF(L69&gt;0,Hypothèses!$D$23*$E$4/L69,0)</f>
        <v>3.3046125782367</v>
      </c>
      <c r="M72" s="38" t="n">
        <f aca="false">IF(M69&gt;0,Hypothèses!$D$23*$E$4/M69,0)</f>
        <v>3.3046125782367</v>
      </c>
      <c r="N72" s="38" t="n">
        <f aca="false">IF(N69&gt;0,Hypothèses!$D$23*$E$4/N69,0)</f>
        <v>3.3046125782367</v>
      </c>
      <c r="O72" s="38" t="n">
        <f aca="false">IF(O69&gt;0,Hypothèses!$D$23*$E$4/O69,0)</f>
        <v>3.3046125782367</v>
      </c>
      <c r="P72" s="38" t="n">
        <f aca="false">IF(P69&gt;0,Hypothèses!$D$23*$E$4/P69,0)</f>
        <v>3.3046125782367</v>
      </c>
      <c r="Q72" s="38" t="n">
        <f aca="false">IF(Q69&gt;0,Hypothèses!$D$23*$E$4/Q69,0)</f>
        <v>3.3046125782367</v>
      </c>
      <c r="R72" s="38" t="n">
        <f aca="false">IF(R69&gt;0,Hypothèses!$D$23*$E$4/R69,0)</f>
        <v>3.3046125782367</v>
      </c>
      <c r="S72" s="38" t="n">
        <f aca="false">IF(S69&gt;0,Hypothèses!$D$23*$E$4/S69,0)</f>
        <v>3.3046125782367</v>
      </c>
      <c r="T72" s="38" t="n">
        <f aca="false">IF(T69&gt;0,Hypothèses!$D$23*$E$4/T69,0)</f>
        <v>3.3046125782367</v>
      </c>
      <c r="U72" s="38" t="n">
        <f aca="false">IF(U69&gt;0,Hypothèses!$D$23*$E$4/U69,0)</f>
        <v>3.3046125782367</v>
      </c>
      <c r="V72" s="38" t="n">
        <f aca="false">IF(V69&gt;0,Hypothèses!$D$23*$E$4/V69,0)</f>
        <v>3.3046125782367</v>
      </c>
      <c r="W72" s="38" t="n">
        <f aca="false">IF(W69&gt;0,Hypothèses!$D$23*$E$4/W69,0)</f>
        <v>3.3046125782367</v>
      </c>
      <c r="X72" s="38" t="n">
        <f aca="false">IF(X69&gt;0,Hypothèses!$D$23*$E$4/X69,0)</f>
        <v>3.3046125782367</v>
      </c>
      <c r="Y72" s="38" t="n">
        <f aca="false">IF(Y69&gt;0,Hypothèses!$D$23*$E$4/Y69,0)</f>
        <v>3.3046125782367</v>
      </c>
      <c r="Z72" s="38" t="n">
        <f aca="false">IF(Z69&gt;0,Hypothèses!$D$23*$E$4/Z69,0)</f>
        <v>3.3046125782367</v>
      </c>
      <c r="AA72" s="38" t="n">
        <f aca="false">IF(AA69&gt;0,Hypothèses!$D$23*$E$4/AA69,0)</f>
        <v>3.3046125782367</v>
      </c>
      <c r="AB72" s="38" t="n">
        <f aca="false">IF(AB69&gt;0,Hypothèses!$D$23*$E$4/AB69,0)</f>
        <v>3.3046125782367</v>
      </c>
      <c r="AC72" s="38" t="n">
        <f aca="false">IF(AC69&gt;0,Hypothèses!$D$23*$E$4/AC69,0)</f>
        <v>3.3046125782367</v>
      </c>
      <c r="AD72" s="38" t="n">
        <f aca="false">IF(AD69&gt;0,Hypothèses!$D$23*$E$4/AD69,0)</f>
        <v>3.3046125782367</v>
      </c>
      <c r="AE72" s="38" t="n">
        <f aca="false">IF(AE69&gt;0,Hypothèses!$D$23*$E$4/AE69,0)</f>
        <v>3.3046125782367</v>
      </c>
      <c r="AF72" s="38" t="n">
        <f aca="false">IF(AF69&gt;0,Hypothèses!$D$23*$E$4/AF69,0)</f>
        <v>3.3046125782367</v>
      </c>
      <c r="AG72" s="38" t="n">
        <f aca="false">IF(AG69&gt;0,Hypothèses!$D$23*$E$4/AG69,0)</f>
        <v>3.3046125782367</v>
      </c>
      <c r="AH72" s="38" t="n">
        <f aca="false">IF(AH69&gt;0,Hypothèses!$D$23*$E$4/AH69,0)</f>
        <v>3.3046125782367</v>
      </c>
      <c r="AI72" s="38" t="n">
        <f aca="false">IF(AI69&gt;0,Hypothèses!$D$23*$E$4/AI69,0)</f>
        <v>3.3046125782367</v>
      </c>
      <c r="AJ72" s="38" t="n">
        <f aca="false">IF(AJ69&gt;0,Hypothèses!$D$23*$E$4/AJ69,0)</f>
        <v>3.3046125782367</v>
      </c>
      <c r="AK72" s="38" t="n">
        <f aca="false">IF(AK69&gt;0,Hypothèses!$D$23*$E$4/AK69,0)</f>
        <v>3.3046125782367</v>
      </c>
      <c r="AL72" s="38" t="n">
        <f aca="false">IF(AL69&gt;0,Hypothèses!$D$23*$E$4/AL69,0)</f>
        <v>3.3046125782367</v>
      </c>
      <c r="AN72" s="38" t="n">
        <f aca="false">N72</f>
        <v>3.3046125782367</v>
      </c>
      <c r="AO72" s="38" t="n">
        <f aca="false">Z72</f>
        <v>3.3046125782367</v>
      </c>
      <c r="AP72" s="38" t="n">
        <f aca="false">AL72</f>
        <v>3.3046125782367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2269.4415279236</v>
      </c>
      <c r="F73" s="15" t="n">
        <f aca="false">IF(Hypothèses!$D$26*$D$4&gt;0,F69/(Hypothèses!$D$26*$D$4),0)</f>
        <v>2269.4415279236</v>
      </c>
      <c r="G73" s="15" t="n">
        <f aca="false">IF(Hypothèses!$D$26*$D$4&gt;0,G69/(Hypothèses!$D$26*$D$4),0)</f>
        <v>2269.4415279236</v>
      </c>
      <c r="H73" s="15" t="n">
        <f aca="false">IF(Hypothèses!$D$26*$D$4&gt;0,H69/(Hypothèses!$D$26*$D$4),0)</f>
        <v>2269.4415279236</v>
      </c>
      <c r="I73" s="15" t="n">
        <f aca="false">IF(Hypothèses!$D$26*$D$4&gt;0,I69/(Hypothèses!$D$26*$D$4),0)</f>
        <v>2269.4415279236</v>
      </c>
      <c r="J73" s="15" t="n">
        <f aca="false">IF(Hypothèses!$D$26*$D$4&gt;0,J69/(Hypothèses!$D$26*$D$4),0)</f>
        <v>2269.4415279236</v>
      </c>
      <c r="K73" s="15" t="n">
        <f aca="false">IF(Hypothèses!$D$26*$D$4&gt;0,K69/(Hypothèses!$D$26*$D$4),0)</f>
        <v>2269.4415279236</v>
      </c>
      <c r="L73" s="15" t="n">
        <f aca="false">IF(Hypothèses!$D$26*$D$4&gt;0,L69/(Hypothèses!$D$26*$D$4),0)</f>
        <v>2269.4415279236</v>
      </c>
      <c r="M73" s="15" t="n">
        <f aca="false">IF(Hypothèses!$D$26*$D$4&gt;0,M69/(Hypothèses!$D$26*$D$4),0)</f>
        <v>2269.4415279236</v>
      </c>
      <c r="N73" s="15" t="n">
        <f aca="false">IF(Hypothèses!$D$26*$D$4&gt;0,N69/(Hypothèses!$D$26*$D$4),0)</f>
        <v>2269.4415279236</v>
      </c>
      <c r="O73" s="15" t="n">
        <f aca="false">IF(Hypothèses!$D$26*$D$4&gt;0,O69/(Hypothèses!$D$26*$D$4),0)</f>
        <v>2269.4415279236</v>
      </c>
      <c r="P73" s="15" t="n">
        <f aca="false">IF(Hypothèses!$D$26*$D$4&gt;0,P69/(Hypothèses!$D$26*$D$4),0)</f>
        <v>2269.4415279236</v>
      </c>
      <c r="Q73" s="15" t="n">
        <f aca="false">IF(Hypothèses!$D$26*$D$4&gt;0,Q69/(Hypothèses!$D$26*$D$4),0)</f>
        <v>2269.4415279236</v>
      </c>
      <c r="R73" s="15" t="n">
        <f aca="false">IF(Hypothèses!$D$26*$D$4&gt;0,R69/(Hypothèses!$D$26*$D$4),0)</f>
        <v>2269.4415279236</v>
      </c>
      <c r="S73" s="15" t="n">
        <f aca="false">IF(Hypothèses!$D$26*$D$4&gt;0,S69/(Hypothèses!$D$26*$D$4),0)</f>
        <v>2269.4415279236</v>
      </c>
      <c r="T73" s="15" t="n">
        <f aca="false">IF(Hypothèses!$D$26*$D$4&gt;0,T69/(Hypothèses!$D$26*$D$4),0)</f>
        <v>2269.4415279236</v>
      </c>
      <c r="U73" s="15" t="n">
        <f aca="false">IF(Hypothèses!$D$26*$D$4&gt;0,U69/(Hypothèses!$D$26*$D$4),0)</f>
        <v>2269.4415279236</v>
      </c>
      <c r="V73" s="15" t="n">
        <f aca="false">IF(Hypothèses!$D$26*$D$4&gt;0,V69/(Hypothèses!$D$26*$D$4),0)</f>
        <v>2269.4415279236</v>
      </c>
      <c r="W73" s="15" t="n">
        <f aca="false">IF(Hypothèses!$D$26*$D$4&gt;0,W69/(Hypothèses!$D$26*$D$4),0)</f>
        <v>2269.4415279236</v>
      </c>
      <c r="X73" s="15" t="n">
        <f aca="false">IF(Hypothèses!$D$26*$D$4&gt;0,X69/(Hypothèses!$D$26*$D$4),0)</f>
        <v>2269.4415279236</v>
      </c>
      <c r="Y73" s="15" t="n">
        <f aca="false">IF(Hypothèses!$D$26*$D$4&gt;0,Y69/(Hypothèses!$D$26*$D$4),0)</f>
        <v>2269.4415279236</v>
      </c>
      <c r="Z73" s="15" t="n">
        <f aca="false">IF(Hypothèses!$D$26*$D$4&gt;0,Z69/(Hypothèses!$D$26*$D$4),0)</f>
        <v>2269.4415279236</v>
      </c>
      <c r="AA73" s="15" t="n">
        <f aca="false">IF(Hypothèses!$D$26*$D$4&gt;0,AA69/(Hypothèses!$D$26*$D$4),0)</f>
        <v>2269.4415279236</v>
      </c>
      <c r="AB73" s="15" t="n">
        <f aca="false">IF(Hypothèses!$D$26*$D$4&gt;0,AB69/(Hypothèses!$D$26*$D$4),0)</f>
        <v>2269.4415279236</v>
      </c>
      <c r="AC73" s="15" t="n">
        <f aca="false">IF(Hypothèses!$D$26*$D$4&gt;0,AC69/(Hypothèses!$D$26*$D$4),0)</f>
        <v>2269.4415279236</v>
      </c>
      <c r="AD73" s="15" t="n">
        <f aca="false">IF(Hypothèses!$D$26*$D$4&gt;0,AD69/(Hypothèses!$D$26*$D$4),0)</f>
        <v>2269.4415279236</v>
      </c>
      <c r="AE73" s="15" t="n">
        <f aca="false">IF(Hypothèses!$D$26*$D$4&gt;0,AE69/(Hypothèses!$D$26*$D$4),0)</f>
        <v>2269.4415279236</v>
      </c>
      <c r="AF73" s="15" t="n">
        <f aca="false">IF(Hypothèses!$D$26*$D$4&gt;0,AF69/(Hypothèses!$D$26*$D$4),0)</f>
        <v>2269.4415279236</v>
      </c>
      <c r="AG73" s="15" t="n">
        <f aca="false">IF(Hypothèses!$D$26*$D$4&gt;0,AG69/(Hypothèses!$D$26*$D$4),0)</f>
        <v>2269.4415279236</v>
      </c>
      <c r="AH73" s="15" t="n">
        <f aca="false">IF(Hypothèses!$D$26*$D$4&gt;0,AH69/(Hypothèses!$D$26*$D$4),0)</f>
        <v>2269.4415279236</v>
      </c>
      <c r="AI73" s="15" t="n">
        <f aca="false">IF(Hypothèses!$D$26*$D$4&gt;0,AI69/(Hypothèses!$D$26*$D$4),0)</f>
        <v>2269.4415279236</v>
      </c>
      <c r="AJ73" s="15" t="n">
        <f aca="false">IF(Hypothèses!$D$26*$D$4&gt;0,AJ69/(Hypothèses!$D$26*$D$4),0)</f>
        <v>2269.4415279236</v>
      </c>
      <c r="AK73" s="15" t="n">
        <f aca="false">IF(Hypothèses!$D$26*$D$4&gt;0,AK69/(Hypothèses!$D$26*$D$4),0)</f>
        <v>2269.4415279236</v>
      </c>
      <c r="AL73" s="15" t="n">
        <f aca="false">IF(Hypothèses!$D$26*$D$4&gt;0,AL69/(Hypothèses!$D$26*$D$4),0)</f>
        <v>2269.4415279236</v>
      </c>
      <c r="AN73" s="15" t="n">
        <f aca="false">N73</f>
        <v>2269.4415279236</v>
      </c>
      <c r="AO73" s="15" t="n">
        <f aca="false">Z73</f>
        <v>2269.4415279236</v>
      </c>
      <c r="AP73" s="15" t="n">
        <f aca="false">AL73</f>
        <v>2269.4415279236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15.1296101861574</v>
      </c>
      <c r="F74" s="41" t="n">
        <f aca="false">IF(Hypothèses!$D$23*$E$4&gt;0,F73/(Hypothèses!$D$23*$E$4),0)</f>
        <v>15.1296101861574</v>
      </c>
      <c r="G74" s="41" t="n">
        <f aca="false">IF(Hypothèses!$D$23*$E$4&gt;0,G73/(Hypothèses!$D$23*$E$4),0)</f>
        <v>15.1296101861574</v>
      </c>
      <c r="H74" s="41" t="n">
        <f aca="false">IF(Hypothèses!$D$23*$E$4&gt;0,H73/(Hypothèses!$D$23*$E$4),0)</f>
        <v>15.1296101861574</v>
      </c>
      <c r="I74" s="41" t="n">
        <f aca="false">IF(Hypothèses!$D$23*$E$4&gt;0,I73/(Hypothèses!$D$23*$E$4),0)</f>
        <v>15.1296101861574</v>
      </c>
      <c r="J74" s="41" t="n">
        <f aca="false">IF(Hypothèses!$D$23*$E$4&gt;0,J73/(Hypothèses!$D$23*$E$4),0)</f>
        <v>15.1296101861574</v>
      </c>
      <c r="K74" s="41" t="n">
        <f aca="false">IF(Hypothèses!$D$23*$E$4&gt;0,K73/(Hypothèses!$D$23*$E$4),0)</f>
        <v>15.1296101861574</v>
      </c>
      <c r="L74" s="41" t="n">
        <f aca="false">IF(Hypothèses!$D$23*$E$4&gt;0,L73/(Hypothèses!$D$23*$E$4),0)</f>
        <v>15.1296101861574</v>
      </c>
      <c r="M74" s="41" t="n">
        <f aca="false">IF(Hypothèses!$D$23*$E$4&gt;0,M73/(Hypothèses!$D$23*$E$4),0)</f>
        <v>15.1296101861574</v>
      </c>
      <c r="N74" s="41" t="n">
        <f aca="false">IF(Hypothèses!$D$23*$E$4&gt;0,N73/(Hypothèses!$D$23*$E$4),0)</f>
        <v>15.1296101861574</v>
      </c>
      <c r="O74" s="41" t="n">
        <f aca="false">IF(Hypothèses!$D$23*$E$4&gt;0,O73/(Hypothèses!$D$23*$E$4),0)</f>
        <v>15.1296101861574</v>
      </c>
      <c r="P74" s="41" t="n">
        <f aca="false">IF(Hypothèses!$D$23*$E$4&gt;0,P73/(Hypothèses!$D$23*$E$4),0)</f>
        <v>15.1296101861574</v>
      </c>
      <c r="Q74" s="41" t="n">
        <f aca="false">IF(Hypothèses!$D$23*$E$4&gt;0,Q73/(Hypothèses!$D$23*$E$4),0)</f>
        <v>15.1296101861574</v>
      </c>
      <c r="R74" s="41" t="n">
        <f aca="false">IF(Hypothèses!$D$23*$E$4&gt;0,R73/(Hypothèses!$D$23*$E$4),0)</f>
        <v>15.1296101861574</v>
      </c>
      <c r="S74" s="41" t="n">
        <f aca="false">IF(Hypothèses!$D$23*$E$4&gt;0,S73/(Hypothèses!$D$23*$E$4),0)</f>
        <v>15.1296101861574</v>
      </c>
      <c r="T74" s="41" t="n">
        <f aca="false">IF(Hypothèses!$D$23*$E$4&gt;0,T73/(Hypothèses!$D$23*$E$4),0)</f>
        <v>15.1296101861574</v>
      </c>
      <c r="U74" s="41" t="n">
        <f aca="false">IF(Hypothèses!$D$23*$E$4&gt;0,U73/(Hypothèses!$D$23*$E$4),0)</f>
        <v>15.1296101861574</v>
      </c>
      <c r="V74" s="41" t="n">
        <f aca="false">IF(Hypothèses!$D$23*$E$4&gt;0,V73/(Hypothèses!$D$23*$E$4),0)</f>
        <v>15.1296101861574</v>
      </c>
      <c r="W74" s="41" t="n">
        <f aca="false">IF(Hypothèses!$D$23*$E$4&gt;0,W73/(Hypothèses!$D$23*$E$4),0)</f>
        <v>15.1296101861574</v>
      </c>
      <c r="X74" s="41" t="n">
        <f aca="false">IF(Hypothèses!$D$23*$E$4&gt;0,X73/(Hypothèses!$D$23*$E$4),0)</f>
        <v>15.1296101861574</v>
      </c>
      <c r="Y74" s="41" t="n">
        <f aca="false">IF(Hypothèses!$D$23*$E$4&gt;0,Y73/(Hypothèses!$D$23*$E$4),0)</f>
        <v>15.1296101861574</v>
      </c>
      <c r="Z74" s="41" t="n">
        <f aca="false">IF(Hypothèses!$D$23*$E$4&gt;0,Z73/(Hypothèses!$D$23*$E$4),0)</f>
        <v>15.1296101861574</v>
      </c>
      <c r="AA74" s="41" t="n">
        <f aca="false">IF(Hypothèses!$D$23*$E$4&gt;0,AA73/(Hypothèses!$D$23*$E$4),0)</f>
        <v>15.1296101861574</v>
      </c>
      <c r="AB74" s="41" t="n">
        <f aca="false">IF(Hypothèses!$D$23*$E$4&gt;0,AB73/(Hypothèses!$D$23*$E$4),0)</f>
        <v>15.1296101861574</v>
      </c>
      <c r="AC74" s="41" t="n">
        <f aca="false">IF(Hypothèses!$D$23*$E$4&gt;0,AC73/(Hypothèses!$D$23*$E$4),0)</f>
        <v>15.1296101861574</v>
      </c>
      <c r="AD74" s="41" t="n">
        <f aca="false">IF(Hypothèses!$D$23*$E$4&gt;0,AD73/(Hypothèses!$D$23*$E$4),0)</f>
        <v>15.1296101861574</v>
      </c>
      <c r="AE74" s="41" t="n">
        <f aca="false">IF(Hypothèses!$D$23*$E$4&gt;0,AE73/(Hypothèses!$D$23*$E$4),0)</f>
        <v>15.1296101861574</v>
      </c>
      <c r="AF74" s="41" t="n">
        <f aca="false">IF(Hypothèses!$D$23*$E$4&gt;0,AF73/(Hypothèses!$D$23*$E$4),0)</f>
        <v>15.1296101861574</v>
      </c>
      <c r="AG74" s="41" t="n">
        <f aca="false">IF(Hypothèses!$D$23*$E$4&gt;0,AG73/(Hypothèses!$D$23*$E$4),0)</f>
        <v>15.1296101861574</v>
      </c>
      <c r="AH74" s="41" t="n">
        <f aca="false">IF(Hypothèses!$D$23*$E$4&gt;0,AH73/(Hypothèses!$D$23*$E$4),0)</f>
        <v>15.1296101861574</v>
      </c>
      <c r="AI74" s="41" t="n">
        <f aca="false">IF(Hypothèses!$D$23*$E$4&gt;0,AI73/(Hypothèses!$D$23*$E$4),0)</f>
        <v>15.1296101861574</v>
      </c>
      <c r="AJ74" s="41" t="n">
        <f aca="false">IF(Hypothèses!$D$23*$E$4&gt;0,AJ73/(Hypothèses!$D$23*$E$4),0)</f>
        <v>15.1296101861574</v>
      </c>
      <c r="AK74" s="41" t="n">
        <f aca="false">IF(Hypothèses!$D$23*$E$4&gt;0,AK73/(Hypothèses!$D$23*$E$4),0)</f>
        <v>15.1296101861574</v>
      </c>
      <c r="AL74" s="41" t="n">
        <f aca="false">IF(Hypothèses!$D$23*$E$4&gt;0,AL73/(Hypothèses!$D$23*$E$4),0)</f>
        <v>15.1296101861574</v>
      </c>
      <c r="AN74" s="41" t="n">
        <f aca="false">N74</f>
        <v>15.1296101861574</v>
      </c>
      <c r="AO74" s="41" t="n">
        <f aca="false">Z74</f>
        <v>15.1296101861574</v>
      </c>
      <c r="AP74" s="41" t="n">
        <f aca="false">AL74</f>
        <v>15.1296101861574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501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1.6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21.5354627</v>
      </c>
      <c r="K13" s="38" t="n">
        <f aca="false">J18</f>
        <v>33.820108073</v>
      </c>
      <c r="L13" s="38" t="n">
        <f aca="false">K18</f>
        <v>45.98190699227</v>
      </c>
      <c r="M13" s="38" t="n">
        <f aca="false">L18</f>
        <v>58.0220879223473</v>
      </c>
      <c r="N13" s="38" t="n">
        <f aca="false">M18</f>
        <v>69.9418670431238</v>
      </c>
      <c r="O13" s="38" t="n">
        <f aca="false">N18</f>
        <v>81.7424483726926</v>
      </c>
      <c r="P13" s="38" t="n">
        <f aca="false">O18</f>
        <v>122.591690555632</v>
      </c>
      <c r="Q13" s="38" t="n">
        <f aca="false">P18</f>
        <v>163.032440316743</v>
      </c>
      <c r="R13" s="38" t="n">
        <f aca="false">Q18</f>
        <v>203.068782580242</v>
      </c>
      <c r="S13" s="38" t="n">
        <f aca="false">R18</f>
        <v>242.704761421106</v>
      </c>
      <c r="T13" s="38" t="n">
        <f aca="false">S18</f>
        <v>281.944380473562</v>
      </c>
      <c r="U13" s="38" t="n">
        <f aca="false">T18</f>
        <v>320.791603335493</v>
      </c>
      <c r="V13" s="38" t="n">
        <f aca="false">U18</f>
        <v>359.250353968805</v>
      </c>
      <c r="W13" s="38" t="n">
        <f aca="false">V18</f>
        <v>397.324517095783</v>
      </c>
      <c r="X13" s="38" t="n">
        <f aca="false">W18</f>
        <v>435.017938591492</v>
      </c>
      <c r="Y13" s="38" t="n">
        <f aca="false">X18</f>
        <v>472.334425872244</v>
      </c>
      <c r="Z13" s="38" t="n">
        <f aca="false">Y18</f>
        <v>509.277748280188</v>
      </c>
      <c r="AA13" s="38" t="n">
        <f aca="false">Z18</f>
        <v>545.851637464053</v>
      </c>
      <c r="AB13" s="38" t="n">
        <f aca="false">AA18</f>
        <v>644.559787756079</v>
      </c>
      <c r="AC13" s="38" t="n">
        <f aca="false">AB18</f>
        <v>742.280856545185</v>
      </c>
      <c r="AD13" s="38" t="n">
        <f aca="false">AC18</f>
        <v>839.024714646399</v>
      </c>
      <c r="AE13" s="38" t="n">
        <f aca="false">AD18</f>
        <v>934.801134166602</v>
      </c>
      <c r="AF13" s="38" t="n">
        <f aca="false">AE18</f>
        <v>1029.6197894916</v>
      </c>
      <c r="AG13" s="38" t="n">
        <f aca="false">AF18</f>
        <v>1123.49025826335</v>
      </c>
      <c r="AH13" s="38" t="n">
        <f aca="false">AG18</f>
        <v>1216.42202234739</v>
      </c>
      <c r="AI13" s="38" t="n">
        <f aca="false">AH18</f>
        <v>1308.42446879058</v>
      </c>
      <c r="AJ13" s="38" t="n">
        <f aca="false">AI18</f>
        <v>1399.50689076934</v>
      </c>
      <c r="AK13" s="38" t="n">
        <f aca="false">AJ18</f>
        <v>1489.67848852831</v>
      </c>
      <c r="AL13" s="38" t="n">
        <f aca="false">AK18</f>
        <v>1578.9483703097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12.5</v>
      </c>
      <c r="J14" s="38" t="n">
        <f aca="false">J11/(Hypothèses!$D$23*$E$4)</f>
        <v>12.5</v>
      </c>
      <c r="K14" s="38" t="n">
        <f aca="false">K11/(Hypothèses!$D$23*$E$4)</f>
        <v>12.5</v>
      </c>
      <c r="L14" s="38" t="n">
        <f aca="false">L11/(Hypothèses!$D$23*$E$4)</f>
        <v>12.5</v>
      </c>
      <c r="M14" s="38" t="n">
        <f aca="false">M11/(Hypothèses!$D$23*$E$4)</f>
        <v>12.5</v>
      </c>
      <c r="N14" s="38" t="n">
        <f aca="false">N11/(Hypothèses!$D$23*$E$4)</f>
        <v>12.5</v>
      </c>
      <c r="O14" s="38" t="n">
        <f aca="false">O11/(Hypothèses!$D$23*$E$4)</f>
        <v>41.6666666666667</v>
      </c>
      <c r="P14" s="38" t="n">
        <f aca="false">P11/(Hypothèses!$D$23*$E$4)</f>
        <v>41.6666666666667</v>
      </c>
      <c r="Q14" s="38" t="n">
        <f aca="false">Q11/(Hypothèses!$D$23*$E$4)</f>
        <v>41.6666666666667</v>
      </c>
      <c r="R14" s="38" t="n">
        <f aca="false">R11/(Hypothèses!$D$23*$E$4)</f>
        <v>41.6666666666667</v>
      </c>
      <c r="S14" s="38" t="n">
        <f aca="false">S11/(Hypothèses!$D$23*$E$4)</f>
        <v>41.6666666666667</v>
      </c>
      <c r="T14" s="38" t="n">
        <f aca="false">T11/(Hypothèses!$D$23*$E$4)</f>
        <v>41.6666666666667</v>
      </c>
      <c r="U14" s="38" t="n">
        <f aca="false">U11/(Hypothèses!$D$23*$E$4)</f>
        <v>41.6666666666667</v>
      </c>
      <c r="V14" s="38" t="n">
        <f aca="false">V11/(Hypothèses!$D$23*$E$4)</f>
        <v>41.6666666666667</v>
      </c>
      <c r="W14" s="38" t="n">
        <f aca="false">W11/(Hypothèses!$D$23*$E$4)</f>
        <v>41.6666666666667</v>
      </c>
      <c r="X14" s="38" t="n">
        <f aca="false">X11/(Hypothèses!$D$23*$E$4)</f>
        <v>41.6666666666667</v>
      </c>
      <c r="Y14" s="38" t="n">
        <f aca="false">Y11/(Hypothèses!$D$23*$E$4)</f>
        <v>41.6666666666667</v>
      </c>
      <c r="Z14" s="38" t="n">
        <f aca="false">Z11/(Hypothèses!$D$23*$E$4)</f>
        <v>41.6666666666667</v>
      </c>
      <c r="AA14" s="38" t="n">
        <f aca="false">AA11/(Hypothèses!$D$23*$E$4)</f>
        <v>104.166666666667</v>
      </c>
      <c r="AB14" s="38" t="n">
        <f aca="false">AB11/(Hypothèses!$D$23*$E$4)</f>
        <v>104.166666666667</v>
      </c>
      <c r="AC14" s="38" t="n">
        <f aca="false">AC11/(Hypothèses!$D$23*$E$4)</f>
        <v>104.166666666667</v>
      </c>
      <c r="AD14" s="38" t="n">
        <f aca="false">AD11/(Hypothèses!$D$23*$E$4)</f>
        <v>104.166666666667</v>
      </c>
      <c r="AE14" s="38" t="n">
        <f aca="false">AE11/(Hypothèses!$D$23*$E$4)</f>
        <v>104.166666666667</v>
      </c>
      <c r="AF14" s="38" t="n">
        <f aca="false">AF11/(Hypothèses!$D$23*$E$4)</f>
        <v>104.166666666667</v>
      </c>
      <c r="AG14" s="38" t="n">
        <f aca="false">AG11/(Hypothèses!$D$23*$E$4)</f>
        <v>104.166666666667</v>
      </c>
      <c r="AH14" s="38" t="n">
        <f aca="false">AH11/(Hypothèses!$D$23*$E$4)</f>
        <v>104.166666666667</v>
      </c>
      <c r="AI14" s="38" t="n">
        <f aca="false">AI11/(Hypothèses!$D$23*$E$4)</f>
        <v>104.166666666667</v>
      </c>
      <c r="AJ14" s="38" t="n">
        <f aca="false">AJ11/(Hypothèses!$D$23*$E$4)</f>
        <v>104.166666666667</v>
      </c>
      <c r="AK14" s="38" t="n">
        <f aca="false">AK11/(Hypothèses!$D$23*$E$4)</f>
        <v>104.166666666667</v>
      </c>
      <c r="AL14" s="38" t="n">
        <f aca="false">AL11/(Hypothèses!$D$23*$E$4)</f>
        <v>104.166666666667</v>
      </c>
      <c r="AN14" s="38" t="n">
        <f aca="false">SUM(C14:N14)</f>
        <v>75</v>
      </c>
      <c r="AO14" s="38" t="n">
        <f aca="false">SUM(O14:Z14)</f>
        <v>500</v>
      </c>
      <c r="AP14" s="38" t="n">
        <f aca="false">SUM(AA14:AL14)</f>
        <v>1250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0.430709254</v>
      </c>
      <c r="K16" s="38" t="n">
        <f aca="false">K9*K13*Hypothèses!$D$24</f>
        <v>0.67640216146</v>
      </c>
      <c r="L16" s="38" t="n">
        <f aca="false">L9*L13*Hypothèses!$D$24</f>
        <v>0.9196381398454</v>
      </c>
      <c r="M16" s="38" t="n">
        <f aca="false">M9*M13*Hypothèses!$D$24</f>
        <v>1.16044175844695</v>
      </c>
      <c r="N16" s="38" t="n">
        <f aca="false">N9*N13*Hypothèses!$D$24</f>
        <v>1.39883734086248</v>
      </c>
      <c r="O16" s="38" t="n">
        <f aca="false">O9*O13*Hypothèses!$D$24</f>
        <v>1.63484896745385</v>
      </c>
      <c r="P16" s="38" t="n">
        <f aca="false">P9*P13*Hypothèses!$D$24</f>
        <v>2.45183381111265</v>
      </c>
      <c r="Q16" s="38" t="n">
        <f aca="false">Q9*Q13*Hypothèses!$D$24</f>
        <v>3.26064880633485</v>
      </c>
      <c r="R16" s="38" t="n">
        <f aca="false">R9*R13*Hypothèses!$D$24</f>
        <v>4.06137565160484</v>
      </c>
      <c r="S16" s="38" t="n">
        <f aca="false">S9*S13*Hypothèses!$D$24</f>
        <v>4.85409522842212</v>
      </c>
      <c r="T16" s="38" t="n">
        <f aca="false">T9*T13*Hypothèses!$D$24</f>
        <v>5.63888760947123</v>
      </c>
      <c r="U16" s="38" t="n">
        <f aca="false">U9*U13*Hypothèses!$D$24</f>
        <v>6.41583206670986</v>
      </c>
      <c r="V16" s="38" t="n">
        <f aca="false">V9*V13*Hypothèses!$D$24</f>
        <v>7.18500707937609</v>
      </c>
      <c r="W16" s="38" t="n">
        <f aca="false">W9*W13*Hypothèses!$D$24</f>
        <v>7.94649034191566</v>
      </c>
      <c r="X16" s="38" t="n">
        <f aca="false">X9*X13*Hypothèses!$D$24</f>
        <v>8.70035877182984</v>
      </c>
      <c r="Y16" s="38" t="n">
        <f aca="false">Y9*Y13*Hypothèses!$D$24</f>
        <v>9.44668851744487</v>
      </c>
      <c r="Z16" s="38" t="n">
        <f aca="false">Z9*Z13*Hypothèses!$D$24</f>
        <v>10.1855549656038</v>
      </c>
      <c r="AA16" s="38" t="n">
        <f aca="false">AA9*AA13*Hypothèses!$D$24</f>
        <v>10.9170327492811</v>
      </c>
      <c r="AB16" s="38" t="n">
        <f aca="false">AB9*AB13*Hypothèses!$D$24</f>
        <v>12.8911957551216</v>
      </c>
      <c r="AC16" s="38" t="n">
        <f aca="false">AC9*AC13*Hypothèses!$D$24</f>
        <v>14.8456171309037</v>
      </c>
      <c r="AD16" s="38" t="n">
        <f aca="false">AD9*AD13*Hypothèses!$D$24</f>
        <v>16.780494292928</v>
      </c>
      <c r="AE16" s="38" t="n">
        <f aca="false">AE9*AE13*Hypothèses!$D$24</f>
        <v>18.696022683332</v>
      </c>
      <c r="AF16" s="38" t="n">
        <f aca="false">AF9*AF13*Hypothèses!$D$24</f>
        <v>20.5923957898321</v>
      </c>
      <c r="AG16" s="38" t="n">
        <f aca="false">AG9*AG13*Hypothèses!$D$24</f>
        <v>22.4698051652671</v>
      </c>
      <c r="AH16" s="38" t="n">
        <f aca="false">AH9*AH13*Hypothèses!$D$24</f>
        <v>24.3284404469477</v>
      </c>
      <c r="AI16" s="38" t="n">
        <f aca="false">AI9*AI13*Hypothèses!$D$24</f>
        <v>26.1684893758116</v>
      </c>
      <c r="AJ16" s="38" t="n">
        <f aca="false">AJ9*AJ13*Hypothèses!$D$24</f>
        <v>27.9901378153868</v>
      </c>
      <c r="AK16" s="38" t="n">
        <f aca="false">AK9*AK13*Hypothèses!$D$24</f>
        <v>29.7935697705663</v>
      </c>
      <c r="AL16" s="38" t="n">
        <f aca="false">AL9*AL13*Hypothèses!$D$24</f>
        <v>31.578967406194</v>
      </c>
      <c r="AN16" s="38" t="n">
        <f aca="false">SUM(C16:N16)</f>
        <v>4.76856325461482</v>
      </c>
      <c r="AO16" s="38" t="n">
        <f aca="false">SUM(O16:Z16)</f>
        <v>71.7816218172796</v>
      </c>
      <c r="AP16" s="38" t="n">
        <f aca="false">SUM(AA16:AL16)</f>
        <v>257.052168381572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0.646063881</v>
      </c>
      <c r="K17" s="38" t="n">
        <f aca="false">K13*Hypothèses!$D$26*$D$4</f>
        <v>1.01460324219</v>
      </c>
      <c r="L17" s="38" t="n">
        <f aca="false">L13*Hypothèses!$D$26*$D$4</f>
        <v>1.3794572097681</v>
      </c>
      <c r="M17" s="38" t="n">
        <f aca="false">M13*Hypothèses!$D$26*$D$4</f>
        <v>1.74066263767042</v>
      </c>
      <c r="N17" s="38" t="n">
        <f aca="false">N13*Hypothèses!$D$26*$D$4</f>
        <v>2.09825601129371</v>
      </c>
      <c r="O17" s="38" t="n">
        <f aca="false">O13*Hypothèses!$D$26*$D$4</f>
        <v>2.45227345118078</v>
      </c>
      <c r="P17" s="38" t="n">
        <f aca="false">P13*Hypothèses!$D$26*$D$4</f>
        <v>3.67775071666897</v>
      </c>
      <c r="Q17" s="38" t="n">
        <f aca="false">Q13*Hypothèses!$D$26*$D$4</f>
        <v>4.89097320950228</v>
      </c>
      <c r="R17" s="38" t="n">
        <f aca="false">R13*Hypothèses!$D$26*$D$4</f>
        <v>6.09206347740726</v>
      </c>
      <c r="S17" s="38" t="n">
        <f aca="false">S13*Hypothèses!$D$26*$D$4</f>
        <v>7.28114284263318</v>
      </c>
      <c r="T17" s="38" t="n">
        <f aca="false">T13*Hypothèses!$D$26*$D$4</f>
        <v>8.45833141420685</v>
      </c>
      <c r="U17" s="38" t="n">
        <f aca="false">U13*Hypothèses!$D$26*$D$4</f>
        <v>9.62374810006478</v>
      </c>
      <c r="V17" s="38" t="n">
        <f aca="false">V13*Hypothèses!$D$26*$D$4</f>
        <v>10.7775106190641</v>
      </c>
      <c r="W17" s="38" t="n">
        <f aca="false">W13*Hypothèses!$D$26*$D$4</f>
        <v>11.9197355128735</v>
      </c>
      <c r="X17" s="38" t="n">
        <f aca="false">X13*Hypothèses!$D$26*$D$4</f>
        <v>13.0505381577448</v>
      </c>
      <c r="Y17" s="38" t="n">
        <f aca="false">Y13*Hypothèses!$D$26*$D$4</f>
        <v>14.1700327761673</v>
      </c>
      <c r="Z17" s="38" t="n">
        <f aca="false">Z13*Hypothèses!$D$26*$D$4</f>
        <v>15.2783324484056</v>
      </c>
      <c r="AA17" s="38" t="n">
        <f aca="false">AA13*Hypothèses!$D$26*$D$4</f>
        <v>16.3755491239216</v>
      </c>
      <c r="AB17" s="38" t="n">
        <f aca="false">AB13*Hypothèses!$D$26*$D$4</f>
        <v>19.3367936326824</v>
      </c>
      <c r="AC17" s="38" t="n">
        <f aca="false">AC13*Hypothèses!$D$26*$D$4</f>
        <v>22.2684256963555</v>
      </c>
      <c r="AD17" s="38" t="n">
        <f aca="false">AD13*Hypothèses!$D$26*$D$4</f>
        <v>25.170741439392</v>
      </c>
      <c r="AE17" s="38" t="n">
        <f aca="false">AE13*Hypothèses!$D$26*$D$4</f>
        <v>28.0440340249981</v>
      </c>
      <c r="AF17" s="38" t="n">
        <f aca="false">AF13*Hypothèses!$D$26*$D$4</f>
        <v>30.8885936847481</v>
      </c>
      <c r="AG17" s="38" t="n">
        <f aca="false">AG13*Hypothèses!$D$26*$D$4</f>
        <v>33.7047077479006</v>
      </c>
      <c r="AH17" s="38" t="n">
        <f aca="false">AH13*Hypothèses!$D$26*$D$4</f>
        <v>36.4926606704216</v>
      </c>
      <c r="AI17" s="38" t="n">
        <f aca="false">AI13*Hypothèses!$D$26*$D$4</f>
        <v>39.2527340637174</v>
      </c>
      <c r="AJ17" s="38" t="n">
        <f aca="false">AJ13*Hypothèses!$D$26*$D$4</f>
        <v>41.9852067230802</v>
      </c>
      <c r="AK17" s="38" t="n">
        <f aca="false">AK13*Hypothèses!$D$26*$D$4</f>
        <v>44.6903546558494</v>
      </c>
      <c r="AL17" s="38" t="n">
        <f aca="false">AL13*Hypothèses!$D$26*$D$4</f>
        <v>47.3684511092909</v>
      </c>
      <c r="AN17" s="38" t="n">
        <f aca="false">SUM(C17:N17)</f>
        <v>8.02611488192223</v>
      </c>
      <c r="AO17" s="38" t="n">
        <f aca="false">SUM(O17:Z17)</f>
        <v>107.672432725919</v>
      </c>
      <c r="AP17" s="38" t="n">
        <f aca="false">SUM(AA17:AL17)</f>
        <v>385.578252572358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21.5354627</v>
      </c>
      <c r="J18" s="39" t="n">
        <f aca="false">J13+J14+J15+J16-J17</f>
        <v>33.820108073</v>
      </c>
      <c r="K18" s="39" t="n">
        <f aca="false">K13+K14+K15+K16-K17</f>
        <v>45.98190699227</v>
      </c>
      <c r="L18" s="39" t="n">
        <f aca="false">L13+L14+L15+L16-L17</f>
        <v>58.0220879223473</v>
      </c>
      <c r="M18" s="39" t="n">
        <f aca="false">M13+M14+M15+M16-M17</f>
        <v>69.9418670431238</v>
      </c>
      <c r="N18" s="39" t="n">
        <f aca="false">N13+N14+N15+N16-N17</f>
        <v>81.7424483726926</v>
      </c>
      <c r="O18" s="39" t="n">
        <f aca="false">O13+O14+O15+O16-O17</f>
        <v>122.591690555632</v>
      </c>
      <c r="P18" s="39" t="n">
        <f aca="false">P13+P14+P15+P16-P17</f>
        <v>163.032440316743</v>
      </c>
      <c r="Q18" s="39" t="n">
        <f aca="false">Q13+Q14+Q15+Q16-Q17</f>
        <v>203.068782580242</v>
      </c>
      <c r="R18" s="39" t="n">
        <f aca="false">R13+R14+R15+R16-R17</f>
        <v>242.704761421106</v>
      </c>
      <c r="S18" s="39" t="n">
        <f aca="false">S13+S14+S15+S16-S17</f>
        <v>281.944380473562</v>
      </c>
      <c r="T18" s="39" t="n">
        <f aca="false">T13+T14+T15+T16-T17</f>
        <v>320.791603335493</v>
      </c>
      <c r="U18" s="39" t="n">
        <f aca="false">U13+U14+U15+U16-U17</f>
        <v>359.250353968805</v>
      </c>
      <c r="V18" s="39" t="n">
        <f aca="false">V13+V14+V15+V16-V17</f>
        <v>397.324517095783</v>
      </c>
      <c r="W18" s="39" t="n">
        <f aca="false">W13+W14+W15+W16-W17</f>
        <v>435.017938591492</v>
      </c>
      <c r="X18" s="39" t="n">
        <f aca="false">X13+X14+X15+X16-X17</f>
        <v>472.334425872244</v>
      </c>
      <c r="Y18" s="39" t="n">
        <f aca="false">Y13+Y14+Y15+Y16-Y17</f>
        <v>509.277748280188</v>
      </c>
      <c r="Z18" s="39" t="n">
        <f aca="false">Z13+Z14+Z15+Z16-Z17</f>
        <v>545.851637464053</v>
      </c>
      <c r="AA18" s="39" t="n">
        <f aca="false">AA13+AA14+AA15+AA16-AA17</f>
        <v>644.559787756079</v>
      </c>
      <c r="AB18" s="39" t="n">
        <f aca="false">AB13+AB14+AB15+AB16-AB17</f>
        <v>742.280856545185</v>
      </c>
      <c r="AC18" s="39" t="n">
        <f aca="false">AC13+AC14+AC15+AC16-AC17</f>
        <v>839.024714646399</v>
      </c>
      <c r="AD18" s="39" t="n">
        <f aca="false">AD13+AD14+AD15+AD16-AD17</f>
        <v>934.801134166602</v>
      </c>
      <c r="AE18" s="39" t="n">
        <f aca="false">AE13+AE14+AE15+AE16-AE17</f>
        <v>1029.6197894916</v>
      </c>
      <c r="AF18" s="39" t="n">
        <f aca="false">AF13+AF14+AF15+AF16-AF17</f>
        <v>1123.49025826335</v>
      </c>
      <c r="AG18" s="39" t="n">
        <f aca="false">AG13+AG14+AG15+AG16-AG17</f>
        <v>1216.42202234739</v>
      </c>
      <c r="AH18" s="39" t="n">
        <f aca="false">AH13+AH14+AH15+AH16-AH17</f>
        <v>1308.42446879058</v>
      </c>
      <c r="AI18" s="39" t="n">
        <f aca="false">AI13+AI14+AI15+AI16-AI17</f>
        <v>1399.50689076934</v>
      </c>
      <c r="AJ18" s="39" t="n">
        <f aca="false">AJ13+AJ14+AJ15+AJ16-AJ17</f>
        <v>1489.67848852831</v>
      </c>
      <c r="AK18" s="39" t="n">
        <f aca="false">AK13+AK14+AK15+AK16-AK17</f>
        <v>1578.9483703097</v>
      </c>
      <c r="AL18" s="39" t="n">
        <f aca="false">AL13+AL14+AL15+AL16-AL17</f>
        <v>1667.32555327327</v>
      </c>
      <c r="AN18" s="39" t="n">
        <f aca="false">N18</f>
        <v>81.7424483726926</v>
      </c>
      <c r="AO18" s="39" t="n">
        <f aca="false">Z18</f>
        <v>545.851637464053</v>
      </c>
      <c r="AP18" s="39" t="n">
        <f aca="false">AL18</f>
        <v>1667.32555327327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5.383865675</v>
      </c>
      <c r="J19" s="38" t="n">
        <f aca="false">J18*Hypothèses!$D$16</f>
        <v>8.45502701825</v>
      </c>
      <c r="K19" s="38" t="n">
        <f aca="false">K18*Hypothèses!$D$16</f>
        <v>11.4954767480675</v>
      </c>
      <c r="L19" s="38" t="n">
        <f aca="false">L18*Hypothèses!$D$16</f>
        <v>14.5055219805868</v>
      </c>
      <c r="M19" s="38" t="n">
        <f aca="false">M18*Hypothèses!$D$16</f>
        <v>17.485466760781</v>
      </c>
      <c r="N19" s="38" t="n">
        <f aca="false">N18*Hypothèses!$D$16</f>
        <v>20.4356120931731</v>
      </c>
      <c r="O19" s="38" t="n">
        <f aca="false">O18*Hypothèses!$D$16</f>
        <v>30.6479226389081</v>
      </c>
      <c r="P19" s="38" t="n">
        <f aca="false">P18*Hypothèses!$D$16</f>
        <v>40.7581100791857</v>
      </c>
      <c r="Q19" s="38" t="n">
        <f aca="false">Q18*Hypothèses!$D$16</f>
        <v>50.7671956450605</v>
      </c>
      <c r="R19" s="38" t="n">
        <f aca="false">R18*Hypothèses!$D$16</f>
        <v>60.6761903552765</v>
      </c>
      <c r="S19" s="38" t="n">
        <f aca="false">S18*Hypothèses!$D$16</f>
        <v>70.4860951183904</v>
      </c>
      <c r="T19" s="38" t="n">
        <f aca="false">T18*Hypothèses!$D$16</f>
        <v>80.1979008338732</v>
      </c>
      <c r="U19" s="38" t="n">
        <f aca="false">U18*Hypothèses!$D$16</f>
        <v>89.8125884922011</v>
      </c>
      <c r="V19" s="38" t="n">
        <f aca="false">V18*Hypothèses!$D$16</f>
        <v>99.3311292739458</v>
      </c>
      <c r="W19" s="38" t="n">
        <f aca="false">W18*Hypothèses!$D$16</f>
        <v>108.754484647873</v>
      </c>
      <c r="X19" s="38" t="n">
        <f aca="false">X18*Hypothèses!$D$16</f>
        <v>118.083606468061</v>
      </c>
      <c r="Y19" s="38" t="n">
        <f aca="false">Y18*Hypothèses!$D$16</f>
        <v>127.319437070047</v>
      </c>
      <c r="Z19" s="38" t="n">
        <f aca="false">Z18*Hypothèses!$D$16</f>
        <v>136.462909366013</v>
      </c>
      <c r="AA19" s="38" t="n">
        <f aca="false">AA18*Hypothèses!$D$16</f>
        <v>161.13994693902</v>
      </c>
      <c r="AB19" s="38" t="n">
        <f aca="false">AB18*Hypothèses!$D$16</f>
        <v>185.570214136296</v>
      </c>
      <c r="AC19" s="38" t="n">
        <f aca="false">AC18*Hypothèses!$D$16</f>
        <v>209.7561786616</v>
      </c>
      <c r="AD19" s="38" t="n">
        <f aca="false">AD18*Hypothèses!$D$16</f>
        <v>233.700283541651</v>
      </c>
      <c r="AE19" s="38" t="n">
        <f aca="false">AE18*Hypothèses!$D$16</f>
        <v>257.404947372901</v>
      </c>
      <c r="AF19" s="38" t="n">
        <f aca="false">AF18*Hypothèses!$D$16</f>
        <v>280.872564565838</v>
      </c>
      <c r="AG19" s="38" t="n">
        <f aca="false">AG18*Hypothèses!$D$16</f>
        <v>304.105505586847</v>
      </c>
      <c r="AH19" s="38" t="n">
        <f aca="false">AH18*Hypothèses!$D$16</f>
        <v>327.106117197645</v>
      </c>
      <c r="AI19" s="38" t="n">
        <f aca="false">AI18*Hypothèses!$D$16</f>
        <v>349.876722692335</v>
      </c>
      <c r="AJ19" s="38" t="n">
        <f aca="false">AJ18*Hypothèses!$D$16</f>
        <v>372.419622132079</v>
      </c>
      <c r="AK19" s="38" t="n">
        <f aca="false">AK18*Hypothèses!$D$16</f>
        <v>394.737092577424</v>
      </c>
      <c r="AL19" s="38" t="n">
        <f aca="false">AL18*Hypothèses!$D$16</f>
        <v>416.831388318317</v>
      </c>
      <c r="AN19" s="38" t="n">
        <f aca="false">N19</f>
        <v>20.4356120931731</v>
      </c>
      <c r="AO19" s="38" t="n">
        <f aca="false">Z19</f>
        <v>136.462909366013</v>
      </c>
      <c r="AP19" s="38" t="n">
        <f aca="false">AL19</f>
        <v>416.831388318317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12.92127762</v>
      </c>
      <c r="J20" s="38" t="n">
        <f aca="false">J18*Hypothèses!$D$17</f>
        <v>20.2920648438</v>
      </c>
      <c r="K20" s="38" t="n">
        <f aca="false">K18*Hypothèses!$D$17</f>
        <v>27.589144195362</v>
      </c>
      <c r="L20" s="38" t="n">
        <f aca="false">L18*Hypothèses!$D$17</f>
        <v>34.8132527534084</v>
      </c>
      <c r="M20" s="38" t="n">
        <f aca="false">M18*Hypothèses!$D$17</f>
        <v>41.9651202258743</v>
      </c>
      <c r="N20" s="38" t="n">
        <f aca="false">N18*Hypothèses!$D$17</f>
        <v>49.0454690236155</v>
      </c>
      <c r="O20" s="38" t="n">
        <f aca="false">O18*Hypothèses!$D$17</f>
        <v>73.5550143333794</v>
      </c>
      <c r="P20" s="38" t="n">
        <f aca="false">P18*Hypothèses!$D$17</f>
        <v>97.8194641900456</v>
      </c>
      <c r="Q20" s="38" t="n">
        <f aca="false">Q18*Hypothèses!$D$17</f>
        <v>121.841269548145</v>
      </c>
      <c r="R20" s="38" t="n">
        <f aca="false">R18*Hypothèses!$D$17</f>
        <v>145.622856852664</v>
      </c>
      <c r="S20" s="38" t="n">
        <f aca="false">S18*Hypothèses!$D$17</f>
        <v>169.166628284137</v>
      </c>
      <c r="T20" s="38" t="n">
        <f aca="false">T18*Hypothèses!$D$17</f>
        <v>192.474962001296</v>
      </c>
      <c r="U20" s="38" t="n">
        <f aca="false">U18*Hypothèses!$D$17</f>
        <v>215.550212381283</v>
      </c>
      <c r="V20" s="38" t="n">
        <f aca="false">V18*Hypothèses!$D$17</f>
        <v>238.39471025747</v>
      </c>
      <c r="W20" s="38" t="n">
        <f aca="false">W18*Hypothèses!$D$17</f>
        <v>261.010763154895</v>
      </c>
      <c r="X20" s="38" t="n">
        <f aca="false">X18*Hypothèses!$D$17</f>
        <v>283.400655523346</v>
      </c>
      <c r="Y20" s="38" t="n">
        <f aca="false">Y18*Hypothèses!$D$17</f>
        <v>305.566648968113</v>
      </c>
      <c r="Z20" s="38" t="n">
        <f aca="false">Z18*Hypothèses!$D$17</f>
        <v>327.510982478432</v>
      </c>
      <c r="AA20" s="38" t="n">
        <f aca="false">AA18*Hypothèses!$D$17</f>
        <v>386.735872653647</v>
      </c>
      <c r="AB20" s="38" t="n">
        <f aca="false">AB18*Hypothèses!$D$17</f>
        <v>445.368513927111</v>
      </c>
      <c r="AC20" s="38" t="n">
        <f aca="false">AC18*Hypothèses!$D$17</f>
        <v>503.41482878784</v>
      </c>
      <c r="AD20" s="38" t="n">
        <f aca="false">AD18*Hypothèses!$D$17</f>
        <v>560.880680499961</v>
      </c>
      <c r="AE20" s="38" t="n">
        <f aca="false">AE18*Hypothèses!$D$17</f>
        <v>617.771873694962</v>
      </c>
      <c r="AF20" s="38" t="n">
        <f aca="false">AF18*Hypothèses!$D$17</f>
        <v>674.094154958012</v>
      </c>
      <c r="AG20" s="38" t="n">
        <f aca="false">AG18*Hypothèses!$D$17</f>
        <v>729.853213408432</v>
      </c>
      <c r="AH20" s="38" t="n">
        <f aca="false">AH18*Hypothèses!$D$17</f>
        <v>785.054681274348</v>
      </c>
      <c r="AI20" s="38" t="n">
        <f aca="false">AI18*Hypothèses!$D$17</f>
        <v>839.704134461604</v>
      </c>
      <c r="AJ20" s="38" t="n">
        <f aca="false">AJ18*Hypothèses!$D$17</f>
        <v>893.807093116988</v>
      </c>
      <c r="AK20" s="38" t="n">
        <f aca="false">AK18*Hypothèses!$D$17</f>
        <v>947.369022185819</v>
      </c>
      <c r="AL20" s="38" t="n">
        <f aca="false">AL18*Hypothèses!$D$17</f>
        <v>1000.39533196396</v>
      </c>
      <c r="AN20" s="38" t="n">
        <f aca="false">N20</f>
        <v>49.0454690236155</v>
      </c>
      <c r="AO20" s="38" t="n">
        <f aca="false">Z20</f>
        <v>327.510982478432</v>
      </c>
      <c r="AP20" s="38" t="n">
        <f aca="false">AL20</f>
        <v>1000.39533196396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3.230319405</v>
      </c>
      <c r="J21" s="38" t="n">
        <f aca="false">J18*Hypothèses!$D$18</f>
        <v>5.07301621095</v>
      </c>
      <c r="K21" s="38" t="n">
        <f aca="false">K18*Hypothèses!$D$18</f>
        <v>6.8972860488405</v>
      </c>
      <c r="L21" s="38" t="n">
        <f aca="false">L18*Hypothèses!$D$18</f>
        <v>8.70331318835209</v>
      </c>
      <c r="M21" s="38" t="n">
        <f aca="false">M18*Hypothèses!$D$18</f>
        <v>10.4912800564686</v>
      </c>
      <c r="N21" s="38" t="n">
        <f aca="false">N18*Hypothèses!$D$18</f>
        <v>12.2613672559039</v>
      </c>
      <c r="O21" s="38" t="n">
        <f aca="false">O18*Hypothèses!$D$18</f>
        <v>18.3887535833448</v>
      </c>
      <c r="P21" s="38" t="n">
        <f aca="false">P18*Hypothèses!$D$18</f>
        <v>24.4548660475114</v>
      </c>
      <c r="Q21" s="38" t="n">
        <f aca="false">Q18*Hypothèses!$D$18</f>
        <v>30.4603173870363</v>
      </c>
      <c r="R21" s="38" t="n">
        <f aca="false">R18*Hypothèses!$D$18</f>
        <v>36.4057142131659</v>
      </c>
      <c r="S21" s="38" t="n">
        <f aca="false">S18*Hypothèses!$D$18</f>
        <v>42.2916570710343</v>
      </c>
      <c r="T21" s="38" t="n">
        <f aca="false">T18*Hypothèses!$D$18</f>
        <v>48.1187405003239</v>
      </c>
      <c r="U21" s="38" t="n">
        <f aca="false">U18*Hypothèses!$D$18</f>
        <v>53.8875530953207</v>
      </c>
      <c r="V21" s="38" t="n">
        <f aca="false">V18*Hypothèses!$D$18</f>
        <v>59.5986775643675</v>
      </c>
      <c r="W21" s="38" t="n">
        <f aca="false">W18*Hypothèses!$D$18</f>
        <v>65.2526907887238</v>
      </c>
      <c r="X21" s="38" t="n">
        <f aca="false">X18*Hypothèses!$D$18</f>
        <v>70.8501638808366</v>
      </c>
      <c r="Y21" s="38" t="n">
        <f aca="false">Y18*Hypothèses!$D$18</f>
        <v>76.3916622420282</v>
      </c>
      <c r="Z21" s="38" t="n">
        <f aca="false">Z18*Hypothèses!$D$18</f>
        <v>81.8777456196079</v>
      </c>
      <c r="AA21" s="38" t="n">
        <f aca="false">AA18*Hypothèses!$D$18</f>
        <v>96.6839681634118</v>
      </c>
      <c r="AB21" s="38" t="n">
        <f aca="false">AB18*Hypothèses!$D$18</f>
        <v>111.342128481778</v>
      </c>
      <c r="AC21" s="38" t="n">
        <f aca="false">AC18*Hypothèses!$D$18</f>
        <v>125.85370719696</v>
      </c>
      <c r="AD21" s="38" t="n">
        <f aca="false">AD18*Hypothèses!$D$18</f>
        <v>140.22017012499</v>
      </c>
      <c r="AE21" s="38" t="n">
        <f aca="false">AE18*Hypothèses!$D$18</f>
        <v>154.44296842374</v>
      </c>
      <c r="AF21" s="38" t="n">
        <f aca="false">AF18*Hypothèses!$D$18</f>
        <v>168.523538739503</v>
      </c>
      <c r="AG21" s="38" t="n">
        <f aca="false">AG18*Hypothèses!$D$18</f>
        <v>182.463303352108</v>
      </c>
      <c r="AH21" s="38" t="n">
        <f aca="false">AH18*Hypothèses!$D$18</f>
        <v>196.263670318587</v>
      </c>
      <c r="AI21" s="38" t="n">
        <f aca="false">AI18*Hypothèses!$D$18</f>
        <v>209.926033615401</v>
      </c>
      <c r="AJ21" s="38" t="n">
        <f aca="false">AJ18*Hypothèses!$D$18</f>
        <v>223.451773279247</v>
      </c>
      <c r="AK21" s="38" t="n">
        <f aca="false">AK18*Hypothèses!$D$18</f>
        <v>236.842255546455</v>
      </c>
      <c r="AL21" s="38" t="n">
        <f aca="false">AL18*Hypothèses!$D$18</f>
        <v>250.09883299099</v>
      </c>
      <c r="AN21" s="38" t="n">
        <f aca="false">N21</f>
        <v>12.2613672559039</v>
      </c>
      <c r="AO21" s="38" t="n">
        <f aca="false">Z21</f>
        <v>81.8777456196079</v>
      </c>
      <c r="AP21" s="38" t="n">
        <f aca="false">AL21</f>
        <v>250.09883299099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70.325</v>
      </c>
      <c r="G23" s="15" t="n">
        <f aca="false">G19*Hypothèses!$D$12*$C$4</f>
        <v>68.21525</v>
      </c>
      <c r="H23" s="15" t="n">
        <f aca="false">H19*Hypothèses!$D$12*$C$4</f>
        <v>66.1687925</v>
      </c>
      <c r="I23" s="15" t="n">
        <f aca="false">I19*Hypothèses!$D$12*$C$4</f>
        <v>156.132104575</v>
      </c>
      <c r="J23" s="15" t="n">
        <f aca="false">J19*Hypothèses!$D$12*$C$4</f>
        <v>245.19578352925</v>
      </c>
      <c r="K23" s="15" t="n">
        <f aca="false">K19*Hypothèses!$D$12*$C$4</f>
        <v>333.368825693957</v>
      </c>
      <c r="L23" s="15" t="n">
        <f aca="false">L19*Hypothèses!$D$12*$C$4</f>
        <v>420.660137437018</v>
      </c>
      <c r="M23" s="15" t="n">
        <f aca="false">M19*Hypothèses!$D$12*$C$4</f>
        <v>507.078536062648</v>
      </c>
      <c r="N23" s="15" t="n">
        <f aca="false">N19*Hypothèses!$D$12*$C$4</f>
        <v>592.632750702021</v>
      </c>
      <c r="O23" s="15" t="n">
        <f aca="false">O19*Hypothèses!$D$12*$C$4</f>
        <v>888.789756528334</v>
      </c>
      <c r="P23" s="15" t="n">
        <f aca="false">P19*Hypothèses!$D$12*$C$4</f>
        <v>1181.98519229638</v>
      </c>
      <c r="Q23" s="15" t="n">
        <f aca="false">Q19*Hypothèses!$D$12*$C$4</f>
        <v>1472.24867370675</v>
      </c>
      <c r="R23" s="15" t="n">
        <f aca="false">R19*Hypothèses!$D$12*$C$4</f>
        <v>1759.60952030302</v>
      </c>
      <c r="S23" s="15" t="n">
        <f aca="false">S19*Hypothèses!$D$12*$C$4</f>
        <v>2044.09675843332</v>
      </c>
      <c r="T23" s="15" t="n">
        <f aca="false">T19*Hypothèses!$D$12*$C$4</f>
        <v>2325.73912418232</v>
      </c>
      <c r="U23" s="15" t="n">
        <f aca="false">U19*Hypothèses!$D$12*$C$4</f>
        <v>2604.56506627383</v>
      </c>
      <c r="V23" s="15" t="n">
        <f aca="false">V19*Hypothèses!$D$12*$C$4</f>
        <v>2880.60274894443</v>
      </c>
      <c r="W23" s="15" t="n">
        <f aca="false">W19*Hypothèses!$D$12*$C$4</f>
        <v>3153.88005478832</v>
      </c>
      <c r="X23" s="15" t="n">
        <f aca="false">X19*Hypothèses!$D$12*$C$4</f>
        <v>3424.42458757377</v>
      </c>
      <c r="Y23" s="15" t="n">
        <f aca="false">Y19*Hypothèses!$D$12*$C$4</f>
        <v>3692.26367503136</v>
      </c>
      <c r="Z23" s="15" t="n">
        <f aca="false">Z19*Hypothèses!$D$12*$C$4</f>
        <v>3957.42437161438</v>
      </c>
      <c r="AA23" s="15" t="n">
        <f aca="false">AA19*Hypothèses!$D$12*$C$4</f>
        <v>4673.05846123157</v>
      </c>
      <c r="AB23" s="15" t="n">
        <f aca="false">AB19*Hypothèses!$D$12*$C$4</f>
        <v>5381.53620995259</v>
      </c>
      <c r="AC23" s="15" t="n">
        <f aca="false">AC19*Hypothèses!$D$12*$C$4</f>
        <v>6082.9291811864</v>
      </c>
      <c r="AD23" s="15" t="n">
        <f aca="false">AD19*Hypothèses!$D$12*$C$4</f>
        <v>6777.30822270786</v>
      </c>
      <c r="AE23" s="15" t="n">
        <f aca="false">AE19*Hypothèses!$D$12*$C$4</f>
        <v>7464.74347381412</v>
      </c>
      <c r="AF23" s="15" t="n">
        <f aca="false">AF19*Hypothèses!$D$12*$C$4</f>
        <v>8145.30437240931</v>
      </c>
      <c r="AG23" s="15" t="n">
        <f aca="false">AG19*Hypothèses!$D$12*$C$4</f>
        <v>8819.05966201855</v>
      </c>
      <c r="AH23" s="15" t="n">
        <f aca="false">AH19*Hypothèses!$D$12*$C$4</f>
        <v>9486.0773987317</v>
      </c>
      <c r="AI23" s="15" t="n">
        <f aca="false">AI19*Hypothèses!$D$12*$C$4</f>
        <v>10146.4249580777</v>
      </c>
      <c r="AJ23" s="15" t="n">
        <f aca="false">AJ19*Hypothèses!$D$12*$C$4</f>
        <v>10800.1690418303</v>
      </c>
      <c r="AK23" s="15" t="n">
        <f aca="false">AK19*Hypothèses!$D$12*$C$4</f>
        <v>11447.3756847453</v>
      </c>
      <c r="AL23" s="15" t="n">
        <f aca="false">AL19*Hypothèses!$D$12*$C$4</f>
        <v>12088.1102612312</v>
      </c>
      <c r="AN23" s="15" t="n">
        <f aca="false">SUM(C23:N23)</f>
        <v>2532.27718049989</v>
      </c>
      <c r="AO23" s="15" t="n">
        <f aca="false">SUM(O23:Z23)</f>
        <v>29385.6295296762</v>
      </c>
      <c r="AP23" s="15" t="n">
        <f aca="false">SUM(AA23:AL23)</f>
        <v>101312.096927937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459.78</v>
      </c>
      <c r="G24" s="15" t="n">
        <f aca="false">G20*Hypothèses!$D$13*$C$4</f>
        <v>445.9866</v>
      </c>
      <c r="H24" s="15" t="n">
        <f aca="false">H20*Hypothèses!$D$13*$C$4</f>
        <v>432.607002</v>
      </c>
      <c r="I24" s="15" t="n">
        <f aca="false">I20*Hypothèses!$D$13*$C$4</f>
        <v>1020.78093198</v>
      </c>
      <c r="J24" s="15" t="n">
        <f aca="false">J20*Hypothèses!$D$13*$C$4</f>
        <v>1603.0731226602</v>
      </c>
      <c r="K24" s="15" t="n">
        <f aca="false">K20*Hypothèses!$D$13*$C$4</f>
        <v>2179.5423914336</v>
      </c>
      <c r="L24" s="15" t="n">
        <f aca="false">L20*Hypothèses!$D$13*$C$4</f>
        <v>2750.24696751926</v>
      </c>
      <c r="M24" s="15" t="n">
        <f aca="false">M20*Hypothèses!$D$13*$C$4</f>
        <v>3315.24449784407</v>
      </c>
      <c r="N24" s="15" t="n">
        <f aca="false">N20*Hypothèses!$D$13*$C$4</f>
        <v>3874.59205286563</v>
      </c>
      <c r="O24" s="15" t="n">
        <f aca="false">O20*Hypothèses!$D$13*$C$4</f>
        <v>5810.84613233697</v>
      </c>
      <c r="P24" s="15" t="n">
        <f aca="false">P20*Hypothèses!$D$13*$C$4</f>
        <v>7727.7376710136</v>
      </c>
      <c r="Q24" s="15" t="n">
        <f aca="false">Q20*Hypothèses!$D$13*$C$4</f>
        <v>9625.46029430346</v>
      </c>
      <c r="R24" s="15" t="n">
        <f aca="false">R20*Hypothèses!$D$13*$C$4</f>
        <v>11504.2056913604</v>
      </c>
      <c r="S24" s="15" t="n">
        <f aca="false">S20*Hypothèses!$D$13*$C$4</f>
        <v>13364.1636344468</v>
      </c>
      <c r="T24" s="15" t="n">
        <f aca="false">T20*Hypothèses!$D$13*$C$4</f>
        <v>15205.5219981024</v>
      </c>
      <c r="U24" s="15" t="n">
        <f aca="false">U20*Hypothèses!$D$13*$C$4</f>
        <v>17028.4667781213</v>
      </c>
      <c r="V24" s="15" t="n">
        <f aca="false">V20*Hypothèses!$D$13*$C$4</f>
        <v>18833.1821103401</v>
      </c>
      <c r="W24" s="15" t="n">
        <f aca="false">W20*Hypothèses!$D$13*$C$4</f>
        <v>20619.8502892367</v>
      </c>
      <c r="X24" s="15" t="n">
        <f aca="false">X20*Hypothèses!$D$13*$C$4</f>
        <v>22388.6517863444</v>
      </c>
      <c r="Y24" s="15" t="n">
        <f aca="false">Y20*Hypothèses!$D$13*$C$4</f>
        <v>24139.7652684809</v>
      </c>
      <c r="Z24" s="15" t="n">
        <f aca="false">Z20*Hypothèses!$D$13*$C$4</f>
        <v>25873.3676157961</v>
      </c>
      <c r="AA24" s="15" t="n">
        <f aca="false">AA20*Hypothèses!$D$13*$C$4</f>
        <v>30552.1339396381</v>
      </c>
      <c r="AB24" s="15" t="n">
        <f aca="false">AB20*Hypothèses!$D$13*$C$4</f>
        <v>35184.1126002417</v>
      </c>
      <c r="AC24" s="15" t="n">
        <f aca="false">AC20*Hypothèses!$D$13*$C$4</f>
        <v>39769.7714742393</v>
      </c>
      <c r="AD24" s="15" t="n">
        <f aca="false">AD20*Hypothèses!$D$13*$C$4</f>
        <v>44309.5737594969</v>
      </c>
      <c r="AE24" s="15" t="n">
        <f aca="false">AE20*Hypothèses!$D$13*$C$4</f>
        <v>48803.978021902</v>
      </c>
      <c r="AF24" s="15" t="n">
        <f aca="false">AF20*Hypothèses!$D$13*$C$4</f>
        <v>53253.438241683</v>
      </c>
      <c r="AG24" s="15" t="n">
        <f aca="false">AG20*Hypothèses!$D$13*$C$4</f>
        <v>57658.4038592661</v>
      </c>
      <c r="AH24" s="15" t="n">
        <f aca="false">AH20*Hypothèses!$D$13*$C$4</f>
        <v>62019.3198206735</v>
      </c>
      <c r="AI24" s="15" t="n">
        <f aca="false">AI20*Hypothèses!$D$13*$C$4</f>
        <v>66336.6266224668</v>
      </c>
      <c r="AJ24" s="15" t="n">
        <f aca="false">AJ20*Hypothèses!$D$13*$C$4</f>
        <v>70610.7603562421</v>
      </c>
      <c r="AK24" s="15" t="n">
        <f aca="false">AK20*Hypothèses!$D$13*$C$4</f>
        <v>74842.1527526797</v>
      </c>
      <c r="AL24" s="15" t="n">
        <f aca="false">AL20*Hypothèses!$D$13*$C$4</f>
        <v>79031.2312251529</v>
      </c>
      <c r="AN24" s="15" t="n">
        <f aca="false">SUM(C24:N24)</f>
        <v>16555.8535663028</v>
      </c>
      <c r="AO24" s="15" t="n">
        <f aca="false">SUM(O24:Z24)</f>
        <v>192121.219269883</v>
      </c>
      <c r="AP24" s="15" t="n">
        <f aca="false">SUM(AA24:AL24)</f>
        <v>662371.502673682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187.695</v>
      </c>
      <c r="G25" s="15" t="n">
        <f aca="false">G21*Hypothèses!$D$14*$C$4</f>
        <v>182.06415</v>
      </c>
      <c r="H25" s="15" t="n">
        <f aca="false">H21*Hypothèses!$D$14*$C$4</f>
        <v>176.6022255</v>
      </c>
      <c r="I25" s="15" t="n">
        <f aca="false">I21*Hypothèses!$D$14*$C$4</f>
        <v>416.711203245</v>
      </c>
      <c r="J25" s="15" t="n">
        <f aca="false">J21*Hypothèses!$D$14*$C$4</f>
        <v>654.41909121255</v>
      </c>
      <c r="K25" s="15" t="n">
        <f aca="false">K21*Hypothèses!$D$14*$C$4</f>
        <v>889.749900300424</v>
      </c>
      <c r="L25" s="15" t="n">
        <f aca="false">L21*Hypothèses!$D$14*$C$4</f>
        <v>1122.72740129742</v>
      </c>
      <c r="M25" s="15" t="n">
        <f aca="false">M21*Hypothèses!$D$14*$C$4</f>
        <v>1353.37512728445</v>
      </c>
      <c r="N25" s="15" t="n">
        <f aca="false">N21*Hypothèses!$D$14*$C$4</f>
        <v>1581.7163760116</v>
      </c>
      <c r="O25" s="15" t="n">
        <f aca="false">O21*Hypothèses!$D$14*$C$4</f>
        <v>2372.14921225148</v>
      </c>
      <c r="P25" s="15" t="n">
        <f aca="false">P21*Hypothèses!$D$14*$C$4</f>
        <v>3154.67772012897</v>
      </c>
      <c r="Q25" s="15" t="n">
        <f aca="false">Q21*Hypothèses!$D$14*$C$4</f>
        <v>3929.38094292768</v>
      </c>
      <c r="R25" s="15" t="n">
        <f aca="false">R21*Hypothèses!$D$14*$C$4</f>
        <v>4696.3371334984</v>
      </c>
      <c r="S25" s="15" t="n">
        <f aca="false">S21*Hypothèses!$D$14*$C$4</f>
        <v>5455.62376216342</v>
      </c>
      <c r="T25" s="15" t="n">
        <f aca="false">T21*Hypothèses!$D$14*$C$4</f>
        <v>6207.31752454179</v>
      </c>
      <c r="U25" s="15" t="n">
        <f aca="false">U21*Hypothèses!$D$14*$C$4</f>
        <v>6951.49434929637</v>
      </c>
      <c r="V25" s="15" t="n">
        <f aca="false">V21*Hypothèses!$D$14*$C$4</f>
        <v>7688.2294058034</v>
      </c>
      <c r="W25" s="15" t="n">
        <f aca="false">W21*Hypothèses!$D$14*$C$4</f>
        <v>8417.59711174537</v>
      </c>
      <c r="X25" s="15" t="n">
        <f aca="false">X21*Hypothèses!$D$14*$C$4</f>
        <v>9139.67114062792</v>
      </c>
      <c r="Y25" s="15" t="n">
        <f aca="false">Y21*Hypothèses!$D$14*$C$4</f>
        <v>9854.52442922163</v>
      </c>
      <c r="Z25" s="15" t="n">
        <f aca="false">Z21*Hypothèses!$D$14*$C$4</f>
        <v>10562.2291849294</v>
      </c>
      <c r="AA25" s="15" t="n">
        <f aca="false">AA21*Hypothèses!$D$14*$C$4</f>
        <v>12472.2318930801</v>
      </c>
      <c r="AB25" s="15" t="n">
        <f aca="false">AB21*Hypothèses!$D$14*$C$4</f>
        <v>14363.1345741493</v>
      </c>
      <c r="AC25" s="15" t="n">
        <f aca="false">AC21*Hypothèses!$D$14*$C$4</f>
        <v>16235.1282284078</v>
      </c>
      <c r="AD25" s="15" t="n">
        <f aca="false">AD21*Hypothèses!$D$14*$C$4</f>
        <v>18088.4019461237</v>
      </c>
      <c r="AE25" s="15" t="n">
        <f aca="false">AE21*Hypothèses!$D$14*$C$4</f>
        <v>19923.1429266625</v>
      </c>
      <c r="AF25" s="15" t="n">
        <f aca="false">AF21*Hypothèses!$D$14*$C$4</f>
        <v>21739.5364973959</v>
      </c>
      <c r="AG25" s="15" t="n">
        <f aca="false">AG21*Hypothèses!$D$14*$C$4</f>
        <v>23537.7661324219</v>
      </c>
      <c r="AH25" s="15" t="n">
        <f aca="false">AH21*Hypothèses!$D$14*$C$4</f>
        <v>25318.0134710977</v>
      </c>
      <c r="AI25" s="15" t="n">
        <f aca="false">AI21*Hypothèses!$D$14*$C$4</f>
        <v>27080.4583363867</v>
      </c>
      <c r="AJ25" s="15" t="n">
        <f aca="false">AJ21*Hypothèses!$D$14*$C$4</f>
        <v>28825.2787530229</v>
      </c>
      <c r="AK25" s="15" t="n">
        <f aca="false">AK21*Hypothèses!$D$14*$C$4</f>
        <v>30552.6509654926</v>
      </c>
      <c r="AL25" s="15" t="n">
        <f aca="false">AL21*Hypothèses!$D$14*$C$4</f>
        <v>32262.7494558377</v>
      </c>
      <c r="AN25" s="15" t="n">
        <f aca="false">SUM(C25:N25)</f>
        <v>6758.56047485144</v>
      </c>
      <c r="AO25" s="15" t="n">
        <f aca="false">SUM(O25:Z25)</f>
        <v>78429.2319171358</v>
      </c>
      <c r="AP25" s="15" t="n">
        <f aca="false">SUM(AA25:AL25)</f>
        <v>270398.493180079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717.8</v>
      </c>
      <c r="G26" s="40" t="n">
        <f aca="false">G23+G24+G25</f>
        <v>696.266</v>
      </c>
      <c r="H26" s="40" t="n">
        <f aca="false">H23+H24+H25</f>
        <v>675.37802</v>
      </c>
      <c r="I26" s="40" t="n">
        <f aca="false">I23+I24+I25</f>
        <v>1593.6242398</v>
      </c>
      <c r="J26" s="40" t="n">
        <f aca="false">J23+J24+J25</f>
        <v>2502.687997402</v>
      </c>
      <c r="K26" s="40" t="n">
        <f aca="false">K23+K24+K25</f>
        <v>3402.66111742798</v>
      </c>
      <c r="L26" s="40" t="n">
        <f aca="false">L23+L24+L25</f>
        <v>4293.6345062537</v>
      </c>
      <c r="M26" s="40" t="n">
        <f aca="false">M23+M24+M25</f>
        <v>5175.69816119116</v>
      </c>
      <c r="N26" s="40" t="n">
        <f aca="false">N23+N24+N25</f>
        <v>6048.94117957925</v>
      </c>
      <c r="O26" s="40" t="n">
        <f aca="false">O23+O24+O25</f>
        <v>9071.78510111679</v>
      </c>
      <c r="P26" s="40" t="n">
        <f aca="false">P23+P24+P25</f>
        <v>12064.400583439</v>
      </c>
      <c r="Q26" s="40" t="n">
        <f aca="false">Q23+Q24+Q25</f>
        <v>15027.0899109379</v>
      </c>
      <c r="R26" s="40" t="n">
        <f aca="false">R23+R24+R25</f>
        <v>17960.1523451619</v>
      </c>
      <c r="S26" s="40" t="n">
        <f aca="false">S23+S24+S25</f>
        <v>20863.8841550436</v>
      </c>
      <c r="T26" s="40" t="n">
        <f aca="false">T23+T24+T25</f>
        <v>23738.5786468265</v>
      </c>
      <c r="U26" s="40" t="n">
        <f aca="false">U23+U24+U25</f>
        <v>26584.5261936915</v>
      </c>
      <c r="V26" s="40" t="n">
        <f aca="false">V23+V24+V25</f>
        <v>29402.014265088</v>
      </c>
      <c r="W26" s="40" t="n">
        <f aca="false">W23+W24+W25</f>
        <v>32191.3274557704</v>
      </c>
      <c r="X26" s="40" t="n">
        <f aca="false">X23+X24+X25</f>
        <v>34952.747514546</v>
      </c>
      <c r="Y26" s="40" t="n">
        <f aca="false">Y23+Y24+Y25</f>
        <v>37686.5533727339</v>
      </c>
      <c r="Z26" s="40" t="n">
        <f aca="false">Z23+Z24+Z25</f>
        <v>40393.0211723399</v>
      </c>
      <c r="AA26" s="40" t="n">
        <f aca="false">AA23+AA24+AA25</f>
        <v>47697.4242939498</v>
      </c>
      <c r="AB26" s="40" t="n">
        <f aca="false">AB23+AB24+AB25</f>
        <v>54928.7833843437</v>
      </c>
      <c r="AC26" s="40" t="n">
        <f aca="false">AC23+AC24+AC25</f>
        <v>62087.8288838336</v>
      </c>
      <c r="AD26" s="40" t="n">
        <f aca="false">AD23+AD24+AD25</f>
        <v>69175.2839283285</v>
      </c>
      <c r="AE26" s="40" t="n">
        <f aca="false">AE23+AE24+AE25</f>
        <v>76191.8644223786</v>
      </c>
      <c r="AF26" s="40" t="n">
        <f aca="false">AF23+AF24+AF25</f>
        <v>83138.2791114882</v>
      </c>
      <c r="AG26" s="40" t="n">
        <f aca="false">AG23+AG24+AG25</f>
        <v>90015.2296537066</v>
      </c>
      <c r="AH26" s="40" t="n">
        <f aca="false">AH23+AH24+AH25</f>
        <v>96823.4106905029</v>
      </c>
      <c r="AI26" s="40" t="n">
        <f aca="false">AI23+AI24+AI25</f>
        <v>103563.509916931</v>
      </c>
      <c r="AJ26" s="40" t="n">
        <f aca="false">AJ23+AJ24+AJ25</f>
        <v>110236.208151095</v>
      </c>
      <c r="AK26" s="40" t="n">
        <f aca="false">AK23+AK24+AK25</f>
        <v>116842.179402918</v>
      </c>
      <c r="AL26" s="40" t="n">
        <f aca="false">AL23+AL24+AL25</f>
        <v>123382.090942222</v>
      </c>
      <c r="AN26" s="40" t="n">
        <f aca="false">SUM(C26:N26)</f>
        <v>25846.6912216541</v>
      </c>
      <c r="AO26" s="40" t="n">
        <f aca="false">SUM(O26:Z26)</f>
        <v>299936.080716695</v>
      </c>
      <c r="AP26" s="40" t="n">
        <f aca="false">SUM(AA26:AL26)</f>
        <v>1034082.0927817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119.633333333333</v>
      </c>
      <c r="G27" s="15" t="n">
        <f aca="false">G26*Hypothèses!$D$15/(1+Hypothèses!$D$15)</f>
        <v>116.044333333333</v>
      </c>
      <c r="H27" s="15" t="n">
        <f aca="false">H26*Hypothèses!$D$15/(1+Hypothèses!$D$15)</f>
        <v>112.563003333333</v>
      </c>
      <c r="I27" s="15" t="n">
        <f aca="false">I26*Hypothèses!$D$15/(1+Hypothèses!$D$15)</f>
        <v>265.604039966667</v>
      </c>
      <c r="J27" s="15" t="n">
        <f aca="false">J26*Hypothèses!$D$15/(1+Hypothèses!$D$15)</f>
        <v>417.114666233667</v>
      </c>
      <c r="K27" s="15" t="n">
        <f aca="false">K26*Hypothèses!$D$15/(1+Hypothèses!$D$15)</f>
        <v>567.110186237997</v>
      </c>
      <c r="L27" s="15" t="n">
        <f aca="false">L26*Hypothèses!$D$15/(1+Hypothèses!$D$15)</f>
        <v>715.605751042283</v>
      </c>
      <c r="M27" s="15" t="n">
        <f aca="false">M26*Hypothèses!$D$15/(1+Hypothèses!$D$15)</f>
        <v>862.616360198527</v>
      </c>
      <c r="N27" s="15" t="n">
        <f aca="false">N26*Hypothèses!$D$15/(1+Hypothèses!$D$15)</f>
        <v>1008.15686326321</v>
      </c>
      <c r="O27" s="15" t="n">
        <f aca="false">O26*Hypothèses!$D$15/(1+Hypothèses!$D$15)</f>
        <v>1511.96418351947</v>
      </c>
      <c r="P27" s="15" t="n">
        <f aca="false">P26*Hypothèses!$D$15/(1+Hypothèses!$D$15)</f>
        <v>2010.73343057316</v>
      </c>
      <c r="Q27" s="15" t="n">
        <f aca="false">Q26*Hypothèses!$D$15/(1+Hypothèses!$D$15)</f>
        <v>2504.51498515632</v>
      </c>
      <c r="R27" s="15" t="n">
        <f aca="false">R26*Hypothèses!$D$15/(1+Hypothèses!$D$15)</f>
        <v>2993.35872419364</v>
      </c>
      <c r="S27" s="15" t="n">
        <f aca="false">S26*Hypothèses!$D$15/(1+Hypothèses!$D$15)</f>
        <v>3477.31402584059</v>
      </c>
      <c r="T27" s="15" t="n">
        <f aca="false">T26*Hypothèses!$D$15/(1+Hypothèses!$D$15)</f>
        <v>3956.42977447108</v>
      </c>
      <c r="U27" s="15" t="n">
        <f aca="false">U26*Hypothèses!$D$15/(1+Hypothèses!$D$15)</f>
        <v>4430.75436561526</v>
      </c>
      <c r="V27" s="15" t="n">
        <f aca="false">V26*Hypothèses!$D$15/(1+Hypothèses!$D$15)</f>
        <v>4900.33571084799</v>
      </c>
      <c r="W27" s="15" t="n">
        <f aca="false">W26*Hypothèses!$D$15/(1+Hypothèses!$D$15)</f>
        <v>5365.2212426284</v>
      </c>
      <c r="X27" s="15" t="n">
        <f aca="false">X26*Hypothèses!$D$15/(1+Hypothèses!$D$15)</f>
        <v>5825.45791909101</v>
      </c>
      <c r="Y27" s="15" t="n">
        <f aca="false">Y26*Hypothèses!$D$15/(1+Hypothèses!$D$15)</f>
        <v>6281.09222878898</v>
      </c>
      <c r="Z27" s="15" t="n">
        <f aca="false">Z26*Hypothèses!$D$15/(1+Hypothèses!$D$15)</f>
        <v>6732.17019538998</v>
      </c>
      <c r="AA27" s="15" t="n">
        <f aca="false">AA26*Hypothèses!$D$15/(1+Hypothèses!$D$15)</f>
        <v>7949.5707156583</v>
      </c>
      <c r="AB27" s="15" t="n">
        <f aca="false">AB26*Hypothèses!$D$15/(1+Hypothèses!$D$15)</f>
        <v>9154.79723072394</v>
      </c>
      <c r="AC27" s="15" t="n">
        <f aca="false">AC26*Hypothèses!$D$15/(1+Hypothèses!$D$15)</f>
        <v>10347.9714806389</v>
      </c>
      <c r="AD27" s="15" t="n">
        <f aca="false">AD26*Hypothèses!$D$15/(1+Hypothèses!$D$15)</f>
        <v>11529.2139880548</v>
      </c>
      <c r="AE27" s="15" t="n">
        <f aca="false">AE26*Hypothèses!$D$15/(1+Hypothèses!$D$15)</f>
        <v>12698.6440703964</v>
      </c>
      <c r="AF27" s="15" t="n">
        <f aca="false">AF26*Hypothèses!$D$15/(1+Hypothèses!$D$15)</f>
        <v>13856.3798519147</v>
      </c>
      <c r="AG27" s="15" t="n">
        <f aca="false">AG26*Hypothèses!$D$15/(1+Hypothèses!$D$15)</f>
        <v>15002.5382756178</v>
      </c>
      <c r="AH27" s="15" t="n">
        <f aca="false">AH26*Hypothèses!$D$15/(1+Hypothèses!$D$15)</f>
        <v>16137.2351150838</v>
      </c>
      <c r="AI27" s="15" t="n">
        <f aca="false">AI26*Hypothèses!$D$15/(1+Hypothèses!$D$15)</f>
        <v>17260.5849861552</v>
      </c>
      <c r="AJ27" s="15" t="n">
        <f aca="false">AJ26*Hypothèses!$D$15/(1+Hypothèses!$D$15)</f>
        <v>18372.7013585159</v>
      </c>
      <c r="AK27" s="15" t="n">
        <f aca="false">AK26*Hypothèses!$D$15/(1+Hypothèses!$D$15)</f>
        <v>19473.6965671529</v>
      </c>
      <c r="AL27" s="15" t="n">
        <f aca="false">AL26*Hypothèses!$D$15/(1+Hypothèses!$D$15)</f>
        <v>20563.6818237036</v>
      </c>
      <c r="AN27" s="15" t="n">
        <f aca="false">SUM(C27:N27)</f>
        <v>4307.78187027568</v>
      </c>
      <c r="AO27" s="15" t="n">
        <f aca="false">SUM(O27:Z27)</f>
        <v>49989.3467861159</v>
      </c>
      <c r="AP27" s="15" t="n">
        <f aca="false">SUM(AA27:AL27)</f>
        <v>172347.015463616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598.166666666667</v>
      </c>
      <c r="G28" s="40" t="n">
        <f aca="false">G26-G27</f>
        <v>580.221666666667</v>
      </c>
      <c r="H28" s="40" t="n">
        <f aca="false">H26-H27</f>
        <v>562.815016666667</v>
      </c>
      <c r="I28" s="40" t="n">
        <f aca="false">I26-I27</f>
        <v>1328.02019983333</v>
      </c>
      <c r="J28" s="40" t="n">
        <f aca="false">J26-J27</f>
        <v>2085.57333116833</v>
      </c>
      <c r="K28" s="40" t="n">
        <f aca="false">K26-K27</f>
        <v>2835.55093118998</v>
      </c>
      <c r="L28" s="40" t="n">
        <f aca="false">L26-L27</f>
        <v>3578.02875521142</v>
      </c>
      <c r="M28" s="40" t="n">
        <f aca="false">M26-M27</f>
        <v>4313.08180099263</v>
      </c>
      <c r="N28" s="40" t="n">
        <f aca="false">N26-N27</f>
        <v>5040.78431631604</v>
      </c>
      <c r="O28" s="40" t="n">
        <f aca="false">O26-O27</f>
        <v>7559.82091759732</v>
      </c>
      <c r="P28" s="40" t="n">
        <f aca="false">P26-P27</f>
        <v>10053.6671528658</v>
      </c>
      <c r="Q28" s="40" t="n">
        <f aca="false">Q26-Q27</f>
        <v>12522.5749257816</v>
      </c>
      <c r="R28" s="40" t="n">
        <f aca="false">R26-R27</f>
        <v>14966.7936209682</v>
      </c>
      <c r="S28" s="40" t="n">
        <f aca="false">S26-S27</f>
        <v>17386.570129203</v>
      </c>
      <c r="T28" s="40" t="n">
        <f aca="false">T26-T27</f>
        <v>19782.1488723554</v>
      </c>
      <c r="U28" s="40" t="n">
        <f aca="false">U26-U27</f>
        <v>22153.7718280763</v>
      </c>
      <c r="V28" s="40" t="n">
        <f aca="false">V26-V27</f>
        <v>24501.67855424</v>
      </c>
      <c r="W28" s="40" t="n">
        <f aca="false">W26-W27</f>
        <v>26826.106213142</v>
      </c>
      <c r="X28" s="40" t="n">
        <f aca="false">X26-X27</f>
        <v>29127.289595455</v>
      </c>
      <c r="Y28" s="40" t="n">
        <f aca="false">Y26-Y27</f>
        <v>31405.4611439449</v>
      </c>
      <c r="Z28" s="40" t="n">
        <f aca="false">Z26-Z27</f>
        <v>33660.8509769499</v>
      </c>
      <c r="AA28" s="40" t="n">
        <f aca="false">AA26-AA27</f>
        <v>39747.8535782915</v>
      </c>
      <c r="AB28" s="40" t="n">
        <f aca="false">AB26-AB27</f>
        <v>45773.9861536197</v>
      </c>
      <c r="AC28" s="40" t="n">
        <f aca="false">AC26-AC27</f>
        <v>51739.8574031946</v>
      </c>
      <c r="AD28" s="40" t="n">
        <f aca="false">AD26-AD27</f>
        <v>57646.0699402738</v>
      </c>
      <c r="AE28" s="40" t="n">
        <f aca="false">AE26-AE27</f>
        <v>63493.2203519822</v>
      </c>
      <c r="AF28" s="40" t="n">
        <f aca="false">AF26-AF27</f>
        <v>69281.8992595735</v>
      </c>
      <c r="AG28" s="40" t="n">
        <f aca="false">AG26-AG27</f>
        <v>75012.6913780889</v>
      </c>
      <c r="AH28" s="40" t="n">
        <f aca="false">AH26-AH27</f>
        <v>80686.1755754191</v>
      </c>
      <c r="AI28" s="40" t="n">
        <f aca="false">AI26-AI27</f>
        <v>86302.924930776</v>
      </c>
      <c r="AJ28" s="40" t="n">
        <f aca="false">AJ26-AJ27</f>
        <v>91863.5067925794</v>
      </c>
      <c r="AK28" s="40" t="n">
        <f aca="false">AK26-AK27</f>
        <v>97368.4828357647</v>
      </c>
      <c r="AL28" s="40" t="n">
        <f aca="false">AL26-AL27</f>
        <v>102818.409118518</v>
      </c>
      <c r="AN28" s="40" t="n">
        <f aca="false">SUM(C28:N28)</f>
        <v>21538.9093513784</v>
      </c>
      <c r="AO28" s="40" t="n">
        <f aca="false">SUM(O28:Z28)</f>
        <v>249946.733930579</v>
      </c>
      <c r="AP28" s="40" t="n">
        <f aca="false">SUM(AA28:AL28)</f>
        <v>861735.077318081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7.178</v>
      </c>
      <c r="G29" s="15" t="n">
        <f aca="false">G26*Hypothèses!$D$27</f>
        <v>6.96266</v>
      </c>
      <c r="H29" s="15" t="n">
        <f aca="false">H26*Hypothèses!$D$27</f>
        <v>6.7537802</v>
      </c>
      <c r="I29" s="15" t="n">
        <f aca="false">I26*Hypothèses!$D$27</f>
        <v>15.936242398</v>
      </c>
      <c r="J29" s="15" t="n">
        <f aca="false">J26*Hypothèses!$D$27</f>
        <v>25.02687997402</v>
      </c>
      <c r="K29" s="15" t="n">
        <f aca="false">K26*Hypothèses!$D$27</f>
        <v>34.0266111742798</v>
      </c>
      <c r="L29" s="15" t="n">
        <f aca="false">L26*Hypothèses!$D$27</f>
        <v>42.936345062537</v>
      </c>
      <c r="M29" s="15" t="n">
        <f aca="false">M26*Hypothèses!$D$27</f>
        <v>51.7569816119116</v>
      </c>
      <c r="N29" s="15" t="n">
        <f aca="false">N26*Hypothèses!$D$27</f>
        <v>60.4894117957925</v>
      </c>
      <c r="O29" s="15" t="n">
        <f aca="false">O26*Hypothèses!$D$27</f>
        <v>90.7178510111679</v>
      </c>
      <c r="P29" s="15" t="n">
        <f aca="false">P26*Hypothèses!$D$27</f>
        <v>120.64400583439</v>
      </c>
      <c r="Q29" s="15" t="n">
        <f aca="false">Q26*Hypothèses!$D$27</f>
        <v>150.270899109379</v>
      </c>
      <c r="R29" s="15" t="n">
        <f aca="false">R26*Hypothèses!$D$27</f>
        <v>179.601523451618</v>
      </c>
      <c r="S29" s="15" t="n">
        <f aca="false">S26*Hypothèses!$D$27</f>
        <v>208.638841550436</v>
      </c>
      <c r="T29" s="15" t="n">
        <f aca="false">T26*Hypothèses!$D$27</f>
        <v>237.385786468265</v>
      </c>
      <c r="U29" s="15" t="n">
        <f aca="false">U26*Hypothèses!$D$27</f>
        <v>265.845261936915</v>
      </c>
      <c r="V29" s="15" t="n">
        <f aca="false">V26*Hypothèses!$D$27</f>
        <v>294.02014265088</v>
      </c>
      <c r="W29" s="15" t="n">
        <f aca="false">W26*Hypothèses!$D$27</f>
        <v>321.913274557704</v>
      </c>
      <c r="X29" s="15" t="n">
        <f aca="false">X26*Hypothèses!$D$27</f>
        <v>349.52747514546</v>
      </c>
      <c r="Y29" s="15" t="n">
        <f aca="false">Y26*Hypothèses!$D$27</f>
        <v>376.865533727339</v>
      </c>
      <c r="Z29" s="15" t="n">
        <f aca="false">Z26*Hypothèses!$D$27</f>
        <v>403.930211723399</v>
      </c>
      <c r="AA29" s="15" t="n">
        <f aca="false">AA26*Hypothèses!$D$27</f>
        <v>476.974242939498</v>
      </c>
      <c r="AB29" s="15" t="n">
        <f aca="false">AB26*Hypothèses!$D$27</f>
        <v>549.287833843437</v>
      </c>
      <c r="AC29" s="15" t="n">
        <f aca="false">AC26*Hypothèses!$D$27</f>
        <v>620.878288838336</v>
      </c>
      <c r="AD29" s="15" t="n">
        <f aca="false">AD26*Hypothèses!$D$27</f>
        <v>691.752839283285</v>
      </c>
      <c r="AE29" s="15" t="n">
        <f aca="false">AE26*Hypothèses!$D$27</f>
        <v>761.918644223786</v>
      </c>
      <c r="AF29" s="15" t="n">
        <f aca="false">AF26*Hypothèses!$D$27</f>
        <v>831.382791114882</v>
      </c>
      <c r="AG29" s="15" t="n">
        <f aca="false">AG26*Hypothèses!$D$27</f>
        <v>900.152296537066</v>
      </c>
      <c r="AH29" s="15" t="n">
        <f aca="false">AH26*Hypothèses!$D$27</f>
        <v>968.234106905029</v>
      </c>
      <c r="AI29" s="15" t="n">
        <f aca="false">AI26*Hypothèses!$D$27</f>
        <v>1035.63509916931</v>
      </c>
      <c r="AJ29" s="15" t="n">
        <f aca="false">AJ26*Hypothèses!$D$27</f>
        <v>1102.36208151095</v>
      </c>
      <c r="AK29" s="15" t="n">
        <f aca="false">AK26*Hypothèses!$D$27</f>
        <v>1168.42179402918</v>
      </c>
      <c r="AL29" s="15" t="n">
        <f aca="false">AL26*Hypothèses!$D$27</f>
        <v>1233.82090942222</v>
      </c>
      <c r="AN29" s="15" t="n">
        <f aca="false">SUM(C29:N29)</f>
        <v>258.466912216541</v>
      </c>
      <c r="AO29" s="15" t="n">
        <f aca="false">SUM(O29:Z29)</f>
        <v>2999.36080716695</v>
      </c>
      <c r="AP29" s="15" t="n">
        <f aca="false">SUM(AA29:AL29)</f>
        <v>10340.820927817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13.08433</v>
      </c>
      <c r="G30" s="15" t="n">
        <f aca="false">(G26-G29)*Hypothèses!$D$28+G18*Hypothèses!$D$29</f>
        <v>12.6918001</v>
      </c>
      <c r="H30" s="15" t="n">
        <f aca="false">(H26-H29)*Hypothèses!$D$28+H18*Hypothèses!$D$29</f>
        <v>12.311046097</v>
      </c>
      <c r="I30" s="15" t="n">
        <f aca="false">(I26-I29)*Hypothèses!$D$28+I18*Hypothèses!$D$29</f>
        <v>29.04918563603</v>
      </c>
      <c r="J30" s="15" t="n">
        <f aca="false">(J26-J29)*Hypothèses!$D$28+J18*Hypothèses!$D$29</f>
        <v>45.6199437796697</v>
      </c>
      <c r="K30" s="15" t="n">
        <f aca="false">(K26-K29)*Hypothèses!$D$28+K18*Hypothèses!$D$29</f>
        <v>62.024994341873</v>
      </c>
      <c r="L30" s="15" t="n">
        <f aca="false">(L26-L29)*Hypothèses!$D$28+L18*Hypothèses!$D$29</f>
        <v>78.2659943984543</v>
      </c>
      <c r="M30" s="15" t="n">
        <f aca="false">(M26-M29)*Hypothèses!$D$28+M18*Hypothèses!$D$29</f>
        <v>94.3445844544697</v>
      </c>
      <c r="N30" s="15" t="n">
        <f aca="false">(N26-N29)*Hypothèses!$D$28+N18*Hypothèses!$D$29</f>
        <v>110.262388609925</v>
      </c>
      <c r="O30" s="15" t="n">
        <f aca="false">(O26-O29)*Hypothèses!$D$28+O18*Hypothèses!$D$29</f>
        <v>165.363931390492</v>
      </c>
      <c r="P30" s="15" t="n">
        <f aca="false">(P26-P29)*Hypothèses!$D$28+P18*Hypothèses!$D$29</f>
        <v>219.914458743254</v>
      </c>
      <c r="Q30" s="15" t="n">
        <f aca="false">(Q26-Q29)*Hypothèses!$D$28+Q18*Hypothèses!$D$29</f>
        <v>273.919480822488</v>
      </c>
      <c r="R30" s="15" t="n">
        <f aca="false">(R26-R29)*Hypothèses!$D$28+R18*Hypothèses!$D$29</f>
        <v>327.38445268093</v>
      </c>
      <c r="S30" s="15" t="n">
        <f aca="false">(S26-S29)*Hypothèses!$D$28+S18*Hypothèses!$D$29</f>
        <v>380.314774820787</v>
      </c>
      <c r="T30" s="15" t="n">
        <f aca="false">(T26-T29)*Hypothèses!$D$28+T18*Hypothèses!$D$29</f>
        <v>432.715793739246</v>
      </c>
      <c r="U30" s="15" t="n">
        <f aca="false">(U26-U29)*Hypothèses!$D$28+U18*Hypothèses!$D$29</f>
        <v>484.59280246852</v>
      </c>
      <c r="V30" s="15" t="n">
        <f aca="false">(V26-V29)*Hypothèses!$D$28+V18*Hypothèses!$D$29</f>
        <v>535.951041110502</v>
      </c>
      <c r="W30" s="15" t="n">
        <f aca="false">(W26-W29)*Hypothèses!$D$28+W18*Hypothèses!$D$29</f>
        <v>586.795697366064</v>
      </c>
      <c r="X30" s="15" t="n">
        <f aca="false">(X26-X29)*Hypothèses!$D$28+X18*Hypothèses!$D$29</f>
        <v>637.13190705907</v>
      </c>
      <c r="Y30" s="15" t="n">
        <f aca="false">(Y26-Y29)*Hypothèses!$D$28+Y18*Hypothèses!$D$29</f>
        <v>686.964754655145</v>
      </c>
      <c r="Z30" s="15" t="n">
        <f aca="false">(Z26-Z29)*Hypothèses!$D$28+Z18*Hypothèses!$D$29</f>
        <v>736.299273775261</v>
      </c>
      <c r="AA30" s="15" t="n">
        <f aca="false">(AA26-AA29)*Hypothèses!$D$28+AA18*Hypothèses!$D$29</f>
        <v>869.446697704174</v>
      </c>
      <c r="AB30" s="15" t="n">
        <f aca="false">(AB26-AB29)*Hypothèses!$D$28+AB18*Hypothèses!$D$29</f>
        <v>1001.2626473938</v>
      </c>
      <c r="AC30" s="15" t="n">
        <f aca="false">(AC26-AC29)*Hypothèses!$D$28+AC18*Hypothèses!$D$29</f>
        <v>1131.76043758653</v>
      </c>
      <c r="AD30" s="15" t="n">
        <f aca="false">(AD26-AD29)*Hypothèses!$D$28+AD18*Hypothèses!$D$29</f>
        <v>1260.95324987733</v>
      </c>
      <c r="AE30" s="15" t="n">
        <f aca="false">(AE26-AE29)*Hypothèses!$D$28+AE18*Hypothèses!$D$29</f>
        <v>1388.85413404522</v>
      </c>
      <c r="AF30" s="15" t="n">
        <f aca="false">(AF26-AF29)*Hypothèses!$D$28+AF18*Hypothèses!$D$29</f>
        <v>1515.47600937144</v>
      </c>
      <c r="AG30" s="15" t="n">
        <f aca="false">(AG26-AG29)*Hypothèses!$D$28+AG18*Hypothèses!$D$29</f>
        <v>1640.83166594439</v>
      </c>
      <c r="AH30" s="15" t="n">
        <f aca="false">(AH26-AH29)*Hypothèses!$D$28+AH18*Hypothèses!$D$29</f>
        <v>1764.93376595161</v>
      </c>
      <c r="AI30" s="15" t="n">
        <f aca="false">(AI26-AI29)*Hypothèses!$D$28+AI18*Hypothèses!$D$29</f>
        <v>1887.79484495876</v>
      </c>
      <c r="AJ30" s="15" t="n">
        <f aca="false">(AJ26-AJ29)*Hypothèses!$D$28+AJ18*Hypothèses!$D$29</f>
        <v>2009.42731317584</v>
      </c>
      <c r="AK30" s="15" t="n">
        <f aca="false">(AK26-AK29)*Hypothèses!$D$28+AK18*Hypothèses!$D$29</f>
        <v>2129.84345671075</v>
      </c>
      <c r="AL30" s="15" t="n">
        <f aca="false">(AL26-AL29)*Hypothèses!$D$28+AL18*Hypothèses!$D$29</f>
        <v>2249.05543881031</v>
      </c>
      <c r="AN30" s="15" t="n">
        <f aca="false">SUM(C30:N30)</f>
        <v>471.143267417422</v>
      </c>
      <c r="AO30" s="15" t="n">
        <f aca="false">SUM(O30:Z30)</f>
        <v>5467.34836863176</v>
      </c>
      <c r="AP30" s="15" t="n">
        <f aca="false">SUM(AA30:AL30)</f>
        <v>18849.6396615302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697.53767</v>
      </c>
      <c r="G31" s="40" t="n">
        <f aca="false">G26-G29-G30</f>
        <v>676.6115399</v>
      </c>
      <c r="H31" s="40" t="n">
        <f aca="false">H26-H29-H30</f>
        <v>656.313193703</v>
      </c>
      <c r="I31" s="40" t="n">
        <f aca="false">I26-I29-I30</f>
        <v>1548.63881176597</v>
      </c>
      <c r="J31" s="40" t="n">
        <f aca="false">J26-J29-J30</f>
        <v>2432.04117364831</v>
      </c>
      <c r="K31" s="40" t="n">
        <f aca="false">K26-K29-K30</f>
        <v>3306.60951191183</v>
      </c>
      <c r="L31" s="40" t="n">
        <f aca="false">L26-L29-L30</f>
        <v>4172.43216679271</v>
      </c>
      <c r="M31" s="40" t="n">
        <f aca="false">M26-M29-M30</f>
        <v>5029.59659512478</v>
      </c>
      <c r="N31" s="40" t="n">
        <f aca="false">N26-N29-N30</f>
        <v>5878.18937917353</v>
      </c>
      <c r="O31" s="40" t="n">
        <f aca="false">O26-O29-O30</f>
        <v>8815.70331871513</v>
      </c>
      <c r="P31" s="40" t="n">
        <f aca="false">P26-P29-P30</f>
        <v>11723.8421188613</v>
      </c>
      <c r="Q31" s="40" t="n">
        <f aca="false">Q26-Q29-Q30</f>
        <v>14602.899531006</v>
      </c>
      <c r="R31" s="40" t="n">
        <f aca="false">R26-R29-R30</f>
        <v>17453.1663690293</v>
      </c>
      <c r="S31" s="40" t="n">
        <f aca="false">S26-S29-S30</f>
        <v>20274.9305386723</v>
      </c>
      <c r="T31" s="40" t="n">
        <f aca="false">T26-T29-T30</f>
        <v>23068.477066619</v>
      </c>
      <c r="U31" s="40" t="n">
        <f aca="false">U26-U29-U30</f>
        <v>25834.0881292861</v>
      </c>
      <c r="V31" s="40" t="n">
        <f aca="false">V26-V29-V30</f>
        <v>28572.0430813266</v>
      </c>
      <c r="W31" s="40" t="n">
        <f aca="false">W26-W29-W30</f>
        <v>31282.6184838466</v>
      </c>
      <c r="X31" s="40" t="n">
        <f aca="false">X26-X29-X30</f>
        <v>33966.0881323415</v>
      </c>
      <c r="Y31" s="40" t="n">
        <f aca="false">Y26-Y29-Y30</f>
        <v>36622.7230843514</v>
      </c>
      <c r="Z31" s="40" t="n">
        <f aca="false">Z26-Z29-Z30</f>
        <v>39252.7916868412</v>
      </c>
      <c r="AA31" s="40" t="n">
        <f aca="false">AA26-AA29-AA30</f>
        <v>46351.0033533061</v>
      </c>
      <c r="AB31" s="40" t="n">
        <f aca="false">AB26-AB29-AB30</f>
        <v>53378.2329031064</v>
      </c>
      <c r="AC31" s="40" t="n">
        <f aca="false">AC26-AC29-AC30</f>
        <v>60335.1901574087</v>
      </c>
      <c r="AD31" s="40" t="n">
        <f aca="false">AD26-AD29-AD30</f>
        <v>67222.5778391679</v>
      </c>
      <c r="AE31" s="40" t="n">
        <f aca="false">AE26-AE29-AE30</f>
        <v>74041.0916441096</v>
      </c>
      <c r="AF31" s="40" t="n">
        <f aca="false">AF26-AF29-AF30</f>
        <v>80791.4203110018</v>
      </c>
      <c r="AG31" s="40" t="n">
        <f aca="false">AG26-AG29-AG30</f>
        <v>87474.2456912252</v>
      </c>
      <c r="AH31" s="40" t="n">
        <f aca="false">AH26-AH29-AH30</f>
        <v>94090.2428176462</v>
      </c>
      <c r="AI31" s="40" t="n">
        <f aca="false">AI26-AI29-AI30</f>
        <v>100640.079972803</v>
      </c>
      <c r="AJ31" s="40" t="n">
        <f aca="false">AJ26-AJ29-AJ30</f>
        <v>107124.418756408</v>
      </c>
      <c r="AK31" s="40" t="n">
        <f aca="false">AK26-AK29-AK30</f>
        <v>113543.914152178</v>
      </c>
      <c r="AL31" s="40" t="n">
        <f aca="false">AL26-AL29-AL30</f>
        <v>119899.214593989</v>
      </c>
      <c r="AN31" s="40" t="n">
        <f aca="false">SUM(C31:N31)</f>
        <v>25117.0810420201</v>
      </c>
      <c r="AO31" s="40" t="n">
        <f aca="false">SUM(O31:Z31)</f>
        <v>291469.371540897</v>
      </c>
      <c r="AP31" s="40" t="n">
        <f aca="false">SUM(AA31:AL31)</f>
        <v>1004891.63219235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95.157</v>
      </c>
      <c r="G33" s="15" t="n">
        <f aca="false">(G19*Hypothèses!$D$31+G20*Hypothèses!$D$32+G21*Hypothèses!$D$33)*Hypothèses!$D$34*$F$4</f>
        <v>92.30229</v>
      </c>
      <c r="H33" s="15" t="n">
        <f aca="false">(H19*Hypothèses!$D$31+H20*Hypothèses!$D$32+H21*Hypothèses!$D$33)*Hypothèses!$D$34*$F$4</f>
        <v>89.5332213</v>
      </c>
      <c r="I33" s="15" t="n">
        <f aca="false">(I19*Hypothèses!$D$31+I20*Hypothèses!$D$32+I21*Hypothèses!$D$33)*Hypothèses!$D$34*$F$4</f>
        <v>211.262889087</v>
      </c>
      <c r="J33" s="15" t="n">
        <f aca="false">(J19*Hypothèses!$D$31+J20*Hypothèses!$D$32+J21*Hypothèses!$D$33)*Hypothèses!$D$34*$F$4</f>
        <v>331.77526019613</v>
      </c>
      <c r="K33" s="15" t="n">
        <f aca="false">(K19*Hypothèses!$D$31+K20*Hypothèses!$D$32+K21*Hypothèses!$D$33)*Hypothèses!$D$34*$F$4</f>
        <v>451.082507594169</v>
      </c>
      <c r="L33" s="15" t="n">
        <f aca="false">(L19*Hypothèses!$D$31+L20*Hypothèses!$D$32+L21*Hypothèses!$D$33)*Hypothèses!$D$34*$F$4</f>
        <v>569.196682518227</v>
      </c>
      <c r="M33" s="15" t="n">
        <f aca="false">(M19*Hypothèses!$D$31+M20*Hypothèses!$D$32+M21*Hypothèses!$D$33)*Hypothèses!$D$34*$F$4</f>
        <v>686.129715693044</v>
      </c>
      <c r="N33" s="15" t="n">
        <f aca="false">(N19*Hypothèses!$D$31+N20*Hypothèses!$D$32+N21*Hypothèses!$D$33)*Hypothèses!$D$34*$F$4</f>
        <v>801.893418536114</v>
      </c>
      <c r="O33" s="15" t="n">
        <f aca="false">(O19*Hypothèses!$D$31+O20*Hypothèses!$D$32+O21*Hypothèses!$D$33)*Hypothèses!$D$34*$F$4</f>
        <v>1202.62448435075</v>
      </c>
      <c r="P33" s="15" t="n">
        <f aca="false">(P19*Hypothèses!$D$31+P20*Hypothèses!$D$32+P21*Hypothèses!$D$33)*Hypothèses!$D$34*$F$4</f>
        <v>1599.34823950725</v>
      </c>
      <c r="Q33" s="15" t="n">
        <f aca="false">(Q19*Hypothèses!$D$31+Q20*Hypothèses!$D$32+Q21*Hypothèses!$D$33)*Hypothèses!$D$34*$F$4</f>
        <v>1992.10475711217</v>
      </c>
      <c r="R33" s="15" t="n">
        <f aca="false">(R19*Hypothèses!$D$31+R20*Hypothèses!$D$32+R21*Hypothèses!$D$33)*Hypothèses!$D$34*$F$4</f>
        <v>2380.93370954105</v>
      </c>
      <c r="S33" s="15" t="n">
        <f aca="false">(S19*Hypothèses!$D$31+S20*Hypothèses!$D$32+S21*Hypothèses!$D$33)*Hypothèses!$D$34*$F$4</f>
        <v>2765.87437244564</v>
      </c>
      <c r="T33" s="15" t="n">
        <f aca="false">(T19*Hypothèses!$D$31+T20*Hypothèses!$D$32+T21*Hypothèses!$D$33)*Hypothèses!$D$34*$F$4</f>
        <v>3146.96562872118</v>
      </c>
      <c r="U33" s="15" t="n">
        <f aca="false">(U19*Hypothèses!$D$31+U20*Hypothèses!$D$32+U21*Hypothèses!$D$33)*Hypothèses!$D$34*$F$4</f>
        <v>3524.24597243397</v>
      </c>
      <c r="V33" s="15" t="n">
        <f aca="false">(V19*Hypothèses!$D$31+V20*Hypothèses!$D$32+V21*Hypothèses!$D$33)*Hypothèses!$D$34*$F$4</f>
        <v>3897.75351270963</v>
      </c>
      <c r="W33" s="15" t="n">
        <f aca="false">(W19*Hypothèses!$D$31+W20*Hypothèses!$D$32+W21*Hypothèses!$D$33)*Hypothèses!$D$34*$F$4</f>
        <v>4267.52597758254</v>
      </c>
      <c r="X33" s="15" t="n">
        <f aca="false">(X19*Hypothèses!$D$31+X20*Hypothèses!$D$32+X21*Hypothèses!$D$33)*Hypothèses!$D$34*$F$4</f>
        <v>4633.60071780671</v>
      </c>
      <c r="Y33" s="15" t="n">
        <f aca="false">(Y19*Hypothèses!$D$31+Y20*Hypothèses!$D$32+Y21*Hypothèses!$D$33)*Hypothèses!$D$34*$F$4</f>
        <v>4996.01471062864</v>
      </c>
      <c r="Z33" s="15" t="n">
        <f aca="false">(Z19*Hypothèses!$D$31+Z20*Hypothèses!$D$32+Z21*Hypothèses!$D$33)*Hypothèses!$D$34*$F$4</f>
        <v>5354.80456352236</v>
      </c>
      <c r="AA33" s="15" t="n">
        <f aca="false">(AA19*Hypothèses!$D$31+AA20*Hypothèses!$D$32+AA21*Hypothèses!$D$33)*Hypothèses!$D$34*$F$4</f>
        <v>6323.13151788713</v>
      </c>
      <c r="AB33" s="15" t="n">
        <f aca="false">(AB19*Hypothèses!$D$31+AB20*Hypothèses!$D$32+AB21*Hypothèses!$D$33)*Hypothèses!$D$34*$F$4</f>
        <v>7281.77520270826</v>
      </c>
      <c r="AC33" s="15" t="n">
        <f aca="false">(AC19*Hypothèses!$D$31+AC20*Hypothèses!$D$32+AC21*Hypothèses!$D$33)*Hypothèses!$D$34*$F$4</f>
        <v>8230.83245068118</v>
      </c>
      <c r="AD33" s="15" t="n">
        <f aca="false">(AD19*Hypothèses!$D$31+AD20*Hypothèses!$D$32+AD21*Hypothèses!$D$33)*Hypothèses!$D$34*$F$4</f>
        <v>9170.39912617437</v>
      </c>
      <c r="AE33" s="15" t="n">
        <f aca="false">(AE19*Hypothèses!$D$31+AE20*Hypothèses!$D$32+AE21*Hypothèses!$D$33)*Hypothèses!$D$34*$F$4</f>
        <v>10100.5701349126</v>
      </c>
      <c r="AF33" s="15" t="n">
        <f aca="false">(AF19*Hypothèses!$D$31+AF20*Hypothèses!$D$32+AF21*Hypothèses!$D$33)*Hypothèses!$D$34*$F$4</f>
        <v>11021.4394335635</v>
      </c>
      <c r="AG33" s="15" t="n">
        <f aca="false">(AG19*Hypothèses!$D$31+AG20*Hypothèses!$D$32+AG21*Hypothèses!$D$33)*Hypothèses!$D$34*$F$4</f>
        <v>11933.1000392279</v>
      </c>
      <c r="AH33" s="15" t="n">
        <f aca="false">(AH19*Hypothèses!$D$31+AH20*Hypothèses!$D$32+AH21*Hypothèses!$D$33)*Hypothèses!$D$34*$F$4</f>
        <v>12835.6440388356</v>
      </c>
      <c r="AI33" s="15" t="n">
        <f aca="false">(AI19*Hypothèses!$D$31+AI20*Hypothèses!$D$32+AI21*Hypothèses!$D$33)*Hypothèses!$D$34*$F$4</f>
        <v>13729.1625984472</v>
      </c>
      <c r="AJ33" s="15" t="n">
        <f aca="false">(AJ19*Hypothèses!$D$31+AJ20*Hypothèses!$D$32+AJ21*Hypothèses!$D$33)*Hypothèses!$D$34*$F$4</f>
        <v>14613.7459724628</v>
      </c>
      <c r="AK33" s="15" t="n">
        <f aca="false">(AK19*Hypothèses!$D$31+AK20*Hypothèses!$D$32+AK21*Hypothèses!$D$33)*Hypothèses!$D$34*$F$4</f>
        <v>15489.4835127381</v>
      </c>
      <c r="AL33" s="15" t="n">
        <f aca="false">(AL19*Hypothèses!$D$31+AL20*Hypothèses!$D$32+AL21*Hypothèses!$D$33)*Hypothèses!$D$34*$F$4</f>
        <v>16356.4636776108</v>
      </c>
      <c r="AN33" s="15" t="n">
        <f aca="false">SUM(C33:N33)</f>
        <v>3426.43298492468</v>
      </c>
      <c r="AO33" s="15" t="n">
        <f aca="false">SUM(O33:Z33)</f>
        <v>39761.7966463619</v>
      </c>
      <c r="AP33" s="15" t="n">
        <f aca="false">SUM(AA33:AL33)</f>
        <v>137085.747705249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32.30319405</v>
      </c>
      <c r="J34" s="15" t="n">
        <f aca="false">J18*Hypothèses!$D$35</f>
        <v>50.7301621095</v>
      </c>
      <c r="K34" s="15" t="n">
        <f aca="false">K18*Hypothèses!$D$35</f>
        <v>68.972860488405</v>
      </c>
      <c r="L34" s="15" t="n">
        <f aca="false">L18*Hypothèses!$D$35</f>
        <v>87.0331318835209</v>
      </c>
      <c r="M34" s="15" t="n">
        <f aca="false">M18*Hypothèses!$D$35</f>
        <v>104.912800564686</v>
      </c>
      <c r="N34" s="15" t="n">
        <f aca="false">N18*Hypothèses!$D$35</f>
        <v>122.613672559039</v>
      </c>
      <c r="O34" s="15" t="n">
        <f aca="false">O18*Hypothèses!$D$35</f>
        <v>183.887535833448</v>
      </c>
      <c r="P34" s="15" t="n">
        <f aca="false">P18*Hypothèses!$D$35</f>
        <v>244.548660475114</v>
      </c>
      <c r="Q34" s="15" t="n">
        <f aca="false">Q18*Hypothèses!$D$35</f>
        <v>304.603173870363</v>
      </c>
      <c r="R34" s="15" t="n">
        <f aca="false">R18*Hypothèses!$D$35</f>
        <v>364.057142131659</v>
      </c>
      <c r="S34" s="15" t="n">
        <f aca="false">S18*Hypothèses!$D$35</f>
        <v>422.916570710343</v>
      </c>
      <c r="T34" s="15" t="n">
        <f aca="false">T18*Hypothèses!$D$35</f>
        <v>481.187405003239</v>
      </c>
      <c r="U34" s="15" t="n">
        <f aca="false">U18*Hypothèses!$D$35</f>
        <v>538.875530953207</v>
      </c>
      <c r="V34" s="15" t="n">
        <f aca="false">V18*Hypothèses!$D$35</f>
        <v>595.986775643675</v>
      </c>
      <c r="W34" s="15" t="n">
        <f aca="false">W18*Hypothèses!$D$35</f>
        <v>652.526907887238</v>
      </c>
      <c r="X34" s="15" t="n">
        <f aca="false">X18*Hypothèses!$D$35</f>
        <v>708.501638808366</v>
      </c>
      <c r="Y34" s="15" t="n">
        <f aca="false">Y18*Hypothèses!$D$35</f>
        <v>763.916622420282</v>
      </c>
      <c r="Z34" s="15" t="n">
        <f aca="false">Z18*Hypothèses!$D$35</f>
        <v>818.777456196079</v>
      </c>
      <c r="AA34" s="15" t="n">
        <f aca="false">AA18*Hypothèses!$D$35</f>
        <v>966.839681634118</v>
      </c>
      <c r="AB34" s="15" t="n">
        <f aca="false">AB18*Hypothèses!$D$35</f>
        <v>1113.42128481778</v>
      </c>
      <c r="AC34" s="15" t="n">
        <f aca="false">AC18*Hypothèses!$D$35</f>
        <v>1258.5370719696</v>
      </c>
      <c r="AD34" s="15" t="n">
        <f aca="false">AD18*Hypothèses!$D$35</f>
        <v>1402.2017012499</v>
      </c>
      <c r="AE34" s="15" t="n">
        <f aca="false">AE18*Hypothèses!$D$35</f>
        <v>1544.4296842374</v>
      </c>
      <c r="AF34" s="15" t="n">
        <f aca="false">AF18*Hypothèses!$D$35</f>
        <v>1685.23538739503</v>
      </c>
      <c r="AG34" s="15" t="n">
        <f aca="false">AG18*Hypothèses!$D$35</f>
        <v>1824.63303352108</v>
      </c>
      <c r="AH34" s="15" t="n">
        <f aca="false">AH18*Hypothèses!$D$35</f>
        <v>1962.63670318587</v>
      </c>
      <c r="AI34" s="15" t="n">
        <f aca="false">AI18*Hypothèses!$D$35</f>
        <v>2099.26033615401</v>
      </c>
      <c r="AJ34" s="15" t="n">
        <f aca="false">AJ18*Hypothèses!$D$35</f>
        <v>2234.51773279247</v>
      </c>
      <c r="AK34" s="15" t="n">
        <f aca="false">AK18*Hypothèses!$D$35</f>
        <v>2368.42255546455</v>
      </c>
      <c r="AL34" s="15" t="n">
        <f aca="false">AL18*Hypothèses!$D$35</f>
        <v>2500.9883299099</v>
      </c>
      <c r="AN34" s="15" t="n">
        <f aca="false">SUM(C34:N34)</f>
        <v>523.919416655151</v>
      </c>
      <c r="AO34" s="15" t="n">
        <f aca="false">SUM(O34:Z34)</f>
        <v>6079.78541993301</v>
      </c>
      <c r="AP34" s="15" t="n">
        <f aca="false">SUM(AA34:AL34)</f>
        <v>20961.1235023317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64.6063881</v>
      </c>
      <c r="J35" s="15" t="n">
        <f aca="false">J18*Hypothèses!$D$36</f>
        <v>101.460324219</v>
      </c>
      <c r="K35" s="15" t="n">
        <f aca="false">K18*Hypothèses!$D$36</f>
        <v>137.94572097681</v>
      </c>
      <c r="L35" s="15" t="n">
        <f aca="false">L18*Hypothèses!$D$36</f>
        <v>174.066263767042</v>
      </c>
      <c r="M35" s="15" t="n">
        <f aca="false">M18*Hypothèses!$D$36</f>
        <v>209.825601129371</v>
      </c>
      <c r="N35" s="15" t="n">
        <f aca="false">N18*Hypothèses!$D$36</f>
        <v>245.227345118078</v>
      </c>
      <c r="O35" s="15" t="n">
        <f aca="false">O18*Hypothèses!$D$36</f>
        <v>367.775071666897</v>
      </c>
      <c r="P35" s="15" t="n">
        <f aca="false">P18*Hypothèses!$D$36</f>
        <v>489.097320950228</v>
      </c>
      <c r="Q35" s="15" t="n">
        <f aca="false">Q18*Hypothèses!$D$36</f>
        <v>609.206347740726</v>
      </c>
      <c r="R35" s="15" t="n">
        <f aca="false">R18*Hypothèses!$D$36</f>
        <v>728.114284263318</v>
      </c>
      <c r="S35" s="15" t="n">
        <f aca="false">S18*Hypothèses!$D$36</f>
        <v>845.833141420685</v>
      </c>
      <c r="T35" s="15" t="n">
        <f aca="false">T18*Hypothèses!$D$36</f>
        <v>962.374810006478</v>
      </c>
      <c r="U35" s="15" t="n">
        <f aca="false">U18*Hypothèses!$D$36</f>
        <v>1077.75106190641</v>
      </c>
      <c r="V35" s="15" t="n">
        <f aca="false">V18*Hypothèses!$D$36</f>
        <v>1191.97355128735</v>
      </c>
      <c r="W35" s="15" t="n">
        <f aca="false">W18*Hypothèses!$D$36</f>
        <v>1305.05381577448</v>
      </c>
      <c r="X35" s="15" t="n">
        <f aca="false">X18*Hypothèses!$D$36</f>
        <v>1417.00327761673</v>
      </c>
      <c r="Y35" s="15" t="n">
        <f aca="false">Y18*Hypothèses!$D$36</f>
        <v>1527.83324484056</v>
      </c>
      <c r="Z35" s="15" t="n">
        <f aca="false">Z18*Hypothèses!$D$36</f>
        <v>1637.55491239216</v>
      </c>
      <c r="AA35" s="15" t="n">
        <f aca="false">AA18*Hypothèses!$D$36</f>
        <v>1933.67936326824</v>
      </c>
      <c r="AB35" s="15" t="n">
        <f aca="false">AB18*Hypothèses!$D$36</f>
        <v>2226.84256963555</v>
      </c>
      <c r="AC35" s="15" t="n">
        <f aca="false">AC18*Hypothèses!$D$36</f>
        <v>2517.0741439392</v>
      </c>
      <c r="AD35" s="15" t="n">
        <f aca="false">AD18*Hypothèses!$D$36</f>
        <v>2804.40340249981</v>
      </c>
      <c r="AE35" s="15" t="n">
        <f aca="false">AE18*Hypothèses!$D$36</f>
        <v>3088.85936847481</v>
      </c>
      <c r="AF35" s="15" t="n">
        <f aca="false">AF18*Hypothèses!$D$36</f>
        <v>3370.47077479006</v>
      </c>
      <c r="AG35" s="15" t="n">
        <f aca="false">AG18*Hypothèses!$D$36</f>
        <v>3649.26606704216</v>
      </c>
      <c r="AH35" s="15" t="n">
        <f aca="false">AH18*Hypothèses!$D$36</f>
        <v>3925.27340637174</v>
      </c>
      <c r="AI35" s="15" t="n">
        <f aca="false">AI18*Hypothèses!$D$36</f>
        <v>4198.52067230802</v>
      </c>
      <c r="AJ35" s="15" t="n">
        <f aca="false">AJ18*Hypothèses!$D$36</f>
        <v>4469.03546558494</v>
      </c>
      <c r="AK35" s="15" t="n">
        <f aca="false">AK18*Hypothèses!$D$36</f>
        <v>4736.84511092909</v>
      </c>
      <c r="AL35" s="15" t="n">
        <f aca="false">AL18*Hypothèses!$D$36</f>
        <v>5001.9766598198</v>
      </c>
      <c r="AN35" s="15" t="n">
        <f aca="false">SUM(C35:N35)</f>
        <v>1047.8388333103</v>
      </c>
      <c r="AO35" s="15" t="n">
        <f aca="false">SUM(O35:Z35)</f>
        <v>12159.570839866</v>
      </c>
      <c r="AP35" s="15" t="n">
        <f aca="false">SUM(AA35:AL35)</f>
        <v>41922.2470046634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138.807</v>
      </c>
      <c r="G36" s="40" t="n">
        <f aca="false">G33+G34+G35</f>
        <v>134.64279</v>
      </c>
      <c r="H36" s="40" t="n">
        <f aca="false">H33+H34+H35</f>
        <v>130.6035063</v>
      </c>
      <c r="I36" s="40" t="n">
        <f aca="false">I33+I34+I35</f>
        <v>308.172471237</v>
      </c>
      <c r="J36" s="40" t="n">
        <f aca="false">J33+J34+J35</f>
        <v>483.96574652463</v>
      </c>
      <c r="K36" s="40" t="n">
        <f aca="false">K33+K34+K35</f>
        <v>658.001089059384</v>
      </c>
      <c r="L36" s="40" t="n">
        <f aca="false">L33+L34+L35</f>
        <v>830.29607816879</v>
      </c>
      <c r="M36" s="40" t="n">
        <f aca="false">M33+M34+M35</f>
        <v>1000.8681173871</v>
      </c>
      <c r="N36" s="40" t="n">
        <f aca="false">N33+N34+N35</f>
        <v>1169.73443621323</v>
      </c>
      <c r="O36" s="40" t="n">
        <f aca="false">O33+O34+O35</f>
        <v>1754.2870918511</v>
      </c>
      <c r="P36" s="40" t="n">
        <f aca="false">P33+P34+P35</f>
        <v>2332.99422093259</v>
      </c>
      <c r="Q36" s="40" t="n">
        <f aca="false">Q33+Q34+Q35</f>
        <v>2905.91427872326</v>
      </c>
      <c r="R36" s="40" t="n">
        <f aca="false">R33+R34+R35</f>
        <v>3473.10513593603</v>
      </c>
      <c r="S36" s="40" t="n">
        <f aca="false">S33+S34+S35</f>
        <v>4034.62408457667</v>
      </c>
      <c r="T36" s="40" t="n">
        <f aca="false">T33+T34+T35</f>
        <v>4590.5278437309</v>
      </c>
      <c r="U36" s="40" t="n">
        <f aca="false">U33+U34+U35</f>
        <v>5140.87256529359</v>
      </c>
      <c r="V36" s="40" t="n">
        <f aca="false">V33+V34+V35</f>
        <v>5685.71383964066</v>
      </c>
      <c r="W36" s="40" t="n">
        <f aca="false">W33+W34+W35</f>
        <v>6225.10670124425</v>
      </c>
      <c r="X36" s="40" t="n">
        <f aca="false">X33+X34+X35</f>
        <v>6759.10563423181</v>
      </c>
      <c r="Y36" s="40" t="n">
        <f aca="false">Y33+Y34+Y35</f>
        <v>7287.76457788949</v>
      </c>
      <c r="Z36" s="40" t="n">
        <f aca="false">Z33+Z34+Z35</f>
        <v>7811.13693211059</v>
      </c>
      <c r="AA36" s="40" t="n">
        <f aca="false">AA33+AA34+AA35</f>
        <v>9223.65056278949</v>
      </c>
      <c r="AB36" s="40" t="n">
        <f aca="false">AB33+AB34+AB35</f>
        <v>10622.0390571616</v>
      </c>
      <c r="AC36" s="40" t="n">
        <f aca="false">AC33+AC34+AC35</f>
        <v>12006.44366659</v>
      </c>
      <c r="AD36" s="40" t="n">
        <f aca="false">AD33+AD34+AD35</f>
        <v>13377.0042299241</v>
      </c>
      <c r="AE36" s="40" t="n">
        <f aca="false">AE33+AE34+AE35</f>
        <v>14733.8591876248</v>
      </c>
      <c r="AF36" s="40" t="n">
        <f aca="false">AF33+AF34+AF35</f>
        <v>16077.1455957486</v>
      </c>
      <c r="AG36" s="40" t="n">
        <f aca="false">AG33+AG34+AG35</f>
        <v>17406.9991397911</v>
      </c>
      <c r="AH36" s="40" t="n">
        <f aca="false">AH33+AH34+AH35</f>
        <v>18723.5541483932</v>
      </c>
      <c r="AI36" s="40" t="n">
        <f aca="false">AI33+AI34+AI35</f>
        <v>20026.9436069093</v>
      </c>
      <c r="AJ36" s="40" t="n">
        <f aca="false">AJ33+AJ34+AJ35</f>
        <v>21317.2991708402</v>
      </c>
      <c r="AK36" s="40" t="n">
        <f aca="false">AK33+AK34+AK35</f>
        <v>22594.7511791318</v>
      </c>
      <c r="AL36" s="40" t="n">
        <f aca="false">AL33+AL34+AL35</f>
        <v>23859.4286673405</v>
      </c>
      <c r="AN36" s="40" t="n">
        <f aca="false">SUM(C36:N36)</f>
        <v>4998.19123489014</v>
      </c>
      <c r="AO36" s="40" t="n">
        <f aca="false">SUM(O36:Z36)</f>
        <v>58001.1529061609</v>
      </c>
      <c r="AP36" s="40" t="n">
        <f aca="false">SUM(AA36:AL36)</f>
        <v>199969.118212245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440.29367</v>
      </c>
      <c r="G37" s="40" t="n">
        <f aca="false">G28-G36-G30-G29/(1+Hypothèses!$D$15)</f>
        <v>427.0848599</v>
      </c>
      <c r="H37" s="40" t="n">
        <f aca="false">H28-H36-H30-H29/(1+Hypothèses!$D$15)</f>
        <v>414.272314103</v>
      </c>
      <c r="I37" s="40" t="n">
        <f aca="false">I28-I36-I30-I29/(1+Hypothèses!$D$15)</f>
        <v>977.51834096197</v>
      </c>
      <c r="J37" s="40" t="n">
        <f aca="false">J28-J36-J30-J29/(1+Hypothèses!$D$15)</f>
        <v>1535.13190755235</v>
      </c>
      <c r="K37" s="40" t="n">
        <f aca="false">K28-K36-K30-K29/(1+Hypothèses!$D$15)</f>
        <v>2087.16933847683</v>
      </c>
      <c r="L37" s="40" t="n">
        <f aca="false">L28-L36-L30-L29/(1+Hypothèses!$D$15)</f>
        <v>2633.68639509206</v>
      </c>
      <c r="M37" s="40" t="n">
        <f aca="false">M28-M36-M30-M29/(1+Hypothèses!$D$15)</f>
        <v>3174.73828114114</v>
      </c>
      <c r="N37" s="40" t="n">
        <f aca="false">N28-N36-N30-N29/(1+Hypothèses!$D$15)</f>
        <v>3710.37964832973</v>
      </c>
      <c r="O37" s="40" t="n">
        <f aca="false">O28-O36-O30-O29/(1+Hypothèses!$D$15)</f>
        <v>5564.57168517976</v>
      </c>
      <c r="P37" s="40" t="n">
        <f aca="false">P28-P36-P30-P29/(1+Hypothèses!$D$15)</f>
        <v>7400.2218016613</v>
      </c>
      <c r="Q37" s="40" t="n">
        <f aca="false">Q28-Q36-Q30-Q29/(1+Hypothèses!$D$15)</f>
        <v>9217.51541697802</v>
      </c>
      <c r="R37" s="40" t="n">
        <f aca="false">R28-R36-R30-R29/(1+Hypothèses!$D$15)</f>
        <v>11016.6360961416</v>
      </c>
      <c r="S37" s="40" t="n">
        <f aca="false">S28-S36-S30-S29/(1+Hypothèses!$D$15)</f>
        <v>12797.7655685135</v>
      </c>
      <c r="T37" s="40" t="n">
        <f aca="false">T28-T36-T30-T29/(1+Hypothèses!$D$15)</f>
        <v>14561.0837461617</v>
      </c>
      <c r="U37" s="40" t="n">
        <f aca="false">U28-U36-U30-U29/(1+Hypothèses!$D$15)</f>
        <v>16306.7687420334</v>
      </c>
      <c r="V37" s="40" t="n">
        <f aca="false">V28-V36-V30-V29/(1+Hypothèses!$D$15)</f>
        <v>18034.9968879464</v>
      </c>
      <c r="W37" s="40" t="n">
        <f aca="false">W28-W36-W30-W29/(1+Hypothèses!$D$15)</f>
        <v>19745.9427524003</v>
      </c>
      <c r="X37" s="40" t="n">
        <f aca="false">X28-X36-X30-X29/(1+Hypothèses!$D$15)</f>
        <v>21439.7791582096</v>
      </c>
      <c r="Y37" s="40" t="n">
        <f aca="false">Y28-Y36-Y30-Y29/(1+Hypothèses!$D$15)</f>
        <v>23116.6771999608</v>
      </c>
      <c r="Z37" s="40" t="n">
        <f aca="false">Z28-Z36-Z30-Z29/(1+Hypothèses!$D$15)</f>
        <v>24776.8062612946</v>
      </c>
      <c r="AA37" s="40" t="n">
        <f aca="false">AA28-AA36-AA30-AA29/(1+Hypothèses!$D$15)</f>
        <v>29257.2777820149</v>
      </c>
      <c r="AB37" s="40" t="n">
        <f aca="false">AB28-AB36-AB30-AB29/(1+Hypothèses!$D$15)</f>
        <v>33692.9445875281</v>
      </c>
      <c r="AC37" s="40" t="n">
        <f aca="false">AC28-AC36-AC30-AC29/(1+Hypothèses!$D$15)</f>
        <v>38084.2547249862</v>
      </c>
      <c r="AD37" s="40" t="n">
        <f aca="false">AD28-AD36-AD30-AD29/(1+Hypothèses!$D$15)</f>
        <v>42431.6517610697</v>
      </c>
      <c r="AE37" s="40" t="n">
        <f aca="false">AE28-AE36-AE30-AE29/(1+Hypothèses!$D$15)</f>
        <v>46735.5748267923</v>
      </c>
      <c r="AF37" s="40" t="n">
        <f aca="false">AF28-AF36-AF30-AF29/(1+Hypothèses!$D$15)</f>
        <v>50996.4586618577</v>
      </c>
      <c r="AG37" s="40" t="n">
        <f aca="false">AG28-AG36-AG30-AG29/(1+Hypothèses!$D$15)</f>
        <v>55214.7336585725</v>
      </c>
      <c r="AH37" s="40" t="n">
        <f aca="false">AH28-AH36-AH30-AH29/(1+Hypothèses!$D$15)</f>
        <v>59390.8259053201</v>
      </c>
      <c r="AI37" s="40" t="n">
        <f aca="false">AI28-AI36-AI30-AI29/(1+Hypothèses!$D$15)</f>
        <v>63525.1572296002</v>
      </c>
      <c r="AJ37" s="40" t="n">
        <f aca="false">AJ28-AJ36-AJ30-AJ29/(1+Hypothèses!$D$15)</f>
        <v>67618.1452406376</v>
      </c>
      <c r="AK37" s="40" t="n">
        <f aca="false">AK28-AK36-AK30-AK29/(1+Hypothèses!$D$15)</f>
        <v>71670.2033715645</v>
      </c>
      <c r="AL37" s="40" t="n">
        <f aca="false">AL28-AL36-AL30-AL29/(1+Hypothèses!$D$15)</f>
        <v>75681.7409211822</v>
      </c>
      <c r="AN37" s="40" t="n">
        <f aca="false">SUM(C37:N37)</f>
        <v>15854.1857555571</v>
      </c>
      <c r="AO37" s="40" t="n">
        <f aca="false">SUM(O37:Z37)</f>
        <v>183978.765316481</v>
      </c>
      <c r="AP37" s="40" t="n">
        <f aca="false">SUM(AA37:AL37)</f>
        <v>634298.968671126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-13887.7556666667</v>
      </c>
      <c r="F52" s="40" t="n">
        <f aca="false">F37-F39-F51</f>
        <v>-13901.3729966667</v>
      </c>
      <c r="G52" s="40" t="n">
        <f aca="false">G37-G39-G51</f>
        <v>-13914.5818067667</v>
      </c>
      <c r="H52" s="40" t="n">
        <f aca="false">H37-H39-H51</f>
        <v>-13927.3943525637</v>
      </c>
      <c r="I52" s="40" t="n">
        <f aca="false">I37-I39-I51</f>
        <v>-9672.48165903803</v>
      </c>
      <c r="J52" s="40" t="n">
        <f aca="false">J37-J39-J51</f>
        <v>-4114.86809244765</v>
      </c>
      <c r="K52" s="40" t="n">
        <f aca="false">K37-K39-K51</f>
        <v>-3562.83066152317</v>
      </c>
      <c r="L52" s="40" t="n">
        <f aca="false">L37-L39-L51</f>
        <v>-3016.31360490794</v>
      </c>
      <c r="M52" s="40" t="n">
        <f aca="false">M37-M39-M51</f>
        <v>-2475.26171885886</v>
      </c>
      <c r="N52" s="40" t="n">
        <f aca="false">N37-N39-N51</f>
        <v>-1939.62035167027</v>
      </c>
      <c r="O52" s="40" t="n">
        <f aca="false">O37-O39-O51</f>
        <v>-21585.4283148202</v>
      </c>
      <c r="P52" s="40" t="n">
        <f aca="false">P37-P39-P51</f>
        <v>-19749.7781983387</v>
      </c>
      <c r="Q52" s="40" t="n">
        <f aca="false">Q37-Q39-Q51</f>
        <v>-17932.484583022</v>
      </c>
      <c r="R52" s="40" t="n">
        <f aca="false">R37-R39-R51</f>
        <v>-16133.3639038584</v>
      </c>
      <c r="S52" s="40" t="n">
        <f aca="false">S37-S39-S51</f>
        <v>-14352.2344314865</v>
      </c>
      <c r="T52" s="40" t="n">
        <f aca="false">T37-T39-T51</f>
        <v>-12588.9162538383</v>
      </c>
      <c r="U52" s="40" t="n">
        <f aca="false">U37-U39-U51</f>
        <v>-22343.2312579666</v>
      </c>
      <c r="V52" s="40" t="n">
        <f aca="false">V37-V39-V51</f>
        <v>-15615.0031120536</v>
      </c>
      <c r="W52" s="40" t="n">
        <f aca="false">W37-W39-W51</f>
        <v>-13904.0572475997</v>
      </c>
      <c r="X52" s="40" t="n">
        <f aca="false">X37-X39-X51</f>
        <v>-12210.2208417904</v>
      </c>
      <c r="Y52" s="40" t="n">
        <f aca="false">Y37-Y39-Y51</f>
        <v>-10533.3228000392</v>
      </c>
      <c r="Z52" s="40" t="n">
        <f aca="false">Z37-Z39-Z51</f>
        <v>-8873.19373870544</v>
      </c>
      <c r="AA52" s="40" t="n">
        <f aca="false">AA37-AA39-AA51</f>
        <v>-19392.7222179851</v>
      </c>
      <c r="AB52" s="40" t="n">
        <f aca="false">AB37-AB39-AB51</f>
        <v>-14957.0554124719</v>
      </c>
      <c r="AC52" s="40" t="n">
        <f aca="false">AC37-AC39-AC51</f>
        <v>-10565.7452750138</v>
      </c>
      <c r="AD52" s="40" t="n">
        <f aca="false">AD37-AD39-AD51</f>
        <v>-6218.34823893035</v>
      </c>
      <c r="AE52" s="40" t="n">
        <f aca="false">AE37-AE39-AE51</f>
        <v>-1914.42517320772</v>
      </c>
      <c r="AF52" s="40" t="n">
        <f aca="false">AF37-AF39-AF51</f>
        <v>2346.45866185772</v>
      </c>
      <c r="AG52" s="40" t="n">
        <f aca="false">AG37-AG39-AG51</f>
        <v>1564.73365857247</v>
      </c>
      <c r="AH52" s="40" t="n">
        <f aca="false">AH37-AH39-AH51</f>
        <v>10740.8259053201</v>
      </c>
      <c r="AI52" s="40" t="n">
        <f aca="false">AI37-AI39-AI51</f>
        <v>14875.1572296002</v>
      </c>
      <c r="AJ52" s="40" t="n">
        <f aca="false">AJ37-AJ39-AJ51</f>
        <v>18968.1452406376</v>
      </c>
      <c r="AK52" s="40" t="n">
        <f aca="false">AK37-AK39-AK51</f>
        <v>23020.2033715645</v>
      </c>
      <c r="AL52" s="40" t="n">
        <f aca="false">AL37-AL39-AL51</f>
        <v>27031.7409211822</v>
      </c>
      <c r="AN52" s="40" t="n">
        <f aca="false">SUM(C52:N52)</f>
        <v>-111595.814244443</v>
      </c>
      <c r="AO52" s="40" t="n">
        <f aca="false">SUM(O52:Z52)</f>
        <v>-185821.234683519</v>
      </c>
      <c r="AP52" s="40" t="n">
        <f aca="false">SUM(AA52:AL52)</f>
        <v>45498.968671126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0</v>
      </c>
      <c r="Z53" s="13" t="n">
        <f aca="false">IF(Z52&gt;0,1,0)</f>
        <v>0</v>
      </c>
      <c r="AA53" s="13" t="n">
        <f aca="false">IF(AA52&gt;0,1,0)</f>
        <v>0</v>
      </c>
      <c r="AB53" s="13" t="n">
        <f aca="false">IF(AB52&gt;0,1,0)</f>
        <v>0</v>
      </c>
      <c r="AC53" s="13" t="n">
        <f aca="false">IF(AC52&gt;0,1,0)</f>
        <v>0</v>
      </c>
      <c r="AD53" s="13" t="n">
        <f aca="false">IF(AD52&gt;0,1,0)</f>
        <v>0</v>
      </c>
      <c r="AE53" s="13" t="n">
        <f aca="false">IF(AE52&gt;0,1,0)</f>
        <v>0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119.633333333333</v>
      </c>
      <c r="H55" s="15" t="n">
        <f aca="false">G27</f>
        <v>116.044333333333</v>
      </c>
      <c r="I55" s="15" t="n">
        <f aca="false">H27</f>
        <v>112.563003333333</v>
      </c>
      <c r="J55" s="15" t="n">
        <f aca="false">I27</f>
        <v>265.604039966667</v>
      </c>
      <c r="K55" s="15" t="n">
        <f aca="false">J27</f>
        <v>417.114666233667</v>
      </c>
      <c r="L55" s="15" t="n">
        <f aca="false">K27</f>
        <v>567.110186237997</v>
      </c>
      <c r="M55" s="15" t="n">
        <f aca="false">L27</f>
        <v>715.605751042283</v>
      </c>
      <c r="N55" s="15" t="n">
        <f aca="false">M27</f>
        <v>862.616360198527</v>
      </c>
      <c r="O55" s="15" t="n">
        <f aca="false">N27</f>
        <v>1008.15686326321</v>
      </c>
      <c r="P55" s="15" t="n">
        <f aca="false">O27</f>
        <v>1511.96418351947</v>
      </c>
      <c r="Q55" s="15" t="n">
        <f aca="false">P27</f>
        <v>2010.73343057316</v>
      </c>
      <c r="R55" s="15" t="n">
        <f aca="false">Q27</f>
        <v>2504.51498515632</v>
      </c>
      <c r="S55" s="15" t="n">
        <f aca="false">R27</f>
        <v>2993.35872419364</v>
      </c>
      <c r="T55" s="15" t="n">
        <f aca="false">S27</f>
        <v>3477.31402584059</v>
      </c>
      <c r="U55" s="15" t="n">
        <f aca="false">T27</f>
        <v>3956.42977447108</v>
      </c>
      <c r="V55" s="15" t="n">
        <f aca="false">U27</f>
        <v>4430.75436561526</v>
      </c>
      <c r="W55" s="15" t="n">
        <f aca="false">V27</f>
        <v>4900.33571084799</v>
      </c>
      <c r="X55" s="15" t="n">
        <f aca="false">W27</f>
        <v>5365.2212426284</v>
      </c>
      <c r="Y55" s="15" t="n">
        <f aca="false">X27</f>
        <v>5825.45791909101</v>
      </c>
      <c r="Z55" s="15" t="n">
        <f aca="false">Y27</f>
        <v>6281.09222878898</v>
      </c>
      <c r="AA55" s="15" t="n">
        <f aca="false">Z27</f>
        <v>6732.17019538998</v>
      </c>
      <c r="AB55" s="15" t="n">
        <f aca="false">AA27</f>
        <v>7949.5707156583</v>
      </c>
      <c r="AC55" s="15" t="n">
        <f aca="false">AB27</f>
        <v>9154.79723072394</v>
      </c>
      <c r="AD55" s="15" t="n">
        <f aca="false">AC27</f>
        <v>10347.9714806389</v>
      </c>
      <c r="AE55" s="15" t="n">
        <f aca="false">AD27</f>
        <v>11529.2139880548</v>
      </c>
      <c r="AF55" s="15" t="n">
        <f aca="false">AE27</f>
        <v>12698.6440703964</v>
      </c>
      <c r="AG55" s="15" t="n">
        <f aca="false">AF27</f>
        <v>13856.3798519147</v>
      </c>
      <c r="AH55" s="15" t="n">
        <f aca="false">AG27</f>
        <v>15002.5382756178</v>
      </c>
      <c r="AI55" s="15" t="n">
        <f aca="false">AH27</f>
        <v>16137.2351150838</v>
      </c>
      <c r="AJ55" s="15" t="n">
        <f aca="false">AI27</f>
        <v>17260.5849861552</v>
      </c>
      <c r="AK55" s="15" t="n">
        <f aca="false">AJ27</f>
        <v>18372.7013585159</v>
      </c>
      <c r="AL55" s="15" t="n">
        <f aca="false">AK27</f>
        <v>19473.6965671529</v>
      </c>
      <c r="AN55" s="15" t="n">
        <f aca="false">SUM(C55:N55)</f>
        <v>3299.62500701247</v>
      </c>
      <c r="AO55" s="15" t="n">
        <f aca="false">SUM(O55:Z55)</f>
        <v>44265.3334539891</v>
      </c>
      <c r="AP55" s="15" t="n">
        <f aca="false">SUM(AA55:AL55)</f>
        <v>158515.503835303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2896.09473333333</v>
      </c>
      <c r="H56" s="15" t="n">
        <f aca="false">(G36+G39+G43+G44+G45+G47+G48+G49+G50)*Hypothèses!$D$15</f>
        <v>2895.26189133333</v>
      </c>
      <c r="I56" s="15" t="n">
        <f aca="false">(H36+H39+H43+H44+H45+H47+H48+H49+H50)*Hypothèses!$D$15</f>
        <v>2894.45403459333</v>
      </c>
      <c r="J56" s="15" t="n">
        <f aca="false">(I36+I39+I43+I44+I45+I47+I48+I49+I50)*Hypothèses!$D$15</f>
        <v>2161.6344942474</v>
      </c>
      <c r="K56" s="15" t="n">
        <f aca="false">(J36+J39+J43+J44+J45+J47+J48+J49+J50)*Hypothèses!$D$15</f>
        <v>1196.79314930493</v>
      </c>
      <c r="L56" s="15" t="n">
        <f aca="false">(K36+K39+K43+K44+K45+K47+K48+K49+K50)*Hypothèses!$D$15</f>
        <v>1231.60021781188</v>
      </c>
      <c r="M56" s="15" t="n">
        <f aca="false">(L36+L39+L43+L44+L45+L47+L48+L49+L50)*Hypothèses!$D$15</f>
        <v>1266.05921563376</v>
      </c>
      <c r="N56" s="15" t="n">
        <f aca="false">(M36+M39+M43+M44+M45+M47+M48+M49+M50)*Hypothèses!$D$15</f>
        <v>1300.17362347742</v>
      </c>
      <c r="O56" s="15" t="n">
        <f aca="false">(N36+N39+N43+N44+N45+N47+N48+N49+N50)*Hypothèses!$D$15</f>
        <v>1333.94688724265</v>
      </c>
      <c r="P56" s="15" t="n">
        <f aca="false">(O36+O39+O43+O44+O45+O47+O48+O49+O50)*Hypothèses!$D$15</f>
        <v>2850.85741837022</v>
      </c>
      <c r="Q56" s="15" t="n">
        <f aca="false">(P36+P39+P43+P44+P45+P47+P48+P49+P50)*Hypothèses!$D$15</f>
        <v>2966.59884418652</v>
      </c>
      <c r="R56" s="15" t="n">
        <f aca="false">(Q36+Q39+Q43+Q44+Q45+Q47+Q48+Q49+Q50)*Hypothèses!$D$15</f>
        <v>3081.18285574465</v>
      </c>
      <c r="S56" s="15" t="n">
        <f aca="false">(R36+R39+R43+R44+R45+R47+R48+R49+R50)*Hypothèses!$D$15</f>
        <v>3194.62102718721</v>
      </c>
      <c r="T56" s="15" t="n">
        <f aca="false">(S36+S39+S43+S44+S45+S47+S48+S49+S50)*Hypothèses!$D$15</f>
        <v>3306.92481691533</v>
      </c>
      <c r="U56" s="15" t="n">
        <f aca="false">(T36+T39+T43+T44+T45+T47+T48+T49+T50)*Hypothèses!$D$15</f>
        <v>3418.10556874618</v>
      </c>
      <c r="V56" s="15" t="n">
        <f aca="false">(U36+U39+U43+U44+U45+U47+U48+U49+U50)*Hypothèses!$D$15</f>
        <v>4528.17451305872</v>
      </c>
      <c r="W56" s="15" t="n">
        <f aca="false">(V36+V39+V43+V44+V45+V47+V48+V49+V50)*Hypothèses!$D$15</f>
        <v>3637.14276792813</v>
      </c>
      <c r="X56" s="15" t="n">
        <f aca="false">(W36+W39+W43+W44+W45+W47+W48+W49+W50)*Hypothèses!$D$15</f>
        <v>3745.02134024885</v>
      </c>
      <c r="Y56" s="15" t="n">
        <f aca="false">(X36+X39+X43+X44+X45+X47+X48+X49+X50)*Hypothèses!$D$15</f>
        <v>3851.82112684636</v>
      </c>
      <c r="Z56" s="15" t="n">
        <f aca="false">(Y36+Y39+Y43+Y44+Y45+Y47+Y48+Y49+Y50)*Hypothèses!$D$15</f>
        <v>3957.5529155779</v>
      </c>
      <c r="AA56" s="15" t="n">
        <f aca="false">(Z36+Z39+Z43+Z44+Z45+Z47+Z48+Z49+Z50)*Hypothèses!$D$15</f>
        <v>4062.22738642212</v>
      </c>
      <c r="AB56" s="15" t="n">
        <f aca="false">(AA36+AA39+AA43+AA44+AA45+AA47+AA48+AA49+AA50)*Hypothèses!$D$15</f>
        <v>7344.7301125579</v>
      </c>
      <c r="AC56" s="15" t="n">
        <f aca="false">(AB36+AB39+AB43+AB44+AB45+AB47+AB48+AB49+AB50)*Hypothèses!$D$15</f>
        <v>7624.40781143232</v>
      </c>
      <c r="AD56" s="15" t="n">
        <f aca="false">(AC36+AC39+AC43+AC44+AC45+AC47+AC48+AC49+AC50)*Hypothèses!$D$15</f>
        <v>7901.28873331799</v>
      </c>
      <c r="AE56" s="15" t="n">
        <f aca="false">(AD36+AD39+AD43+AD44+AD45+AD47+AD48+AD49+AD50)*Hypothèses!$D$15</f>
        <v>8175.40084598482</v>
      </c>
      <c r="AF56" s="15" t="n">
        <f aca="false">(AE36+AE39+AE43+AE44+AE45+AE47+AE48+AE49+AE50)*Hypothèses!$D$15</f>
        <v>8446.77183752497</v>
      </c>
      <c r="AG56" s="15" t="n">
        <f aca="false">(AF36+AF39+AF43+AF44+AF45+AF47+AF48+AF49+AF50)*Hypothèses!$D$15</f>
        <v>8715.42911914972</v>
      </c>
      <c r="AH56" s="15" t="n">
        <f aca="false">(AG36+AG39+AG43+AG44+AG45+AG47+AG48+AG49+AG50)*Hypothèses!$D$15</f>
        <v>9981.39982795822</v>
      </c>
      <c r="AI56" s="15" t="n">
        <f aca="false">(AH36+AH39+AH43+AH44+AH45+AH47+AH48+AH49+AH50)*Hypothèses!$D$15</f>
        <v>9244.71082967864</v>
      </c>
      <c r="AJ56" s="15" t="n">
        <f aca="false">(AI36+AI39+AI43+AI44+AI45+AI47+AI48+AI49+AI50)*Hypothèses!$D$15</f>
        <v>9505.38872138185</v>
      </c>
      <c r="AK56" s="15" t="n">
        <f aca="false">(AJ36+AJ39+AJ43+AJ44+AJ45+AJ47+AJ48+AJ49+AJ50)*Hypothèses!$D$15</f>
        <v>9763.45983416803</v>
      </c>
      <c r="AL56" s="15" t="n">
        <f aca="false">(AK36+AK39+AK43+AK44+AK45+AK47+AK48+AK49+AK50)*Hypothèses!$D$15</f>
        <v>10018.9502358264</v>
      </c>
      <c r="AN56" s="15" t="n">
        <f aca="false">SUM(C56:N56)</f>
        <v>24975.6913597354</v>
      </c>
      <c r="AO56" s="15" t="n">
        <f aca="false">SUM(O56:Z56)</f>
        <v>39871.9500820527</v>
      </c>
      <c r="AP56" s="15" t="n">
        <f aca="false">SUM(AA56:AL56)</f>
        <v>100784.165295403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-38712.3223333333</v>
      </c>
      <c r="G58" s="15" t="n">
        <f aca="false">F60</f>
        <v>-49721.63833</v>
      </c>
      <c r="H58" s="15" t="n">
        <f aca="false">G60</f>
        <v>-60744.8748467667</v>
      </c>
      <c r="I58" s="15" t="n">
        <f aca="false">H60</f>
        <v>-71781.6142680303</v>
      </c>
      <c r="J58" s="15" t="n">
        <f aca="false">I60</f>
        <v>-78409.2568962414</v>
      </c>
      <c r="K58" s="15" t="n">
        <f aca="false">J60</f>
        <v>-80215.151014837</v>
      </c>
      <c r="L58" s="15" t="n">
        <f aca="false">K60</f>
        <v>-82436.8641089133</v>
      </c>
      <c r="M58" s="15" t="n">
        <f aca="false">L60</f>
        <v>-84080.2379887155</v>
      </c>
      <c r="N58" s="15" t="n">
        <f aca="false">M60</f>
        <v>-85151.0560463863</v>
      </c>
      <c r="O58" s="15" t="n">
        <f aca="false">N60</f>
        <v>-85655.0438401471</v>
      </c>
      <c r="P58" s="15" t="n">
        <f aca="false">O60</f>
        <v>-105417.837589304</v>
      </c>
      <c r="Q58" s="15" t="n">
        <f aca="false">P60</f>
        <v>-121838.096456524</v>
      </c>
      <c r="R58" s="15" t="n">
        <f aca="false">Q60</f>
        <v>-136335.245790628</v>
      </c>
      <c r="S58" s="15" t="n">
        <f aca="false">R60</f>
        <v>-148928.516686946</v>
      </c>
      <c r="T58" s="15" t="n">
        <f aca="false">S60</f>
        <v>-159636.947929857</v>
      </c>
      <c r="U58" s="15" t="n">
        <f aca="false">T60</f>
        <v>-168479.387915894</v>
      </c>
      <c r="V58" s="15" t="n">
        <f aca="false">U60</f>
        <v>-186974.496557627</v>
      </c>
      <c r="W58" s="15" t="n">
        <f aca="false">V60</f>
        <v>-197640.747168497</v>
      </c>
      <c r="X58" s="15" t="n">
        <f aca="false">W60</f>
        <v>-207496.428328815</v>
      </c>
      <c r="Y58" s="15" t="n">
        <f aca="false">X60</f>
        <v>-215559.645733085</v>
      </c>
      <c r="Z58" s="15" t="n">
        <f aca="false">Y60</f>
        <v>-221848.324018867</v>
      </c>
      <c r="AA58" s="15" t="n">
        <f aca="false">Z60</f>
        <v>-226380.208577348</v>
      </c>
      <c r="AB58" s="15" t="n">
        <f aca="false">AA60</f>
        <v>-240572.798595799</v>
      </c>
      <c r="AC58" s="15" t="n">
        <f aca="false">AB60</f>
        <v>-247071.445352955</v>
      </c>
      <c r="AD58" s="15" t="n">
        <f aca="false">AC60</f>
        <v>-248923.088281428</v>
      </c>
      <c r="AE58" s="15" t="n">
        <f aca="false">AD60</f>
        <v>-246174.197419505</v>
      </c>
      <c r="AF58" s="15" t="n">
        <f aca="false">AE60</f>
        <v>-238870.77810509</v>
      </c>
      <c r="AG58" s="15" t="n">
        <f aca="false">AF60</f>
        <v>-227058.375622708</v>
      </c>
      <c r="AH58" s="15" t="n">
        <f aca="false">AG60</f>
        <v>-215782.079804039</v>
      </c>
      <c r="AI58" s="15" t="n">
        <f aca="false">AH60</f>
        <v>-194086.529582446</v>
      </c>
      <c r="AJ58" s="15" t="n">
        <f aca="false">AI60</f>
        <v>-169015.917501957</v>
      </c>
      <c r="AK58" s="15" t="n">
        <f aca="false">AJ60</f>
        <v>-139613.994181162</v>
      </c>
      <c r="AL58" s="15" t="n">
        <f aca="false">AK60</f>
        <v>-105924.072732464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-10397.3223333333</v>
      </c>
      <c r="F59" s="15" t="n">
        <f aca="false">F31-F36-F39-F51-F55+F56+F57</f>
        <v>-11009.3159966667</v>
      </c>
      <c r="G59" s="15" t="n">
        <f aca="false">G31-G36-G39-G51-G55+G56+G57</f>
        <v>-11023.2365167667</v>
      </c>
      <c r="H59" s="15" t="n">
        <f aca="false">H31-H36-H39-H51-H55+H56+H57</f>
        <v>-11036.7394212637</v>
      </c>
      <c r="I59" s="15" t="n">
        <f aca="false">I31-I36-I39-I51-I55+I56+I57</f>
        <v>-6627.64262821103</v>
      </c>
      <c r="J59" s="15" t="n">
        <f aca="false">J31-J36-J39-J51-J55+J56+J57</f>
        <v>-1805.89411859559</v>
      </c>
      <c r="K59" s="15" t="n">
        <f aca="false">K31-K36-K39-K51-K55+K56+K57</f>
        <v>-2221.7130940763</v>
      </c>
      <c r="L59" s="15" t="n">
        <f aca="false">L31-L36-L39-L51-L55+L56+L57</f>
        <v>-1643.3738798022</v>
      </c>
      <c r="M59" s="15" t="n">
        <f aca="false">M31-M36-M39-M51-M55+M56+M57</f>
        <v>-1070.81805767085</v>
      </c>
      <c r="N59" s="15" t="n">
        <f aca="false">N31-N36-N39-N51-N55+N56+N57</f>
        <v>-503.987793760806</v>
      </c>
      <c r="O59" s="15" t="n">
        <f aca="false">O31-O36-O39-O51-O55+O56+O57</f>
        <v>-19762.7937491565</v>
      </c>
      <c r="P59" s="15" t="n">
        <f aca="false">P31-P36-P39-P51-P55+P56+P57</f>
        <v>-16420.2588672205</v>
      </c>
      <c r="Q59" s="15" t="n">
        <f aca="false">Q31-Q36-Q39-Q51-Q55+Q56+Q57</f>
        <v>-14497.1493341039</v>
      </c>
      <c r="R59" s="15" t="n">
        <f aca="false">R31-R36-R39-R51-R55+R56+R57</f>
        <v>-12593.2708963184</v>
      </c>
      <c r="S59" s="15" t="n">
        <f aca="false">S31-S36-S39-S51-S55+S56+S57</f>
        <v>-10708.4312429108</v>
      </c>
      <c r="T59" s="15" t="n">
        <f aca="false">T31-T36-T39-T51-T55+T56+T57</f>
        <v>-8842.43998603721</v>
      </c>
      <c r="U59" s="15" t="n">
        <f aca="false">U31-U36-U39-U51-U55+U56+U57</f>
        <v>-18495.1086417324</v>
      </c>
      <c r="V59" s="15" t="n">
        <f aca="false">V31-V36-V39-V51-V55+V56+V57</f>
        <v>-10666.2506108706</v>
      </c>
      <c r="W59" s="15" t="n">
        <f aca="false">W31-W36-W39-W51-W55+W56+W57</f>
        <v>-9855.68116031747</v>
      </c>
      <c r="X59" s="15" t="n">
        <f aca="false">X31-X36-X39-X51-X55+X56+X57</f>
        <v>-8063.21740426986</v>
      </c>
      <c r="Y59" s="15" t="n">
        <f aca="false">Y31-Y36-Y39-Y51-Y55+Y56+Y57</f>
        <v>-6288.67828578271</v>
      </c>
      <c r="Z59" s="15" t="n">
        <f aca="false">Z31-Z36-Z39-Z51-Z55+Z56+Z57</f>
        <v>-4531.88455848044</v>
      </c>
      <c r="AA59" s="15" t="n">
        <f aca="false">AA31-AA36-AA39-AA51-AA55+AA56+AA57</f>
        <v>-14192.5900184512</v>
      </c>
      <c r="AB59" s="15" t="n">
        <f aca="false">AB31-AB36-AB39-AB51-AB55+AB56+AB57</f>
        <v>-6498.64675715558</v>
      </c>
      <c r="AC59" s="15" t="n">
        <f aca="false">AC31-AC36-AC39-AC51-AC55+AC56+AC57</f>
        <v>-1851.64292847292</v>
      </c>
      <c r="AD59" s="15" t="n">
        <f aca="false">AD31-AD36-AD39-AD51-AD55+AD56+AD57</f>
        <v>2748.89086192291</v>
      </c>
      <c r="AE59" s="15" t="n">
        <f aca="false">AE31-AE36-AE39-AE51-AE55+AE56+AE57</f>
        <v>7303.4193144148</v>
      </c>
      <c r="AF59" s="15" t="n">
        <f aca="false">AF31-AF36-AF39-AF51-AF55+AF56+AF57</f>
        <v>11812.4024823818</v>
      </c>
      <c r="AG59" s="15" t="n">
        <f aca="false">AG31-AG36-AG39-AG51-AG55+AG56+AG57</f>
        <v>11276.2958186691</v>
      </c>
      <c r="AH59" s="15" t="n">
        <f aca="false">AH31-AH36-AH39-AH51-AH55+AH56+AH57</f>
        <v>21695.5502215935</v>
      </c>
      <c r="AI59" s="15" t="n">
        <f aca="false">AI31-AI36-AI39-AI51-AI55+AI56+AI57</f>
        <v>25070.6120804887</v>
      </c>
      <c r="AJ59" s="15" t="n">
        <f aca="false">AJ31-AJ36-AJ39-AJ51-AJ55+AJ56+AJ57</f>
        <v>29401.9233207949</v>
      </c>
      <c r="AK59" s="15" t="n">
        <f aca="false">AK31-AK36-AK39-AK51-AK55+AK56+AK57</f>
        <v>33689.9214486981</v>
      </c>
      <c r="AL59" s="15" t="n">
        <f aca="false">AL31-AL36-AL39-AL51-AL55+AL56+AL57</f>
        <v>37935.0395953223</v>
      </c>
      <c r="AN59" s="15" t="n">
        <f aca="false">SUM(C59:N59)</f>
        <v>-85655.0438401471</v>
      </c>
      <c r="AO59" s="15" t="n">
        <f aca="false">SUM(O59:Z59)</f>
        <v>-140725.164737201</v>
      </c>
      <c r="AP59" s="15" t="n">
        <f aca="false">SUM(AA59:AL59)</f>
        <v>158391.175440206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-38712.3223333333</v>
      </c>
      <c r="F60" s="40" t="n">
        <f aca="false">F58+F59</f>
        <v>-49721.63833</v>
      </c>
      <c r="G60" s="40" t="n">
        <f aca="false">G58+G59</f>
        <v>-60744.8748467667</v>
      </c>
      <c r="H60" s="40" t="n">
        <f aca="false">H58+H59</f>
        <v>-71781.6142680303</v>
      </c>
      <c r="I60" s="40" t="n">
        <f aca="false">I58+I59</f>
        <v>-78409.2568962414</v>
      </c>
      <c r="J60" s="40" t="n">
        <f aca="false">J58+J59</f>
        <v>-80215.151014837</v>
      </c>
      <c r="K60" s="40" t="n">
        <f aca="false">K58+K59</f>
        <v>-82436.8641089133</v>
      </c>
      <c r="L60" s="40" t="n">
        <f aca="false">L58+L59</f>
        <v>-84080.2379887155</v>
      </c>
      <c r="M60" s="40" t="n">
        <f aca="false">M58+M59</f>
        <v>-85151.0560463863</v>
      </c>
      <c r="N60" s="40" t="n">
        <f aca="false">N58+N59</f>
        <v>-85655.0438401471</v>
      </c>
      <c r="O60" s="40" t="n">
        <f aca="false">O58+O59</f>
        <v>-105417.837589304</v>
      </c>
      <c r="P60" s="40" t="n">
        <f aca="false">P58+P59</f>
        <v>-121838.096456524</v>
      </c>
      <c r="Q60" s="40" t="n">
        <f aca="false">Q58+Q59</f>
        <v>-136335.245790628</v>
      </c>
      <c r="R60" s="40" t="n">
        <f aca="false">R58+R59</f>
        <v>-148928.516686946</v>
      </c>
      <c r="S60" s="40" t="n">
        <f aca="false">S58+S59</f>
        <v>-159636.947929857</v>
      </c>
      <c r="T60" s="40" t="n">
        <f aca="false">T58+T59</f>
        <v>-168479.387915894</v>
      </c>
      <c r="U60" s="40" t="n">
        <f aca="false">U58+U59</f>
        <v>-186974.496557627</v>
      </c>
      <c r="V60" s="40" t="n">
        <f aca="false">V58+V59</f>
        <v>-197640.747168497</v>
      </c>
      <c r="W60" s="40" t="n">
        <f aca="false">W58+W59</f>
        <v>-207496.428328815</v>
      </c>
      <c r="X60" s="40" t="n">
        <f aca="false">X58+X59</f>
        <v>-215559.645733085</v>
      </c>
      <c r="Y60" s="40" t="n">
        <f aca="false">Y58+Y59</f>
        <v>-221848.324018867</v>
      </c>
      <c r="Z60" s="40" t="n">
        <f aca="false">Z58+Z59</f>
        <v>-226380.208577348</v>
      </c>
      <c r="AA60" s="40" t="n">
        <f aca="false">AA58+AA59</f>
        <v>-240572.798595799</v>
      </c>
      <c r="AB60" s="40" t="n">
        <f aca="false">AB58+AB59</f>
        <v>-247071.445352955</v>
      </c>
      <c r="AC60" s="40" t="n">
        <f aca="false">AC58+AC59</f>
        <v>-248923.088281428</v>
      </c>
      <c r="AD60" s="40" t="n">
        <f aca="false">AD58+AD59</f>
        <v>-246174.197419505</v>
      </c>
      <c r="AE60" s="40" t="n">
        <f aca="false">AE58+AE59</f>
        <v>-238870.77810509</v>
      </c>
      <c r="AF60" s="40" t="n">
        <f aca="false">AF58+AF59</f>
        <v>-227058.375622708</v>
      </c>
      <c r="AG60" s="40" t="n">
        <f aca="false">AG58+AG59</f>
        <v>-215782.079804039</v>
      </c>
      <c r="AH60" s="40" t="n">
        <f aca="false">AH58+AH59</f>
        <v>-194086.529582446</v>
      </c>
      <c r="AI60" s="40" t="n">
        <f aca="false">AI58+AI59</f>
        <v>-169015.917501957</v>
      </c>
      <c r="AJ60" s="40" t="n">
        <f aca="false">AJ58+AJ59</f>
        <v>-139613.994181162</v>
      </c>
      <c r="AK60" s="40" t="n">
        <f aca="false">AK58+AK59</f>
        <v>-105924.072732464</v>
      </c>
      <c r="AL60" s="40" t="n">
        <f aca="false">AL58+AL59</f>
        <v>-67989.0331371416</v>
      </c>
      <c r="AN60" s="40" t="n">
        <f aca="false">N60</f>
        <v>-85655.0438401471</v>
      </c>
      <c r="AO60" s="40" t="n">
        <f aca="false">Z60</f>
        <v>-226380.208577348</v>
      </c>
      <c r="AP60" s="40" t="n">
        <f aca="false">AL60</f>
        <v>-67989.0331371416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-38712.3223333333</v>
      </c>
      <c r="F62" s="40" t="n">
        <f aca="false">F60-F61</f>
        <v>-49721.63833</v>
      </c>
      <c r="G62" s="40" t="n">
        <f aca="false">G60-G61</f>
        <v>-60744.8748467667</v>
      </c>
      <c r="H62" s="40" t="n">
        <f aca="false">H60-H61</f>
        <v>-71781.6142680303</v>
      </c>
      <c r="I62" s="40" t="n">
        <f aca="false">I60-I61</f>
        <v>-78409.2568962414</v>
      </c>
      <c r="J62" s="40" t="n">
        <f aca="false">J60-J61</f>
        <v>-80215.151014837</v>
      </c>
      <c r="K62" s="40" t="n">
        <f aca="false">K60-K61</f>
        <v>-82436.8641089133</v>
      </c>
      <c r="L62" s="40" t="n">
        <f aca="false">L60-L61</f>
        <v>-84080.2379887155</v>
      </c>
      <c r="M62" s="40" t="n">
        <f aca="false">M60-M61</f>
        <v>-85151.0560463863</v>
      </c>
      <c r="N62" s="40" t="n">
        <f aca="false">N60-N61</f>
        <v>-85655.0438401471</v>
      </c>
      <c r="O62" s="40" t="n">
        <f aca="false">O60-O61</f>
        <v>-105417.837589304</v>
      </c>
      <c r="P62" s="40" t="n">
        <f aca="false">P60-P61</f>
        <v>-121838.096456524</v>
      </c>
      <c r="Q62" s="40" t="n">
        <f aca="false">Q60-Q61</f>
        <v>-136335.245790628</v>
      </c>
      <c r="R62" s="40" t="n">
        <f aca="false">R60-R61</f>
        <v>-148928.516686946</v>
      </c>
      <c r="S62" s="40" t="n">
        <f aca="false">S60-S61</f>
        <v>-159636.947929857</v>
      </c>
      <c r="T62" s="40" t="n">
        <f aca="false">T60-T61</f>
        <v>-168479.387915894</v>
      </c>
      <c r="U62" s="40" t="n">
        <f aca="false">U60-U61</f>
        <v>-186974.496557627</v>
      </c>
      <c r="V62" s="40" t="n">
        <f aca="false">V60-V61</f>
        <v>-197640.747168497</v>
      </c>
      <c r="W62" s="40" t="n">
        <f aca="false">W60-W61</f>
        <v>-207496.428328815</v>
      </c>
      <c r="X62" s="40" t="n">
        <f aca="false">X60-X61</f>
        <v>-215559.645733085</v>
      </c>
      <c r="Y62" s="40" t="n">
        <f aca="false">Y60-Y61</f>
        <v>-221848.324018867</v>
      </c>
      <c r="Z62" s="40" t="n">
        <f aca="false">Z60-Z61</f>
        <v>-226380.208577348</v>
      </c>
      <c r="AA62" s="40" t="n">
        <f aca="false">AA60-AA61</f>
        <v>-240572.798595799</v>
      </c>
      <c r="AB62" s="40" t="n">
        <f aca="false">AB60-AB61</f>
        <v>-247071.445352955</v>
      </c>
      <c r="AC62" s="40" t="n">
        <f aca="false">AC60-AC61</f>
        <v>-248923.088281428</v>
      </c>
      <c r="AD62" s="40" t="n">
        <f aca="false">AD60-AD61</f>
        <v>-246174.197419505</v>
      </c>
      <c r="AE62" s="40" t="n">
        <f aca="false">AE60-AE61</f>
        <v>-238870.77810509</v>
      </c>
      <c r="AF62" s="40" t="n">
        <f aca="false">AF60-AF61</f>
        <v>-227058.375622708</v>
      </c>
      <c r="AG62" s="40" t="n">
        <f aca="false">AG60-AG61</f>
        <v>-215782.079804039</v>
      </c>
      <c r="AH62" s="40" t="n">
        <f aca="false">AH60-AH61</f>
        <v>-194086.529582446</v>
      </c>
      <c r="AI62" s="40" t="n">
        <f aca="false">AI60-AI61</f>
        <v>-169015.917501957</v>
      </c>
      <c r="AJ62" s="40" t="n">
        <f aca="false">AJ60-AJ61</f>
        <v>-139613.994181162</v>
      </c>
      <c r="AK62" s="40" t="n">
        <f aca="false">AK60-AK61</f>
        <v>-105924.072732464</v>
      </c>
      <c r="AL62" s="40" t="n">
        <f aca="false">AL60-AL61</f>
        <v>-67989.0331371416</v>
      </c>
      <c r="AN62" s="40" t="n">
        <f aca="false">N62</f>
        <v>-85655.0438401471</v>
      </c>
      <c r="AO62" s="40" t="n">
        <f aca="false">Z62</f>
        <v>-226380.208577348</v>
      </c>
      <c r="AP62" s="40" t="n">
        <f aca="false">AL62</f>
        <v>-67989.0331371416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-38712.3223333333</v>
      </c>
      <c r="F63" s="15" t="n">
        <f aca="false">MIN(E63,F62)</f>
        <v>-49721.63833</v>
      </c>
      <c r="G63" s="15" t="n">
        <f aca="false">MIN(F63,G62)</f>
        <v>-60744.8748467667</v>
      </c>
      <c r="H63" s="15" t="n">
        <f aca="false">MIN(G63,H62)</f>
        <v>-71781.6142680303</v>
      </c>
      <c r="I63" s="15" t="n">
        <f aca="false">MIN(H63,I62)</f>
        <v>-78409.2568962414</v>
      </c>
      <c r="J63" s="15" t="n">
        <f aca="false">MIN(I63,J62)</f>
        <v>-80215.151014837</v>
      </c>
      <c r="K63" s="15" t="n">
        <f aca="false">MIN(J63,K62)</f>
        <v>-82436.8641089133</v>
      </c>
      <c r="L63" s="15" t="n">
        <f aca="false">MIN(K63,L62)</f>
        <v>-84080.2379887155</v>
      </c>
      <c r="M63" s="15" t="n">
        <f aca="false">MIN(L63,M62)</f>
        <v>-85151.0560463863</v>
      </c>
      <c r="N63" s="15" t="n">
        <f aca="false">MIN(M63,N62)</f>
        <v>-85655.0438401471</v>
      </c>
      <c r="O63" s="15" t="n">
        <f aca="false">MIN(N63,O62)</f>
        <v>-105417.837589304</v>
      </c>
      <c r="P63" s="15" t="n">
        <f aca="false">MIN(O63,P62)</f>
        <v>-121838.096456524</v>
      </c>
      <c r="Q63" s="15" t="n">
        <f aca="false">MIN(P63,Q62)</f>
        <v>-136335.245790628</v>
      </c>
      <c r="R63" s="15" t="n">
        <f aca="false">MIN(Q63,R62)</f>
        <v>-148928.516686946</v>
      </c>
      <c r="S63" s="15" t="n">
        <f aca="false">MIN(R63,S62)</f>
        <v>-159636.947929857</v>
      </c>
      <c r="T63" s="15" t="n">
        <f aca="false">MIN(S63,T62)</f>
        <v>-168479.387915894</v>
      </c>
      <c r="U63" s="15" t="n">
        <f aca="false">MIN(T63,U62)</f>
        <v>-186974.496557627</v>
      </c>
      <c r="V63" s="15" t="n">
        <f aca="false">MIN(U63,V62)</f>
        <v>-197640.747168497</v>
      </c>
      <c r="W63" s="15" t="n">
        <f aca="false">MIN(V63,W62)</f>
        <v>-207496.428328815</v>
      </c>
      <c r="X63" s="15" t="n">
        <f aca="false">MIN(W63,X62)</f>
        <v>-215559.645733085</v>
      </c>
      <c r="Y63" s="15" t="n">
        <f aca="false">MIN(X63,Y62)</f>
        <v>-221848.324018867</v>
      </c>
      <c r="Z63" s="15" t="n">
        <f aca="false">MIN(Y63,Z62)</f>
        <v>-226380.208577348</v>
      </c>
      <c r="AA63" s="15" t="n">
        <f aca="false">MIN(Z63,AA62)</f>
        <v>-240572.798595799</v>
      </c>
      <c r="AB63" s="15" t="n">
        <f aca="false">MIN(AA63,AB62)</f>
        <v>-247071.445352955</v>
      </c>
      <c r="AC63" s="15" t="n">
        <f aca="false">MIN(AB63,AC62)</f>
        <v>-248923.088281428</v>
      </c>
      <c r="AD63" s="15" t="n">
        <f aca="false">MIN(AC63,AD62)</f>
        <v>-248923.088281428</v>
      </c>
      <c r="AE63" s="15" t="n">
        <f aca="false">MIN(AD63,AE62)</f>
        <v>-248923.088281428</v>
      </c>
      <c r="AF63" s="15" t="n">
        <f aca="false">MIN(AE63,AF62)</f>
        <v>-248923.088281428</v>
      </c>
      <c r="AG63" s="15" t="n">
        <f aca="false">MIN(AF63,AG62)</f>
        <v>-248923.088281428</v>
      </c>
      <c r="AH63" s="15" t="n">
        <f aca="false">MIN(AG63,AH62)</f>
        <v>-248923.088281428</v>
      </c>
      <c r="AI63" s="15" t="n">
        <f aca="false">MIN(AH63,AI62)</f>
        <v>-248923.088281428</v>
      </c>
      <c r="AJ63" s="15" t="n">
        <f aca="false">MIN(AI63,AJ62)</f>
        <v>-248923.088281428</v>
      </c>
      <c r="AK63" s="15" t="n">
        <f aca="false">MIN(AJ63,AK62)</f>
        <v>-248923.088281428</v>
      </c>
      <c r="AL63" s="15" t="n">
        <f aca="false">MIN(AK63,AL62)</f>
        <v>-248923.088281428</v>
      </c>
      <c r="AN63" s="15" t="n">
        <f aca="false">N63</f>
        <v>-85655.0438401471</v>
      </c>
      <c r="AO63" s="15" t="n">
        <f aca="false">Z63</f>
        <v>-226380.208577348</v>
      </c>
      <c r="AP63" s="15" t="n">
        <f aca="false">AL63</f>
        <v>-248923.088281428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0</v>
      </c>
      <c r="AG64" s="13" t="n">
        <f aca="false">IF(AND(AG9=1,AG62&gt;0),1,0)</f>
        <v>0</v>
      </c>
      <c r="AH64" s="13" t="n">
        <f aca="false">IF(AND(AH9=1,AH62&gt;0),1,0)</f>
        <v>0</v>
      </c>
      <c r="AI64" s="13" t="n">
        <f aca="false">IF(AND(AI9=1,AI62&gt;0),1,0)</f>
        <v>0</v>
      </c>
      <c r="AJ64" s="13" t="n">
        <f aca="false">IF(AND(AJ9=1,AJ62&gt;0),1,0)</f>
        <v>0</v>
      </c>
      <c r="AK64" s="13" t="n">
        <f aca="false">IF(AND(AK9=1,AK62&gt;0),1,0)</f>
        <v>0</v>
      </c>
      <c r="AL64" s="13" t="n">
        <f aca="false">IF(AND(AL9=1,AL62&gt;0),1,0)</f>
        <v>0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7178</v>
      </c>
      <c r="G66" s="15" t="n">
        <f aca="false">G28*12</f>
        <v>6962.66</v>
      </c>
      <c r="H66" s="15" t="n">
        <f aca="false">H28*12</f>
        <v>6753.7802</v>
      </c>
      <c r="I66" s="15" t="n">
        <f aca="false">I28*12</f>
        <v>15936.242398</v>
      </c>
      <c r="J66" s="15" t="n">
        <f aca="false">J28*12</f>
        <v>25026.87997402</v>
      </c>
      <c r="K66" s="15" t="n">
        <f aca="false">K28*12</f>
        <v>34026.6111742798</v>
      </c>
      <c r="L66" s="15" t="n">
        <f aca="false">L28*12</f>
        <v>42936.345062537</v>
      </c>
      <c r="M66" s="15" t="n">
        <f aca="false">M28*12</f>
        <v>51756.9816119116</v>
      </c>
      <c r="N66" s="15" t="n">
        <f aca="false">N28*12</f>
        <v>60489.4117957925</v>
      </c>
      <c r="O66" s="15" t="n">
        <f aca="false">O28*12</f>
        <v>90717.8510111679</v>
      </c>
      <c r="P66" s="15" t="n">
        <f aca="false">P28*12</f>
        <v>120644.00583439</v>
      </c>
      <c r="Q66" s="15" t="n">
        <f aca="false">Q28*12</f>
        <v>150270.899109379</v>
      </c>
      <c r="R66" s="15" t="n">
        <f aca="false">R28*12</f>
        <v>179601.523451618</v>
      </c>
      <c r="S66" s="15" t="n">
        <f aca="false">S28*12</f>
        <v>208638.841550436</v>
      </c>
      <c r="T66" s="15" t="n">
        <f aca="false">T28*12</f>
        <v>237385.786468265</v>
      </c>
      <c r="U66" s="15" t="n">
        <f aca="false">U28*12</f>
        <v>265845.261936915</v>
      </c>
      <c r="V66" s="15" t="n">
        <f aca="false">V28*12</f>
        <v>294020.14265088</v>
      </c>
      <c r="W66" s="15" t="n">
        <f aca="false">W28*12</f>
        <v>321913.274557704</v>
      </c>
      <c r="X66" s="15" t="n">
        <f aca="false">X28*12</f>
        <v>349527.47514546</v>
      </c>
      <c r="Y66" s="15" t="n">
        <f aca="false">Y28*12</f>
        <v>376865.533727339</v>
      </c>
      <c r="Z66" s="15" t="n">
        <f aca="false">Z28*12</f>
        <v>403930.211723399</v>
      </c>
      <c r="AA66" s="15" t="n">
        <f aca="false">AA28*12</f>
        <v>476974.242939498</v>
      </c>
      <c r="AB66" s="15" t="n">
        <f aca="false">AB28*12</f>
        <v>549287.833843437</v>
      </c>
      <c r="AC66" s="15" t="n">
        <f aca="false">AC28*12</f>
        <v>620878.288838336</v>
      </c>
      <c r="AD66" s="15" t="n">
        <f aca="false">AD28*12</f>
        <v>691752.839283285</v>
      </c>
      <c r="AE66" s="15" t="n">
        <f aca="false">AE28*12</f>
        <v>761918.644223786</v>
      </c>
      <c r="AF66" s="15" t="n">
        <f aca="false">AF28*12</f>
        <v>831382.791114882</v>
      </c>
      <c r="AG66" s="15" t="n">
        <f aca="false">AG28*12</f>
        <v>900152.296537066</v>
      </c>
      <c r="AH66" s="15" t="n">
        <f aca="false">AH28*12</f>
        <v>968234.106905029</v>
      </c>
      <c r="AI66" s="15" t="n">
        <f aca="false">AI28*12</f>
        <v>1035635.09916931</v>
      </c>
      <c r="AJ66" s="15" t="n">
        <f aca="false">AJ28*12</f>
        <v>1102362.08151095</v>
      </c>
      <c r="AK66" s="15" t="n">
        <f aca="false">AK28*12</f>
        <v>1168421.79402918</v>
      </c>
      <c r="AL66" s="15" t="n">
        <f aca="false">AL28*12</f>
        <v>1233820.90942222</v>
      </c>
      <c r="AN66" s="15" t="n">
        <f aca="false">N66</f>
        <v>60489.4117957925</v>
      </c>
      <c r="AO66" s="15" t="n">
        <f aca="false">Z66</f>
        <v>403930.211723399</v>
      </c>
      <c r="AP66" s="15" t="n">
        <f aca="false">AL66</f>
        <v>1233820.90942222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240</v>
      </c>
      <c r="J71" s="15" t="n">
        <f aca="false">IF(J14&gt;0,J39/J14,0)</f>
        <v>240</v>
      </c>
      <c r="K71" s="15" t="n">
        <f aca="false">IF(K14&gt;0,K39/K14,0)</f>
        <v>240</v>
      </c>
      <c r="L71" s="15" t="n">
        <f aca="false">IF(L14&gt;0,L39/L14,0)</f>
        <v>240</v>
      </c>
      <c r="M71" s="15" t="n">
        <f aca="false">IF(M14&gt;0,M39/M14,0)</f>
        <v>240</v>
      </c>
      <c r="N71" s="15" t="n">
        <f aca="false">IF(N14&gt;0,N39/N14,0)</f>
        <v>240</v>
      </c>
      <c r="O71" s="15" t="n">
        <f aca="false">IF(O14&gt;0,O39/O14,0)</f>
        <v>240</v>
      </c>
      <c r="P71" s="15" t="n">
        <f aca="false">IF(P14&gt;0,P39/P14,0)</f>
        <v>240</v>
      </c>
      <c r="Q71" s="15" t="n">
        <f aca="false">IF(Q14&gt;0,Q39/Q14,0)</f>
        <v>240</v>
      </c>
      <c r="R71" s="15" t="n">
        <f aca="false">IF(R14&gt;0,R39/R14,0)</f>
        <v>240</v>
      </c>
      <c r="S71" s="15" t="n">
        <f aca="false">IF(S14&gt;0,S39/S14,0)</f>
        <v>240</v>
      </c>
      <c r="T71" s="15" t="n">
        <f aca="false">IF(T14&gt;0,T39/T14,0)</f>
        <v>240</v>
      </c>
      <c r="U71" s="15" t="n">
        <f aca="false">IF(U14&gt;0,U39/U14,0)</f>
        <v>240</v>
      </c>
      <c r="V71" s="15" t="n">
        <f aca="false">IF(V14&gt;0,V39/V14,0)</f>
        <v>240</v>
      </c>
      <c r="W71" s="15" t="n">
        <f aca="false">IF(W14&gt;0,W39/W14,0)</f>
        <v>240</v>
      </c>
      <c r="X71" s="15" t="n">
        <f aca="false">IF(X14&gt;0,X39/X14,0)</f>
        <v>240</v>
      </c>
      <c r="Y71" s="15" t="n">
        <f aca="false">IF(Y14&gt;0,Y39/Y14,0)</f>
        <v>240</v>
      </c>
      <c r="Z71" s="15" t="n">
        <f aca="false">IF(Z14&gt;0,Z39/Z14,0)</f>
        <v>240</v>
      </c>
      <c r="AA71" s="15" t="n">
        <f aca="false">IF(AA14&gt;0,AA39/AA14,0)</f>
        <v>240</v>
      </c>
      <c r="AB71" s="15" t="n">
        <f aca="false">IF(AB14&gt;0,AB39/AB14,0)</f>
        <v>240</v>
      </c>
      <c r="AC71" s="15" t="n">
        <f aca="false">IF(AC14&gt;0,AC39/AC14,0)</f>
        <v>240</v>
      </c>
      <c r="AD71" s="15" t="n">
        <f aca="false">IF(AD14&gt;0,AD39/AD14,0)</f>
        <v>240</v>
      </c>
      <c r="AE71" s="15" t="n">
        <f aca="false">IF(AE14&gt;0,AE39/AE14,0)</f>
        <v>240</v>
      </c>
      <c r="AF71" s="15" t="n">
        <f aca="false">IF(AF14&gt;0,AF39/AF14,0)</f>
        <v>240</v>
      </c>
      <c r="AG71" s="15" t="n">
        <f aca="false">IF(AG14&gt;0,AG39/AG14,0)</f>
        <v>240</v>
      </c>
      <c r="AH71" s="15" t="n">
        <f aca="false">IF(AH14&gt;0,AH39/AH14,0)</f>
        <v>240</v>
      </c>
      <c r="AI71" s="15" t="n">
        <f aca="false">IF(AI14&gt;0,AI39/AI14,0)</f>
        <v>240</v>
      </c>
      <c r="AJ71" s="15" t="n">
        <f aca="false">IF(AJ14&gt;0,AJ39/AJ14,0)</f>
        <v>240</v>
      </c>
      <c r="AK71" s="15" t="n">
        <f aca="false">IF(AK14&gt;0,AK39/AK14,0)</f>
        <v>240</v>
      </c>
      <c r="AL71" s="15" t="n">
        <f aca="false">IF(AL14&gt;0,AL39/AL14,0)</f>
        <v>240</v>
      </c>
      <c r="AN71" s="15" t="n">
        <f aca="false">N71</f>
        <v>240</v>
      </c>
      <c r="AO71" s="15" t="n">
        <f aca="false">Z71</f>
        <v>240</v>
      </c>
      <c r="AP71" s="15" t="n">
        <f aca="false">AL71</f>
        <v>240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5.28738012517873</v>
      </c>
      <c r="F72" s="38" t="n">
        <f aca="false">IF(F69&gt;0,Hypothèses!$D$23*$E$4/F69,0)</f>
        <v>5.28738012517873</v>
      </c>
      <c r="G72" s="38" t="n">
        <f aca="false">IF(G69&gt;0,Hypothèses!$D$23*$E$4/G69,0)</f>
        <v>5.28738012517873</v>
      </c>
      <c r="H72" s="38" t="n">
        <f aca="false">IF(H69&gt;0,Hypothèses!$D$23*$E$4/H69,0)</f>
        <v>5.28738012517872</v>
      </c>
      <c r="I72" s="38" t="n">
        <f aca="false">IF(I69&gt;0,Hypothèses!$D$23*$E$4/I69,0)</f>
        <v>5.28738012517873</v>
      </c>
      <c r="J72" s="38" t="n">
        <f aca="false">IF(J69&gt;0,Hypothèses!$D$23*$E$4/J69,0)</f>
        <v>5.28738012517872</v>
      </c>
      <c r="K72" s="38" t="n">
        <f aca="false">IF(K69&gt;0,Hypothèses!$D$23*$E$4/K69,0)</f>
        <v>5.28738012517873</v>
      </c>
      <c r="L72" s="38" t="n">
        <f aca="false">IF(L69&gt;0,Hypothèses!$D$23*$E$4/L69,0)</f>
        <v>5.28738012517873</v>
      </c>
      <c r="M72" s="38" t="n">
        <f aca="false">IF(M69&gt;0,Hypothèses!$D$23*$E$4/M69,0)</f>
        <v>5.28738012517873</v>
      </c>
      <c r="N72" s="38" t="n">
        <f aca="false">IF(N69&gt;0,Hypothèses!$D$23*$E$4/N69,0)</f>
        <v>5.28738012517873</v>
      </c>
      <c r="O72" s="38" t="n">
        <f aca="false">IF(O69&gt;0,Hypothèses!$D$23*$E$4/O69,0)</f>
        <v>5.28738012517873</v>
      </c>
      <c r="P72" s="38" t="n">
        <f aca="false">IF(P69&gt;0,Hypothèses!$D$23*$E$4/P69,0)</f>
        <v>5.28738012517872</v>
      </c>
      <c r="Q72" s="38" t="n">
        <f aca="false">IF(Q69&gt;0,Hypothèses!$D$23*$E$4/Q69,0)</f>
        <v>5.28738012517872</v>
      </c>
      <c r="R72" s="38" t="n">
        <f aca="false">IF(R69&gt;0,Hypothèses!$D$23*$E$4/R69,0)</f>
        <v>5.28738012517873</v>
      </c>
      <c r="S72" s="38" t="n">
        <f aca="false">IF(S69&gt;0,Hypothèses!$D$23*$E$4/S69,0)</f>
        <v>5.28738012517873</v>
      </c>
      <c r="T72" s="38" t="n">
        <f aca="false">IF(T69&gt;0,Hypothèses!$D$23*$E$4/T69,0)</f>
        <v>5.28738012517872</v>
      </c>
      <c r="U72" s="38" t="n">
        <f aca="false">IF(U69&gt;0,Hypothèses!$D$23*$E$4/U69,0)</f>
        <v>5.28738012517872</v>
      </c>
      <c r="V72" s="38" t="n">
        <f aca="false">IF(V69&gt;0,Hypothèses!$D$23*$E$4/V69,0)</f>
        <v>5.28738012517872</v>
      </c>
      <c r="W72" s="38" t="n">
        <f aca="false">IF(W69&gt;0,Hypothèses!$D$23*$E$4/W69,0)</f>
        <v>5.28738012517872</v>
      </c>
      <c r="X72" s="38" t="n">
        <f aca="false">IF(X69&gt;0,Hypothèses!$D$23*$E$4/X69,0)</f>
        <v>5.28738012517873</v>
      </c>
      <c r="Y72" s="38" t="n">
        <f aca="false">IF(Y69&gt;0,Hypothèses!$D$23*$E$4/Y69,0)</f>
        <v>5.28738012517873</v>
      </c>
      <c r="Z72" s="38" t="n">
        <f aca="false">IF(Z69&gt;0,Hypothèses!$D$23*$E$4/Z69,0)</f>
        <v>5.28738012517872</v>
      </c>
      <c r="AA72" s="38" t="n">
        <f aca="false">IF(AA69&gt;0,Hypothèses!$D$23*$E$4/AA69,0)</f>
        <v>5.28738012517873</v>
      </c>
      <c r="AB72" s="38" t="n">
        <f aca="false">IF(AB69&gt;0,Hypothèses!$D$23*$E$4/AB69,0)</f>
        <v>5.28738012517872</v>
      </c>
      <c r="AC72" s="38" t="n">
        <f aca="false">IF(AC69&gt;0,Hypothèses!$D$23*$E$4/AC69,0)</f>
        <v>5.28738012517873</v>
      </c>
      <c r="AD72" s="38" t="n">
        <f aca="false">IF(AD69&gt;0,Hypothèses!$D$23*$E$4/AD69,0)</f>
        <v>5.28738012517872</v>
      </c>
      <c r="AE72" s="38" t="n">
        <f aca="false">IF(AE69&gt;0,Hypothèses!$D$23*$E$4/AE69,0)</f>
        <v>5.28738012517873</v>
      </c>
      <c r="AF72" s="38" t="n">
        <f aca="false">IF(AF69&gt;0,Hypothèses!$D$23*$E$4/AF69,0)</f>
        <v>5.28738012517872</v>
      </c>
      <c r="AG72" s="38" t="n">
        <f aca="false">IF(AG69&gt;0,Hypothèses!$D$23*$E$4/AG69,0)</f>
        <v>5.28738012517872</v>
      </c>
      <c r="AH72" s="38" t="n">
        <f aca="false">IF(AH69&gt;0,Hypothèses!$D$23*$E$4/AH69,0)</f>
        <v>5.28738012517872</v>
      </c>
      <c r="AI72" s="38" t="n">
        <f aca="false">IF(AI69&gt;0,Hypothèses!$D$23*$E$4/AI69,0)</f>
        <v>5.28738012517872</v>
      </c>
      <c r="AJ72" s="38" t="n">
        <f aca="false">IF(AJ69&gt;0,Hypothèses!$D$23*$E$4/AJ69,0)</f>
        <v>5.28738012517872</v>
      </c>
      <c r="AK72" s="38" t="n">
        <f aca="false">IF(AK69&gt;0,Hypothèses!$D$23*$E$4/AK69,0)</f>
        <v>5.28738012517872</v>
      </c>
      <c r="AL72" s="38" t="n">
        <f aca="false">IF(AL69&gt;0,Hypothèses!$D$23*$E$4/AL69,0)</f>
        <v>5.28738012517872</v>
      </c>
      <c r="AN72" s="38" t="n">
        <f aca="false">N72</f>
        <v>5.28738012517873</v>
      </c>
      <c r="AO72" s="38" t="n">
        <f aca="false">Z72</f>
        <v>5.28738012517872</v>
      </c>
      <c r="AP72" s="38" t="n">
        <f aca="false">AL72</f>
        <v>5.28738012517872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1513.03666666667</v>
      </c>
      <c r="F73" s="15" t="n">
        <f aca="false">IF(Hypothèses!$D$26*$D$4&gt;0,F69/(Hypothèses!$D$26*$D$4),0)</f>
        <v>1513.03666666667</v>
      </c>
      <c r="G73" s="15" t="n">
        <f aca="false">IF(Hypothèses!$D$26*$D$4&gt;0,G69/(Hypothèses!$D$26*$D$4),0)</f>
        <v>1513.03666666667</v>
      </c>
      <c r="H73" s="15" t="n">
        <f aca="false">IF(Hypothèses!$D$26*$D$4&gt;0,H69/(Hypothèses!$D$26*$D$4),0)</f>
        <v>1513.03666666667</v>
      </c>
      <c r="I73" s="15" t="n">
        <f aca="false">IF(Hypothèses!$D$26*$D$4&gt;0,I69/(Hypothèses!$D$26*$D$4),0)</f>
        <v>1513.03666666667</v>
      </c>
      <c r="J73" s="15" t="n">
        <f aca="false">IF(Hypothèses!$D$26*$D$4&gt;0,J69/(Hypothèses!$D$26*$D$4),0)</f>
        <v>1513.03666666667</v>
      </c>
      <c r="K73" s="15" t="n">
        <f aca="false">IF(Hypothèses!$D$26*$D$4&gt;0,K69/(Hypothèses!$D$26*$D$4),0)</f>
        <v>1513.03666666667</v>
      </c>
      <c r="L73" s="15" t="n">
        <f aca="false">IF(Hypothèses!$D$26*$D$4&gt;0,L69/(Hypothèses!$D$26*$D$4),0)</f>
        <v>1513.03666666667</v>
      </c>
      <c r="M73" s="15" t="n">
        <f aca="false">IF(Hypothèses!$D$26*$D$4&gt;0,M69/(Hypothèses!$D$26*$D$4),0)</f>
        <v>1513.03666666667</v>
      </c>
      <c r="N73" s="15" t="n">
        <f aca="false">IF(Hypothèses!$D$26*$D$4&gt;0,N69/(Hypothèses!$D$26*$D$4),0)</f>
        <v>1513.03666666667</v>
      </c>
      <c r="O73" s="15" t="n">
        <f aca="false">IF(Hypothèses!$D$26*$D$4&gt;0,O69/(Hypothèses!$D$26*$D$4),0)</f>
        <v>1513.03666666667</v>
      </c>
      <c r="P73" s="15" t="n">
        <f aca="false">IF(Hypothèses!$D$26*$D$4&gt;0,P69/(Hypothèses!$D$26*$D$4),0)</f>
        <v>1513.03666666667</v>
      </c>
      <c r="Q73" s="15" t="n">
        <f aca="false">IF(Hypothèses!$D$26*$D$4&gt;0,Q69/(Hypothèses!$D$26*$D$4),0)</f>
        <v>1513.03666666667</v>
      </c>
      <c r="R73" s="15" t="n">
        <f aca="false">IF(Hypothèses!$D$26*$D$4&gt;0,R69/(Hypothèses!$D$26*$D$4),0)</f>
        <v>1513.03666666667</v>
      </c>
      <c r="S73" s="15" t="n">
        <f aca="false">IF(Hypothèses!$D$26*$D$4&gt;0,S69/(Hypothèses!$D$26*$D$4),0)</f>
        <v>1513.03666666667</v>
      </c>
      <c r="T73" s="15" t="n">
        <f aca="false">IF(Hypothèses!$D$26*$D$4&gt;0,T69/(Hypothèses!$D$26*$D$4),0)</f>
        <v>1513.03666666667</v>
      </c>
      <c r="U73" s="15" t="n">
        <f aca="false">IF(Hypothèses!$D$26*$D$4&gt;0,U69/(Hypothèses!$D$26*$D$4),0)</f>
        <v>1513.03666666667</v>
      </c>
      <c r="V73" s="15" t="n">
        <f aca="false">IF(Hypothèses!$D$26*$D$4&gt;0,V69/(Hypothèses!$D$26*$D$4),0)</f>
        <v>1513.03666666667</v>
      </c>
      <c r="W73" s="15" t="n">
        <f aca="false">IF(Hypothèses!$D$26*$D$4&gt;0,W69/(Hypothèses!$D$26*$D$4),0)</f>
        <v>1513.03666666667</v>
      </c>
      <c r="X73" s="15" t="n">
        <f aca="false">IF(Hypothèses!$D$26*$D$4&gt;0,X69/(Hypothèses!$D$26*$D$4),0)</f>
        <v>1513.03666666667</v>
      </c>
      <c r="Y73" s="15" t="n">
        <f aca="false">IF(Hypothèses!$D$26*$D$4&gt;0,Y69/(Hypothèses!$D$26*$D$4),0)</f>
        <v>1513.03666666667</v>
      </c>
      <c r="Z73" s="15" t="n">
        <f aca="false">IF(Hypothèses!$D$26*$D$4&gt;0,Z69/(Hypothèses!$D$26*$D$4),0)</f>
        <v>1513.03666666667</v>
      </c>
      <c r="AA73" s="15" t="n">
        <f aca="false">IF(Hypothèses!$D$26*$D$4&gt;0,AA69/(Hypothèses!$D$26*$D$4),0)</f>
        <v>1513.03666666667</v>
      </c>
      <c r="AB73" s="15" t="n">
        <f aca="false">IF(Hypothèses!$D$26*$D$4&gt;0,AB69/(Hypothèses!$D$26*$D$4),0)</f>
        <v>1513.03666666667</v>
      </c>
      <c r="AC73" s="15" t="n">
        <f aca="false">IF(Hypothèses!$D$26*$D$4&gt;0,AC69/(Hypothèses!$D$26*$D$4),0)</f>
        <v>1513.03666666667</v>
      </c>
      <c r="AD73" s="15" t="n">
        <f aca="false">IF(Hypothèses!$D$26*$D$4&gt;0,AD69/(Hypothèses!$D$26*$D$4),0)</f>
        <v>1513.03666666667</v>
      </c>
      <c r="AE73" s="15" t="n">
        <f aca="false">IF(Hypothèses!$D$26*$D$4&gt;0,AE69/(Hypothèses!$D$26*$D$4),0)</f>
        <v>1513.03666666667</v>
      </c>
      <c r="AF73" s="15" t="n">
        <f aca="false">IF(Hypothèses!$D$26*$D$4&gt;0,AF69/(Hypothèses!$D$26*$D$4),0)</f>
        <v>1513.03666666667</v>
      </c>
      <c r="AG73" s="15" t="n">
        <f aca="false">IF(Hypothèses!$D$26*$D$4&gt;0,AG69/(Hypothèses!$D$26*$D$4),0)</f>
        <v>1513.03666666667</v>
      </c>
      <c r="AH73" s="15" t="n">
        <f aca="false">IF(Hypothèses!$D$26*$D$4&gt;0,AH69/(Hypothèses!$D$26*$D$4),0)</f>
        <v>1513.03666666667</v>
      </c>
      <c r="AI73" s="15" t="n">
        <f aca="false">IF(Hypothèses!$D$26*$D$4&gt;0,AI69/(Hypothèses!$D$26*$D$4),0)</f>
        <v>1513.03666666667</v>
      </c>
      <c r="AJ73" s="15" t="n">
        <f aca="false">IF(Hypothèses!$D$26*$D$4&gt;0,AJ69/(Hypothèses!$D$26*$D$4),0)</f>
        <v>1513.03666666667</v>
      </c>
      <c r="AK73" s="15" t="n">
        <f aca="false">IF(Hypothèses!$D$26*$D$4&gt;0,AK69/(Hypothèses!$D$26*$D$4),0)</f>
        <v>1513.03666666667</v>
      </c>
      <c r="AL73" s="15" t="n">
        <f aca="false">IF(Hypothèses!$D$26*$D$4&gt;0,AL69/(Hypothèses!$D$26*$D$4),0)</f>
        <v>1513.03666666667</v>
      </c>
      <c r="AN73" s="15" t="n">
        <f aca="false">N73</f>
        <v>1513.03666666667</v>
      </c>
      <c r="AO73" s="15" t="n">
        <f aca="false">Z73</f>
        <v>1513.03666666667</v>
      </c>
      <c r="AP73" s="15" t="n">
        <f aca="false">AL73</f>
        <v>1513.03666666667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6.30431944444444</v>
      </c>
      <c r="F74" s="41" t="n">
        <f aca="false">IF(Hypothèses!$D$23*$E$4&gt;0,F73/(Hypothèses!$D$23*$E$4),0)</f>
        <v>6.30431944444444</v>
      </c>
      <c r="G74" s="41" t="n">
        <f aca="false">IF(Hypothèses!$D$23*$E$4&gt;0,G73/(Hypothèses!$D$23*$E$4),0)</f>
        <v>6.30431944444444</v>
      </c>
      <c r="H74" s="41" t="n">
        <f aca="false">IF(Hypothèses!$D$23*$E$4&gt;0,H73/(Hypothèses!$D$23*$E$4),0)</f>
        <v>6.30431944444445</v>
      </c>
      <c r="I74" s="41" t="n">
        <f aca="false">IF(Hypothèses!$D$23*$E$4&gt;0,I73/(Hypothèses!$D$23*$E$4),0)</f>
        <v>6.30431944444444</v>
      </c>
      <c r="J74" s="41" t="n">
        <f aca="false">IF(Hypothèses!$D$23*$E$4&gt;0,J73/(Hypothèses!$D$23*$E$4),0)</f>
        <v>6.30431944444445</v>
      </c>
      <c r="K74" s="41" t="n">
        <f aca="false">IF(Hypothèses!$D$23*$E$4&gt;0,K73/(Hypothèses!$D$23*$E$4),0)</f>
        <v>6.30431944444444</v>
      </c>
      <c r="L74" s="41" t="n">
        <f aca="false">IF(Hypothèses!$D$23*$E$4&gt;0,L73/(Hypothèses!$D$23*$E$4),0)</f>
        <v>6.30431944444444</v>
      </c>
      <c r="M74" s="41" t="n">
        <f aca="false">IF(Hypothèses!$D$23*$E$4&gt;0,M73/(Hypothèses!$D$23*$E$4),0)</f>
        <v>6.30431944444444</v>
      </c>
      <c r="N74" s="41" t="n">
        <f aca="false">IF(Hypothèses!$D$23*$E$4&gt;0,N73/(Hypothèses!$D$23*$E$4),0)</f>
        <v>6.30431944444444</v>
      </c>
      <c r="O74" s="41" t="n">
        <f aca="false">IF(Hypothèses!$D$23*$E$4&gt;0,O73/(Hypothèses!$D$23*$E$4),0)</f>
        <v>6.30431944444444</v>
      </c>
      <c r="P74" s="41" t="n">
        <f aca="false">IF(Hypothèses!$D$23*$E$4&gt;0,P73/(Hypothèses!$D$23*$E$4),0)</f>
        <v>6.30431944444445</v>
      </c>
      <c r="Q74" s="41" t="n">
        <f aca="false">IF(Hypothèses!$D$23*$E$4&gt;0,Q73/(Hypothèses!$D$23*$E$4),0)</f>
        <v>6.30431944444445</v>
      </c>
      <c r="R74" s="41" t="n">
        <f aca="false">IF(Hypothèses!$D$23*$E$4&gt;0,R73/(Hypothèses!$D$23*$E$4),0)</f>
        <v>6.30431944444444</v>
      </c>
      <c r="S74" s="41" t="n">
        <f aca="false">IF(Hypothèses!$D$23*$E$4&gt;0,S73/(Hypothèses!$D$23*$E$4),0)</f>
        <v>6.30431944444444</v>
      </c>
      <c r="T74" s="41" t="n">
        <f aca="false">IF(Hypothèses!$D$23*$E$4&gt;0,T73/(Hypothèses!$D$23*$E$4),0)</f>
        <v>6.30431944444445</v>
      </c>
      <c r="U74" s="41" t="n">
        <f aca="false">IF(Hypothèses!$D$23*$E$4&gt;0,U73/(Hypothèses!$D$23*$E$4),0)</f>
        <v>6.30431944444445</v>
      </c>
      <c r="V74" s="41" t="n">
        <f aca="false">IF(Hypothèses!$D$23*$E$4&gt;0,V73/(Hypothèses!$D$23*$E$4),0)</f>
        <v>6.30431944444445</v>
      </c>
      <c r="W74" s="41" t="n">
        <f aca="false">IF(Hypothèses!$D$23*$E$4&gt;0,W73/(Hypothèses!$D$23*$E$4),0)</f>
        <v>6.30431944444445</v>
      </c>
      <c r="X74" s="41" t="n">
        <f aca="false">IF(Hypothèses!$D$23*$E$4&gt;0,X73/(Hypothèses!$D$23*$E$4),0)</f>
        <v>6.30431944444444</v>
      </c>
      <c r="Y74" s="41" t="n">
        <f aca="false">IF(Hypothèses!$D$23*$E$4&gt;0,Y73/(Hypothèses!$D$23*$E$4),0)</f>
        <v>6.30431944444444</v>
      </c>
      <c r="Z74" s="41" t="n">
        <f aca="false">IF(Hypothèses!$D$23*$E$4&gt;0,Z73/(Hypothèses!$D$23*$E$4),0)</f>
        <v>6.30431944444445</v>
      </c>
      <c r="AA74" s="41" t="n">
        <f aca="false">IF(Hypothèses!$D$23*$E$4&gt;0,AA73/(Hypothèses!$D$23*$E$4),0)</f>
        <v>6.30431944444444</v>
      </c>
      <c r="AB74" s="41" t="n">
        <f aca="false">IF(Hypothèses!$D$23*$E$4&gt;0,AB73/(Hypothèses!$D$23*$E$4),0)</f>
        <v>6.30431944444445</v>
      </c>
      <c r="AC74" s="41" t="n">
        <f aca="false">IF(Hypothèses!$D$23*$E$4&gt;0,AC73/(Hypothèses!$D$23*$E$4),0)</f>
        <v>6.30431944444444</v>
      </c>
      <c r="AD74" s="41" t="n">
        <f aca="false">IF(Hypothèses!$D$23*$E$4&gt;0,AD73/(Hypothèses!$D$23*$E$4),0)</f>
        <v>6.30431944444445</v>
      </c>
      <c r="AE74" s="41" t="n">
        <f aca="false">IF(Hypothèses!$D$23*$E$4&gt;0,AE73/(Hypothèses!$D$23*$E$4),0)</f>
        <v>6.30431944444444</v>
      </c>
      <c r="AF74" s="41" t="n">
        <f aca="false">IF(Hypothèses!$D$23*$E$4&gt;0,AF73/(Hypothèses!$D$23*$E$4),0)</f>
        <v>6.30431944444445</v>
      </c>
      <c r="AG74" s="41" t="n">
        <f aca="false">IF(Hypothèses!$D$23*$E$4&gt;0,AG73/(Hypothèses!$D$23*$E$4),0)</f>
        <v>6.30431944444445</v>
      </c>
      <c r="AH74" s="41" t="n">
        <f aca="false">IF(Hypothèses!$D$23*$E$4&gt;0,AH73/(Hypothèses!$D$23*$E$4),0)</f>
        <v>6.30431944444445</v>
      </c>
      <c r="AI74" s="41" t="n">
        <f aca="false">IF(Hypothèses!$D$23*$E$4&gt;0,AI73/(Hypothèses!$D$23*$E$4),0)</f>
        <v>6.30431944444445</v>
      </c>
      <c r="AJ74" s="41" t="n">
        <f aca="false">IF(Hypothèses!$D$23*$E$4&gt;0,AJ73/(Hypothèses!$D$23*$E$4),0)</f>
        <v>6.30431944444445</v>
      </c>
      <c r="AK74" s="41" t="n">
        <f aca="false">IF(Hypothèses!$D$23*$E$4&gt;0,AK73/(Hypothèses!$D$23*$E$4),0)</f>
        <v>6.30431944444445</v>
      </c>
      <c r="AL74" s="41" t="n">
        <f aca="false">IF(Hypothèses!$D$23*$E$4&gt;0,AL73/(Hypothèses!$D$23*$E$4),0)</f>
        <v>6.30431944444445</v>
      </c>
      <c r="AN74" s="41" t="n">
        <f aca="false">N74</f>
        <v>6.30431944444444</v>
      </c>
      <c r="AO74" s="41" t="n">
        <f aca="false">Z74</f>
        <v>6.30431944444445</v>
      </c>
      <c r="AP74" s="41" t="n">
        <f aca="false">AL74</f>
        <v>6.30431944444445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502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0.7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37.6068912714286</v>
      </c>
      <c r="K13" s="38" t="n">
        <f aca="false">J18</f>
        <v>65.8022509301429</v>
      </c>
      <c r="L13" s="38" t="n">
        <f aca="false">K18</f>
        <v>93.71565699227</v>
      </c>
      <c r="M13" s="38" t="n">
        <f aca="false">L18</f>
        <v>121.349928993776</v>
      </c>
      <c r="N13" s="38" t="n">
        <f aca="false">M18</f>
        <v>148.707858275267</v>
      </c>
      <c r="O13" s="38" t="n">
        <f aca="false">N18</f>
        <v>175.792208263943</v>
      </c>
      <c r="P13" s="38" t="n">
        <f aca="false">O18</f>
        <v>269.272381419398</v>
      </c>
      <c r="Q13" s="38" t="n">
        <f aca="false">P18</f>
        <v>361.8177528433</v>
      </c>
      <c r="R13" s="38" t="n">
        <f aca="false">Q18</f>
        <v>453.437670552962</v>
      </c>
      <c r="S13" s="38" t="n">
        <f aca="false">R18</f>
        <v>544.141389085528</v>
      </c>
      <c r="T13" s="38" t="n">
        <f aca="false">S18</f>
        <v>633.938070432768</v>
      </c>
      <c r="U13" s="38" t="n">
        <f aca="false">T18</f>
        <v>722.836784966535</v>
      </c>
      <c r="V13" s="38" t="n">
        <f aca="false">U18</f>
        <v>810.846512354965</v>
      </c>
      <c r="W13" s="38" t="n">
        <f aca="false">V18</f>
        <v>897.976142469511</v>
      </c>
      <c r="X13" s="38" t="n">
        <f aca="false">W18</f>
        <v>984.234476282911</v>
      </c>
      <c r="Y13" s="38" t="n">
        <f aca="false">X18</f>
        <v>1069.63022675818</v>
      </c>
      <c r="Z13" s="38" t="n">
        <f aca="false">Y18</f>
        <v>1154.17201972869</v>
      </c>
      <c r="AA13" s="38" t="n">
        <f aca="false">Z18</f>
        <v>1237.8683947695</v>
      </c>
      <c r="AB13" s="38" t="n">
        <f aca="false">AA18</f>
        <v>1463.58494891704</v>
      </c>
      <c r="AC13" s="38" t="n">
        <f aca="false">AB18</f>
        <v>1687.04433752311</v>
      </c>
      <c r="AD13" s="38" t="n">
        <f aca="false">AC18</f>
        <v>1908.26913224312</v>
      </c>
      <c r="AE13" s="38" t="n">
        <f aca="false">AD18</f>
        <v>2127.28167901592</v>
      </c>
      <c r="AF13" s="38" t="n">
        <f aca="false">AE18</f>
        <v>2344.104100321</v>
      </c>
      <c r="AG13" s="38" t="n">
        <f aca="false">AF18</f>
        <v>2558.75829741303</v>
      </c>
      <c r="AH13" s="38" t="n">
        <f aca="false">AG18</f>
        <v>2771.26595253414</v>
      </c>
      <c r="AI13" s="38" t="n">
        <f aca="false">AH18</f>
        <v>2981.64853110403</v>
      </c>
      <c r="AJ13" s="38" t="n">
        <f aca="false">AI18</f>
        <v>3189.92728388823</v>
      </c>
      <c r="AK13" s="38" t="n">
        <f aca="false">AJ18</f>
        <v>3396.12324914459</v>
      </c>
      <c r="AL13" s="38" t="n">
        <f aca="false">AK18</f>
        <v>3600.25725474838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28.5714285714286</v>
      </c>
      <c r="J14" s="38" t="n">
        <f aca="false">J11/(Hypothèses!$D$23*$E$4)</f>
        <v>28.5714285714286</v>
      </c>
      <c r="K14" s="38" t="n">
        <f aca="false">K11/(Hypothèses!$D$23*$E$4)</f>
        <v>28.5714285714286</v>
      </c>
      <c r="L14" s="38" t="n">
        <f aca="false">L11/(Hypothèses!$D$23*$E$4)</f>
        <v>28.5714285714286</v>
      </c>
      <c r="M14" s="38" t="n">
        <f aca="false">M11/(Hypothèses!$D$23*$E$4)</f>
        <v>28.5714285714286</v>
      </c>
      <c r="N14" s="38" t="n">
        <f aca="false">N11/(Hypothèses!$D$23*$E$4)</f>
        <v>28.5714285714286</v>
      </c>
      <c r="O14" s="38" t="n">
        <f aca="false">O11/(Hypothèses!$D$23*$E$4)</f>
        <v>95.2380952380952</v>
      </c>
      <c r="P14" s="38" t="n">
        <f aca="false">P11/(Hypothèses!$D$23*$E$4)</f>
        <v>95.2380952380952</v>
      </c>
      <c r="Q14" s="38" t="n">
        <f aca="false">Q11/(Hypothèses!$D$23*$E$4)</f>
        <v>95.2380952380952</v>
      </c>
      <c r="R14" s="38" t="n">
        <f aca="false">R11/(Hypothèses!$D$23*$E$4)</f>
        <v>95.2380952380952</v>
      </c>
      <c r="S14" s="38" t="n">
        <f aca="false">S11/(Hypothèses!$D$23*$E$4)</f>
        <v>95.2380952380952</v>
      </c>
      <c r="T14" s="38" t="n">
        <f aca="false">T11/(Hypothèses!$D$23*$E$4)</f>
        <v>95.2380952380952</v>
      </c>
      <c r="U14" s="38" t="n">
        <f aca="false">U11/(Hypothèses!$D$23*$E$4)</f>
        <v>95.2380952380952</v>
      </c>
      <c r="V14" s="38" t="n">
        <f aca="false">V11/(Hypothèses!$D$23*$E$4)</f>
        <v>95.2380952380952</v>
      </c>
      <c r="W14" s="38" t="n">
        <f aca="false">W11/(Hypothèses!$D$23*$E$4)</f>
        <v>95.2380952380952</v>
      </c>
      <c r="X14" s="38" t="n">
        <f aca="false">X11/(Hypothèses!$D$23*$E$4)</f>
        <v>95.2380952380952</v>
      </c>
      <c r="Y14" s="38" t="n">
        <f aca="false">Y11/(Hypothèses!$D$23*$E$4)</f>
        <v>95.2380952380952</v>
      </c>
      <c r="Z14" s="38" t="n">
        <f aca="false">Z11/(Hypothèses!$D$23*$E$4)</f>
        <v>95.2380952380952</v>
      </c>
      <c r="AA14" s="38" t="n">
        <f aca="false">AA11/(Hypothèses!$D$23*$E$4)</f>
        <v>238.095238095238</v>
      </c>
      <c r="AB14" s="38" t="n">
        <f aca="false">AB11/(Hypothèses!$D$23*$E$4)</f>
        <v>238.095238095238</v>
      </c>
      <c r="AC14" s="38" t="n">
        <f aca="false">AC11/(Hypothèses!$D$23*$E$4)</f>
        <v>238.095238095238</v>
      </c>
      <c r="AD14" s="38" t="n">
        <f aca="false">AD11/(Hypothèses!$D$23*$E$4)</f>
        <v>238.095238095238</v>
      </c>
      <c r="AE14" s="38" t="n">
        <f aca="false">AE11/(Hypothèses!$D$23*$E$4)</f>
        <v>238.095238095238</v>
      </c>
      <c r="AF14" s="38" t="n">
        <f aca="false">AF11/(Hypothèses!$D$23*$E$4)</f>
        <v>238.095238095238</v>
      </c>
      <c r="AG14" s="38" t="n">
        <f aca="false">AG11/(Hypothèses!$D$23*$E$4)</f>
        <v>238.095238095238</v>
      </c>
      <c r="AH14" s="38" t="n">
        <f aca="false">AH11/(Hypothèses!$D$23*$E$4)</f>
        <v>238.095238095238</v>
      </c>
      <c r="AI14" s="38" t="n">
        <f aca="false">AI11/(Hypothèses!$D$23*$E$4)</f>
        <v>238.095238095238</v>
      </c>
      <c r="AJ14" s="38" t="n">
        <f aca="false">AJ11/(Hypothèses!$D$23*$E$4)</f>
        <v>238.095238095238</v>
      </c>
      <c r="AK14" s="38" t="n">
        <f aca="false">AK11/(Hypothèses!$D$23*$E$4)</f>
        <v>238.095238095238</v>
      </c>
      <c r="AL14" s="38" t="n">
        <f aca="false">AL11/(Hypothèses!$D$23*$E$4)</f>
        <v>238.095238095238</v>
      </c>
      <c r="AN14" s="38" t="n">
        <f aca="false">SUM(C14:N14)</f>
        <v>171.428571428571</v>
      </c>
      <c r="AO14" s="38" t="n">
        <f aca="false">SUM(O14:Z14)</f>
        <v>1142.85714285714</v>
      </c>
      <c r="AP14" s="38" t="n">
        <f aca="false">SUM(AA14:AL14)</f>
        <v>2857.14285714286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0.752137825428571</v>
      </c>
      <c r="K16" s="38" t="n">
        <f aca="false">K9*K13*Hypothèses!$D$24</f>
        <v>1.31604501860286</v>
      </c>
      <c r="L16" s="38" t="n">
        <f aca="false">L9*L13*Hypothèses!$D$24</f>
        <v>1.8743131398454</v>
      </c>
      <c r="M16" s="38" t="n">
        <f aca="false">M9*M13*Hypothèses!$D$24</f>
        <v>2.42699857987552</v>
      </c>
      <c r="N16" s="38" t="n">
        <f aca="false">N9*N13*Hypothèses!$D$24</f>
        <v>2.97415716550533</v>
      </c>
      <c r="O16" s="38" t="n">
        <f aca="false">O9*O13*Hypothèses!$D$24</f>
        <v>3.51584416527885</v>
      </c>
      <c r="P16" s="38" t="n">
        <f aca="false">P9*P13*Hypothèses!$D$24</f>
        <v>5.38544762838797</v>
      </c>
      <c r="Q16" s="38" t="n">
        <f aca="false">Q9*Q13*Hypothèses!$D$24</f>
        <v>7.236355056866</v>
      </c>
      <c r="R16" s="38" t="n">
        <f aca="false">R9*R13*Hypothèses!$D$24</f>
        <v>9.06875341105924</v>
      </c>
      <c r="S16" s="38" t="n">
        <f aca="false">S9*S13*Hypothèses!$D$24</f>
        <v>10.8828277817106</v>
      </c>
      <c r="T16" s="38" t="n">
        <f aca="false">T9*T13*Hypothèses!$D$24</f>
        <v>12.6787614086554</v>
      </c>
      <c r="U16" s="38" t="n">
        <f aca="false">U9*U13*Hypothèses!$D$24</f>
        <v>14.4567356993307</v>
      </c>
      <c r="V16" s="38" t="n">
        <f aca="false">V9*V13*Hypothèses!$D$24</f>
        <v>16.2169302470993</v>
      </c>
      <c r="W16" s="38" t="n">
        <f aca="false">W9*W13*Hypothèses!$D$24</f>
        <v>17.9595228493902</v>
      </c>
      <c r="X16" s="38" t="n">
        <f aca="false">X9*X13*Hypothèses!$D$24</f>
        <v>19.6846895256582</v>
      </c>
      <c r="Y16" s="38" t="n">
        <f aca="false">Y9*Y13*Hypothèses!$D$24</f>
        <v>21.3926045351635</v>
      </c>
      <c r="Z16" s="38" t="n">
        <f aca="false">Z9*Z13*Hypothèses!$D$24</f>
        <v>23.0834403945738</v>
      </c>
      <c r="AA16" s="38" t="n">
        <f aca="false">AA9*AA13*Hypothèses!$D$24</f>
        <v>24.75736789539</v>
      </c>
      <c r="AB16" s="38" t="n">
        <f aca="false">AB9*AB13*Hypothèses!$D$24</f>
        <v>29.2716989783408</v>
      </c>
      <c r="AC16" s="38" t="n">
        <f aca="false">AC9*AC13*Hypothèses!$D$24</f>
        <v>33.7408867504622</v>
      </c>
      <c r="AD16" s="38" t="n">
        <f aca="false">AD9*AD13*Hypothèses!$D$24</f>
        <v>38.1653826448623</v>
      </c>
      <c r="AE16" s="38" t="n">
        <f aca="false">AE9*AE13*Hypothèses!$D$24</f>
        <v>42.5456335803185</v>
      </c>
      <c r="AF16" s="38" t="n">
        <f aca="false">AF9*AF13*Hypothèses!$D$24</f>
        <v>46.88208200642</v>
      </c>
      <c r="AG16" s="38" t="n">
        <f aca="false">AG9*AG13*Hypothèses!$D$24</f>
        <v>51.1751659482606</v>
      </c>
      <c r="AH16" s="38" t="n">
        <f aca="false">AH9*AH13*Hypothèses!$D$24</f>
        <v>55.4253190506828</v>
      </c>
      <c r="AI16" s="38" t="n">
        <f aca="false">AI9*AI13*Hypothèses!$D$24</f>
        <v>59.6329706220807</v>
      </c>
      <c r="AJ16" s="38" t="n">
        <f aca="false">AJ9*AJ13*Hypothèses!$D$24</f>
        <v>63.7985456777647</v>
      </c>
      <c r="AK16" s="38" t="n">
        <f aca="false">AK9*AK13*Hypothèses!$D$24</f>
        <v>67.9224649828918</v>
      </c>
      <c r="AL16" s="38" t="n">
        <f aca="false">AL9*AL13*Hypothèses!$D$24</f>
        <v>72.0051450949676</v>
      </c>
      <c r="AN16" s="38" t="n">
        <f aca="false">SUM(C16:N16)</f>
        <v>9.52618632925768</v>
      </c>
      <c r="AO16" s="38" t="n">
        <f aca="false">SUM(O16:Z16)</f>
        <v>161.561912703174</v>
      </c>
      <c r="AP16" s="38" t="n">
        <f aca="false">SUM(AA16:AL16)</f>
        <v>585.322663232442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1.12820673814286</v>
      </c>
      <c r="K17" s="38" t="n">
        <f aca="false">K13*Hypothèses!$D$26*$D$4</f>
        <v>1.97406752790429</v>
      </c>
      <c r="L17" s="38" t="n">
        <f aca="false">L13*Hypothèses!$D$26*$D$4</f>
        <v>2.8114697097681</v>
      </c>
      <c r="M17" s="38" t="n">
        <f aca="false">M13*Hypothèses!$D$26*$D$4</f>
        <v>3.64049786981328</v>
      </c>
      <c r="N17" s="38" t="n">
        <f aca="false">N13*Hypothèses!$D$26*$D$4</f>
        <v>4.461235748258</v>
      </c>
      <c r="O17" s="38" t="n">
        <f aca="false">O13*Hypothèses!$D$26*$D$4</f>
        <v>5.27376624791828</v>
      </c>
      <c r="P17" s="38" t="n">
        <f aca="false">P13*Hypothèses!$D$26*$D$4</f>
        <v>8.07817144258195</v>
      </c>
      <c r="Q17" s="38" t="n">
        <f aca="false">Q13*Hypothèses!$D$26*$D$4</f>
        <v>10.854532585299</v>
      </c>
      <c r="R17" s="38" t="n">
        <f aca="false">R13*Hypothèses!$D$26*$D$4</f>
        <v>13.6031301165889</v>
      </c>
      <c r="S17" s="38" t="n">
        <f aca="false">S13*Hypothèses!$D$26*$D$4</f>
        <v>16.3242416725658</v>
      </c>
      <c r="T17" s="38" t="n">
        <f aca="false">T13*Hypothèses!$D$26*$D$4</f>
        <v>19.018142112983</v>
      </c>
      <c r="U17" s="38" t="n">
        <f aca="false">U13*Hypothèses!$D$26*$D$4</f>
        <v>21.6851035489961</v>
      </c>
      <c r="V17" s="38" t="n">
        <f aca="false">V13*Hypothèses!$D$26*$D$4</f>
        <v>24.325395370649</v>
      </c>
      <c r="W17" s="38" t="n">
        <f aca="false">W13*Hypothèses!$D$26*$D$4</f>
        <v>26.9392842740853</v>
      </c>
      <c r="X17" s="38" t="n">
        <f aca="false">X13*Hypothèses!$D$26*$D$4</f>
        <v>29.5270342884873</v>
      </c>
      <c r="Y17" s="38" t="n">
        <f aca="false">Y13*Hypothèses!$D$26*$D$4</f>
        <v>32.0889068027453</v>
      </c>
      <c r="Z17" s="38" t="n">
        <f aca="false">Z13*Hypothèses!$D$26*$D$4</f>
        <v>34.6251605918607</v>
      </c>
      <c r="AA17" s="38" t="n">
        <f aca="false">AA13*Hypothèses!$D$26*$D$4</f>
        <v>37.136051843085</v>
      </c>
      <c r="AB17" s="38" t="n">
        <f aca="false">AB13*Hypothèses!$D$26*$D$4</f>
        <v>43.9075484675113</v>
      </c>
      <c r="AC17" s="38" t="n">
        <f aca="false">AC13*Hypothèses!$D$26*$D$4</f>
        <v>50.6113301256933</v>
      </c>
      <c r="AD17" s="38" t="n">
        <f aca="false">AD13*Hypothèses!$D$26*$D$4</f>
        <v>57.2480739672935</v>
      </c>
      <c r="AE17" s="38" t="n">
        <f aca="false">AE13*Hypothèses!$D$26*$D$4</f>
        <v>63.8184503704777</v>
      </c>
      <c r="AF17" s="38" t="n">
        <f aca="false">AF13*Hypothèses!$D$26*$D$4</f>
        <v>70.3231230096301</v>
      </c>
      <c r="AG17" s="38" t="n">
        <f aca="false">AG13*Hypothèses!$D$26*$D$4</f>
        <v>76.7627489223909</v>
      </c>
      <c r="AH17" s="38" t="n">
        <f aca="false">AH13*Hypothèses!$D$26*$D$4</f>
        <v>83.1379785760241</v>
      </c>
      <c r="AI17" s="38" t="n">
        <f aca="false">AI13*Hypothèses!$D$26*$D$4</f>
        <v>89.449455933121</v>
      </c>
      <c r="AJ17" s="38" t="n">
        <f aca="false">AJ13*Hypothèses!$D$26*$D$4</f>
        <v>95.697818516647</v>
      </c>
      <c r="AK17" s="38" t="n">
        <f aca="false">AK13*Hypothèses!$D$26*$D$4</f>
        <v>101.883697474338</v>
      </c>
      <c r="AL17" s="38" t="n">
        <f aca="false">AL13*Hypothèses!$D$26*$D$4</f>
        <v>108.007717642451</v>
      </c>
      <c r="AN17" s="38" t="n">
        <f aca="false">SUM(C17:N17)</f>
        <v>15.1625494938865</v>
      </c>
      <c r="AO17" s="38" t="n">
        <f aca="false">SUM(O17:Z17)</f>
        <v>242.342869054761</v>
      </c>
      <c r="AP17" s="38" t="n">
        <f aca="false">SUM(AA17:AL17)</f>
        <v>877.983994848663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37.6068912714286</v>
      </c>
      <c r="J18" s="39" t="n">
        <f aca="false">J13+J14+J15+J16-J17</f>
        <v>65.8022509301429</v>
      </c>
      <c r="K18" s="39" t="n">
        <f aca="false">K13+K14+K15+K16-K17</f>
        <v>93.71565699227</v>
      </c>
      <c r="L18" s="39" t="n">
        <f aca="false">L13+L14+L15+L16-L17</f>
        <v>121.349928993776</v>
      </c>
      <c r="M18" s="39" t="n">
        <f aca="false">M13+M14+M15+M16-M17</f>
        <v>148.707858275267</v>
      </c>
      <c r="N18" s="39" t="n">
        <f aca="false">N13+N14+N15+N16-N17</f>
        <v>175.792208263943</v>
      </c>
      <c r="O18" s="39" t="n">
        <f aca="false">O13+O14+O15+O16-O17</f>
        <v>269.272381419398</v>
      </c>
      <c r="P18" s="39" t="n">
        <f aca="false">P13+P14+P15+P16-P17</f>
        <v>361.8177528433</v>
      </c>
      <c r="Q18" s="39" t="n">
        <f aca="false">Q13+Q14+Q15+Q16-Q17</f>
        <v>453.437670552962</v>
      </c>
      <c r="R18" s="39" t="n">
        <f aca="false">R13+R14+R15+R16-R17</f>
        <v>544.141389085528</v>
      </c>
      <c r="S18" s="39" t="n">
        <f aca="false">S13+S14+S15+S16-S17</f>
        <v>633.938070432768</v>
      </c>
      <c r="T18" s="39" t="n">
        <f aca="false">T13+T14+T15+T16-T17</f>
        <v>722.836784966535</v>
      </c>
      <c r="U18" s="39" t="n">
        <f aca="false">U13+U14+U15+U16-U17</f>
        <v>810.846512354965</v>
      </c>
      <c r="V18" s="39" t="n">
        <f aca="false">V13+V14+V15+V16-V17</f>
        <v>897.976142469511</v>
      </c>
      <c r="W18" s="39" t="n">
        <f aca="false">W13+W14+W15+W16-W17</f>
        <v>984.234476282911</v>
      </c>
      <c r="X18" s="39" t="n">
        <f aca="false">X13+X14+X15+X16-X17</f>
        <v>1069.63022675818</v>
      </c>
      <c r="Y18" s="39" t="n">
        <f aca="false">Y13+Y14+Y15+Y16-Y17</f>
        <v>1154.17201972869</v>
      </c>
      <c r="Z18" s="39" t="n">
        <f aca="false">Z13+Z14+Z15+Z16-Z17</f>
        <v>1237.8683947695</v>
      </c>
      <c r="AA18" s="39" t="n">
        <f aca="false">AA13+AA14+AA15+AA16-AA17</f>
        <v>1463.58494891704</v>
      </c>
      <c r="AB18" s="39" t="n">
        <f aca="false">AB13+AB14+AB15+AB16-AB17</f>
        <v>1687.04433752311</v>
      </c>
      <c r="AC18" s="39" t="n">
        <f aca="false">AC13+AC14+AC15+AC16-AC17</f>
        <v>1908.26913224312</v>
      </c>
      <c r="AD18" s="39" t="n">
        <f aca="false">AD13+AD14+AD15+AD16-AD17</f>
        <v>2127.28167901592</v>
      </c>
      <c r="AE18" s="39" t="n">
        <f aca="false">AE13+AE14+AE15+AE16-AE17</f>
        <v>2344.104100321</v>
      </c>
      <c r="AF18" s="39" t="n">
        <f aca="false">AF13+AF14+AF15+AF16-AF17</f>
        <v>2558.75829741303</v>
      </c>
      <c r="AG18" s="39" t="n">
        <f aca="false">AG13+AG14+AG15+AG16-AG17</f>
        <v>2771.26595253414</v>
      </c>
      <c r="AH18" s="39" t="n">
        <f aca="false">AH13+AH14+AH15+AH16-AH17</f>
        <v>2981.64853110403</v>
      </c>
      <c r="AI18" s="39" t="n">
        <f aca="false">AI13+AI14+AI15+AI16-AI17</f>
        <v>3189.92728388823</v>
      </c>
      <c r="AJ18" s="39" t="n">
        <f aca="false">AJ13+AJ14+AJ15+AJ16-AJ17</f>
        <v>3396.12324914459</v>
      </c>
      <c r="AK18" s="39" t="n">
        <f aca="false">AK13+AK14+AK15+AK16-AK17</f>
        <v>3600.25725474838</v>
      </c>
      <c r="AL18" s="39" t="n">
        <f aca="false">AL13+AL14+AL15+AL16-AL17</f>
        <v>3802.34992029613</v>
      </c>
      <c r="AN18" s="39" t="n">
        <f aca="false">N18</f>
        <v>175.792208263943</v>
      </c>
      <c r="AO18" s="39" t="n">
        <f aca="false">Z18</f>
        <v>1237.8683947695</v>
      </c>
      <c r="AP18" s="39" t="n">
        <f aca="false">AL18</f>
        <v>3802.34992029613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9.40172281785714</v>
      </c>
      <c r="J19" s="38" t="n">
        <f aca="false">J18*Hypothèses!$D$16</f>
        <v>16.4505627325357</v>
      </c>
      <c r="K19" s="38" t="n">
        <f aca="false">K18*Hypothèses!$D$16</f>
        <v>23.4289142480675</v>
      </c>
      <c r="L19" s="38" t="n">
        <f aca="false">L18*Hypothèses!$D$16</f>
        <v>30.337482248444</v>
      </c>
      <c r="M19" s="38" t="n">
        <f aca="false">M18*Hypothèses!$D$16</f>
        <v>37.1769645688167</v>
      </c>
      <c r="N19" s="38" t="n">
        <f aca="false">N18*Hypothèses!$D$16</f>
        <v>43.9480520659857</v>
      </c>
      <c r="O19" s="38" t="n">
        <f aca="false">O18*Hypothèses!$D$16</f>
        <v>67.3180953548496</v>
      </c>
      <c r="P19" s="38" t="n">
        <f aca="false">P18*Hypothèses!$D$16</f>
        <v>90.4544382108249</v>
      </c>
      <c r="Q19" s="38" t="n">
        <f aca="false">Q18*Hypothèses!$D$16</f>
        <v>113.35941763824</v>
      </c>
      <c r="R19" s="38" t="n">
        <f aca="false">R18*Hypothèses!$D$16</f>
        <v>136.035347271382</v>
      </c>
      <c r="S19" s="38" t="n">
        <f aca="false">S18*Hypothèses!$D$16</f>
        <v>158.484517608192</v>
      </c>
      <c r="T19" s="38" t="n">
        <f aca="false">T18*Hypothèses!$D$16</f>
        <v>180.709196241634</v>
      </c>
      <c r="U19" s="38" t="n">
        <f aca="false">U18*Hypothèses!$D$16</f>
        <v>202.711628088741</v>
      </c>
      <c r="V19" s="38" t="n">
        <f aca="false">V18*Hypothèses!$D$16</f>
        <v>224.494035617378</v>
      </c>
      <c r="W19" s="38" t="n">
        <f aca="false">W18*Hypothèses!$D$16</f>
        <v>246.058619070728</v>
      </c>
      <c r="X19" s="38" t="n">
        <f aca="false">X18*Hypothèses!$D$16</f>
        <v>267.407556689544</v>
      </c>
      <c r="Y19" s="38" t="n">
        <f aca="false">Y18*Hypothèses!$D$16</f>
        <v>288.543004932173</v>
      </c>
      <c r="Z19" s="38" t="n">
        <f aca="false">Z18*Hypothèses!$D$16</f>
        <v>309.467098692375</v>
      </c>
      <c r="AA19" s="38" t="n">
        <f aca="false">AA18*Hypothèses!$D$16</f>
        <v>365.89623722926</v>
      </c>
      <c r="AB19" s="38" t="n">
        <f aca="false">AB18*Hypothèses!$D$16</f>
        <v>421.761084380777</v>
      </c>
      <c r="AC19" s="38" t="n">
        <f aca="false">AC18*Hypothèses!$D$16</f>
        <v>477.067283060779</v>
      </c>
      <c r="AD19" s="38" t="n">
        <f aca="false">AD18*Hypothèses!$D$16</f>
        <v>531.820419753981</v>
      </c>
      <c r="AE19" s="38" t="n">
        <f aca="false">AE18*Hypothèses!$D$16</f>
        <v>586.02602508025</v>
      </c>
      <c r="AF19" s="38" t="n">
        <f aca="false">AF18*Hypothèses!$D$16</f>
        <v>639.689574353258</v>
      </c>
      <c r="AG19" s="38" t="n">
        <f aca="false">AG18*Hypothèses!$D$16</f>
        <v>692.816488133534</v>
      </c>
      <c r="AH19" s="38" t="n">
        <f aca="false">AH18*Hypothèses!$D$16</f>
        <v>745.412132776009</v>
      </c>
      <c r="AI19" s="38" t="n">
        <f aca="false">AI18*Hypothèses!$D$16</f>
        <v>797.481820972058</v>
      </c>
      <c r="AJ19" s="38" t="n">
        <f aca="false">AJ18*Hypothèses!$D$16</f>
        <v>849.030812286147</v>
      </c>
      <c r="AK19" s="38" t="n">
        <f aca="false">AK18*Hypothèses!$D$16</f>
        <v>900.064313687095</v>
      </c>
      <c r="AL19" s="38" t="n">
        <f aca="false">AL18*Hypothèses!$D$16</f>
        <v>950.587480074034</v>
      </c>
      <c r="AN19" s="38" t="n">
        <f aca="false">N19</f>
        <v>43.9480520659857</v>
      </c>
      <c r="AO19" s="38" t="n">
        <f aca="false">Z19</f>
        <v>309.467098692375</v>
      </c>
      <c r="AP19" s="38" t="n">
        <f aca="false">AL19</f>
        <v>950.587480074034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22.5641347628571</v>
      </c>
      <c r="J20" s="38" t="n">
        <f aca="false">J18*Hypothèses!$D$17</f>
        <v>39.4813505580857</v>
      </c>
      <c r="K20" s="38" t="n">
        <f aca="false">K18*Hypothèses!$D$17</f>
        <v>56.229394195362</v>
      </c>
      <c r="L20" s="38" t="n">
        <f aca="false">L18*Hypothèses!$D$17</f>
        <v>72.8099573962655</v>
      </c>
      <c r="M20" s="38" t="n">
        <f aca="false">M18*Hypothèses!$D$17</f>
        <v>89.22471496516</v>
      </c>
      <c r="N20" s="38" t="n">
        <f aca="false">N18*Hypothèses!$D$17</f>
        <v>105.475324958366</v>
      </c>
      <c r="O20" s="38" t="n">
        <f aca="false">O18*Hypothèses!$D$17</f>
        <v>161.563428851639</v>
      </c>
      <c r="P20" s="38" t="n">
        <f aca="false">P18*Hypothèses!$D$17</f>
        <v>217.09065170598</v>
      </c>
      <c r="Q20" s="38" t="n">
        <f aca="false">Q18*Hypothèses!$D$17</f>
        <v>272.062602331777</v>
      </c>
      <c r="R20" s="38" t="n">
        <f aca="false">R18*Hypothèses!$D$17</f>
        <v>326.484833451317</v>
      </c>
      <c r="S20" s="38" t="n">
        <f aca="false">S18*Hypothèses!$D$17</f>
        <v>380.362842259661</v>
      </c>
      <c r="T20" s="38" t="n">
        <f aca="false">T18*Hypothèses!$D$17</f>
        <v>433.702070979921</v>
      </c>
      <c r="U20" s="38" t="n">
        <f aca="false">U18*Hypothèses!$D$17</f>
        <v>486.507907412979</v>
      </c>
      <c r="V20" s="38" t="n">
        <f aca="false">V18*Hypothèses!$D$17</f>
        <v>538.785685481706</v>
      </c>
      <c r="W20" s="38" t="n">
        <f aca="false">W18*Hypothèses!$D$17</f>
        <v>590.540685769746</v>
      </c>
      <c r="X20" s="38" t="n">
        <f aca="false">X18*Hypothèses!$D$17</f>
        <v>641.778136054906</v>
      </c>
      <c r="Y20" s="38" t="n">
        <f aca="false">Y18*Hypothèses!$D$17</f>
        <v>692.503211837214</v>
      </c>
      <c r="Z20" s="38" t="n">
        <f aca="false">Z18*Hypothèses!$D$17</f>
        <v>742.721036861699</v>
      </c>
      <c r="AA20" s="38" t="n">
        <f aca="false">AA18*Hypothèses!$D$17</f>
        <v>878.150969350225</v>
      </c>
      <c r="AB20" s="38" t="n">
        <f aca="false">AB18*Hypothèses!$D$17</f>
        <v>1012.22660251387</v>
      </c>
      <c r="AC20" s="38" t="n">
        <f aca="false">AC18*Hypothèses!$D$17</f>
        <v>1144.96147934587</v>
      </c>
      <c r="AD20" s="38" t="n">
        <f aca="false">AD18*Hypothèses!$D$17</f>
        <v>1276.36900740955</v>
      </c>
      <c r="AE20" s="38" t="n">
        <f aca="false">AE18*Hypothèses!$D$17</f>
        <v>1406.4624601926</v>
      </c>
      <c r="AF20" s="38" t="n">
        <f aca="false">AF18*Hypothèses!$D$17</f>
        <v>1535.25497844782</v>
      </c>
      <c r="AG20" s="38" t="n">
        <f aca="false">AG18*Hypothèses!$D$17</f>
        <v>1662.75957152048</v>
      </c>
      <c r="AH20" s="38" t="n">
        <f aca="false">AH18*Hypothèses!$D$17</f>
        <v>1788.98911866242</v>
      </c>
      <c r="AI20" s="38" t="n">
        <f aca="false">AI18*Hypothèses!$D$17</f>
        <v>1913.95637033294</v>
      </c>
      <c r="AJ20" s="38" t="n">
        <f aca="false">AJ18*Hypothèses!$D$17</f>
        <v>2037.67394948675</v>
      </c>
      <c r="AK20" s="38" t="n">
        <f aca="false">AK18*Hypothèses!$D$17</f>
        <v>2160.15435284903</v>
      </c>
      <c r="AL20" s="38" t="n">
        <f aca="false">AL18*Hypothèses!$D$17</f>
        <v>2281.40995217768</v>
      </c>
      <c r="AN20" s="38" t="n">
        <f aca="false">N20</f>
        <v>105.475324958366</v>
      </c>
      <c r="AO20" s="38" t="n">
        <f aca="false">Z20</f>
        <v>742.721036861699</v>
      </c>
      <c r="AP20" s="38" t="n">
        <f aca="false">AL20</f>
        <v>2281.40995217768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5.64103369071429</v>
      </c>
      <c r="J21" s="38" t="n">
        <f aca="false">J18*Hypothèses!$D$18</f>
        <v>9.87033763952143</v>
      </c>
      <c r="K21" s="38" t="n">
        <f aca="false">K18*Hypothèses!$D$18</f>
        <v>14.0573485488405</v>
      </c>
      <c r="L21" s="38" t="n">
        <f aca="false">L18*Hypothèses!$D$18</f>
        <v>18.2024893490664</v>
      </c>
      <c r="M21" s="38" t="n">
        <f aca="false">M18*Hypothèses!$D$18</f>
        <v>22.30617874129</v>
      </c>
      <c r="N21" s="38" t="n">
        <f aca="false">N18*Hypothèses!$D$18</f>
        <v>26.3688312395914</v>
      </c>
      <c r="O21" s="38" t="n">
        <f aca="false">O18*Hypothèses!$D$18</f>
        <v>40.3908572129098</v>
      </c>
      <c r="P21" s="38" t="n">
        <f aca="false">P18*Hypothèses!$D$18</f>
        <v>54.272662926495</v>
      </c>
      <c r="Q21" s="38" t="n">
        <f aca="false">Q18*Hypothèses!$D$18</f>
        <v>68.0156505829443</v>
      </c>
      <c r="R21" s="38" t="n">
        <f aca="false">R18*Hypothèses!$D$18</f>
        <v>81.6212083628291</v>
      </c>
      <c r="S21" s="38" t="n">
        <f aca="false">S18*Hypothèses!$D$18</f>
        <v>95.0907105649151</v>
      </c>
      <c r="T21" s="38" t="n">
        <f aca="false">T18*Hypothèses!$D$18</f>
        <v>108.42551774498</v>
      </c>
      <c r="U21" s="38" t="n">
        <f aca="false">U18*Hypothèses!$D$18</f>
        <v>121.626976853245</v>
      </c>
      <c r="V21" s="38" t="n">
        <f aca="false">V18*Hypothèses!$D$18</f>
        <v>134.696421370427</v>
      </c>
      <c r="W21" s="38" t="n">
        <f aca="false">W18*Hypothèses!$D$18</f>
        <v>147.635171442437</v>
      </c>
      <c r="X21" s="38" t="n">
        <f aca="false">X18*Hypothèses!$D$18</f>
        <v>160.444534013727</v>
      </c>
      <c r="Y21" s="38" t="n">
        <f aca="false">Y18*Hypothèses!$D$18</f>
        <v>173.125802959304</v>
      </c>
      <c r="Z21" s="38" t="n">
        <f aca="false">Z18*Hypothèses!$D$18</f>
        <v>185.680259215425</v>
      </c>
      <c r="AA21" s="38" t="n">
        <f aca="false">AA18*Hypothèses!$D$18</f>
        <v>219.537742337556</v>
      </c>
      <c r="AB21" s="38" t="n">
        <f aca="false">AB18*Hypothèses!$D$18</f>
        <v>253.056650628466</v>
      </c>
      <c r="AC21" s="38" t="n">
        <f aca="false">AC18*Hypothèses!$D$18</f>
        <v>286.240369836467</v>
      </c>
      <c r="AD21" s="38" t="n">
        <f aca="false">AD18*Hypothèses!$D$18</f>
        <v>319.092251852389</v>
      </c>
      <c r="AE21" s="38" t="n">
        <f aca="false">AE18*Hypothèses!$D$18</f>
        <v>351.61561504815</v>
      </c>
      <c r="AF21" s="38" t="n">
        <f aca="false">AF18*Hypothèses!$D$18</f>
        <v>383.813744611955</v>
      </c>
      <c r="AG21" s="38" t="n">
        <f aca="false">AG18*Hypothèses!$D$18</f>
        <v>415.689892880121</v>
      </c>
      <c r="AH21" s="38" t="n">
        <f aca="false">AH18*Hypothèses!$D$18</f>
        <v>447.247279665605</v>
      </c>
      <c r="AI21" s="38" t="n">
        <f aca="false">AI18*Hypothèses!$D$18</f>
        <v>478.489092583235</v>
      </c>
      <c r="AJ21" s="38" t="n">
        <f aca="false">AJ18*Hypothèses!$D$18</f>
        <v>509.418487371688</v>
      </c>
      <c r="AK21" s="38" t="n">
        <f aca="false">AK18*Hypothèses!$D$18</f>
        <v>540.038588212257</v>
      </c>
      <c r="AL21" s="38" t="n">
        <f aca="false">AL18*Hypothèses!$D$18</f>
        <v>570.35248804442</v>
      </c>
      <c r="AN21" s="38" t="n">
        <f aca="false">N21</f>
        <v>26.3688312395914</v>
      </c>
      <c r="AO21" s="38" t="n">
        <f aca="false">Z21</f>
        <v>185.680259215425</v>
      </c>
      <c r="AP21" s="38" t="n">
        <f aca="false">AL21</f>
        <v>570.35248804442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70.325</v>
      </c>
      <c r="G23" s="15" t="n">
        <f aca="false">G19*Hypothèses!$D$12*$C$4</f>
        <v>68.21525</v>
      </c>
      <c r="H23" s="15" t="n">
        <f aca="false">H19*Hypothèses!$D$12*$C$4</f>
        <v>66.1687925</v>
      </c>
      <c r="I23" s="15" t="n">
        <f aca="false">I19*Hypothèses!$D$12*$C$4</f>
        <v>272.649961717857</v>
      </c>
      <c r="J23" s="15" t="n">
        <f aca="false">J19*Hypothèses!$D$12*$C$4</f>
        <v>477.066319243536</v>
      </c>
      <c r="K23" s="15" t="n">
        <f aca="false">K19*Hypothèses!$D$12*$C$4</f>
        <v>679.438513193958</v>
      </c>
      <c r="L23" s="15" t="n">
        <f aca="false">L19*Hypothèses!$D$12*$C$4</f>
        <v>879.786985204875</v>
      </c>
      <c r="M23" s="15" t="n">
        <f aca="false">M19*Hypothèses!$D$12*$C$4</f>
        <v>1078.13197249568</v>
      </c>
      <c r="N23" s="15" t="n">
        <f aca="false">N19*Hypothèses!$D$12*$C$4</f>
        <v>1274.49350991358</v>
      </c>
      <c r="O23" s="15" t="n">
        <f aca="false">O19*Hypothèses!$D$12*$C$4</f>
        <v>1952.22476529064</v>
      </c>
      <c r="P23" s="15" t="n">
        <f aca="false">P19*Hypothèses!$D$12*$C$4</f>
        <v>2623.17870811392</v>
      </c>
      <c r="Q23" s="15" t="n">
        <f aca="false">Q19*Hypothèses!$D$12*$C$4</f>
        <v>3287.42311150897</v>
      </c>
      <c r="R23" s="15" t="n">
        <f aca="false">R19*Hypothèses!$D$12*$C$4</f>
        <v>3945.02507087007</v>
      </c>
      <c r="S23" s="15" t="n">
        <f aca="false">S19*Hypothèses!$D$12*$C$4</f>
        <v>4596.05101063757</v>
      </c>
      <c r="T23" s="15" t="n">
        <f aca="false">T19*Hypothèses!$D$12*$C$4</f>
        <v>5240.56669100738</v>
      </c>
      <c r="U23" s="15" t="n">
        <f aca="false">U19*Hypothèses!$D$12*$C$4</f>
        <v>5878.6372145735</v>
      </c>
      <c r="V23" s="15" t="n">
        <f aca="false">V19*Hypothèses!$D$12*$C$4</f>
        <v>6510.32703290395</v>
      </c>
      <c r="W23" s="15" t="n">
        <f aca="false">W19*Hypothèses!$D$12*$C$4</f>
        <v>7135.6999530511</v>
      </c>
      <c r="X23" s="15" t="n">
        <f aca="false">X19*Hypothèses!$D$12*$C$4</f>
        <v>7754.81914399678</v>
      </c>
      <c r="Y23" s="15" t="n">
        <f aca="false">Y19*Hypothèses!$D$12*$C$4</f>
        <v>8367.74714303301</v>
      </c>
      <c r="Z23" s="15" t="n">
        <f aca="false">Z19*Hypothèses!$D$12*$C$4</f>
        <v>8974.54586207887</v>
      </c>
      <c r="AA23" s="15" t="n">
        <f aca="false">AA19*Hypothèses!$D$12*$C$4</f>
        <v>10610.9908796486</v>
      </c>
      <c r="AB23" s="15" t="n">
        <f aca="false">AB19*Hypothèses!$D$12*$C$4</f>
        <v>12231.0714470425</v>
      </c>
      <c r="AC23" s="15" t="n">
        <f aca="false">AC19*Hypothèses!$D$12*$C$4</f>
        <v>13834.9512087626</v>
      </c>
      <c r="AD23" s="15" t="n">
        <f aca="false">AD19*Hypothèses!$D$12*$C$4</f>
        <v>15422.7921728654</v>
      </c>
      <c r="AE23" s="15" t="n">
        <f aca="false">AE19*Hypothèses!$D$12*$C$4</f>
        <v>16994.7547273273</v>
      </c>
      <c r="AF23" s="15" t="n">
        <f aca="false">AF19*Hypothèses!$D$12*$C$4</f>
        <v>18550.9976562445</v>
      </c>
      <c r="AG23" s="15" t="n">
        <f aca="false">AG19*Hypothèses!$D$12*$C$4</f>
        <v>20091.6781558725</v>
      </c>
      <c r="AH23" s="15" t="n">
        <f aca="false">AH19*Hypothèses!$D$12*$C$4</f>
        <v>21616.9518505043</v>
      </c>
      <c r="AI23" s="15" t="n">
        <f aca="false">AI19*Hypothèses!$D$12*$C$4</f>
        <v>23126.9728081897</v>
      </c>
      <c r="AJ23" s="15" t="n">
        <f aca="false">AJ19*Hypothèses!$D$12*$C$4</f>
        <v>24621.8935562983</v>
      </c>
      <c r="AK23" s="15" t="n">
        <f aca="false">AK19*Hypothèses!$D$12*$C$4</f>
        <v>26101.8650969258</v>
      </c>
      <c r="AL23" s="15" t="n">
        <f aca="false">AL19*Hypothèses!$D$12*$C$4</f>
        <v>27567.036922147</v>
      </c>
      <c r="AN23" s="15" t="n">
        <f aca="false">SUM(C23:N23)</f>
        <v>4938.77630426949</v>
      </c>
      <c r="AO23" s="15" t="n">
        <f aca="false">SUM(O23:Z23)</f>
        <v>66266.2457070658</v>
      </c>
      <c r="AP23" s="15" t="n">
        <f aca="false">SUM(AA23:AL23)</f>
        <v>230771.956481828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459.78</v>
      </c>
      <c r="G24" s="15" t="n">
        <f aca="false">G20*Hypothèses!$D$13*$C$4</f>
        <v>445.9866</v>
      </c>
      <c r="H24" s="15" t="n">
        <f aca="false">H20*Hypothèses!$D$13*$C$4</f>
        <v>432.607002</v>
      </c>
      <c r="I24" s="15" t="n">
        <f aca="false">I20*Hypothèses!$D$13*$C$4</f>
        <v>1782.56664626571</v>
      </c>
      <c r="J24" s="15" t="n">
        <f aca="false">J20*Hypothèses!$D$13*$C$4</f>
        <v>3119.02669408877</v>
      </c>
      <c r="K24" s="15" t="n">
        <f aca="false">K20*Hypothèses!$D$13*$C$4</f>
        <v>4442.1221414336</v>
      </c>
      <c r="L24" s="15" t="n">
        <f aca="false">L20*Hypothèses!$D$13*$C$4</f>
        <v>5751.98663430498</v>
      </c>
      <c r="M24" s="15" t="n">
        <f aca="false">M20*Hypothèses!$D$13*$C$4</f>
        <v>7048.75248224764</v>
      </c>
      <c r="N24" s="15" t="n">
        <f aca="false">N20*Hypothèses!$D$13*$C$4</f>
        <v>8332.55067171088</v>
      </c>
      <c r="O24" s="15" t="n">
        <f aca="false">O20*Hypothèses!$D$13*$C$4</f>
        <v>12763.5108792795</v>
      </c>
      <c r="P24" s="15" t="n">
        <f aca="false">P20*Hypothèses!$D$13*$C$4</f>
        <v>17150.1614847724</v>
      </c>
      <c r="Q24" s="15" t="n">
        <f aca="false">Q20*Hypothèses!$D$13*$C$4</f>
        <v>21492.9455842104</v>
      </c>
      <c r="R24" s="15" t="n">
        <f aca="false">R20*Hypothèses!$D$13*$C$4</f>
        <v>25792.301842654</v>
      </c>
      <c r="S24" s="15" t="n">
        <f aca="false">S20*Hypothèses!$D$13*$C$4</f>
        <v>30048.6645385132</v>
      </c>
      <c r="T24" s="15" t="n">
        <f aca="false">T20*Hypothèses!$D$13*$C$4</f>
        <v>34262.4636074138</v>
      </c>
      <c r="U24" s="15" t="n">
        <f aca="false">U20*Hypothèses!$D$13*$C$4</f>
        <v>38434.1246856254</v>
      </c>
      <c r="V24" s="15" t="n">
        <f aca="false">V20*Hypothèses!$D$13*$C$4</f>
        <v>42564.0691530548</v>
      </c>
      <c r="W24" s="15" t="n">
        <f aca="false">W20*Hypothèses!$D$13*$C$4</f>
        <v>46652.71417581</v>
      </c>
      <c r="X24" s="15" t="n">
        <f aca="false">X20*Hypothèses!$D$13*$C$4</f>
        <v>50700.4727483376</v>
      </c>
      <c r="Y24" s="15" t="n">
        <f aca="false">Y20*Hypothèses!$D$13*$C$4</f>
        <v>54707.7537351399</v>
      </c>
      <c r="Z24" s="15" t="n">
        <f aca="false">Z20*Hypothèses!$D$13*$C$4</f>
        <v>58674.9619120742</v>
      </c>
      <c r="AA24" s="15" t="n">
        <f aca="false">AA20*Hypothèses!$D$13*$C$4</f>
        <v>69373.9265786678</v>
      </c>
      <c r="AB24" s="15" t="n">
        <f aca="false">AB20*Hypothèses!$D$13*$C$4</f>
        <v>79965.9015985954</v>
      </c>
      <c r="AC24" s="15" t="n">
        <f aca="false">AC20*Hypothèses!$D$13*$C$4</f>
        <v>90451.9568683237</v>
      </c>
      <c r="AD24" s="15" t="n">
        <f aca="false">AD20*Hypothèses!$D$13*$C$4</f>
        <v>100833.151585355</v>
      </c>
      <c r="AE24" s="15" t="n">
        <f aca="false">AE20*Hypothèses!$D$13*$C$4</f>
        <v>111110.534355215</v>
      </c>
      <c r="AF24" s="15" t="n">
        <f aca="false">AF20*Hypothèses!$D$13*$C$4</f>
        <v>121285.143297378</v>
      </c>
      <c r="AG24" s="15" t="n">
        <f aca="false">AG20*Hypothèses!$D$13*$C$4</f>
        <v>131358.006150118</v>
      </c>
      <c r="AH24" s="15" t="n">
        <f aca="false">AH20*Hypothèses!$D$13*$C$4</f>
        <v>141330.140374331</v>
      </c>
      <c r="AI24" s="15" t="n">
        <f aca="false">AI20*Hypothèses!$D$13*$C$4</f>
        <v>151202.553256302</v>
      </c>
      <c r="AJ24" s="15" t="n">
        <f aca="false">AJ20*Hypothèses!$D$13*$C$4</f>
        <v>160976.242009453</v>
      </c>
      <c r="AK24" s="15" t="n">
        <f aca="false">AK20*Hypothèses!$D$13*$C$4</f>
        <v>170652.193875073</v>
      </c>
      <c r="AL24" s="15" t="n">
        <f aca="false">AL20*Hypothèses!$D$13*$C$4</f>
        <v>180231.386222037</v>
      </c>
      <c r="AN24" s="15" t="n">
        <f aca="false">SUM(C24:N24)</f>
        <v>32289.3788720516</v>
      </c>
      <c r="AO24" s="15" t="n">
        <f aca="false">SUM(O24:Z24)</f>
        <v>433244.144346885</v>
      </c>
      <c r="AP24" s="15" t="n">
        <f aca="false">SUM(AA24:AL24)</f>
        <v>1508771.13617085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187.695</v>
      </c>
      <c r="G25" s="15" t="n">
        <f aca="false">G21*Hypothèses!$D$14*$C$4</f>
        <v>182.06415</v>
      </c>
      <c r="H25" s="15" t="n">
        <f aca="false">H21*Hypothèses!$D$14*$C$4</f>
        <v>176.6022255</v>
      </c>
      <c r="I25" s="15" t="n">
        <f aca="false">I21*Hypothèses!$D$14*$C$4</f>
        <v>727.693346102143</v>
      </c>
      <c r="J25" s="15" t="n">
        <f aca="false">J21*Hypothèses!$D$14*$C$4</f>
        <v>1273.27355549826</v>
      </c>
      <c r="K25" s="15" t="n">
        <f aca="false">K21*Hypothèses!$D$14*$C$4</f>
        <v>1813.39796280042</v>
      </c>
      <c r="L25" s="15" t="n">
        <f aca="false">L21*Hypothèses!$D$14*$C$4</f>
        <v>2348.12112602956</v>
      </c>
      <c r="M25" s="15" t="n">
        <f aca="false">M21*Hypothèses!$D$14*$C$4</f>
        <v>2877.49705762641</v>
      </c>
      <c r="N25" s="15" t="n">
        <f aca="false">N21*Hypothèses!$D$14*$C$4</f>
        <v>3401.57922990729</v>
      </c>
      <c r="O25" s="15" t="n">
        <f aca="false">O21*Hypothèses!$D$14*$C$4</f>
        <v>5210.42058046536</v>
      </c>
      <c r="P25" s="15" t="n">
        <f aca="false">P21*Hypothèses!$D$14*$C$4</f>
        <v>7001.17351751785</v>
      </c>
      <c r="Q25" s="15" t="n">
        <f aca="false">Q21*Hypothèses!$D$14*$C$4</f>
        <v>8774.01892519981</v>
      </c>
      <c r="R25" s="15" t="n">
        <f aca="false">R21*Hypothèses!$D$14*$C$4</f>
        <v>10529.135878805</v>
      </c>
      <c r="S25" s="15" t="n">
        <f aca="false">S21*Hypothèses!$D$14*$C$4</f>
        <v>12266.7016628741</v>
      </c>
      <c r="T25" s="15" t="n">
        <f aca="false">T21*Hypothèses!$D$14*$C$4</f>
        <v>13986.8917891025</v>
      </c>
      <c r="U25" s="15" t="n">
        <f aca="false">U21*Hypothèses!$D$14*$C$4</f>
        <v>15689.8800140686</v>
      </c>
      <c r="V25" s="15" t="n">
        <f aca="false">V21*Hypothèses!$D$14*$C$4</f>
        <v>17375.838356785</v>
      </c>
      <c r="W25" s="15" t="n">
        <f aca="false">W21*Hypothèses!$D$14*$C$4</f>
        <v>19044.9371160743</v>
      </c>
      <c r="X25" s="15" t="n">
        <f aca="false">X21*Hypothèses!$D$14*$C$4</f>
        <v>20697.3448877707</v>
      </c>
      <c r="Y25" s="15" t="n">
        <f aca="false">Y21*Hypothèses!$D$14*$C$4</f>
        <v>22333.2285817502</v>
      </c>
      <c r="Z25" s="15" t="n">
        <f aca="false">Z21*Hypothèses!$D$14*$C$4</f>
        <v>23952.7534387898</v>
      </c>
      <c r="AA25" s="15" t="n">
        <f aca="false">AA21*Hypothèses!$D$14*$C$4</f>
        <v>28320.3687615448</v>
      </c>
      <c r="AB25" s="15" t="n">
        <f aca="false">AB21*Hypothèses!$D$14*$C$4</f>
        <v>32644.3079310722</v>
      </c>
      <c r="AC25" s="15" t="n">
        <f aca="false">AC21*Hypothèses!$D$14*$C$4</f>
        <v>36925.0077089043</v>
      </c>
      <c r="AD25" s="15" t="n">
        <f aca="false">AD21*Hypothèses!$D$14*$C$4</f>
        <v>41162.9004889581</v>
      </c>
      <c r="AE25" s="15" t="n">
        <f aca="false">AE21*Hypothèses!$D$14*$C$4</f>
        <v>45358.4143412114</v>
      </c>
      <c r="AF25" s="15" t="n">
        <f aca="false">AF21*Hypothèses!$D$14*$C$4</f>
        <v>49511.9730549421</v>
      </c>
      <c r="AG25" s="15" t="n">
        <f aca="false">AG21*Hypothèses!$D$14*$C$4</f>
        <v>53623.9961815356</v>
      </c>
      <c r="AH25" s="15" t="n">
        <f aca="false">AH21*Hypothèses!$D$14*$C$4</f>
        <v>57694.8990768631</v>
      </c>
      <c r="AI25" s="15" t="n">
        <f aca="false">AI21*Hypothèses!$D$14*$C$4</f>
        <v>61725.0929432373</v>
      </c>
      <c r="AJ25" s="15" t="n">
        <f aca="false">AJ21*Hypothèses!$D$14*$C$4</f>
        <v>65714.9848709478</v>
      </c>
      <c r="AK25" s="15" t="n">
        <f aca="false">AK21*Hypothèses!$D$14*$C$4</f>
        <v>69664.9778793811</v>
      </c>
      <c r="AL25" s="15" t="n">
        <f aca="false">AL21*Hypothèses!$D$14*$C$4</f>
        <v>73575.4709577302</v>
      </c>
      <c r="AN25" s="15" t="n">
        <f aca="false">SUM(C25:N25)</f>
        <v>13181.4236534641</v>
      </c>
      <c r="AO25" s="15" t="n">
        <f aca="false">SUM(O25:Z25)</f>
        <v>176862.324749203</v>
      </c>
      <c r="AP25" s="15" t="n">
        <f aca="false">SUM(AA25:AL25)</f>
        <v>615922.394196328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717.8</v>
      </c>
      <c r="G26" s="40" t="n">
        <f aca="false">G23+G24+G25</f>
        <v>696.266</v>
      </c>
      <c r="H26" s="40" t="n">
        <f aca="false">H23+H24+H25</f>
        <v>675.37802</v>
      </c>
      <c r="I26" s="40" t="n">
        <f aca="false">I23+I24+I25</f>
        <v>2782.90995408571</v>
      </c>
      <c r="J26" s="40" t="n">
        <f aca="false">J23+J24+J25</f>
        <v>4869.36656883057</v>
      </c>
      <c r="K26" s="40" t="n">
        <f aca="false">K23+K24+K25</f>
        <v>6934.95861742798</v>
      </c>
      <c r="L26" s="40" t="n">
        <f aca="false">L23+L24+L25</f>
        <v>8979.89474553942</v>
      </c>
      <c r="M26" s="40" t="n">
        <f aca="false">M23+M24+M25</f>
        <v>11004.3815123697</v>
      </c>
      <c r="N26" s="40" t="n">
        <f aca="false">N23+N24+N25</f>
        <v>13008.6234115318</v>
      </c>
      <c r="O26" s="40" t="n">
        <f aca="false">O23+O24+O25</f>
        <v>19926.1562250355</v>
      </c>
      <c r="P26" s="40" t="n">
        <f aca="false">P23+P24+P25</f>
        <v>26774.5137104042</v>
      </c>
      <c r="Q26" s="40" t="n">
        <f aca="false">Q23+Q24+Q25</f>
        <v>33554.3876209192</v>
      </c>
      <c r="R26" s="40" t="n">
        <f aca="false">R23+R24+R25</f>
        <v>40266.462792329</v>
      </c>
      <c r="S26" s="40" t="n">
        <f aca="false">S23+S24+S25</f>
        <v>46911.4172120248</v>
      </c>
      <c r="T26" s="40" t="n">
        <f aca="false">T23+T24+T25</f>
        <v>53489.9220875236</v>
      </c>
      <c r="U26" s="40" t="n">
        <f aca="false">U23+U24+U25</f>
        <v>60002.6419142674</v>
      </c>
      <c r="V26" s="40" t="n">
        <f aca="false">V23+V24+V25</f>
        <v>66450.2345427438</v>
      </c>
      <c r="W26" s="40" t="n">
        <f aca="false">W23+W24+W25</f>
        <v>72833.3512449354</v>
      </c>
      <c r="X26" s="40" t="n">
        <f aca="false">X23+X24+X25</f>
        <v>79152.6367801051</v>
      </c>
      <c r="Y26" s="40" t="n">
        <f aca="false">Y23+Y24+Y25</f>
        <v>85408.7294599231</v>
      </c>
      <c r="Z26" s="40" t="n">
        <f aca="false">Z23+Z24+Z25</f>
        <v>91602.2612129429</v>
      </c>
      <c r="AA26" s="40" t="n">
        <f aca="false">AA23+AA24+AA25</f>
        <v>108305.286219861</v>
      </c>
      <c r="AB26" s="40" t="n">
        <f aca="false">AB23+AB24+AB25</f>
        <v>124841.28097671</v>
      </c>
      <c r="AC26" s="40" t="n">
        <f aca="false">AC23+AC24+AC25</f>
        <v>141211.915785991</v>
      </c>
      <c r="AD26" s="40" t="n">
        <f aca="false">AD23+AD24+AD25</f>
        <v>157418.844247178</v>
      </c>
      <c r="AE26" s="40" t="n">
        <f aca="false">AE23+AE24+AE25</f>
        <v>173463.703423754</v>
      </c>
      <c r="AF26" s="40" t="n">
        <f aca="false">AF23+AF24+AF25</f>
        <v>189348.114008564</v>
      </c>
      <c r="AG26" s="40" t="n">
        <f aca="false">AG23+AG24+AG25</f>
        <v>205073.680487526</v>
      </c>
      <c r="AH26" s="40" t="n">
        <f aca="false">AH23+AH24+AH25</f>
        <v>220641.991301699</v>
      </c>
      <c r="AI26" s="40" t="n">
        <f aca="false">AI23+AI24+AI25</f>
        <v>236054.619007729</v>
      </c>
      <c r="AJ26" s="40" t="n">
        <f aca="false">AJ23+AJ24+AJ25</f>
        <v>251313.1204367</v>
      </c>
      <c r="AK26" s="40" t="n">
        <f aca="false">AK23+AK24+AK25</f>
        <v>266419.03685138</v>
      </c>
      <c r="AL26" s="40" t="n">
        <f aca="false">AL23+AL24+AL25</f>
        <v>281373.894101914</v>
      </c>
      <c r="AN26" s="40" t="n">
        <f aca="false">SUM(C26:N26)</f>
        <v>50409.5788297852</v>
      </c>
      <c r="AO26" s="40" t="n">
        <f aca="false">SUM(O26:Z26)</f>
        <v>676372.714803154</v>
      </c>
      <c r="AP26" s="40" t="n">
        <f aca="false">SUM(AA26:AL26)</f>
        <v>2355465.48684901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119.633333333333</v>
      </c>
      <c r="G27" s="15" t="n">
        <f aca="false">G26*Hypothèses!$D$15/(1+Hypothèses!$D$15)</f>
        <v>116.044333333333</v>
      </c>
      <c r="H27" s="15" t="n">
        <f aca="false">H26*Hypothèses!$D$15/(1+Hypothèses!$D$15)</f>
        <v>112.563003333333</v>
      </c>
      <c r="I27" s="15" t="n">
        <f aca="false">I26*Hypothèses!$D$15/(1+Hypothèses!$D$15)</f>
        <v>463.818325680952</v>
      </c>
      <c r="J27" s="15" t="n">
        <f aca="false">J26*Hypothèses!$D$15/(1+Hypothèses!$D$15)</f>
        <v>811.561094805095</v>
      </c>
      <c r="K27" s="15" t="n">
        <f aca="false">K26*Hypothèses!$D$15/(1+Hypothèses!$D$15)</f>
        <v>1155.826436238</v>
      </c>
      <c r="L27" s="15" t="n">
        <f aca="false">L26*Hypothèses!$D$15/(1+Hypothèses!$D$15)</f>
        <v>1496.64912425657</v>
      </c>
      <c r="M27" s="15" t="n">
        <f aca="false">M26*Hypothèses!$D$15/(1+Hypothèses!$D$15)</f>
        <v>1834.06358539496</v>
      </c>
      <c r="N27" s="15" t="n">
        <f aca="false">N26*Hypothèses!$D$15/(1+Hypothèses!$D$15)</f>
        <v>2168.10390192196</v>
      </c>
      <c r="O27" s="15" t="n">
        <f aca="false">O26*Hypothèses!$D$15/(1+Hypothèses!$D$15)</f>
        <v>3321.02603750591</v>
      </c>
      <c r="P27" s="15" t="n">
        <f aca="false">P26*Hypothèses!$D$15/(1+Hypothèses!$D$15)</f>
        <v>4462.41895173403</v>
      </c>
      <c r="Q27" s="15" t="n">
        <f aca="false">Q26*Hypothèses!$D$15/(1+Hypothèses!$D$15)</f>
        <v>5592.39793681986</v>
      </c>
      <c r="R27" s="15" t="n">
        <f aca="false">R26*Hypothèses!$D$15/(1+Hypothèses!$D$15)</f>
        <v>6711.07713205484</v>
      </c>
      <c r="S27" s="15" t="n">
        <f aca="false">S26*Hypothèses!$D$15/(1+Hypothèses!$D$15)</f>
        <v>7818.56953533747</v>
      </c>
      <c r="T27" s="15" t="n">
        <f aca="false">T26*Hypothèses!$D$15/(1+Hypothèses!$D$15)</f>
        <v>8914.98701458727</v>
      </c>
      <c r="U27" s="15" t="n">
        <f aca="false">U26*Hypothèses!$D$15/(1+Hypothèses!$D$15)</f>
        <v>10000.4403190446</v>
      </c>
      <c r="V27" s="15" t="n">
        <f aca="false">V26*Hypothèses!$D$15/(1+Hypothèses!$D$15)</f>
        <v>11075.0390904573</v>
      </c>
      <c r="W27" s="15" t="n">
        <f aca="false">W26*Hypothèses!$D$15/(1+Hypothèses!$D$15)</f>
        <v>12138.8918741559</v>
      </c>
      <c r="X27" s="15" t="n">
        <f aca="false">X26*Hypothèses!$D$15/(1+Hypothèses!$D$15)</f>
        <v>13192.1061300175</v>
      </c>
      <c r="Y27" s="15" t="n">
        <f aca="false">Y26*Hypothèses!$D$15/(1+Hypothèses!$D$15)</f>
        <v>14234.7882433205</v>
      </c>
      <c r="Z27" s="15" t="n">
        <f aca="false">Z26*Hypothèses!$D$15/(1+Hypothèses!$D$15)</f>
        <v>15267.0435354905</v>
      </c>
      <c r="AA27" s="15" t="n">
        <f aca="false">AA26*Hypothèses!$D$15/(1+Hypothèses!$D$15)</f>
        <v>18050.8810366435</v>
      </c>
      <c r="AB27" s="15" t="n">
        <f aca="false">AB26*Hypothèses!$D$15/(1+Hypothèses!$D$15)</f>
        <v>20806.880162785</v>
      </c>
      <c r="AC27" s="15" t="n">
        <f aca="false">AC26*Hypothèses!$D$15/(1+Hypothèses!$D$15)</f>
        <v>23535.3192976651</v>
      </c>
      <c r="AD27" s="15" t="n">
        <f aca="false">AD26*Hypothèses!$D$15/(1+Hypothèses!$D$15)</f>
        <v>26236.4740411964</v>
      </c>
      <c r="AE27" s="15" t="n">
        <f aca="false">AE26*Hypothèses!$D$15/(1+Hypothèses!$D$15)</f>
        <v>28910.6172372924</v>
      </c>
      <c r="AF27" s="15" t="n">
        <f aca="false">AF26*Hypothèses!$D$15/(1+Hypothèses!$D$15)</f>
        <v>31558.0190014274</v>
      </c>
      <c r="AG27" s="15" t="n">
        <f aca="false">AG26*Hypothèses!$D$15/(1+Hypothèses!$D$15)</f>
        <v>34178.946747921</v>
      </c>
      <c r="AH27" s="15" t="n">
        <f aca="false">AH26*Hypothèses!$D$15/(1+Hypothèses!$D$15)</f>
        <v>36773.6652169498</v>
      </c>
      <c r="AI27" s="15" t="n">
        <f aca="false">AI26*Hypothèses!$D$15/(1+Hypothèses!$D$15)</f>
        <v>39342.4365012882</v>
      </c>
      <c r="AJ27" s="15" t="n">
        <f aca="false">AJ26*Hypothèses!$D$15/(1+Hypothèses!$D$15)</f>
        <v>41885.5200727833</v>
      </c>
      <c r="AK27" s="15" t="n">
        <f aca="false">AK26*Hypothèses!$D$15/(1+Hypothèses!$D$15)</f>
        <v>44403.1728085634</v>
      </c>
      <c r="AL27" s="15" t="n">
        <f aca="false">AL26*Hypothèses!$D$15/(1+Hypothèses!$D$15)</f>
        <v>46895.6490169857</v>
      </c>
      <c r="AN27" s="15" t="n">
        <f aca="false">SUM(C27:N27)</f>
        <v>8401.59647163086</v>
      </c>
      <c r="AO27" s="15" t="n">
        <f aca="false">SUM(O27:Z27)</f>
        <v>112728.785800526</v>
      </c>
      <c r="AP27" s="15" t="n">
        <f aca="false">SUM(AA27:AL27)</f>
        <v>392577.581141501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598.166666666667</v>
      </c>
      <c r="G28" s="40" t="n">
        <f aca="false">G26-G27</f>
        <v>580.221666666667</v>
      </c>
      <c r="H28" s="40" t="n">
        <f aca="false">H26-H27</f>
        <v>562.815016666667</v>
      </c>
      <c r="I28" s="40" t="n">
        <f aca="false">I26-I27</f>
        <v>2319.09162840476</v>
      </c>
      <c r="J28" s="40" t="n">
        <f aca="false">J26-J27</f>
        <v>4057.80547402548</v>
      </c>
      <c r="K28" s="40" t="n">
        <f aca="false">K26-K27</f>
        <v>5779.13218118998</v>
      </c>
      <c r="L28" s="40" t="n">
        <f aca="false">L26-L27</f>
        <v>7483.24562128285</v>
      </c>
      <c r="M28" s="40" t="n">
        <f aca="false">M26-M27</f>
        <v>9170.31792697478</v>
      </c>
      <c r="N28" s="40" t="n">
        <f aca="false">N26-N27</f>
        <v>10840.5195096098</v>
      </c>
      <c r="O28" s="40" t="n">
        <f aca="false">O26-O27</f>
        <v>16605.1301875296</v>
      </c>
      <c r="P28" s="40" t="n">
        <f aca="false">P26-P27</f>
        <v>22312.0947586702</v>
      </c>
      <c r="Q28" s="40" t="n">
        <f aca="false">Q26-Q27</f>
        <v>27961.9896840993</v>
      </c>
      <c r="R28" s="40" t="n">
        <f aca="false">R26-R27</f>
        <v>33555.3856602742</v>
      </c>
      <c r="S28" s="40" t="n">
        <f aca="false">S26-S27</f>
        <v>39092.8476766873</v>
      </c>
      <c r="T28" s="40" t="n">
        <f aca="false">T26-T27</f>
        <v>44574.9350729363</v>
      </c>
      <c r="U28" s="40" t="n">
        <f aca="false">U26-U27</f>
        <v>50002.2015952229</v>
      </c>
      <c r="V28" s="40" t="n">
        <f aca="false">V26-V27</f>
        <v>55375.1954522865</v>
      </c>
      <c r="W28" s="40" t="n">
        <f aca="false">W26-W27</f>
        <v>60694.4593707795</v>
      </c>
      <c r="X28" s="40" t="n">
        <f aca="false">X26-X27</f>
        <v>65960.5306500876</v>
      </c>
      <c r="Y28" s="40" t="n">
        <f aca="false">Y26-Y27</f>
        <v>71173.9412166026</v>
      </c>
      <c r="Z28" s="40" t="n">
        <f aca="false">Z26-Z27</f>
        <v>76335.2176774524</v>
      </c>
      <c r="AA28" s="40" t="n">
        <f aca="false">AA26-AA27</f>
        <v>90254.4051832176</v>
      </c>
      <c r="AB28" s="40" t="n">
        <f aca="false">AB26-AB27</f>
        <v>104034.400813925</v>
      </c>
      <c r="AC28" s="40" t="n">
        <f aca="false">AC26-AC27</f>
        <v>117676.596488325</v>
      </c>
      <c r="AD28" s="40" t="n">
        <f aca="false">AD26-AD27</f>
        <v>131182.370205982</v>
      </c>
      <c r="AE28" s="40" t="n">
        <f aca="false">AE26-AE27</f>
        <v>144553.086186462</v>
      </c>
      <c r="AF28" s="40" t="n">
        <f aca="false">AF26-AF27</f>
        <v>157790.095007137</v>
      </c>
      <c r="AG28" s="40" t="n">
        <f aca="false">AG26-AG27</f>
        <v>170894.733739605</v>
      </c>
      <c r="AH28" s="40" t="n">
        <f aca="false">AH26-AH27</f>
        <v>183868.326084749</v>
      </c>
      <c r="AI28" s="40" t="n">
        <f aca="false">AI26-AI27</f>
        <v>196712.182506441</v>
      </c>
      <c r="AJ28" s="40" t="n">
        <f aca="false">AJ26-AJ27</f>
        <v>209427.600363916</v>
      </c>
      <c r="AK28" s="40" t="n">
        <f aca="false">AK26-AK27</f>
        <v>222015.864042817</v>
      </c>
      <c r="AL28" s="40" t="n">
        <f aca="false">AL26-AL27</f>
        <v>234478.245084928</v>
      </c>
      <c r="AN28" s="40" t="n">
        <f aca="false">SUM(C28:N28)</f>
        <v>42007.9823581543</v>
      </c>
      <c r="AO28" s="40" t="n">
        <f aca="false">SUM(O28:Z28)</f>
        <v>563643.929002628</v>
      </c>
      <c r="AP28" s="40" t="n">
        <f aca="false">SUM(AA28:AL28)</f>
        <v>1962887.90570751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7.178</v>
      </c>
      <c r="G29" s="15" t="n">
        <f aca="false">G26*Hypothèses!$D$27</f>
        <v>6.96266</v>
      </c>
      <c r="H29" s="15" t="n">
        <f aca="false">H26*Hypothèses!$D$27</f>
        <v>6.7537802</v>
      </c>
      <c r="I29" s="15" t="n">
        <f aca="false">I26*Hypothèses!$D$27</f>
        <v>27.8290995408571</v>
      </c>
      <c r="J29" s="15" t="n">
        <f aca="false">J26*Hypothèses!$D$27</f>
        <v>48.6936656883057</v>
      </c>
      <c r="K29" s="15" t="n">
        <f aca="false">K26*Hypothèses!$D$27</f>
        <v>69.3495861742798</v>
      </c>
      <c r="L29" s="15" t="n">
        <f aca="false">L26*Hypothèses!$D$27</f>
        <v>89.7989474553942</v>
      </c>
      <c r="M29" s="15" t="n">
        <f aca="false">M26*Hypothèses!$D$27</f>
        <v>110.043815123697</v>
      </c>
      <c r="N29" s="15" t="n">
        <f aca="false">N26*Hypothèses!$D$27</f>
        <v>130.086234115318</v>
      </c>
      <c r="O29" s="15" t="n">
        <f aca="false">O26*Hypothèses!$D$27</f>
        <v>199.261562250355</v>
      </c>
      <c r="P29" s="15" t="n">
        <f aca="false">P26*Hypothèses!$D$27</f>
        <v>267.745137104042</v>
      </c>
      <c r="Q29" s="15" t="n">
        <f aca="false">Q26*Hypothèses!$D$27</f>
        <v>335.543876209192</v>
      </c>
      <c r="R29" s="15" t="n">
        <f aca="false">R26*Hypothèses!$D$27</f>
        <v>402.66462792329</v>
      </c>
      <c r="S29" s="15" t="n">
        <f aca="false">S26*Hypothèses!$D$27</f>
        <v>469.114172120248</v>
      </c>
      <c r="T29" s="15" t="n">
        <f aca="false">T26*Hypothèses!$D$27</f>
        <v>534.899220875236</v>
      </c>
      <c r="U29" s="15" t="n">
        <f aca="false">U26*Hypothèses!$D$27</f>
        <v>600.026419142674</v>
      </c>
      <c r="V29" s="15" t="n">
        <f aca="false">V26*Hypothèses!$D$27</f>
        <v>664.502345427438</v>
      </c>
      <c r="W29" s="15" t="n">
        <f aca="false">W26*Hypothèses!$D$27</f>
        <v>728.333512449354</v>
      </c>
      <c r="X29" s="15" t="n">
        <f aca="false">X26*Hypothèses!$D$27</f>
        <v>791.526367801051</v>
      </c>
      <c r="Y29" s="15" t="n">
        <f aca="false">Y26*Hypothèses!$D$27</f>
        <v>854.087294599231</v>
      </c>
      <c r="Z29" s="15" t="n">
        <f aca="false">Z26*Hypothèses!$D$27</f>
        <v>916.022612129429</v>
      </c>
      <c r="AA29" s="15" t="n">
        <f aca="false">AA26*Hypothèses!$D$27</f>
        <v>1083.05286219861</v>
      </c>
      <c r="AB29" s="15" t="n">
        <f aca="false">AB26*Hypothèses!$D$27</f>
        <v>1248.4128097671</v>
      </c>
      <c r="AC29" s="15" t="n">
        <f aca="false">AC26*Hypothèses!$D$27</f>
        <v>1412.11915785991</v>
      </c>
      <c r="AD29" s="15" t="n">
        <f aca="false">AD26*Hypothèses!$D$27</f>
        <v>1574.18844247178</v>
      </c>
      <c r="AE29" s="15" t="n">
        <f aca="false">AE26*Hypothèses!$D$27</f>
        <v>1734.63703423754</v>
      </c>
      <c r="AF29" s="15" t="n">
        <f aca="false">AF26*Hypothèses!$D$27</f>
        <v>1893.48114008564</v>
      </c>
      <c r="AG29" s="15" t="n">
        <f aca="false">AG26*Hypothèses!$D$27</f>
        <v>2050.73680487526</v>
      </c>
      <c r="AH29" s="15" t="n">
        <f aca="false">AH26*Hypothèses!$D$27</f>
        <v>2206.41991301699</v>
      </c>
      <c r="AI29" s="15" t="n">
        <f aca="false">AI26*Hypothèses!$D$27</f>
        <v>2360.54619007729</v>
      </c>
      <c r="AJ29" s="15" t="n">
        <f aca="false">AJ26*Hypothèses!$D$27</f>
        <v>2513.131204367</v>
      </c>
      <c r="AK29" s="15" t="n">
        <f aca="false">AK26*Hypothèses!$D$27</f>
        <v>2664.1903685138</v>
      </c>
      <c r="AL29" s="15" t="n">
        <f aca="false">AL26*Hypothèses!$D$27</f>
        <v>2813.73894101914</v>
      </c>
      <c r="AN29" s="15" t="n">
        <f aca="false">SUM(C29:N29)</f>
        <v>504.095788297852</v>
      </c>
      <c r="AO29" s="15" t="n">
        <f aca="false">SUM(O29:Z29)</f>
        <v>6763.72714803154</v>
      </c>
      <c r="AP29" s="15" t="n">
        <f aca="false">SUM(AA29:AL29)</f>
        <v>23554.6548684901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13.08433</v>
      </c>
      <c r="G30" s="15" t="n">
        <f aca="false">(G26-G29)*Hypothèses!$D$28+G18*Hypothèses!$D$29</f>
        <v>12.6918001</v>
      </c>
      <c r="H30" s="15" t="n">
        <f aca="false">(H26-H29)*Hypothèses!$D$28+H18*Hypothèses!$D$29</f>
        <v>12.311046097</v>
      </c>
      <c r="I30" s="15" t="n">
        <f aca="false">(I26-I29)*Hypothèses!$D$28+I18*Hypothèses!$D$29</f>
        <v>50.72793563603</v>
      </c>
      <c r="J30" s="15" t="n">
        <f aca="false">(J26-J29)*Hypothèses!$D$28+J18*Hypothèses!$D$29</f>
        <v>88.7606562796697</v>
      </c>
      <c r="K30" s="15" t="n">
        <f aca="false">(K26-K29)*Hypothèses!$D$28+K18*Hypothèses!$D$29</f>
        <v>126.413049716873</v>
      </c>
      <c r="L30" s="15" t="n">
        <f aca="false">(L26-L29)*Hypothèses!$D$28+L18*Hypothèses!$D$29</f>
        <v>163.688919219704</v>
      </c>
      <c r="M30" s="15" t="n">
        <f aca="false">(M26-M29)*Hypothèses!$D$28+M18*Hypothèses!$D$29</f>
        <v>200.592030027507</v>
      </c>
      <c r="N30" s="15" t="n">
        <f aca="false">(N26-N29)*Hypothèses!$D$28+N18*Hypothèses!$D$29</f>
        <v>237.126109727232</v>
      </c>
      <c r="O30" s="15" t="n">
        <f aca="false">(O26-O29)*Hypothèses!$D$28+O18*Hypothèses!$D$29</f>
        <v>363.221515296627</v>
      </c>
      <c r="P30" s="15" t="n">
        <f aca="false">(P26-P29)*Hypothèses!$D$28+P18*Hypothèses!$D$29</f>
        <v>488.055966810327</v>
      </c>
      <c r="Q30" s="15" t="n">
        <f aca="false">(Q26-Q29)*Hypothèses!$D$28+Q18*Hypothèses!$D$29</f>
        <v>611.64207380889</v>
      </c>
      <c r="R30" s="15" t="n">
        <f aca="false">(R26-R29)*Hypothèses!$D$28+R18*Hypothèses!$D$29</f>
        <v>733.992319737468</v>
      </c>
      <c r="S30" s="15" t="n">
        <f aca="false">(S26-S29)*Hypothèses!$D$28+S18*Hypothèses!$D$29</f>
        <v>855.11906320676</v>
      </c>
      <c r="T30" s="15" t="n">
        <f aca="false">(T26-T29)*Hypothèses!$D$28+T18*Hypothèses!$D$29</f>
        <v>975.034539241359</v>
      </c>
      <c r="U30" s="15" t="n">
        <f aca="false">(U26-U29)*Hypothèses!$D$28+U18*Hypothèses!$D$29</f>
        <v>1093.75086051561</v>
      </c>
      <c r="V30" s="15" t="n">
        <f aca="false">(V26-V29)*Hypothèses!$D$28+V18*Hypothèses!$D$29</f>
        <v>1211.28001857712</v>
      </c>
      <c r="W30" s="15" t="n">
        <f aca="false">(W26-W29)*Hypothèses!$D$28+W18*Hypothèses!$D$29</f>
        <v>1327.63388505802</v>
      </c>
      <c r="X30" s="15" t="n">
        <f aca="false">(X26-X29)*Hypothèses!$D$28+X18*Hypothèses!$D$29</f>
        <v>1442.82421287411</v>
      </c>
      <c r="Y30" s="15" t="n">
        <f aca="false">(Y26-Y29)*Hypothèses!$D$28+Y18*Hypothèses!$D$29</f>
        <v>1556.86263741203</v>
      </c>
      <c r="Z30" s="15" t="n">
        <f aca="false">(Z26-Z29)*Hypothèses!$D$28+Z18*Hypothèses!$D$29</f>
        <v>1669.76067770458</v>
      </c>
      <c r="AA30" s="15" t="n">
        <f aca="false">(AA26-AA29)*Hypothèses!$D$28+AA18*Hypothèses!$D$29</f>
        <v>1974.2297375942</v>
      </c>
      <c r="AB30" s="15" t="n">
        <f aca="false">(AB26-AB29)*Hypothèses!$D$28+AB18*Hypothèses!$D$29</f>
        <v>2275.65410688492</v>
      </c>
      <c r="AC30" s="15" t="n">
        <f aca="false">(AC26-AC29)*Hypothèses!$D$28+AC18*Hypothèses!$D$29</f>
        <v>2574.06423248274</v>
      </c>
      <c r="AD30" s="15" t="n">
        <f aca="false">(AD26-AD29)*Hypothèses!$D$28+AD18*Hypothèses!$D$29</f>
        <v>2869.49025682458</v>
      </c>
      <c r="AE30" s="15" t="n">
        <f aca="false">(AE26-AE29)*Hypothèses!$D$28+AE18*Hypothèses!$D$29</f>
        <v>3161.962020923</v>
      </c>
      <c r="AF30" s="15" t="n">
        <f aca="false">(AF26-AF29)*Hypothèses!$D$28+AF18*Hypothèses!$D$29</f>
        <v>3451.50906738044</v>
      </c>
      <c r="AG30" s="15" t="n">
        <f aca="false">(AG26-AG29)*Hypothèses!$D$28+AG18*Hypothèses!$D$29</f>
        <v>3738.1606433733</v>
      </c>
      <c r="AH30" s="15" t="n">
        <f aca="false">(AH26-AH29)*Hypothèses!$D$28+AH18*Hypothèses!$D$29</f>
        <v>4021.94570360623</v>
      </c>
      <c r="AI30" s="15" t="n">
        <f aca="false">(AI26-AI29)*Hypothèses!$D$28+AI18*Hypothèses!$D$29</f>
        <v>4302.89291323684</v>
      </c>
      <c r="AJ30" s="15" t="n">
        <f aca="false">(AJ26-AJ29)*Hypothèses!$D$28+AJ18*Hypothèses!$D$29</f>
        <v>4581.03065077113</v>
      </c>
      <c r="AK30" s="15" t="n">
        <f aca="false">(AK26-AK29)*Hypothèses!$D$28+AK18*Hypothèses!$D$29</f>
        <v>4856.38701093009</v>
      </c>
      <c r="AL30" s="15" t="n">
        <f aca="false">(AL26-AL29)*Hypothèses!$D$28+AL18*Hypothèses!$D$29</f>
        <v>5128.98980748746</v>
      </c>
      <c r="AN30" s="15" t="n">
        <f aca="false">SUM(C30:N30)</f>
        <v>918.884876804016</v>
      </c>
      <c r="AO30" s="15" t="n">
        <f aca="false">SUM(O30:Z30)</f>
        <v>12329.1777702429</v>
      </c>
      <c r="AP30" s="15" t="n">
        <f aca="false">SUM(AA30:AL30)</f>
        <v>42936.3161514949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697.53767</v>
      </c>
      <c r="G31" s="40" t="n">
        <f aca="false">G26-G29-G30</f>
        <v>676.6115399</v>
      </c>
      <c r="H31" s="40" t="n">
        <f aca="false">H26-H29-H30</f>
        <v>656.313193703</v>
      </c>
      <c r="I31" s="40" t="n">
        <f aca="false">I26-I29-I30</f>
        <v>2704.35291890883</v>
      </c>
      <c r="J31" s="40" t="n">
        <f aca="false">J26-J29-J30</f>
        <v>4731.9122468626</v>
      </c>
      <c r="K31" s="40" t="n">
        <f aca="false">K26-K29-K30</f>
        <v>6739.19598153683</v>
      </c>
      <c r="L31" s="40" t="n">
        <f aca="false">L26-L29-L30</f>
        <v>8726.40687886432</v>
      </c>
      <c r="M31" s="40" t="n">
        <f aca="false">M26-M29-M30</f>
        <v>10693.7456672185</v>
      </c>
      <c r="N31" s="40" t="n">
        <f aca="false">N26-N29-N30</f>
        <v>12641.4110676892</v>
      </c>
      <c r="O31" s="40" t="n">
        <f aca="false">O26-O29-O30</f>
        <v>19363.6731474885</v>
      </c>
      <c r="P31" s="40" t="n">
        <f aca="false">P26-P29-P30</f>
        <v>26018.7126064898</v>
      </c>
      <c r="Q31" s="40" t="n">
        <f aca="false">Q26-Q29-Q30</f>
        <v>32607.2016709011</v>
      </c>
      <c r="R31" s="40" t="n">
        <f aca="false">R26-R29-R30</f>
        <v>39129.8058446683</v>
      </c>
      <c r="S31" s="40" t="n">
        <f aca="false">S26-S29-S30</f>
        <v>45587.1839766978</v>
      </c>
      <c r="T31" s="40" t="n">
        <f aca="false">T26-T29-T30</f>
        <v>51979.988327407</v>
      </c>
      <c r="U31" s="40" t="n">
        <f aca="false">U26-U29-U30</f>
        <v>58308.8646346091</v>
      </c>
      <c r="V31" s="40" t="n">
        <f aca="false">V26-V29-V30</f>
        <v>64574.4521787392</v>
      </c>
      <c r="W31" s="40" t="n">
        <f aca="false">W26-W29-W30</f>
        <v>70777.383847428</v>
      </c>
      <c r="X31" s="40" t="n">
        <f aca="false">X26-X29-X30</f>
        <v>76918.2861994299</v>
      </c>
      <c r="Y31" s="40" t="n">
        <f aca="false">Y26-Y29-Y30</f>
        <v>82997.7795279118</v>
      </c>
      <c r="Z31" s="40" t="n">
        <f aca="false">Z26-Z29-Z30</f>
        <v>89016.4779231089</v>
      </c>
      <c r="AA31" s="40" t="n">
        <f aca="false">AA26-AA29-AA30</f>
        <v>105248.003620068</v>
      </c>
      <c r="AB31" s="40" t="n">
        <f aca="false">AB26-AB29-AB30</f>
        <v>121317.214060058</v>
      </c>
      <c r="AC31" s="40" t="n">
        <f aca="false">AC26-AC29-AC30</f>
        <v>137225.732395648</v>
      </c>
      <c r="AD31" s="40" t="n">
        <f aca="false">AD26-AD29-AD30</f>
        <v>152975.165547882</v>
      </c>
      <c r="AE31" s="40" t="n">
        <f aca="false">AE26-AE29-AE30</f>
        <v>168567.104368594</v>
      </c>
      <c r="AF31" s="40" t="n">
        <f aca="false">AF26-AF29-AF30</f>
        <v>184003.123801098</v>
      </c>
      <c r="AG31" s="40" t="n">
        <f aca="false">AG26-AG29-AG30</f>
        <v>199284.783039278</v>
      </c>
      <c r="AH31" s="40" t="n">
        <f aca="false">AH26-AH29-AH30</f>
        <v>214413.625685075</v>
      </c>
      <c r="AI31" s="40" t="n">
        <f aca="false">AI26-AI29-AI30</f>
        <v>229391.179904415</v>
      </c>
      <c r="AJ31" s="40" t="n">
        <f aca="false">AJ26-AJ29-AJ30</f>
        <v>244218.958581561</v>
      </c>
      <c r="AK31" s="40" t="n">
        <f aca="false">AK26-AK29-AK30</f>
        <v>258898.459471936</v>
      </c>
      <c r="AL31" s="40" t="n">
        <f aca="false">AL26-AL29-AL30</f>
        <v>273431.165353407</v>
      </c>
      <c r="AN31" s="40" t="n">
        <f aca="false">SUM(C31:N31)</f>
        <v>48986.5981646833</v>
      </c>
      <c r="AO31" s="40" t="n">
        <f aca="false">SUM(O31:Z31)</f>
        <v>657279.80988488</v>
      </c>
      <c r="AP31" s="40" t="n">
        <f aca="false">SUM(AA31:AL31)</f>
        <v>2288974.51582902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95.157</v>
      </c>
      <c r="G33" s="15" t="n">
        <f aca="false">(G19*Hypothèses!$D$31+G20*Hypothèses!$D$32+G21*Hypothèses!$D$33)*Hypothèses!$D$34*$F$4</f>
        <v>92.30229</v>
      </c>
      <c r="H33" s="15" t="n">
        <f aca="false">(H19*Hypothèses!$D$31+H20*Hypothèses!$D$32+H21*Hypothèses!$D$33)*Hypothèses!$D$34*$F$4</f>
        <v>89.5332213</v>
      </c>
      <c r="I33" s="15" t="n">
        <f aca="false">(I19*Hypothèses!$D$31+I20*Hypothèses!$D$32+I21*Hypothèses!$D$33)*Hypothèses!$D$34*$F$4</f>
        <v>368.923603372714</v>
      </c>
      <c r="J33" s="15" t="n">
        <f aca="false">(J19*Hypothèses!$D$31+J20*Hypothèses!$D$32+J21*Hypothèses!$D$33)*Hypothèses!$D$34*$F$4</f>
        <v>645.520081624701</v>
      </c>
      <c r="K33" s="15" t="n">
        <f aca="false">(K19*Hypothèses!$D$31+K20*Hypothèses!$D$32+K21*Hypothèses!$D$33)*Hypothèses!$D$34*$F$4</f>
        <v>919.350595094169</v>
      </c>
      <c r="L33" s="15" t="n">
        <f aca="false">(L19*Hypothèses!$D$31+L20*Hypothèses!$D$32+L21*Hypothèses!$D$33)*Hypothèses!$D$34*$F$4</f>
        <v>1190.44280342894</v>
      </c>
      <c r="M33" s="15" t="n">
        <f aca="false">(M19*Hypothèses!$D$31+M20*Hypothèses!$D$32+M21*Hypothèses!$D$33)*Hypothèses!$D$34*$F$4</f>
        <v>1458.82408968037</v>
      </c>
      <c r="N33" s="15" t="n">
        <f aca="false">(N19*Hypothèses!$D$31+N20*Hypothèses!$D$32+N21*Hypothèses!$D$33)*Hypothèses!$D$34*$F$4</f>
        <v>1724.52156306928</v>
      </c>
      <c r="O33" s="15" t="n">
        <f aca="false">(O19*Hypothèses!$D$31+O20*Hypothèses!$D$32+O21*Hypothèses!$D$33)*Hypothèses!$D$34*$F$4</f>
        <v>2641.5620617243</v>
      </c>
      <c r="P33" s="15" t="n">
        <f aca="false">(P19*Hypothèses!$D$31+P20*Hypothèses!$D$32+P21*Hypothèses!$D$33)*Hypothèses!$D$34*$F$4</f>
        <v>3549.43215539277</v>
      </c>
      <c r="Q33" s="15" t="n">
        <f aca="false">(Q19*Hypothèses!$D$31+Q20*Hypothèses!$D$32+Q21*Hypothèses!$D$33)*Hypothèses!$D$34*$F$4</f>
        <v>4448.22354812456</v>
      </c>
      <c r="R33" s="15" t="n">
        <f aca="false">(R19*Hypothèses!$D$31+R20*Hypothèses!$D$32+R21*Hypothèses!$D$33)*Hypothèses!$D$34*$F$4</f>
        <v>5338.02702692903</v>
      </c>
      <c r="S33" s="15" t="n">
        <f aca="false">(S19*Hypothèses!$D$31+S20*Hypothèses!$D$32+S21*Hypothèses!$D$33)*Hypothèses!$D$34*$F$4</f>
        <v>6218.93247094545</v>
      </c>
      <c r="T33" s="15" t="n">
        <f aca="false">(T19*Hypothèses!$D$31+T20*Hypothèses!$D$32+T21*Hypothèses!$D$33)*Hypothèses!$D$34*$F$4</f>
        <v>7091.02886052171</v>
      </c>
      <c r="U33" s="15" t="n">
        <f aca="false">(U19*Hypothèses!$D$31+U20*Hypothèses!$D$32+U21*Hypothèses!$D$33)*Hypothèses!$D$34*$F$4</f>
        <v>7954.40428620221</v>
      </c>
      <c r="V33" s="15" t="n">
        <f aca="false">(V19*Hypothèses!$D$31+V20*Hypothèses!$D$32+V21*Hypothèses!$D$33)*Hypothèses!$D$34*$F$4</f>
        <v>8809.1459576259</v>
      </c>
      <c r="W33" s="15" t="n">
        <f aca="false">(W19*Hypothèses!$D$31+W20*Hypothèses!$D$32+W21*Hypothèses!$D$33)*Hypothèses!$D$34*$F$4</f>
        <v>9655.34021233535</v>
      </c>
      <c r="X33" s="15" t="n">
        <f aca="false">(X19*Hypothèses!$D$31+X20*Hypothèses!$D$32+X21*Hypothèses!$D$33)*Hypothèses!$D$34*$F$4</f>
        <v>10493.0725244977</v>
      </c>
      <c r="Y33" s="15" t="n">
        <f aca="false">(Y19*Hypothèses!$D$31+Y20*Hypothèses!$D$32+Y21*Hypothèses!$D$33)*Hypothèses!$D$34*$F$4</f>
        <v>11322.4275135385</v>
      </c>
      <c r="Z33" s="15" t="n">
        <f aca="false">(Z19*Hypothèses!$D$31+Z20*Hypothèses!$D$32+Z21*Hypothèses!$D$33)*Hypothèses!$D$34*$F$4</f>
        <v>12143.4889526888</v>
      </c>
      <c r="AA33" s="15" t="n">
        <f aca="false">(AA19*Hypothèses!$D$31+AA20*Hypothèses!$D$32+AA21*Hypothèses!$D$33)*Hypothèses!$D$34*$F$4</f>
        <v>14357.7683488762</v>
      </c>
      <c r="AB33" s="15" t="n">
        <f aca="false">(AB19*Hypothèses!$D$31+AB20*Hypothèses!$D$32+AB21*Hypothèses!$D$33)*Hypothèses!$D$34*$F$4</f>
        <v>16549.9049511017</v>
      </c>
      <c r="AC33" s="15" t="n">
        <f aca="false">(AC19*Hypothèses!$D$31+AC20*Hypothèses!$D$32+AC21*Hypothèses!$D$33)*Hypothèses!$D$34*$F$4</f>
        <v>18720.120187305</v>
      </c>
      <c r="AD33" s="15" t="n">
        <f aca="false">(AD19*Hypothèses!$D$31+AD20*Hypothèses!$D$32+AD21*Hypothèses!$D$33)*Hypothèses!$D$34*$F$4</f>
        <v>20868.6332711462</v>
      </c>
      <c r="AE33" s="15" t="n">
        <f aca="false">(AE19*Hypothèses!$D$31+AE20*Hypothèses!$D$32+AE21*Hypothèses!$D$33)*Hypothèses!$D$34*$F$4</f>
        <v>22995.661224149</v>
      </c>
      <c r="AF33" s="15" t="n">
        <f aca="false">(AF19*Hypothèses!$D$31+AF20*Hypothèses!$D$32+AF21*Hypothèses!$D$33)*Hypothèses!$D$34*$F$4</f>
        <v>25101.4188976218</v>
      </c>
      <c r="AG33" s="15" t="n">
        <f aca="false">(AG19*Hypothèses!$D$31+AG20*Hypothèses!$D$32+AG21*Hypothèses!$D$33)*Hypothèses!$D$34*$F$4</f>
        <v>27186.1189943599</v>
      </c>
      <c r="AH33" s="15" t="n">
        <f aca="false">(AH19*Hypothèses!$D$31+AH20*Hypothèses!$D$32+AH21*Hypothèses!$D$33)*Hypothèses!$D$34*$F$4</f>
        <v>29249.9720901306</v>
      </c>
      <c r="AI33" s="15" t="n">
        <f aca="false">(AI19*Hypothèses!$D$31+AI20*Hypothèses!$D$32+AI21*Hypothèses!$D$33)*Hypothèses!$D$34*$F$4</f>
        <v>31293.1866549436</v>
      </c>
      <c r="AJ33" s="15" t="n">
        <f aca="false">(AJ19*Hypothèses!$D$31+AJ20*Hypothèses!$D$32+AJ21*Hypothèses!$D$33)*Hypothèses!$D$34*$F$4</f>
        <v>33315.9690741084</v>
      </c>
      <c r="AK33" s="15" t="n">
        <f aca="false">(AK19*Hypothèses!$D$31+AK20*Hypothèses!$D$32+AK21*Hypothèses!$D$33)*Hypothèses!$D$34*$F$4</f>
        <v>35318.5236690816</v>
      </c>
      <c r="AL33" s="15" t="n">
        <f aca="false">(AL19*Hypothèses!$D$31+AL20*Hypothèses!$D$32+AL21*Hypothèses!$D$33)*Hypothèses!$D$34*$F$4</f>
        <v>37301.0527181051</v>
      </c>
      <c r="AN33" s="15" t="n">
        <f aca="false">SUM(C33:N33)</f>
        <v>6682.67524757017</v>
      </c>
      <c r="AO33" s="15" t="n">
        <f aca="false">SUM(O33:Z33)</f>
        <v>89665.0855705262</v>
      </c>
      <c r="AP33" s="15" t="n">
        <f aca="false">SUM(AA33:AL33)</f>
        <v>312258.330080929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56.4103369071429</v>
      </c>
      <c r="J34" s="15" t="n">
        <f aca="false">J18*Hypothèses!$D$35</f>
        <v>98.7033763952143</v>
      </c>
      <c r="K34" s="15" t="n">
        <f aca="false">K18*Hypothèses!$D$35</f>
        <v>140.573485488405</v>
      </c>
      <c r="L34" s="15" t="n">
        <f aca="false">L18*Hypothèses!$D$35</f>
        <v>182.024893490664</v>
      </c>
      <c r="M34" s="15" t="n">
        <f aca="false">M18*Hypothèses!$D$35</f>
        <v>223.0617874129</v>
      </c>
      <c r="N34" s="15" t="n">
        <f aca="false">N18*Hypothèses!$D$35</f>
        <v>263.688312395914</v>
      </c>
      <c r="O34" s="15" t="n">
        <f aca="false">O18*Hypothèses!$D$35</f>
        <v>403.908572129098</v>
      </c>
      <c r="P34" s="15" t="n">
        <f aca="false">P18*Hypothèses!$D$35</f>
        <v>542.72662926495</v>
      </c>
      <c r="Q34" s="15" t="n">
        <f aca="false">Q18*Hypothèses!$D$35</f>
        <v>680.156505829443</v>
      </c>
      <c r="R34" s="15" t="n">
        <f aca="false">R18*Hypothèses!$D$35</f>
        <v>816.212083628291</v>
      </c>
      <c r="S34" s="15" t="n">
        <f aca="false">S18*Hypothèses!$D$35</f>
        <v>950.907105649151</v>
      </c>
      <c r="T34" s="15" t="n">
        <f aca="false">T18*Hypothèses!$D$35</f>
        <v>1084.2551774498</v>
      </c>
      <c r="U34" s="15" t="n">
        <f aca="false">U18*Hypothèses!$D$35</f>
        <v>1216.26976853245</v>
      </c>
      <c r="V34" s="15" t="n">
        <f aca="false">V18*Hypothèses!$D$35</f>
        <v>1346.96421370427</v>
      </c>
      <c r="W34" s="15" t="n">
        <f aca="false">W18*Hypothèses!$D$35</f>
        <v>1476.35171442437</v>
      </c>
      <c r="X34" s="15" t="n">
        <f aca="false">X18*Hypothèses!$D$35</f>
        <v>1604.44534013727</v>
      </c>
      <c r="Y34" s="15" t="n">
        <f aca="false">Y18*Hypothèses!$D$35</f>
        <v>1731.25802959304</v>
      </c>
      <c r="Z34" s="15" t="n">
        <f aca="false">Z18*Hypothèses!$D$35</f>
        <v>1856.80259215425</v>
      </c>
      <c r="AA34" s="15" t="n">
        <f aca="false">AA18*Hypothèses!$D$35</f>
        <v>2195.37742337556</v>
      </c>
      <c r="AB34" s="15" t="n">
        <f aca="false">AB18*Hypothèses!$D$35</f>
        <v>2530.56650628466</v>
      </c>
      <c r="AC34" s="15" t="n">
        <f aca="false">AC18*Hypothèses!$D$35</f>
        <v>2862.40369836467</v>
      </c>
      <c r="AD34" s="15" t="n">
        <f aca="false">AD18*Hypothèses!$D$35</f>
        <v>3190.92251852388</v>
      </c>
      <c r="AE34" s="15" t="n">
        <f aca="false">AE18*Hypothèses!$D$35</f>
        <v>3516.1561504815</v>
      </c>
      <c r="AF34" s="15" t="n">
        <f aca="false">AF18*Hypothèses!$D$35</f>
        <v>3838.13744611955</v>
      </c>
      <c r="AG34" s="15" t="n">
        <f aca="false">AG18*Hypothèses!$D$35</f>
        <v>4156.89892880121</v>
      </c>
      <c r="AH34" s="15" t="n">
        <f aca="false">AH18*Hypothèses!$D$35</f>
        <v>4472.47279665605</v>
      </c>
      <c r="AI34" s="15" t="n">
        <f aca="false">AI18*Hypothèses!$D$35</f>
        <v>4784.89092583235</v>
      </c>
      <c r="AJ34" s="15" t="n">
        <f aca="false">AJ18*Hypothèses!$D$35</f>
        <v>5094.18487371688</v>
      </c>
      <c r="AK34" s="15" t="n">
        <f aca="false">AK18*Hypothèses!$D$35</f>
        <v>5400.38588212257</v>
      </c>
      <c r="AL34" s="15" t="n">
        <f aca="false">AL18*Hypothèses!$D$35</f>
        <v>5703.5248804442</v>
      </c>
      <c r="AN34" s="15" t="n">
        <f aca="false">SUM(C34:N34)</f>
        <v>1021.81578709024</v>
      </c>
      <c r="AO34" s="15" t="n">
        <f aca="false">SUM(O34:Z34)</f>
        <v>13710.2577324964</v>
      </c>
      <c r="AP34" s="15" t="n">
        <f aca="false">SUM(AA34:AL34)</f>
        <v>47745.9220307231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112.820673814286</v>
      </c>
      <c r="J35" s="15" t="n">
        <f aca="false">J18*Hypothèses!$D$36</f>
        <v>197.406752790429</v>
      </c>
      <c r="K35" s="15" t="n">
        <f aca="false">K18*Hypothèses!$D$36</f>
        <v>281.14697097681</v>
      </c>
      <c r="L35" s="15" t="n">
        <f aca="false">L18*Hypothèses!$D$36</f>
        <v>364.049786981328</v>
      </c>
      <c r="M35" s="15" t="n">
        <f aca="false">M18*Hypothèses!$D$36</f>
        <v>446.1235748258</v>
      </c>
      <c r="N35" s="15" t="n">
        <f aca="false">N18*Hypothèses!$D$36</f>
        <v>527.376624791828</v>
      </c>
      <c r="O35" s="15" t="n">
        <f aca="false">O18*Hypothèses!$D$36</f>
        <v>807.817144258195</v>
      </c>
      <c r="P35" s="15" t="n">
        <f aca="false">P18*Hypothèses!$D$36</f>
        <v>1085.4532585299</v>
      </c>
      <c r="Q35" s="15" t="n">
        <f aca="false">Q18*Hypothèses!$D$36</f>
        <v>1360.31301165889</v>
      </c>
      <c r="R35" s="15" t="n">
        <f aca="false">R18*Hypothèses!$D$36</f>
        <v>1632.42416725658</v>
      </c>
      <c r="S35" s="15" t="n">
        <f aca="false">S18*Hypothèses!$D$36</f>
        <v>1901.8142112983</v>
      </c>
      <c r="T35" s="15" t="n">
        <f aca="false">T18*Hypothèses!$D$36</f>
        <v>2168.51035489961</v>
      </c>
      <c r="U35" s="15" t="n">
        <f aca="false">U18*Hypothèses!$D$36</f>
        <v>2432.5395370649</v>
      </c>
      <c r="V35" s="15" t="n">
        <f aca="false">V18*Hypothèses!$D$36</f>
        <v>2693.92842740853</v>
      </c>
      <c r="W35" s="15" t="n">
        <f aca="false">W18*Hypothèses!$D$36</f>
        <v>2952.70342884873</v>
      </c>
      <c r="X35" s="15" t="n">
        <f aca="false">X18*Hypothèses!$D$36</f>
        <v>3208.89068027453</v>
      </c>
      <c r="Y35" s="15" t="n">
        <f aca="false">Y18*Hypothèses!$D$36</f>
        <v>3462.51605918607</v>
      </c>
      <c r="Z35" s="15" t="n">
        <f aca="false">Z18*Hypothèses!$D$36</f>
        <v>3713.6051843085</v>
      </c>
      <c r="AA35" s="15" t="n">
        <f aca="false">AA18*Hypothèses!$D$36</f>
        <v>4390.75484675113</v>
      </c>
      <c r="AB35" s="15" t="n">
        <f aca="false">AB18*Hypothèses!$D$36</f>
        <v>5061.13301256933</v>
      </c>
      <c r="AC35" s="15" t="n">
        <f aca="false">AC18*Hypothèses!$D$36</f>
        <v>5724.80739672935</v>
      </c>
      <c r="AD35" s="15" t="n">
        <f aca="false">AD18*Hypothèses!$D$36</f>
        <v>6381.84503704777</v>
      </c>
      <c r="AE35" s="15" t="n">
        <f aca="false">AE18*Hypothèses!$D$36</f>
        <v>7032.31230096301</v>
      </c>
      <c r="AF35" s="15" t="n">
        <f aca="false">AF18*Hypothèses!$D$36</f>
        <v>7676.27489223909</v>
      </c>
      <c r="AG35" s="15" t="n">
        <f aca="false">AG18*Hypothèses!$D$36</f>
        <v>8313.79785760241</v>
      </c>
      <c r="AH35" s="15" t="n">
        <f aca="false">AH18*Hypothèses!$D$36</f>
        <v>8944.9455933121</v>
      </c>
      <c r="AI35" s="15" t="n">
        <f aca="false">AI18*Hypothèses!$D$36</f>
        <v>9569.7818516647</v>
      </c>
      <c r="AJ35" s="15" t="n">
        <f aca="false">AJ18*Hypothèses!$D$36</f>
        <v>10188.3697474338</v>
      </c>
      <c r="AK35" s="15" t="n">
        <f aca="false">AK18*Hypothèses!$D$36</f>
        <v>10800.7717642451</v>
      </c>
      <c r="AL35" s="15" t="n">
        <f aca="false">AL18*Hypothèses!$D$36</f>
        <v>11407.0497608884</v>
      </c>
      <c r="AN35" s="15" t="n">
        <f aca="false">SUM(C35:N35)</f>
        <v>2043.63157418048</v>
      </c>
      <c r="AO35" s="15" t="n">
        <f aca="false">SUM(O35:Z35)</f>
        <v>27420.5154649927</v>
      </c>
      <c r="AP35" s="15" t="n">
        <f aca="false">SUM(AA35:AL35)</f>
        <v>95491.8440614462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138.807</v>
      </c>
      <c r="G36" s="40" t="n">
        <f aca="false">G33+G34+G35</f>
        <v>134.64279</v>
      </c>
      <c r="H36" s="40" t="n">
        <f aca="false">H33+H34+H35</f>
        <v>130.6035063</v>
      </c>
      <c r="I36" s="40" t="n">
        <f aca="false">I33+I34+I35</f>
        <v>538.154614094143</v>
      </c>
      <c r="J36" s="40" t="n">
        <f aca="false">J33+J34+J35</f>
        <v>941.630210810344</v>
      </c>
      <c r="K36" s="40" t="n">
        <f aca="false">K33+K34+K35</f>
        <v>1341.07105155938</v>
      </c>
      <c r="L36" s="40" t="n">
        <f aca="false">L33+L34+L35</f>
        <v>1736.51748390093</v>
      </c>
      <c r="M36" s="40" t="n">
        <f aca="false">M33+M34+M35</f>
        <v>2128.00945191907</v>
      </c>
      <c r="N36" s="40" t="n">
        <f aca="false">N33+N34+N35</f>
        <v>2515.58650025702</v>
      </c>
      <c r="O36" s="40" t="n">
        <f aca="false">O33+O34+O35</f>
        <v>3853.28777811159</v>
      </c>
      <c r="P36" s="40" t="n">
        <f aca="false">P33+P34+P35</f>
        <v>5177.61204318762</v>
      </c>
      <c r="Q36" s="40" t="n">
        <f aca="false">Q33+Q34+Q35</f>
        <v>6488.69306561288</v>
      </c>
      <c r="R36" s="40" t="n">
        <f aca="false">R33+R34+R35</f>
        <v>7786.6632778139</v>
      </c>
      <c r="S36" s="40" t="n">
        <f aca="false">S33+S34+S35</f>
        <v>9071.65378789291</v>
      </c>
      <c r="T36" s="40" t="n">
        <f aca="false">T33+T34+T35</f>
        <v>10343.7943928711</v>
      </c>
      <c r="U36" s="40" t="n">
        <f aca="false">U33+U34+U35</f>
        <v>11603.2135917996</v>
      </c>
      <c r="V36" s="40" t="n">
        <f aca="false">V33+V34+V35</f>
        <v>12850.0385987387</v>
      </c>
      <c r="W36" s="40" t="n">
        <f aca="false">W33+W34+W35</f>
        <v>14084.3953556085</v>
      </c>
      <c r="X36" s="40" t="n">
        <f aca="false">X33+X34+X35</f>
        <v>15306.4085449095</v>
      </c>
      <c r="Y36" s="40" t="n">
        <f aca="false">Y33+Y34+Y35</f>
        <v>16516.2016023176</v>
      </c>
      <c r="Z36" s="40" t="n">
        <f aca="false">Z33+Z34+Z35</f>
        <v>17713.8967291515</v>
      </c>
      <c r="AA36" s="40" t="n">
        <f aca="false">AA33+AA34+AA35</f>
        <v>20943.9006190029</v>
      </c>
      <c r="AB36" s="40" t="n">
        <f aca="false">AB33+AB34+AB35</f>
        <v>24141.6044699557</v>
      </c>
      <c r="AC36" s="40" t="n">
        <f aca="false">AC33+AC34+AC35</f>
        <v>27307.331282399</v>
      </c>
      <c r="AD36" s="40" t="n">
        <f aca="false">AD33+AD34+AD35</f>
        <v>30441.4008267179</v>
      </c>
      <c r="AE36" s="40" t="n">
        <f aca="false">AE33+AE34+AE35</f>
        <v>33544.1296755935</v>
      </c>
      <c r="AF36" s="40" t="n">
        <f aca="false">AF33+AF34+AF35</f>
        <v>36615.8312359805</v>
      </c>
      <c r="AG36" s="40" t="n">
        <f aca="false">AG33+AG34+AG35</f>
        <v>39656.8157807635</v>
      </c>
      <c r="AH36" s="40" t="n">
        <f aca="false">AH33+AH34+AH35</f>
        <v>42667.3904800987</v>
      </c>
      <c r="AI36" s="40" t="n">
        <f aca="false">AI33+AI34+AI35</f>
        <v>45647.8594324406</v>
      </c>
      <c r="AJ36" s="40" t="n">
        <f aca="false">AJ33+AJ34+AJ35</f>
        <v>48598.5236952591</v>
      </c>
      <c r="AK36" s="40" t="n">
        <f aca="false">AK33+AK34+AK35</f>
        <v>51519.6813154493</v>
      </c>
      <c r="AL36" s="40" t="n">
        <f aca="false">AL33+AL34+AL35</f>
        <v>54411.6273594377</v>
      </c>
      <c r="AN36" s="40" t="n">
        <f aca="false">SUM(C36:N36)</f>
        <v>9748.12260884089</v>
      </c>
      <c r="AO36" s="40" t="n">
        <f aca="false">SUM(O36:Z36)</f>
        <v>130795.858768015</v>
      </c>
      <c r="AP36" s="40" t="n">
        <f aca="false">SUM(AA36:AL36)</f>
        <v>455496.096173098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440.29367</v>
      </c>
      <c r="G37" s="40" t="n">
        <f aca="false">G28-G36-G30-G29/(1+Hypothèses!$D$15)</f>
        <v>427.0848599</v>
      </c>
      <c r="H37" s="40" t="n">
        <f aca="false">H28-H36-H30-H29/(1+Hypothèses!$D$15)</f>
        <v>414.272314103</v>
      </c>
      <c r="I37" s="40" t="n">
        <f aca="false">I28-I36-I30-I29/(1+Hypothèses!$D$15)</f>
        <v>1707.01816239054</v>
      </c>
      <c r="J37" s="40" t="n">
        <f aca="false">J28-J36-J30-J29/(1+Hypothèses!$D$15)</f>
        <v>2986.83655219521</v>
      </c>
      <c r="K37" s="40" t="n">
        <f aca="false">K28-K36-K30-K29/(1+Hypothèses!$D$15)</f>
        <v>4253.85675810183</v>
      </c>
      <c r="L37" s="40" t="n">
        <f aca="false">L28-L36-L30-L29/(1+Hypothèses!$D$15)</f>
        <v>5508.20676194938</v>
      </c>
      <c r="M37" s="40" t="n">
        <f aca="false">M28-M36-M30-M29/(1+Hypothèses!$D$15)</f>
        <v>6750.01326575846</v>
      </c>
      <c r="N37" s="40" t="n">
        <f aca="false">N28-N36-N30-N29/(1+Hypothèses!$D$15)</f>
        <v>7979.40170452945</v>
      </c>
      <c r="O37" s="40" t="n">
        <f aca="false">O28-O36-O30-O29/(1+Hypothèses!$D$15)</f>
        <v>12222.5695922461</v>
      </c>
      <c r="P37" s="40" t="n">
        <f aca="false">P28-P36-P30-P29/(1+Hypothèses!$D$15)</f>
        <v>16423.3058010855</v>
      </c>
      <c r="Q37" s="40" t="n">
        <f aca="false">Q28-Q36-Q30-Q29/(1+Hypothèses!$D$15)</f>
        <v>20582.0346478366</v>
      </c>
      <c r="R37" s="40" t="n">
        <f aca="false">R28-R36-R30-R29/(1+Hypothèses!$D$15)</f>
        <v>24699.1762061201</v>
      </c>
      <c r="S37" s="40" t="n">
        <f aca="false">S28-S36-S30-S29/(1+Hypothèses!$D$15)</f>
        <v>28775.1463488208</v>
      </c>
      <c r="T37" s="40" t="n">
        <f aca="false">T28-T36-T30-T29/(1+Hypothèses!$D$15)</f>
        <v>32810.3567900945</v>
      </c>
      <c r="U37" s="40" t="n">
        <f aca="false">U28-U36-U30-U29/(1+Hypothèses!$D$15)</f>
        <v>36805.2151269555</v>
      </c>
      <c r="V37" s="40" t="n">
        <f aca="false">V28-V36-V30-V29/(1+Hypothèses!$D$15)</f>
        <v>40760.1248804478</v>
      </c>
      <c r="W37" s="40" t="n">
        <f aca="false">W28-W36-W30-W29/(1+Hypothèses!$D$15)</f>
        <v>44675.4855364052</v>
      </c>
      <c r="X37" s="40" t="n">
        <f aca="false">X28-X36-X30-X29/(1+Hypothèses!$D$15)</f>
        <v>48551.6925858031</v>
      </c>
      <c r="Y37" s="40" t="n">
        <f aca="false">Y28-Y36-Y30-Y29/(1+Hypothèses!$D$15)</f>
        <v>52389.137564707</v>
      </c>
      <c r="Z37" s="40" t="n">
        <f aca="false">Z28-Z36-Z30-Z29/(1+Hypothèses!$D$15)</f>
        <v>56188.2080938218</v>
      </c>
      <c r="AA37" s="40" t="n">
        <f aca="false">AA28-AA36-AA30-AA29/(1+Hypothèses!$D$15)</f>
        <v>66433.7307747883</v>
      </c>
      <c r="AB37" s="40" t="n">
        <f aca="false">AB28-AB36-AB30-AB29/(1+Hypothèses!$D$15)</f>
        <v>76576.7982289452</v>
      </c>
      <c r="AC37" s="40" t="n">
        <f aca="false">AC28-AC36-AC30-AC29/(1+Hypothèses!$D$15)</f>
        <v>86618.4350085605</v>
      </c>
      <c r="AD37" s="40" t="n">
        <f aca="false">AD28-AD36-AD30-AD29/(1+Hypothèses!$D$15)</f>
        <v>96559.6554203797</v>
      </c>
      <c r="AE37" s="40" t="n">
        <f aca="false">AE28-AE36-AE30-AE29/(1+Hypothèses!$D$15)</f>
        <v>106401.463628081</v>
      </c>
      <c r="AF37" s="40" t="n">
        <f aca="false">AF28-AF36-AF30-AF29/(1+Hypothèses!$D$15)</f>
        <v>116144.853753705</v>
      </c>
      <c r="AG37" s="40" t="n">
        <f aca="false">AG28-AG36-AG30-AG29/(1+Hypothèses!$D$15)</f>
        <v>125790.809978072</v>
      </c>
      <c r="AH37" s="40" t="n">
        <f aca="false">AH28-AH36-AH30-AH29/(1+Hypothèses!$D$15)</f>
        <v>135340.306640196</v>
      </c>
      <c r="AI37" s="40" t="n">
        <f aca="false">AI28-AI36-AI30-AI29/(1+Hypothèses!$D$15)</f>
        <v>144794.308335699</v>
      </c>
      <c r="AJ37" s="40" t="n">
        <f aca="false">AJ28-AJ36-AJ30-AJ29/(1+Hypothèses!$D$15)</f>
        <v>154153.770014247</v>
      </c>
      <c r="AK37" s="40" t="n">
        <f aca="false">AK28-AK36-AK30-AK29/(1+Hypothèses!$D$15)</f>
        <v>163419.637076009</v>
      </c>
      <c r="AL37" s="40" t="n">
        <f aca="false">AL28-AL36-AL30-AL29/(1+Hypothèses!$D$15)</f>
        <v>172592.845467154</v>
      </c>
      <c r="AN37" s="40" t="n">
        <f aca="false">SUM(C37:N37)</f>
        <v>30920.8950489279</v>
      </c>
      <c r="AO37" s="40" t="n">
        <f aca="false">SUM(O37:Z37)</f>
        <v>414882.453174344</v>
      </c>
      <c r="AP37" s="40" t="n">
        <f aca="false">SUM(AA37:AL37)</f>
        <v>1444826.61432584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-13887.7556666667</v>
      </c>
      <c r="F52" s="40" t="n">
        <f aca="false">F37-F39-F51</f>
        <v>-13901.3729966667</v>
      </c>
      <c r="G52" s="40" t="n">
        <f aca="false">G37-G39-G51</f>
        <v>-13914.5818067667</v>
      </c>
      <c r="H52" s="40" t="n">
        <f aca="false">H37-H39-H51</f>
        <v>-13927.3943525637</v>
      </c>
      <c r="I52" s="40" t="n">
        <f aca="false">I37-I39-I51</f>
        <v>-8942.98183760946</v>
      </c>
      <c r="J52" s="40" t="n">
        <f aca="false">J37-J39-J51</f>
        <v>-2663.16344780479</v>
      </c>
      <c r="K52" s="40" t="n">
        <f aca="false">K37-K39-K51</f>
        <v>-1396.14324189817</v>
      </c>
      <c r="L52" s="40" t="n">
        <f aca="false">L37-L39-L51</f>
        <v>-141.793238050619</v>
      </c>
      <c r="M52" s="40" t="n">
        <f aca="false">M37-M39-M51</f>
        <v>1100.01326575846</v>
      </c>
      <c r="N52" s="40" t="n">
        <f aca="false">N37-N39-N51</f>
        <v>2329.40170452945</v>
      </c>
      <c r="O52" s="40" t="n">
        <f aca="false">O37-O39-O51</f>
        <v>-14927.4304077539</v>
      </c>
      <c r="P52" s="40" t="n">
        <f aca="false">P37-P39-P51</f>
        <v>-10726.6941989145</v>
      </c>
      <c r="Q52" s="40" t="n">
        <f aca="false">Q37-Q39-Q51</f>
        <v>-6567.96535216345</v>
      </c>
      <c r="R52" s="40" t="n">
        <f aca="false">R37-R39-R51</f>
        <v>-2450.82379387991</v>
      </c>
      <c r="S52" s="40" t="n">
        <f aca="false">S37-S39-S51</f>
        <v>1625.1463488208</v>
      </c>
      <c r="T52" s="40" t="n">
        <f aca="false">T37-T39-T51</f>
        <v>5660.3567900945</v>
      </c>
      <c r="U52" s="40" t="n">
        <f aca="false">U37-U39-U51</f>
        <v>-1844.78487304453</v>
      </c>
      <c r="V52" s="40" t="n">
        <f aca="false">V37-V39-V51</f>
        <v>7110.12488044782</v>
      </c>
      <c r="W52" s="40" t="n">
        <f aca="false">W37-W39-W51</f>
        <v>11025.4855364052</v>
      </c>
      <c r="X52" s="40" t="n">
        <f aca="false">X37-X39-X51</f>
        <v>14901.6925858031</v>
      </c>
      <c r="Y52" s="40" t="n">
        <f aca="false">Y37-Y39-Y51</f>
        <v>18739.137564707</v>
      </c>
      <c r="Z52" s="40" t="n">
        <f aca="false">Z37-Z39-Z51</f>
        <v>22538.2080938218</v>
      </c>
      <c r="AA52" s="40" t="n">
        <f aca="false">AA37-AA39-AA51</f>
        <v>17783.7307747883</v>
      </c>
      <c r="AB52" s="40" t="n">
        <f aca="false">AB37-AB39-AB51</f>
        <v>27926.7982289452</v>
      </c>
      <c r="AC52" s="40" t="n">
        <f aca="false">AC37-AC39-AC51</f>
        <v>37968.4350085605</v>
      </c>
      <c r="AD52" s="40" t="n">
        <f aca="false">AD37-AD39-AD51</f>
        <v>47909.6554203797</v>
      </c>
      <c r="AE52" s="40" t="n">
        <f aca="false">AE37-AE39-AE51</f>
        <v>57751.4636280806</v>
      </c>
      <c r="AF52" s="40" t="n">
        <f aca="false">AF37-AF39-AF51</f>
        <v>67494.8537537046</v>
      </c>
      <c r="AG52" s="40" t="n">
        <f aca="false">AG37-AG39-AG51</f>
        <v>72140.8099780723</v>
      </c>
      <c r="AH52" s="40" t="n">
        <f aca="false">AH37-AH39-AH51</f>
        <v>86690.3066401963</v>
      </c>
      <c r="AI52" s="40" t="n">
        <f aca="false">AI37-AI39-AI51</f>
        <v>96144.3083356992</v>
      </c>
      <c r="AJ52" s="40" t="n">
        <f aca="false">AJ37-AJ39-AJ51</f>
        <v>105503.770014247</v>
      </c>
      <c r="AK52" s="40" t="n">
        <f aca="false">AK37-AK39-AK51</f>
        <v>114769.637076009</v>
      </c>
      <c r="AL52" s="40" t="n">
        <f aca="false">AL37-AL39-AL51</f>
        <v>123942.845467154</v>
      </c>
      <c r="AN52" s="40" t="n">
        <f aca="false">SUM(C52:N52)</f>
        <v>-96529.1049510721</v>
      </c>
      <c r="AO52" s="40" t="n">
        <f aca="false">SUM(O52:Z52)</f>
        <v>45082.4531743438</v>
      </c>
      <c r="AP52" s="40" t="n">
        <f aca="false">SUM(AA52:AL52)</f>
        <v>856026.614325837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1</v>
      </c>
      <c r="N53" s="13" t="n">
        <f aca="false">IF(N52&gt;0,1,0)</f>
        <v>1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1</v>
      </c>
      <c r="T53" s="13" t="n">
        <f aca="false">IF(T52&gt;0,1,0)</f>
        <v>1</v>
      </c>
      <c r="U53" s="13" t="n">
        <f aca="false">IF(U52&gt;0,1,0)</f>
        <v>0</v>
      </c>
      <c r="V53" s="13" t="n">
        <f aca="false">IF(V52&gt;0,1,0)</f>
        <v>1</v>
      </c>
      <c r="W53" s="13" t="n">
        <f aca="false">IF(W52&gt;0,1,0)</f>
        <v>1</v>
      </c>
      <c r="X53" s="13" t="n">
        <f aca="false">IF(X52&gt;0,1,0)</f>
        <v>1</v>
      </c>
      <c r="Y53" s="13" t="n">
        <f aca="false">IF(Y52&gt;0,1,0)</f>
        <v>1</v>
      </c>
      <c r="Z53" s="13" t="n">
        <f aca="false">IF(Z52&gt;0,1,0)</f>
        <v>1</v>
      </c>
      <c r="AA53" s="13" t="n">
        <f aca="false">IF(AA52&gt;0,1,0)</f>
        <v>1</v>
      </c>
      <c r="AB53" s="13" t="n">
        <f aca="false">IF(AB52&gt;0,1,0)</f>
        <v>1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119.633333333333</v>
      </c>
      <c r="H55" s="15" t="n">
        <f aca="false">G27</f>
        <v>116.044333333333</v>
      </c>
      <c r="I55" s="15" t="n">
        <f aca="false">H27</f>
        <v>112.563003333333</v>
      </c>
      <c r="J55" s="15" t="n">
        <f aca="false">I27</f>
        <v>463.818325680952</v>
      </c>
      <c r="K55" s="15" t="n">
        <f aca="false">J27</f>
        <v>811.561094805095</v>
      </c>
      <c r="L55" s="15" t="n">
        <f aca="false">K27</f>
        <v>1155.826436238</v>
      </c>
      <c r="M55" s="15" t="n">
        <f aca="false">L27</f>
        <v>1496.64912425657</v>
      </c>
      <c r="N55" s="15" t="n">
        <f aca="false">M27</f>
        <v>1834.06358539496</v>
      </c>
      <c r="O55" s="15" t="n">
        <f aca="false">N27</f>
        <v>2168.10390192196</v>
      </c>
      <c r="P55" s="15" t="n">
        <f aca="false">O27</f>
        <v>3321.02603750591</v>
      </c>
      <c r="Q55" s="15" t="n">
        <f aca="false">P27</f>
        <v>4462.41895173403</v>
      </c>
      <c r="R55" s="15" t="n">
        <f aca="false">Q27</f>
        <v>5592.39793681986</v>
      </c>
      <c r="S55" s="15" t="n">
        <f aca="false">R27</f>
        <v>6711.07713205484</v>
      </c>
      <c r="T55" s="15" t="n">
        <f aca="false">S27</f>
        <v>7818.56953533747</v>
      </c>
      <c r="U55" s="15" t="n">
        <f aca="false">T27</f>
        <v>8914.98701458727</v>
      </c>
      <c r="V55" s="15" t="n">
        <f aca="false">U27</f>
        <v>10000.4403190446</v>
      </c>
      <c r="W55" s="15" t="n">
        <f aca="false">V27</f>
        <v>11075.0390904573</v>
      </c>
      <c r="X55" s="15" t="n">
        <f aca="false">W27</f>
        <v>12138.8918741559</v>
      </c>
      <c r="Y55" s="15" t="n">
        <f aca="false">X27</f>
        <v>13192.1061300175</v>
      </c>
      <c r="Z55" s="15" t="n">
        <f aca="false">Y27</f>
        <v>14234.7882433205</v>
      </c>
      <c r="AA55" s="15" t="n">
        <f aca="false">Z27</f>
        <v>15267.0435354905</v>
      </c>
      <c r="AB55" s="15" t="n">
        <f aca="false">AA27</f>
        <v>18050.8810366435</v>
      </c>
      <c r="AC55" s="15" t="n">
        <f aca="false">AB27</f>
        <v>20806.880162785</v>
      </c>
      <c r="AD55" s="15" t="n">
        <f aca="false">AC27</f>
        <v>23535.3192976651</v>
      </c>
      <c r="AE55" s="15" t="n">
        <f aca="false">AD27</f>
        <v>26236.4740411964</v>
      </c>
      <c r="AF55" s="15" t="n">
        <f aca="false">AE27</f>
        <v>28910.6172372924</v>
      </c>
      <c r="AG55" s="15" t="n">
        <f aca="false">AF27</f>
        <v>31558.0190014274</v>
      </c>
      <c r="AH55" s="15" t="n">
        <f aca="false">AG27</f>
        <v>34178.946747921</v>
      </c>
      <c r="AI55" s="15" t="n">
        <f aca="false">AH27</f>
        <v>36773.6652169498</v>
      </c>
      <c r="AJ55" s="15" t="n">
        <f aca="false">AI27</f>
        <v>39342.4365012882</v>
      </c>
      <c r="AK55" s="15" t="n">
        <f aca="false">AJ27</f>
        <v>41885.5200727833</v>
      </c>
      <c r="AL55" s="15" t="n">
        <f aca="false">AK27</f>
        <v>44403.1728085634</v>
      </c>
      <c r="AN55" s="15" t="n">
        <f aca="false">SUM(C55:N55)</f>
        <v>6233.4925697089</v>
      </c>
      <c r="AO55" s="15" t="n">
        <f aca="false">SUM(O55:Z55)</f>
        <v>99629.8461669572</v>
      </c>
      <c r="AP55" s="15" t="n">
        <f aca="false">SUM(AA55:AL55)</f>
        <v>360948.975660006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2896.09473333333</v>
      </c>
      <c r="H56" s="15" t="n">
        <f aca="false">(G36+G39+G43+G44+G45+G47+G48+G49+G50)*Hypothèses!$D$15</f>
        <v>2895.26189133333</v>
      </c>
      <c r="I56" s="15" t="n">
        <f aca="false">(H36+H39+H43+H44+H45+H47+H48+H49+H50)*Hypothèses!$D$15</f>
        <v>2894.45403459333</v>
      </c>
      <c r="J56" s="15" t="n">
        <f aca="false">(I36+I39+I43+I44+I45+I47+I48+I49+I50)*Hypothèses!$D$15</f>
        <v>2207.63092281883</v>
      </c>
      <c r="K56" s="15" t="n">
        <f aca="false">(J36+J39+J43+J44+J45+J47+J48+J49+J50)*Hypothèses!$D$15</f>
        <v>1288.32604216207</v>
      </c>
      <c r="L56" s="15" t="n">
        <f aca="false">(K36+K39+K43+K44+K45+K47+K48+K49+K50)*Hypothèses!$D$15</f>
        <v>1368.21421031188</v>
      </c>
      <c r="M56" s="15" t="n">
        <f aca="false">(L36+L39+L43+L44+L45+L47+L48+L49+L50)*Hypothèses!$D$15</f>
        <v>1447.30349678019</v>
      </c>
      <c r="N56" s="15" t="n">
        <f aca="false">(M36+M39+M43+M44+M45+M47+M48+M49+M50)*Hypothèses!$D$15</f>
        <v>1525.60189038381</v>
      </c>
      <c r="O56" s="15" t="n">
        <f aca="false">(N36+N39+N43+N44+N45+N47+N48+N49+N50)*Hypothèses!$D$15</f>
        <v>1603.1173000514</v>
      </c>
      <c r="P56" s="15" t="n">
        <f aca="false">(O36+O39+O43+O44+O45+O47+O48+O49+O50)*Hypothèses!$D$15</f>
        <v>3270.65755562232</v>
      </c>
      <c r="Q56" s="15" t="n">
        <f aca="false">(P36+P39+P43+P44+P45+P47+P48+P49+P50)*Hypothèses!$D$15</f>
        <v>3535.52240863752</v>
      </c>
      <c r="R56" s="15" t="n">
        <f aca="false">(Q36+Q39+Q43+Q44+Q45+Q47+Q48+Q49+Q50)*Hypothèses!$D$15</f>
        <v>3797.73861312258</v>
      </c>
      <c r="S56" s="15" t="n">
        <f aca="false">(R36+R39+R43+R44+R45+R47+R48+R49+R50)*Hypothèses!$D$15</f>
        <v>4057.33265556278</v>
      </c>
      <c r="T56" s="15" t="n">
        <f aca="false">(S36+S39+S43+S44+S45+S47+S48+S49+S50)*Hypothèses!$D$15</f>
        <v>4314.33075757858</v>
      </c>
      <c r="U56" s="15" t="n">
        <f aca="false">(T36+T39+T43+T44+T45+T47+T48+T49+T50)*Hypothèses!$D$15</f>
        <v>4568.75887857422</v>
      </c>
      <c r="V56" s="15" t="n">
        <f aca="false">(U36+U39+U43+U44+U45+U47+U48+U49+U50)*Hypothèses!$D$15</f>
        <v>5820.64271835991</v>
      </c>
      <c r="W56" s="15" t="n">
        <f aca="false">(V36+V39+V43+V44+V45+V47+V48+V49+V50)*Hypothèses!$D$15</f>
        <v>5070.00771974774</v>
      </c>
      <c r="X56" s="15" t="n">
        <f aca="false">(W36+W39+W43+W44+W45+W47+W48+W49+W50)*Hypothèses!$D$15</f>
        <v>5316.87907112169</v>
      </c>
      <c r="Y56" s="15" t="n">
        <f aca="false">(X36+X39+X43+X44+X45+X47+X48+X49+X50)*Hypothèses!$D$15</f>
        <v>5561.2817089819</v>
      </c>
      <c r="Z56" s="15" t="n">
        <f aca="false">(Y36+Y39+Y43+Y44+Y45+Y47+Y48+Y49+Y50)*Hypothèses!$D$15</f>
        <v>5803.24032046351</v>
      </c>
      <c r="AA56" s="15" t="n">
        <f aca="false">(Z36+Z39+Z43+Z44+Z45+Z47+Z48+Z49+Z50)*Hypothèses!$D$15</f>
        <v>6042.77934583031</v>
      </c>
      <c r="AB56" s="15" t="n">
        <f aca="false">(AA36+AA39+AA43+AA44+AA45+AA47+AA48+AA49+AA50)*Hypothèses!$D$15</f>
        <v>9688.78012380057</v>
      </c>
      <c r="AC56" s="15" t="n">
        <f aca="false">(AB36+AB39+AB43+AB44+AB45+AB47+AB48+AB49+AB50)*Hypothèses!$D$15</f>
        <v>10328.3208939911</v>
      </c>
      <c r="AD56" s="15" t="n">
        <f aca="false">(AC36+AC39+AC43+AC44+AC45+AC47+AC48+AC49+AC50)*Hypothèses!$D$15</f>
        <v>10961.4662564798</v>
      </c>
      <c r="AE56" s="15" t="n">
        <f aca="false">(AD36+AD39+AD43+AD44+AD45+AD47+AD48+AD49+AD50)*Hypothèses!$D$15</f>
        <v>11588.2801653436</v>
      </c>
      <c r="AF56" s="15" t="n">
        <f aca="false">(AE36+AE39+AE43+AE44+AE45+AE47+AE48+AE49+AE50)*Hypothèses!$D$15</f>
        <v>12208.8259351187</v>
      </c>
      <c r="AG56" s="15" t="n">
        <f aca="false">(AF36+AF39+AF43+AF44+AF45+AF47+AF48+AF49+AF50)*Hypothèses!$D$15</f>
        <v>12823.1662471961</v>
      </c>
      <c r="AH56" s="15" t="n">
        <f aca="false">(AG36+AG39+AG43+AG44+AG45+AG47+AG48+AG49+AG50)*Hypothèses!$D$15</f>
        <v>14431.3631561527</v>
      </c>
      <c r="AI56" s="15" t="n">
        <f aca="false">(AH36+AH39+AH43+AH44+AH45+AH47+AH48+AH49+AH50)*Hypothèses!$D$15</f>
        <v>14033.4780960197</v>
      </c>
      <c r="AJ56" s="15" t="n">
        <f aca="false">(AI36+AI39+AI43+AI44+AI45+AI47+AI48+AI49+AI50)*Hypothèses!$D$15</f>
        <v>14629.5718864881</v>
      </c>
      <c r="AK56" s="15" t="n">
        <f aca="false">(AJ36+AJ39+AJ43+AJ44+AJ45+AJ47+AJ48+AJ49+AJ50)*Hypothèses!$D$15</f>
        <v>15219.7047390518</v>
      </c>
      <c r="AL56" s="15" t="n">
        <f aca="false">(AK36+AK39+AK43+AK44+AK45+AK47+AK48+AK49+AK50)*Hypothèses!$D$15</f>
        <v>15803.9362630899</v>
      </c>
      <c r="AN56" s="15" t="n">
        <f aca="false">SUM(C56:N56)</f>
        <v>25656.5072217168</v>
      </c>
      <c r="AO56" s="15" t="n">
        <f aca="false">SUM(O56:Z56)</f>
        <v>52719.5097078242</v>
      </c>
      <c r="AP56" s="15" t="n">
        <f aca="false">SUM(AA56:AL56)</f>
        <v>147759.673108562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-38712.3223333333</v>
      </c>
      <c r="G58" s="15" t="n">
        <f aca="false">F60</f>
        <v>-49721.63833</v>
      </c>
      <c r="H58" s="15" t="n">
        <f aca="false">G60</f>
        <v>-60744.8748467667</v>
      </c>
      <c r="I58" s="15" t="n">
        <f aca="false">H60</f>
        <v>-71781.6142680303</v>
      </c>
      <c r="J58" s="15" t="n">
        <f aca="false">I60</f>
        <v>-77483.5249319557</v>
      </c>
      <c r="K58" s="15" t="n">
        <f aca="false">J60</f>
        <v>-77599.4302987655</v>
      </c>
      <c r="L58" s="15" t="n">
        <f aca="false">K60</f>
        <v>-77374.5404214311</v>
      </c>
      <c r="M58" s="15" t="n">
        <f aca="false">L60</f>
        <v>-75822.2632523938</v>
      </c>
      <c r="N58" s="15" t="n">
        <f aca="false">M60</f>
        <v>-72955.8726645708</v>
      </c>
      <c r="O58" s="15" t="n">
        <f aca="false">N60</f>
        <v>-68788.5097921497</v>
      </c>
      <c r="P58" s="15" t="n">
        <f aca="false">O60</f>
        <v>-80993.1110246434</v>
      </c>
      <c r="Q58" s="15" t="n">
        <f aca="false">P60</f>
        <v>-87352.3789432248</v>
      </c>
      <c r="R58" s="15" t="n">
        <f aca="false">Q60</f>
        <v>-89310.7668810331</v>
      </c>
      <c r="S58" s="15" t="n">
        <f aca="false">R60</f>
        <v>-86912.283637876</v>
      </c>
      <c r="T58" s="15" t="n">
        <f aca="false">S60</f>
        <v>-80200.4979255631</v>
      </c>
      <c r="U58" s="15" t="n">
        <f aca="false">T60</f>
        <v>-69218.5427687861</v>
      </c>
      <c r="V58" s="15" t="n">
        <f aca="false">U60</f>
        <v>-65509.1198619896</v>
      </c>
      <c r="W58" s="15" t="n">
        <f aca="false">V60</f>
        <v>-51614.5038826737</v>
      </c>
      <c r="X58" s="15" t="n">
        <f aca="false">W60</f>
        <v>-34576.5467615637</v>
      </c>
      <c r="Y58" s="15" t="n">
        <f aca="false">X60</f>
        <v>-13436.6819100775</v>
      </c>
      <c r="Z58" s="15" t="n">
        <f aca="false">Y60</f>
        <v>11764.0715944811</v>
      </c>
      <c r="AA58" s="15" t="n">
        <f aca="false">Z60</f>
        <v>40985.1048655815</v>
      </c>
      <c r="AB58" s="15" t="n">
        <f aca="false">AA60</f>
        <v>67414.9436769867</v>
      </c>
      <c r="AC58" s="15" t="n">
        <f aca="false">AB60</f>
        <v>107578.452354246</v>
      </c>
      <c r="AD58" s="15" t="n">
        <f aca="false">AC60</f>
        <v>158368.294198701</v>
      </c>
      <c r="AE58" s="15" t="n">
        <f aca="false">AD60</f>
        <v>219678.20587868</v>
      </c>
      <c r="AF58" s="15" t="n">
        <f aca="false">AE60</f>
        <v>291402.986695827</v>
      </c>
      <c r="AG58" s="15" t="n">
        <f aca="false">AF60</f>
        <v>373438.487958771</v>
      </c>
      <c r="AH58" s="15" t="n">
        <f aca="false">AG60</f>
        <v>460681.602463054</v>
      </c>
      <c r="AI58" s="15" t="n">
        <f aca="false">AH60</f>
        <v>564030.254076262</v>
      </c>
      <c r="AJ58" s="15" t="n">
        <f aca="false">AI60</f>
        <v>676383.387427307</v>
      </c>
      <c r="AK58" s="15" t="n">
        <f aca="false">AJ60</f>
        <v>798640.957698809</v>
      </c>
      <c r="AL58" s="15" t="n">
        <f aca="false">AK60</f>
        <v>930703.920521564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-10397.3223333333</v>
      </c>
      <c r="F59" s="15" t="n">
        <f aca="false">F31-F36-F39-F51-F55+F56+F57</f>
        <v>-11009.3159966667</v>
      </c>
      <c r="G59" s="15" t="n">
        <f aca="false">G31-G36-G39-G51-G55+G56+G57</f>
        <v>-11023.2365167667</v>
      </c>
      <c r="H59" s="15" t="n">
        <f aca="false">H31-H36-H39-H51-H55+H56+H57</f>
        <v>-11036.7394212637</v>
      </c>
      <c r="I59" s="15" t="n">
        <f aca="false">I31-I36-I39-I51-I55+I56+I57</f>
        <v>-5701.91066392532</v>
      </c>
      <c r="J59" s="15" t="n">
        <f aca="false">J31-J36-J39-J51-J55+J56+J57</f>
        <v>-115.905366809872</v>
      </c>
      <c r="K59" s="15" t="n">
        <f aca="false">K31-K36-K39-K51-K55+K56+K57</f>
        <v>224.889877334419</v>
      </c>
      <c r="L59" s="15" t="n">
        <f aca="false">L31-L36-L39-L51-L55+L56+L57</f>
        <v>1552.27716903726</v>
      </c>
      <c r="M59" s="15" t="n">
        <f aca="false">M31-M36-M39-M51-M55+M56+M57</f>
        <v>2866.39058782308</v>
      </c>
      <c r="N59" s="15" t="n">
        <f aca="false">N31-N36-N39-N51-N55+N56+N57</f>
        <v>4167.36287242104</v>
      </c>
      <c r="O59" s="15" t="n">
        <f aca="false">O31-O36-O39-O51-O55+O56+O57</f>
        <v>-12204.6012324936</v>
      </c>
      <c r="P59" s="15" t="n">
        <f aca="false">P31-P36-P39-P51-P55+P56+P57</f>
        <v>-6359.2679185814</v>
      </c>
      <c r="Q59" s="15" t="n">
        <f aca="false">Q31-Q36-Q39-Q51-Q55+Q56+Q57</f>
        <v>-1958.3879378083</v>
      </c>
      <c r="R59" s="15" t="n">
        <f aca="false">R31-R36-R39-R51-R55+R56+R57</f>
        <v>2398.48324315709</v>
      </c>
      <c r="S59" s="15" t="n">
        <f aca="false">S31-S36-S39-S51-S55+S56+S57</f>
        <v>6711.78571231283</v>
      </c>
      <c r="T59" s="15" t="n">
        <f aca="false">T31-T36-T39-T51-T55+T56+T57</f>
        <v>10981.955156777</v>
      </c>
      <c r="U59" s="15" t="n">
        <f aca="false">U31-U36-U39-U51-U55+U56+U57</f>
        <v>3709.42290679655</v>
      </c>
      <c r="V59" s="15" t="n">
        <f aca="false">V31-V36-V39-V51-V55+V56+V57</f>
        <v>13894.6159793159</v>
      </c>
      <c r="W59" s="15" t="n">
        <f aca="false">W31-W36-W39-W51-W55+W56+W57</f>
        <v>17037.95712111</v>
      </c>
      <c r="X59" s="15" t="n">
        <f aca="false">X31-X36-X39-X51-X55+X56+X57</f>
        <v>21139.8648514862</v>
      </c>
      <c r="Y59" s="15" t="n">
        <f aca="false">Y31-Y36-Y39-Y51-Y55+Y56+Y57</f>
        <v>25200.7535045587</v>
      </c>
      <c r="Z59" s="15" t="n">
        <f aca="false">Z31-Z36-Z39-Z51-Z55+Z56+Z57</f>
        <v>29221.0332711004</v>
      </c>
      <c r="AA59" s="15" t="n">
        <f aca="false">AA31-AA36-AA39-AA51-AA55+AA56+AA57</f>
        <v>26429.8388114052</v>
      </c>
      <c r="AB59" s="15" t="n">
        <f aca="false">AB31-AB36-AB39-AB51-AB55+AB56+AB57</f>
        <v>40163.5086772594</v>
      </c>
      <c r="AC59" s="15" t="n">
        <f aca="false">AC31-AC36-AC39-AC51-AC55+AC56+AC57</f>
        <v>50789.8418444551</v>
      </c>
      <c r="AD59" s="15" t="n">
        <f aca="false">AD31-AD36-AD39-AD51-AD55+AD56+AD57</f>
        <v>61309.9116799788</v>
      </c>
      <c r="AE59" s="15" t="n">
        <f aca="false">AE31-AE36-AE39-AE51-AE55+AE56+AE57</f>
        <v>71724.7808171472</v>
      </c>
      <c r="AF59" s="15" t="n">
        <f aca="false">AF31-AF36-AF39-AF51-AF55+AF56+AF57</f>
        <v>82035.5012629441</v>
      </c>
      <c r="AG59" s="15" t="n">
        <f aca="false">AG31-AG36-AG39-AG51-AG55+AG56+AG57</f>
        <v>87243.1145042829</v>
      </c>
      <c r="AH59" s="15" t="n">
        <f aca="false">AH31-AH36-AH39-AH51-AH55+AH56+AH57</f>
        <v>103348.651613208</v>
      </c>
      <c r="AI59" s="15" t="n">
        <f aca="false">AI31-AI36-AI39-AI51-AI55+AI56+AI57</f>
        <v>112353.133351044</v>
      </c>
      <c r="AJ59" s="15" t="n">
        <f aca="false">AJ31-AJ36-AJ39-AJ51-AJ55+AJ56+AJ57</f>
        <v>122257.570271502</v>
      </c>
      <c r="AK59" s="15" t="n">
        <f aca="false">AK31-AK36-AK39-AK51-AK55+AK56+AK57</f>
        <v>132062.962822755</v>
      </c>
      <c r="AL59" s="15" t="n">
        <f aca="false">AL31-AL36-AL39-AL51-AL55+AL56+AL57</f>
        <v>141770.301448496</v>
      </c>
      <c r="AN59" s="15" t="n">
        <f aca="false">SUM(C59:N59)</f>
        <v>-68788.5097921497</v>
      </c>
      <c r="AO59" s="15" t="n">
        <f aca="false">SUM(O59:Z59)</f>
        <v>109773.614657731</v>
      </c>
      <c r="AP59" s="15" t="n">
        <f aca="false">SUM(AA59:AL59)</f>
        <v>1031489.11710448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-38712.3223333333</v>
      </c>
      <c r="F60" s="40" t="n">
        <f aca="false">F58+F59</f>
        <v>-49721.63833</v>
      </c>
      <c r="G60" s="40" t="n">
        <f aca="false">G58+G59</f>
        <v>-60744.8748467667</v>
      </c>
      <c r="H60" s="40" t="n">
        <f aca="false">H58+H59</f>
        <v>-71781.6142680303</v>
      </c>
      <c r="I60" s="40" t="n">
        <f aca="false">I58+I59</f>
        <v>-77483.5249319557</v>
      </c>
      <c r="J60" s="40" t="n">
        <f aca="false">J58+J59</f>
        <v>-77599.4302987655</v>
      </c>
      <c r="K60" s="40" t="n">
        <f aca="false">K58+K59</f>
        <v>-77374.5404214311</v>
      </c>
      <c r="L60" s="40" t="n">
        <f aca="false">L58+L59</f>
        <v>-75822.2632523938</v>
      </c>
      <c r="M60" s="40" t="n">
        <f aca="false">M58+M59</f>
        <v>-72955.8726645708</v>
      </c>
      <c r="N60" s="40" t="n">
        <f aca="false">N58+N59</f>
        <v>-68788.5097921497</v>
      </c>
      <c r="O60" s="40" t="n">
        <f aca="false">O58+O59</f>
        <v>-80993.1110246434</v>
      </c>
      <c r="P60" s="40" t="n">
        <f aca="false">P58+P59</f>
        <v>-87352.3789432248</v>
      </c>
      <c r="Q60" s="40" t="n">
        <f aca="false">Q58+Q59</f>
        <v>-89310.7668810331</v>
      </c>
      <c r="R60" s="40" t="n">
        <f aca="false">R58+R59</f>
        <v>-86912.283637876</v>
      </c>
      <c r="S60" s="40" t="n">
        <f aca="false">S58+S59</f>
        <v>-80200.4979255631</v>
      </c>
      <c r="T60" s="40" t="n">
        <f aca="false">T58+T59</f>
        <v>-69218.5427687861</v>
      </c>
      <c r="U60" s="40" t="n">
        <f aca="false">U58+U59</f>
        <v>-65509.1198619896</v>
      </c>
      <c r="V60" s="40" t="n">
        <f aca="false">V58+V59</f>
        <v>-51614.5038826737</v>
      </c>
      <c r="W60" s="40" t="n">
        <f aca="false">W58+W59</f>
        <v>-34576.5467615637</v>
      </c>
      <c r="X60" s="40" t="n">
        <f aca="false">X58+X59</f>
        <v>-13436.6819100775</v>
      </c>
      <c r="Y60" s="40" t="n">
        <f aca="false">Y58+Y59</f>
        <v>11764.0715944811</v>
      </c>
      <c r="Z60" s="40" t="n">
        <f aca="false">Z58+Z59</f>
        <v>40985.1048655815</v>
      </c>
      <c r="AA60" s="40" t="n">
        <f aca="false">AA58+AA59</f>
        <v>67414.9436769867</v>
      </c>
      <c r="AB60" s="40" t="n">
        <f aca="false">AB58+AB59</f>
        <v>107578.452354246</v>
      </c>
      <c r="AC60" s="40" t="n">
        <f aca="false">AC58+AC59</f>
        <v>158368.294198701</v>
      </c>
      <c r="AD60" s="40" t="n">
        <f aca="false">AD58+AD59</f>
        <v>219678.20587868</v>
      </c>
      <c r="AE60" s="40" t="n">
        <f aca="false">AE58+AE59</f>
        <v>291402.986695827</v>
      </c>
      <c r="AF60" s="40" t="n">
        <f aca="false">AF58+AF59</f>
        <v>373438.487958771</v>
      </c>
      <c r="AG60" s="40" t="n">
        <f aca="false">AG58+AG59</f>
        <v>460681.602463054</v>
      </c>
      <c r="AH60" s="40" t="n">
        <f aca="false">AH58+AH59</f>
        <v>564030.254076262</v>
      </c>
      <c r="AI60" s="40" t="n">
        <f aca="false">AI58+AI59</f>
        <v>676383.387427307</v>
      </c>
      <c r="AJ60" s="40" t="n">
        <f aca="false">AJ58+AJ59</f>
        <v>798640.957698809</v>
      </c>
      <c r="AK60" s="40" t="n">
        <f aca="false">AK58+AK59</f>
        <v>930703.920521564</v>
      </c>
      <c r="AL60" s="40" t="n">
        <f aca="false">AL58+AL59</f>
        <v>1072474.22197006</v>
      </c>
      <c r="AN60" s="40" t="n">
        <f aca="false">N60</f>
        <v>-68788.5097921497</v>
      </c>
      <c r="AO60" s="40" t="n">
        <f aca="false">Z60</f>
        <v>40985.1048655815</v>
      </c>
      <c r="AP60" s="40" t="n">
        <f aca="false">AL60</f>
        <v>1072474.22197006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-38712.3223333333</v>
      </c>
      <c r="F62" s="40" t="n">
        <f aca="false">F60-F61</f>
        <v>-49721.63833</v>
      </c>
      <c r="G62" s="40" t="n">
        <f aca="false">G60-G61</f>
        <v>-60744.8748467667</v>
      </c>
      <c r="H62" s="40" t="n">
        <f aca="false">H60-H61</f>
        <v>-71781.6142680303</v>
      </c>
      <c r="I62" s="40" t="n">
        <f aca="false">I60-I61</f>
        <v>-77483.5249319557</v>
      </c>
      <c r="J62" s="40" t="n">
        <f aca="false">J60-J61</f>
        <v>-77599.4302987655</v>
      </c>
      <c r="K62" s="40" t="n">
        <f aca="false">K60-K61</f>
        <v>-77374.5404214311</v>
      </c>
      <c r="L62" s="40" t="n">
        <f aca="false">L60-L61</f>
        <v>-75822.2632523938</v>
      </c>
      <c r="M62" s="40" t="n">
        <f aca="false">M60-M61</f>
        <v>-72955.8726645708</v>
      </c>
      <c r="N62" s="40" t="n">
        <f aca="false">N60-N61</f>
        <v>-68788.5097921497</v>
      </c>
      <c r="O62" s="40" t="n">
        <f aca="false">O60-O61</f>
        <v>-80993.1110246434</v>
      </c>
      <c r="P62" s="40" t="n">
        <f aca="false">P60-P61</f>
        <v>-87352.3789432248</v>
      </c>
      <c r="Q62" s="40" t="n">
        <f aca="false">Q60-Q61</f>
        <v>-89310.7668810331</v>
      </c>
      <c r="R62" s="40" t="n">
        <f aca="false">R60-R61</f>
        <v>-86912.283637876</v>
      </c>
      <c r="S62" s="40" t="n">
        <f aca="false">S60-S61</f>
        <v>-80200.4979255631</v>
      </c>
      <c r="T62" s="40" t="n">
        <f aca="false">T60-T61</f>
        <v>-69218.5427687861</v>
      </c>
      <c r="U62" s="40" t="n">
        <f aca="false">U60-U61</f>
        <v>-65509.1198619896</v>
      </c>
      <c r="V62" s="40" t="n">
        <f aca="false">V60-V61</f>
        <v>-51614.5038826737</v>
      </c>
      <c r="W62" s="40" t="n">
        <f aca="false">W60-W61</f>
        <v>-34576.5467615637</v>
      </c>
      <c r="X62" s="40" t="n">
        <f aca="false">X60-X61</f>
        <v>-13436.6819100775</v>
      </c>
      <c r="Y62" s="40" t="n">
        <f aca="false">Y60-Y61</f>
        <v>11764.0715944811</v>
      </c>
      <c r="Z62" s="40" t="n">
        <f aca="false">Z60-Z61</f>
        <v>40985.1048655815</v>
      </c>
      <c r="AA62" s="40" t="n">
        <f aca="false">AA60-AA61</f>
        <v>67414.9436769867</v>
      </c>
      <c r="AB62" s="40" t="n">
        <f aca="false">AB60-AB61</f>
        <v>107578.452354246</v>
      </c>
      <c r="AC62" s="40" t="n">
        <f aca="false">AC60-AC61</f>
        <v>158368.294198701</v>
      </c>
      <c r="AD62" s="40" t="n">
        <f aca="false">AD60-AD61</f>
        <v>219678.20587868</v>
      </c>
      <c r="AE62" s="40" t="n">
        <f aca="false">AE60-AE61</f>
        <v>291402.986695827</v>
      </c>
      <c r="AF62" s="40" t="n">
        <f aca="false">AF60-AF61</f>
        <v>373438.487958771</v>
      </c>
      <c r="AG62" s="40" t="n">
        <f aca="false">AG60-AG61</f>
        <v>460681.602463054</v>
      </c>
      <c r="AH62" s="40" t="n">
        <f aca="false">AH60-AH61</f>
        <v>564030.254076262</v>
      </c>
      <c r="AI62" s="40" t="n">
        <f aca="false">AI60-AI61</f>
        <v>676383.387427307</v>
      </c>
      <c r="AJ62" s="40" t="n">
        <f aca="false">AJ60-AJ61</f>
        <v>798640.957698809</v>
      </c>
      <c r="AK62" s="40" t="n">
        <f aca="false">AK60-AK61</f>
        <v>930703.920521564</v>
      </c>
      <c r="AL62" s="40" t="n">
        <f aca="false">AL60-AL61</f>
        <v>1072474.22197006</v>
      </c>
      <c r="AN62" s="40" t="n">
        <f aca="false">N62</f>
        <v>-68788.5097921497</v>
      </c>
      <c r="AO62" s="40" t="n">
        <f aca="false">Z62</f>
        <v>40985.1048655815</v>
      </c>
      <c r="AP62" s="40" t="n">
        <f aca="false">AL62</f>
        <v>1072474.22197006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-38712.3223333333</v>
      </c>
      <c r="F63" s="15" t="n">
        <f aca="false">MIN(E63,F62)</f>
        <v>-49721.63833</v>
      </c>
      <c r="G63" s="15" t="n">
        <f aca="false">MIN(F63,G62)</f>
        <v>-60744.8748467667</v>
      </c>
      <c r="H63" s="15" t="n">
        <f aca="false">MIN(G63,H62)</f>
        <v>-71781.6142680303</v>
      </c>
      <c r="I63" s="15" t="n">
        <f aca="false">MIN(H63,I62)</f>
        <v>-77483.5249319557</v>
      </c>
      <c r="J63" s="15" t="n">
        <f aca="false">MIN(I63,J62)</f>
        <v>-77599.4302987655</v>
      </c>
      <c r="K63" s="15" t="n">
        <f aca="false">MIN(J63,K62)</f>
        <v>-77599.4302987655</v>
      </c>
      <c r="L63" s="15" t="n">
        <f aca="false">MIN(K63,L62)</f>
        <v>-77599.4302987655</v>
      </c>
      <c r="M63" s="15" t="n">
        <f aca="false">MIN(L63,M62)</f>
        <v>-77599.4302987655</v>
      </c>
      <c r="N63" s="15" t="n">
        <f aca="false">MIN(M63,N62)</f>
        <v>-77599.4302987655</v>
      </c>
      <c r="O63" s="15" t="n">
        <f aca="false">MIN(N63,O62)</f>
        <v>-80993.1110246434</v>
      </c>
      <c r="P63" s="15" t="n">
        <f aca="false">MIN(O63,P62)</f>
        <v>-87352.3789432248</v>
      </c>
      <c r="Q63" s="15" t="n">
        <f aca="false">MIN(P63,Q62)</f>
        <v>-89310.7668810331</v>
      </c>
      <c r="R63" s="15" t="n">
        <f aca="false">MIN(Q63,R62)</f>
        <v>-89310.7668810331</v>
      </c>
      <c r="S63" s="15" t="n">
        <f aca="false">MIN(R63,S62)</f>
        <v>-89310.7668810331</v>
      </c>
      <c r="T63" s="15" t="n">
        <f aca="false">MIN(S63,T62)</f>
        <v>-89310.7668810331</v>
      </c>
      <c r="U63" s="15" t="n">
        <f aca="false">MIN(T63,U62)</f>
        <v>-89310.7668810331</v>
      </c>
      <c r="V63" s="15" t="n">
        <f aca="false">MIN(U63,V62)</f>
        <v>-89310.7668810331</v>
      </c>
      <c r="W63" s="15" t="n">
        <f aca="false">MIN(V63,W62)</f>
        <v>-89310.7668810331</v>
      </c>
      <c r="X63" s="15" t="n">
        <f aca="false">MIN(W63,X62)</f>
        <v>-89310.7668810331</v>
      </c>
      <c r="Y63" s="15" t="n">
        <f aca="false">MIN(X63,Y62)</f>
        <v>-89310.7668810331</v>
      </c>
      <c r="Z63" s="15" t="n">
        <f aca="false">MIN(Y63,Z62)</f>
        <v>-89310.7668810331</v>
      </c>
      <c r="AA63" s="15" t="n">
        <f aca="false">MIN(Z63,AA62)</f>
        <v>-89310.7668810331</v>
      </c>
      <c r="AB63" s="15" t="n">
        <f aca="false">MIN(AA63,AB62)</f>
        <v>-89310.7668810331</v>
      </c>
      <c r="AC63" s="15" t="n">
        <f aca="false">MIN(AB63,AC62)</f>
        <v>-89310.7668810331</v>
      </c>
      <c r="AD63" s="15" t="n">
        <f aca="false">MIN(AC63,AD62)</f>
        <v>-89310.7668810331</v>
      </c>
      <c r="AE63" s="15" t="n">
        <f aca="false">MIN(AD63,AE62)</f>
        <v>-89310.7668810331</v>
      </c>
      <c r="AF63" s="15" t="n">
        <f aca="false">MIN(AE63,AF62)</f>
        <v>-89310.7668810331</v>
      </c>
      <c r="AG63" s="15" t="n">
        <f aca="false">MIN(AF63,AG62)</f>
        <v>-89310.7668810331</v>
      </c>
      <c r="AH63" s="15" t="n">
        <f aca="false">MIN(AG63,AH62)</f>
        <v>-89310.7668810331</v>
      </c>
      <c r="AI63" s="15" t="n">
        <f aca="false">MIN(AH63,AI62)</f>
        <v>-89310.7668810331</v>
      </c>
      <c r="AJ63" s="15" t="n">
        <f aca="false">MIN(AI63,AJ62)</f>
        <v>-89310.7668810331</v>
      </c>
      <c r="AK63" s="15" t="n">
        <f aca="false">MIN(AJ63,AK62)</f>
        <v>-89310.7668810331</v>
      </c>
      <c r="AL63" s="15" t="n">
        <f aca="false">MIN(AK63,AL62)</f>
        <v>-89310.7668810331</v>
      </c>
      <c r="AN63" s="15" t="n">
        <f aca="false">N63</f>
        <v>-77599.4302987655</v>
      </c>
      <c r="AO63" s="15" t="n">
        <f aca="false">Z63</f>
        <v>-89310.7668810331</v>
      </c>
      <c r="AP63" s="15" t="n">
        <f aca="false">AL63</f>
        <v>-89310.7668810331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1</v>
      </c>
      <c r="Z64" s="13" t="n">
        <f aca="false">IF(AND(Z9=1,Z62&gt;0),1,0)</f>
        <v>1</v>
      </c>
      <c r="AA64" s="13" t="n">
        <f aca="false">IF(AND(AA9=1,AA62&gt;0),1,0)</f>
        <v>1</v>
      </c>
      <c r="AB64" s="13" t="n">
        <f aca="false">IF(AND(AB9=1,AB62&gt;0),1,0)</f>
        <v>1</v>
      </c>
      <c r="AC64" s="13" t="n">
        <f aca="false">IF(AND(AC9=1,AC62&gt;0),1,0)</f>
        <v>1</v>
      </c>
      <c r="AD64" s="13" t="n">
        <f aca="false">IF(AND(AD9=1,AD62&gt;0),1,0)</f>
        <v>1</v>
      </c>
      <c r="AE64" s="13" t="n">
        <f aca="false">IF(AND(AE9=1,AE62&gt;0),1,0)</f>
        <v>1</v>
      </c>
      <c r="AF64" s="13" t="n">
        <f aca="false">IF(AND(AF9=1,AF62&gt;0),1,0)</f>
        <v>1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7178</v>
      </c>
      <c r="G66" s="15" t="n">
        <f aca="false">G28*12</f>
        <v>6962.66</v>
      </c>
      <c r="H66" s="15" t="n">
        <f aca="false">H28*12</f>
        <v>6753.7802</v>
      </c>
      <c r="I66" s="15" t="n">
        <f aca="false">I28*12</f>
        <v>27829.0995408571</v>
      </c>
      <c r="J66" s="15" t="n">
        <f aca="false">J28*12</f>
        <v>48693.6656883057</v>
      </c>
      <c r="K66" s="15" t="n">
        <f aca="false">K28*12</f>
        <v>69349.5861742798</v>
      </c>
      <c r="L66" s="15" t="n">
        <f aca="false">L28*12</f>
        <v>89798.9474553941</v>
      </c>
      <c r="M66" s="15" t="n">
        <f aca="false">M28*12</f>
        <v>110043.815123697</v>
      </c>
      <c r="N66" s="15" t="n">
        <f aca="false">N28*12</f>
        <v>130086.234115318</v>
      </c>
      <c r="O66" s="15" t="n">
        <f aca="false">O28*12</f>
        <v>199261.562250355</v>
      </c>
      <c r="P66" s="15" t="n">
        <f aca="false">P28*12</f>
        <v>267745.137104042</v>
      </c>
      <c r="Q66" s="15" t="n">
        <f aca="false">Q28*12</f>
        <v>335543.876209192</v>
      </c>
      <c r="R66" s="15" t="n">
        <f aca="false">R28*12</f>
        <v>402664.62792329</v>
      </c>
      <c r="S66" s="15" t="n">
        <f aca="false">S28*12</f>
        <v>469114.172120248</v>
      </c>
      <c r="T66" s="15" t="n">
        <f aca="false">T28*12</f>
        <v>534899.220875236</v>
      </c>
      <c r="U66" s="15" t="n">
        <f aca="false">U28*12</f>
        <v>600026.419142674</v>
      </c>
      <c r="V66" s="15" t="n">
        <f aca="false">V28*12</f>
        <v>664502.345427438</v>
      </c>
      <c r="W66" s="15" t="n">
        <f aca="false">W28*12</f>
        <v>728333.512449354</v>
      </c>
      <c r="X66" s="15" t="n">
        <f aca="false">X28*12</f>
        <v>791526.367801051</v>
      </c>
      <c r="Y66" s="15" t="n">
        <f aca="false">Y28*12</f>
        <v>854087.294599231</v>
      </c>
      <c r="Z66" s="15" t="n">
        <f aca="false">Z28*12</f>
        <v>916022.612129429</v>
      </c>
      <c r="AA66" s="15" t="n">
        <f aca="false">AA28*12</f>
        <v>1083052.86219861</v>
      </c>
      <c r="AB66" s="15" t="n">
        <f aca="false">AB28*12</f>
        <v>1248412.8097671</v>
      </c>
      <c r="AC66" s="15" t="n">
        <f aca="false">AC28*12</f>
        <v>1412119.15785991</v>
      </c>
      <c r="AD66" s="15" t="n">
        <f aca="false">AD28*12</f>
        <v>1574188.44247178</v>
      </c>
      <c r="AE66" s="15" t="n">
        <f aca="false">AE28*12</f>
        <v>1734637.03423754</v>
      </c>
      <c r="AF66" s="15" t="n">
        <f aca="false">AF28*12</f>
        <v>1893481.14008564</v>
      </c>
      <c r="AG66" s="15" t="n">
        <f aca="false">AG28*12</f>
        <v>2050736.80487526</v>
      </c>
      <c r="AH66" s="15" t="n">
        <f aca="false">AH28*12</f>
        <v>2206419.91301699</v>
      </c>
      <c r="AI66" s="15" t="n">
        <f aca="false">AI28*12</f>
        <v>2360546.19007729</v>
      </c>
      <c r="AJ66" s="15" t="n">
        <f aca="false">AJ28*12</f>
        <v>2513131.204367</v>
      </c>
      <c r="AK66" s="15" t="n">
        <f aca="false">AK28*12</f>
        <v>2664190.3685138</v>
      </c>
      <c r="AL66" s="15" t="n">
        <f aca="false">AL28*12</f>
        <v>2813738.94101914</v>
      </c>
      <c r="AN66" s="15" t="n">
        <f aca="false">N66</f>
        <v>130086.234115318</v>
      </c>
      <c r="AO66" s="15" t="n">
        <f aca="false">Z66</f>
        <v>916022.612129429</v>
      </c>
      <c r="AP66" s="15" t="n">
        <f aca="false">AL66</f>
        <v>2813738.94101914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105</v>
      </c>
      <c r="J71" s="15" t="n">
        <f aca="false">IF(J14&gt;0,J39/J14,0)</f>
        <v>105</v>
      </c>
      <c r="K71" s="15" t="n">
        <f aca="false">IF(K14&gt;0,K39/K14,0)</f>
        <v>105</v>
      </c>
      <c r="L71" s="15" t="n">
        <f aca="false">IF(L14&gt;0,L39/L14,0)</f>
        <v>105</v>
      </c>
      <c r="M71" s="15" t="n">
        <f aca="false">IF(M14&gt;0,M39/M14,0)</f>
        <v>105</v>
      </c>
      <c r="N71" s="15" t="n">
        <f aca="false">IF(N14&gt;0,N39/N14,0)</f>
        <v>105</v>
      </c>
      <c r="O71" s="15" t="n">
        <f aca="false">IF(O14&gt;0,O39/O14,0)</f>
        <v>105</v>
      </c>
      <c r="P71" s="15" t="n">
        <f aca="false">IF(P14&gt;0,P39/P14,0)</f>
        <v>105</v>
      </c>
      <c r="Q71" s="15" t="n">
        <f aca="false">IF(Q14&gt;0,Q39/Q14,0)</f>
        <v>105</v>
      </c>
      <c r="R71" s="15" t="n">
        <f aca="false">IF(R14&gt;0,R39/R14,0)</f>
        <v>105</v>
      </c>
      <c r="S71" s="15" t="n">
        <f aca="false">IF(S14&gt;0,S39/S14,0)</f>
        <v>105</v>
      </c>
      <c r="T71" s="15" t="n">
        <f aca="false">IF(T14&gt;0,T39/T14,0)</f>
        <v>105</v>
      </c>
      <c r="U71" s="15" t="n">
        <f aca="false">IF(U14&gt;0,U39/U14,0)</f>
        <v>105</v>
      </c>
      <c r="V71" s="15" t="n">
        <f aca="false">IF(V14&gt;0,V39/V14,0)</f>
        <v>105</v>
      </c>
      <c r="W71" s="15" t="n">
        <f aca="false">IF(W14&gt;0,W39/W14,0)</f>
        <v>105</v>
      </c>
      <c r="X71" s="15" t="n">
        <f aca="false">IF(X14&gt;0,X39/X14,0)</f>
        <v>105</v>
      </c>
      <c r="Y71" s="15" t="n">
        <f aca="false">IF(Y14&gt;0,Y39/Y14,0)</f>
        <v>105</v>
      </c>
      <c r="Z71" s="15" t="n">
        <f aca="false">IF(Z14&gt;0,Z39/Z14,0)</f>
        <v>105</v>
      </c>
      <c r="AA71" s="15" t="n">
        <f aca="false">IF(AA14&gt;0,AA39/AA14,0)</f>
        <v>105</v>
      </c>
      <c r="AB71" s="15" t="n">
        <f aca="false">IF(AB14&gt;0,AB39/AB14,0)</f>
        <v>105</v>
      </c>
      <c r="AC71" s="15" t="n">
        <f aca="false">IF(AC14&gt;0,AC39/AC14,0)</f>
        <v>105</v>
      </c>
      <c r="AD71" s="15" t="n">
        <f aca="false">IF(AD14&gt;0,AD39/AD14,0)</f>
        <v>105</v>
      </c>
      <c r="AE71" s="15" t="n">
        <f aca="false">IF(AE14&gt;0,AE39/AE14,0)</f>
        <v>105</v>
      </c>
      <c r="AF71" s="15" t="n">
        <f aca="false">IF(AF14&gt;0,AF39/AF14,0)</f>
        <v>105</v>
      </c>
      <c r="AG71" s="15" t="n">
        <f aca="false">IF(AG14&gt;0,AG39/AG14,0)</f>
        <v>105</v>
      </c>
      <c r="AH71" s="15" t="n">
        <f aca="false">IF(AH14&gt;0,AH39/AH14,0)</f>
        <v>105</v>
      </c>
      <c r="AI71" s="15" t="n">
        <f aca="false">IF(AI14&gt;0,AI39/AI14,0)</f>
        <v>105</v>
      </c>
      <c r="AJ71" s="15" t="n">
        <f aca="false">IF(AJ14&gt;0,AJ39/AJ14,0)</f>
        <v>105</v>
      </c>
      <c r="AK71" s="15" t="n">
        <f aca="false">IF(AK14&gt;0,AK39/AK14,0)</f>
        <v>105</v>
      </c>
      <c r="AL71" s="15" t="n">
        <f aca="false">IF(AL14&gt;0,AL39/AL14,0)</f>
        <v>105</v>
      </c>
      <c r="AN71" s="15" t="n">
        <f aca="false">N71</f>
        <v>105</v>
      </c>
      <c r="AO71" s="15" t="n">
        <f aca="false">Z71</f>
        <v>105</v>
      </c>
      <c r="AP71" s="15" t="n">
        <f aca="false">AL71</f>
        <v>105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2.31322880476569</v>
      </c>
      <c r="F72" s="38" t="n">
        <f aca="false">IF(F69&gt;0,Hypothèses!$D$23*$E$4/F69,0)</f>
        <v>2.31322880476569</v>
      </c>
      <c r="G72" s="38" t="n">
        <f aca="false">IF(G69&gt;0,Hypothèses!$D$23*$E$4/G69,0)</f>
        <v>2.31322880476569</v>
      </c>
      <c r="H72" s="38" t="n">
        <f aca="false">IF(H69&gt;0,Hypothèses!$D$23*$E$4/H69,0)</f>
        <v>2.31322880476569</v>
      </c>
      <c r="I72" s="38" t="n">
        <f aca="false">IF(I69&gt;0,Hypothèses!$D$23*$E$4/I69,0)</f>
        <v>2.31322880476569</v>
      </c>
      <c r="J72" s="38" t="n">
        <f aca="false">IF(J69&gt;0,Hypothèses!$D$23*$E$4/J69,0)</f>
        <v>2.31322880476569</v>
      </c>
      <c r="K72" s="38" t="n">
        <f aca="false">IF(K69&gt;0,Hypothèses!$D$23*$E$4/K69,0)</f>
        <v>2.31322880476569</v>
      </c>
      <c r="L72" s="38" t="n">
        <f aca="false">IF(L69&gt;0,Hypothèses!$D$23*$E$4/L69,0)</f>
        <v>2.31322880476569</v>
      </c>
      <c r="M72" s="38" t="n">
        <f aca="false">IF(M69&gt;0,Hypothèses!$D$23*$E$4/M69,0)</f>
        <v>2.31322880476569</v>
      </c>
      <c r="N72" s="38" t="n">
        <f aca="false">IF(N69&gt;0,Hypothèses!$D$23*$E$4/N69,0)</f>
        <v>2.31322880476569</v>
      </c>
      <c r="O72" s="38" t="n">
        <f aca="false">IF(O69&gt;0,Hypothèses!$D$23*$E$4/O69,0)</f>
        <v>2.31322880476569</v>
      </c>
      <c r="P72" s="38" t="n">
        <f aca="false">IF(P69&gt;0,Hypothèses!$D$23*$E$4/P69,0)</f>
        <v>2.31322880476569</v>
      </c>
      <c r="Q72" s="38" t="n">
        <f aca="false">IF(Q69&gt;0,Hypothèses!$D$23*$E$4/Q69,0)</f>
        <v>2.31322880476569</v>
      </c>
      <c r="R72" s="38" t="n">
        <f aca="false">IF(R69&gt;0,Hypothèses!$D$23*$E$4/R69,0)</f>
        <v>2.31322880476569</v>
      </c>
      <c r="S72" s="38" t="n">
        <f aca="false">IF(S69&gt;0,Hypothèses!$D$23*$E$4/S69,0)</f>
        <v>2.31322880476569</v>
      </c>
      <c r="T72" s="38" t="n">
        <f aca="false">IF(T69&gt;0,Hypothèses!$D$23*$E$4/T69,0)</f>
        <v>2.31322880476569</v>
      </c>
      <c r="U72" s="38" t="n">
        <f aca="false">IF(U69&gt;0,Hypothèses!$D$23*$E$4/U69,0)</f>
        <v>2.31322880476569</v>
      </c>
      <c r="V72" s="38" t="n">
        <f aca="false">IF(V69&gt;0,Hypothèses!$D$23*$E$4/V69,0)</f>
        <v>2.31322880476569</v>
      </c>
      <c r="W72" s="38" t="n">
        <f aca="false">IF(W69&gt;0,Hypothèses!$D$23*$E$4/W69,0)</f>
        <v>2.31322880476569</v>
      </c>
      <c r="X72" s="38" t="n">
        <f aca="false">IF(X69&gt;0,Hypothèses!$D$23*$E$4/X69,0)</f>
        <v>2.31322880476569</v>
      </c>
      <c r="Y72" s="38" t="n">
        <f aca="false">IF(Y69&gt;0,Hypothèses!$D$23*$E$4/Y69,0)</f>
        <v>2.31322880476569</v>
      </c>
      <c r="Z72" s="38" t="n">
        <f aca="false">IF(Z69&gt;0,Hypothèses!$D$23*$E$4/Z69,0)</f>
        <v>2.31322880476569</v>
      </c>
      <c r="AA72" s="38" t="n">
        <f aca="false">IF(AA69&gt;0,Hypothèses!$D$23*$E$4/AA69,0)</f>
        <v>2.31322880476569</v>
      </c>
      <c r="AB72" s="38" t="n">
        <f aca="false">IF(AB69&gt;0,Hypothèses!$D$23*$E$4/AB69,0)</f>
        <v>2.31322880476569</v>
      </c>
      <c r="AC72" s="38" t="n">
        <f aca="false">IF(AC69&gt;0,Hypothèses!$D$23*$E$4/AC69,0)</f>
        <v>2.31322880476569</v>
      </c>
      <c r="AD72" s="38" t="n">
        <f aca="false">IF(AD69&gt;0,Hypothèses!$D$23*$E$4/AD69,0)</f>
        <v>2.31322880476569</v>
      </c>
      <c r="AE72" s="38" t="n">
        <f aca="false">IF(AE69&gt;0,Hypothèses!$D$23*$E$4/AE69,0)</f>
        <v>2.31322880476569</v>
      </c>
      <c r="AF72" s="38" t="n">
        <f aca="false">IF(AF69&gt;0,Hypothèses!$D$23*$E$4/AF69,0)</f>
        <v>2.31322880476569</v>
      </c>
      <c r="AG72" s="38" t="n">
        <f aca="false">IF(AG69&gt;0,Hypothèses!$D$23*$E$4/AG69,0)</f>
        <v>2.31322880476569</v>
      </c>
      <c r="AH72" s="38" t="n">
        <f aca="false">IF(AH69&gt;0,Hypothèses!$D$23*$E$4/AH69,0)</f>
        <v>2.31322880476569</v>
      </c>
      <c r="AI72" s="38" t="n">
        <f aca="false">IF(AI69&gt;0,Hypothèses!$D$23*$E$4/AI69,0)</f>
        <v>2.31322880476569</v>
      </c>
      <c r="AJ72" s="38" t="n">
        <f aca="false">IF(AJ69&gt;0,Hypothèses!$D$23*$E$4/AJ69,0)</f>
        <v>2.31322880476569</v>
      </c>
      <c r="AK72" s="38" t="n">
        <f aca="false">IF(AK69&gt;0,Hypothèses!$D$23*$E$4/AK69,0)</f>
        <v>2.31322880476569</v>
      </c>
      <c r="AL72" s="38" t="n">
        <f aca="false">IF(AL69&gt;0,Hypothèses!$D$23*$E$4/AL69,0)</f>
        <v>2.31322880476569</v>
      </c>
      <c r="AN72" s="38" t="n">
        <f aca="false">N72</f>
        <v>2.31322880476569</v>
      </c>
      <c r="AO72" s="38" t="n">
        <f aca="false">Z72</f>
        <v>2.31322880476569</v>
      </c>
      <c r="AP72" s="38" t="n">
        <f aca="false">AL72</f>
        <v>2.31322880476569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1513.03666666667</v>
      </c>
      <c r="F73" s="15" t="n">
        <f aca="false">IF(Hypothèses!$D$26*$D$4&gt;0,F69/(Hypothèses!$D$26*$D$4),0)</f>
        <v>1513.03666666667</v>
      </c>
      <c r="G73" s="15" t="n">
        <f aca="false">IF(Hypothèses!$D$26*$D$4&gt;0,G69/(Hypothèses!$D$26*$D$4),0)</f>
        <v>1513.03666666667</v>
      </c>
      <c r="H73" s="15" t="n">
        <f aca="false">IF(Hypothèses!$D$26*$D$4&gt;0,H69/(Hypothèses!$D$26*$D$4),0)</f>
        <v>1513.03666666667</v>
      </c>
      <c r="I73" s="15" t="n">
        <f aca="false">IF(Hypothèses!$D$26*$D$4&gt;0,I69/(Hypothèses!$D$26*$D$4),0)</f>
        <v>1513.03666666667</v>
      </c>
      <c r="J73" s="15" t="n">
        <f aca="false">IF(Hypothèses!$D$26*$D$4&gt;0,J69/(Hypothèses!$D$26*$D$4),0)</f>
        <v>1513.03666666667</v>
      </c>
      <c r="K73" s="15" t="n">
        <f aca="false">IF(Hypothèses!$D$26*$D$4&gt;0,K69/(Hypothèses!$D$26*$D$4),0)</f>
        <v>1513.03666666667</v>
      </c>
      <c r="L73" s="15" t="n">
        <f aca="false">IF(Hypothèses!$D$26*$D$4&gt;0,L69/(Hypothèses!$D$26*$D$4),0)</f>
        <v>1513.03666666667</v>
      </c>
      <c r="M73" s="15" t="n">
        <f aca="false">IF(Hypothèses!$D$26*$D$4&gt;0,M69/(Hypothèses!$D$26*$D$4),0)</f>
        <v>1513.03666666667</v>
      </c>
      <c r="N73" s="15" t="n">
        <f aca="false">IF(Hypothèses!$D$26*$D$4&gt;0,N69/(Hypothèses!$D$26*$D$4),0)</f>
        <v>1513.03666666667</v>
      </c>
      <c r="O73" s="15" t="n">
        <f aca="false">IF(Hypothèses!$D$26*$D$4&gt;0,O69/(Hypothèses!$D$26*$D$4),0)</f>
        <v>1513.03666666667</v>
      </c>
      <c r="P73" s="15" t="n">
        <f aca="false">IF(Hypothèses!$D$26*$D$4&gt;0,P69/(Hypothèses!$D$26*$D$4),0)</f>
        <v>1513.03666666667</v>
      </c>
      <c r="Q73" s="15" t="n">
        <f aca="false">IF(Hypothèses!$D$26*$D$4&gt;0,Q69/(Hypothèses!$D$26*$D$4),0)</f>
        <v>1513.03666666667</v>
      </c>
      <c r="R73" s="15" t="n">
        <f aca="false">IF(Hypothèses!$D$26*$D$4&gt;0,R69/(Hypothèses!$D$26*$D$4),0)</f>
        <v>1513.03666666667</v>
      </c>
      <c r="S73" s="15" t="n">
        <f aca="false">IF(Hypothèses!$D$26*$D$4&gt;0,S69/(Hypothèses!$D$26*$D$4),0)</f>
        <v>1513.03666666667</v>
      </c>
      <c r="T73" s="15" t="n">
        <f aca="false">IF(Hypothèses!$D$26*$D$4&gt;0,T69/(Hypothèses!$D$26*$D$4),0)</f>
        <v>1513.03666666667</v>
      </c>
      <c r="U73" s="15" t="n">
        <f aca="false">IF(Hypothèses!$D$26*$D$4&gt;0,U69/(Hypothèses!$D$26*$D$4),0)</f>
        <v>1513.03666666667</v>
      </c>
      <c r="V73" s="15" t="n">
        <f aca="false">IF(Hypothèses!$D$26*$D$4&gt;0,V69/(Hypothèses!$D$26*$D$4),0)</f>
        <v>1513.03666666667</v>
      </c>
      <c r="W73" s="15" t="n">
        <f aca="false">IF(Hypothèses!$D$26*$D$4&gt;0,W69/(Hypothèses!$D$26*$D$4),0)</f>
        <v>1513.03666666667</v>
      </c>
      <c r="X73" s="15" t="n">
        <f aca="false">IF(Hypothèses!$D$26*$D$4&gt;0,X69/(Hypothèses!$D$26*$D$4),0)</f>
        <v>1513.03666666667</v>
      </c>
      <c r="Y73" s="15" t="n">
        <f aca="false">IF(Hypothèses!$D$26*$D$4&gt;0,Y69/(Hypothèses!$D$26*$D$4),0)</f>
        <v>1513.03666666667</v>
      </c>
      <c r="Z73" s="15" t="n">
        <f aca="false">IF(Hypothèses!$D$26*$D$4&gt;0,Z69/(Hypothèses!$D$26*$D$4),0)</f>
        <v>1513.03666666667</v>
      </c>
      <c r="AA73" s="15" t="n">
        <f aca="false">IF(Hypothèses!$D$26*$D$4&gt;0,AA69/(Hypothèses!$D$26*$D$4),0)</f>
        <v>1513.03666666667</v>
      </c>
      <c r="AB73" s="15" t="n">
        <f aca="false">IF(Hypothèses!$D$26*$D$4&gt;0,AB69/(Hypothèses!$D$26*$D$4),0)</f>
        <v>1513.03666666667</v>
      </c>
      <c r="AC73" s="15" t="n">
        <f aca="false">IF(Hypothèses!$D$26*$D$4&gt;0,AC69/(Hypothèses!$D$26*$D$4),0)</f>
        <v>1513.03666666667</v>
      </c>
      <c r="AD73" s="15" t="n">
        <f aca="false">IF(Hypothèses!$D$26*$D$4&gt;0,AD69/(Hypothèses!$D$26*$D$4),0)</f>
        <v>1513.03666666667</v>
      </c>
      <c r="AE73" s="15" t="n">
        <f aca="false">IF(Hypothèses!$D$26*$D$4&gt;0,AE69/(Hypothèses!$D$26*$D$4),0)</f>
        <v>1513.03666666667</v>
      </c>
      <c r="AF73" s="15" t="n">
        <f aca="false">IF(Hypothèses!$D$26*$D$4&gt;0,AF69/(Hypothèses!$D$26*$D$4),0)</f>
        <v>1513.03666666667</v>
      </c>
      <c r="AG73" s="15" t="n">
        <f aca="false">IF(Hypothèses!$D$26*$D$4&gt;0,AG69/(Hypothèses!$D$26*$D$4),0)</f>
        <v>1513.03666666667</v>
      </c>
      <c r="AH73" s="15" t="n">
        <f aca="false">IF(Hypothèses!$D$26*$D$4&gt;0,AH69/(Hypothèses!$D$26*$D$4),0)</f>
        <v>1513.03666666667</v>
      </c>
      <c r="AI73" s="15" t="n">
        <f aca="false">IF(Hypothèses!$D$26*$D$4&gt;0,AI69/(Hypothèses!$D$26*$D$4),0)</f>
        <v>1513.03666666667</v>
      </c>
      <c r="AJ73" s="15" t="n">
        <f aca="false">IF(Hypothèses!$D$26*$D$4&gt;0,AJ69/(Hypothèses!$D$26*$D$4),0)</f>
        <v>1513.03666666667</v>
      </c>
      <c r="AK73" s="15" t="n">
        <f aca="false">IF(Hypothèses!$D$26*$D$4&gt;0,AK69/(Hypothèses!$D$26*$D$4),0)</f>
        <v>1513.03666666667</v>
      </c>
      <c r="AL73" s="15" t="n">
        <f aca="false">IF(Hypothèses!$D$26*$D$4&gt;0,AL69/(Hypothèses!$D$26*$D$4),0)</f>
        <v>1513.03666666667</v>
      </c>
      <c r="AN73" s="15" t="n">
        <f aca="false">N73</f>
        <v>1513.03666666667</v>
      </c>
      <c r="AO73" s="15" t="n">
        <f aca="false">Z73</f>
        <v>1513.03666666667</v>
      </c>
      <c r="AP73" s="15" t="n">
        <f aca="false">AL73</f>
        <v>1513.03666666667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14.409873015873</v>
      </c>
      <c r="F74" s="41" t="n">
        <f aca="false">IF(Hypothèses!$D$23*$E$4&gt;0,F73/(Hypothèses!$D$23*$E$4),0)</f>
        <v>14.409873015873</v>
      </c>
      <c r="G74" s="41" t="n">
        <f aca="false">IF(Hypothèses!$D$23*$E$4&gt;0,G73/(Hypothèses!$D$23*$E$4),0)</f>
        <v>14.409873015873</v>
      </c>
      <c r="H74" s="41" t="n">
        <f aca="false">IF(Hypothèses!$D$23*$E$4&gt;0,H73/(Hypothèses!$D$23*$E$4),0)</f>
        <v>14.409873015873</v>
      </c>
      <c r="I74" s="41" t="n">
        <f aca="false">IF(Hypothèses!$D$23*$E$4&gt;0,I73/(Hypothèses!$D$23*$E$4),0)</f>
        <v>14.409873015873</v>
      </c>
      <c r="J74" s="41" t="n">
        <f aca="false">IF(Hypothèses!$D$23*$E$4&gt;0,J73/(Hypothèses!$D$23*$E$4),0)</f>
        <v>14.409873015873</v>
      </c>
      <c r="K74" s="41" t="n">
        <f aca="false">IF(Hypothèses!$D$23*$E$4&gt;0,K73/(Hypothèses!$D$23*$E$4),0)</f>
        <v>14.409873015873</v>
      </c>
      <c r="L74" s="41" t="n">
        <f aca="false">IF(Hypothèses!$D$23*$E$4&gt;0,L73/(Hypothèses!$D$23*$E$4),0)</f>
        <v>14.409873015873</v>
      </c>
      <c r="M74" s="41" t="n">
        <f aca="false">IF(Hypothèses!$D$23*$E$4&gt;0,M73/(Hypothèses!$D$23*$E$4),0)</f>
        <v>14.409873015873</v>
      </c>
      <c r="N74" s="41" t="n">
        <f aca="false">IF(Hypothèses!$D$23*$E$4&gt;0,N73/(Hypothèses!$D$23*$E$4),0)</f>
        <v>14.409873015873</v>
      </c>
      <c r="O74" s="41" t="n">
        <f aca="false">IF(Hypothèses!$D$23*$E$4&gt;0,O73/(Hypothèses!$D$23*$E$4),0)</f>
        <v>14.409873015873</v>
      </c>
      <c r="P74" s="41" t="n">
        <f aca="false">IF(Hypothèses!$D$23*$E$4&gt;0,P73/(Hypothèses!$D$23*$E$4),0)</f>
        <v>14.409873015873</v>
      </c>
      <c r="Q74" s="41" t="n">
        <f aca="false">IF(Hypothèses!$D$23*$E$4&gt;0,Q73/(Hypothèses!$D$23*$E$4),0)</f>
        <v>14.409873015873</v>
      </c>
      <c r="R74" s="41" t="n">
        <f aca="false">IF(Hypothèses!$D$23*$E$4&gt;0,R73/(Hypothèses!$D$23*$E$4),0)</f>
        <v>14.409873015873</v>
      </c>
      <c r="S74" s="41" t="n">
        <f aca="false">IF(Hypothèses!$D$23*$E$4&gt;0,S73/(Hypothèses!$D$23*$E$4),0)</f>
        <v>14.409873015873</v>
      </c>
      <c r="T74" s="41" t="n">
        <f aca="false">IF(Hypothèses!$D$23*$E$4&gt;0,T73/(Hypothèses!$D$23*$E$4),0)</f>
        <v>14.409873015873</v>
      </c>
      <c r="U74" s="41" t="n">
        <f aca="false">IF(Hypothèses!$D$23*$E$4&gt;0,U73/(Hypothèses!$D$23*$E$4),0)</f>
        <v>14.409873015873</v>
      </c>
      <c r="V74" s="41" t="n">
        <f aca="false">IF(Hypothèses!$D$23*$E$4&gt;0,V73/(Hypothèses!$D$23*$E$4),0)</f>
        <v>14.409873015873</v>
      </c>
      <c r="W74" s="41" t="n">
        <f aca="false">IF(Hypothèses!$D$23*$E$4&gt;0,W73/(Hypothèses!$D$23*$E$4),0)</f>
        <v>14.409873015873</v>
      </c>
      <c r="X74" s="41" t="n">
        <f aca="false">IF(Hypothèses!$D$23*$E$4&gt;0,X73/(Hypothèses!$D$23*$E$4),0)</f>
        <v>14.409873015873</v>
      </c>
      <c r="Y74" s="41" t="n">
        <f aca="false">IF(Hypothèses!$D$23*$E$4&gt;0,Y73/(Hypothèses!$D$23*$E$4),0)</f>
        <v>14.409873015873</v>
      </c>
      <c r="Z74" s="41" t="n">
        <f aca="false">IF(Hypothèses!$D$23*$E$4&gt;0,Z73/(Hypothèses!$D$23*$E$4),0)</f>
        <v>14.409873015873</v>
      </c>
      <c r="AA74" s="41" t="n">
        <f aca="false">IF(Hypothèses!$D$23*$E$4&gt;0,AA73/(Hypothèses!$D$23*$E$4),0)</f>
        <v>14.409873015873</v>
      </c>
      <c r="AB74" s="41" t="n">
        <f aca="false">IF(Hypothèses!$D$23*$E$4&gt;0,AB73/(Hypothèses!$D$23*$E$4),0)</f>
        <v>14.409873015873</v>
      </c>
      <c r="AC74" s="41" t="n">
        <f aca="false">IF(Hypothèses!$D$23*$E$4&gt;0,AC73/(Hypothèses!$D$23*$E$4),0)</f>
        <v>14.409873015873</v>
      </c>
      <c r="AD74" s="41" t="n">
        <f aca="false">IF(Hypothèses!$D$23*$E$4&gt;0,AD73/(Hypothèses!$D$23*$E$4),0)</f>
        <v>14.409873015873</v>
      </c>
      <c r="AE74" s="41" t="n">
        <f aca="false">IF(Hypothèses!$D$23*$E$4&gt;0,AE73/(Hypothèses!$D$23*$E$4),0)</f>
        <v>14.409873015873</v>
      </c>
      <c r="AF74" s="41" t="n">
        <f aca="false">IF(Hypothèses!$D$23*$E$4&gt;0,AF73/(Hypothèses!$D$23*$E$4),0)</f>
        <v>14.409873015873</v>
      </c>
      <c r="AG74" s="41" t="n">
        <f aca="false">IF(Hypothèses!$D$23*$E$4&gt;0,AG73/(Hypothèses!$D$23*$E$4),0)</f>
        <v>14.409873015873</v>
      </c>
      <c r="AH74" s="41" t="n">
        <f aca="false">IF(Hypothèses!$D$23*$E$4&gt;0,AH73/(Hypothèses!$D$23*$E$4),0)</f>
        <v>14.409873015873</v>
      </c>
      <c r="AI74" s="41" t="n">
        <f aca="false">IF(Hypothèses!$D$23*$E$4&gt;0,AI73/(Hypothèses!$D$23*$E$4),0)</f>
        <v>14.409873015873</v>
      </c>
      <c r="AJ74" s="41" t="n">
        <f aca="false">IF(Hypothèses!$D$23*$E$4&gt;0,AJ73/(Hypothèses!$D$23*$E$4),0)</f>
        <v>14.409873015873</v>
      </c>
      <c r="AK74" s="41" t="n">
        <f aca="false">IF(Hypothèses!$D$23*$E$4&gt;0,AK73/(Hypothèses!$D$23*$E$4),0)</f>
        <v>14.409873015873</v>
      </c>
      <c r="AL74" s="41" t="n">
        <f aca="false">IF(Hypothèses!$D$23*$E$4&gt;0,AL73/(Hypothèses!$D$23*$E$4),0)</f>
        <v>14.409873015873</v>
      </c>
      <c r="AN74" s="41" t="n">
        <f aca="false">N74</f>
        <v>14.409873015873</v>
      </c>
      <c r="AO74" s="41" t="n">
        <f aca="false">Z74</f>
        <v>14.409873015873</v>
      </c>
      <c r="AP74" s="41" t="n">
        <f aca="false">AL74</f>
        <v>14.409873015873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503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</v>
      </c>
      <c r="F4" s="34" t="n">
        <v>1.6667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29.0354627</v>
      </c>
      <c r="K13" s="38" t="n">
        <f aca="false">J18</f>
        <v>48.745108073</v>
      </c>
      <c r="L13" s="38" t="n">
        <f aca="false">K18</f>
        <v>68.25765699227</v>
      </c>
      <c r="M13" s="38" t="n">
        <f aca="false">L18</f>
        <v>87.5750804223473</v>
      </c>
      <c r="N13" s="38" t="n">
        <f aca="false">M18</f>
        <v>106.699329618124</v>
      </c>
      <c r="O13" s="38" t="n">
        <f aca="false">N18</f>
        <v>125.632336321943</v>
      </c>
      <c r="P13" s="38" t="n">
        <f aca="false">O18</f>
        <v>191.04267962539</v>
      </c>
      <c r="Q13" s="38" t="n">
        <f aca="false">P18</f>
        <v>255.798919495803</v>
      </c>
      <c r="R13" s="38" t="n">
        <f aca="false">Q18</f>
        <v>319.907596967511</v>
      </c>
      <c r="S13" s="38" t="n">
        <f aca="false">R18</f>
        <v>383.375187664503</v>
      </c>
      <c r="T13" s="38" t="n">
        <f aca="false">S18</f>
        <v>446.208102454524</v>
      </c>
      <c r="U13" s="38" t="n">
        <f aca="false">T18</f>
        <v>508.412688096646</v>
      </c>
      <c r="V13" s="38" t="n">
        <f aca="false">U18</f>
        <v>569.995227882346</v>
      </c>
      <c r="W13" s="38" t="n">
        <f aca="false">V18</f>
        <v>630.961942270189</v>
      </c>
      <c r="X13" s="38" t="n">
        <f aca="false">W18</f>
        <v>691.318989514154</v>
      </c>
      <c r="Y13" s="38" t="n">
        <f aca="false">X18</f>
        <v>751.072466285679</v>
      </c>
      <c r="Z13" s="38" t="n">
        <f aca="false">Y18</f>
        <v>810.228408289489</v>
      </c>
      <c r="AA13" s="38" t="n">
        <f aca="false">Z18</f>
        <v>868.792790873261</v>
      </c>
      <c r="AB13" s="38" t="n">
        <f aca="false">AA18</f>
        <v>1026.77152963119</v>
      </c>
      <c r="AC13" s="38" t="n">
        <f aca="false">AB18</f>
        <v>1183.17048100155</v>
      </c>
      <c r="AD13" s="38" t="n">
        <f aca="false">AC18</f>
        <v>1338.0054428582</v>
      </c>
      <c r="AE13" s="38" t="n">
        <f aca="false">AD18</f>
        <v>1491.29205509629</v>
      </c>
      <c r="AF13" s="38" t="n">
        <f aca="false">AE18</f>
        <v>1643.04580121199</v>
      </c>
      <c r="AG13" s="38" t="n">
        <f aca="false">AF18</f>
        <v>1793.28200986654</v>
      </c>
      <c r="AH13" s="38" t="n">
        <f aca="false">AG18</f>
        <v>1942.01585643454</v>
      </c>
      <c r="AI13" s="38" t="n">
        <f aca="false">AH18</f>
        <v>2089.26236453686</v>
      </c>
      <c r="AJ13" s="38" t="n">
        <f aca="false">AI18</f>
        <v>2235.03640755816</v>
      </c>
      <c r="AK13" s="38" t="n">
        <f aca="false">AJ18</f>
        <v>2379.35271014924</v>
      </c>
      <c r="AL13" s="38" t="n">
        <f aca="false">AK18</f>
        <v>2522.22584971442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0.580709254</v>
      </c>
      <c r="K16" s="38" t="n">
        <f aca="false">K9*K13*Hypothèses!$D$24</f>
        <v>0.97490216146</v>
      </c>
      <c r="L16" s="38" t="n">
        <f aca="false">L9*L13*Hypothèses!$D$24</f>
        <v>1.3651531398454</v>
      </c>
      <c r="M16" s="38" t="n">
        <f aca="false">M9*M13*Hypothèses!$D$24</f>
        <v>1.75150160844695</v>
      </c>
      <c r="N16" s="38" t="n">
        <f aca="false">N9*N13*Hypothèses!$D$24</f>
        <v>2.13398659236248</v>
      </c>
      <c r="O16" s="38" t="n">
        <f aca="false">O9*O13*Hypothèses!$D$24</f>
        <v>2.51264672643885</v>
      </c>
      <c r="P16" s="38" t="n">
        <f aca="false">P9*P13*Hypothèses!$D$24</f>
        <v>3.8208535925078</v>
      </c>
      <c r="Q16" s="38" t="n">
        <f aca="false">Q9*Q13*Hypothèses!$D$24</f>
        <v>5.11597838991605</v>
      </c>
      <c r="R16" s="38" t="n">
        <f aca="false">R9*R13*Hypothèses!$D$24</f>
        <v>6.39815193935023</v>
      </c>
      <c r="S16" s="38" t="n">
        <f aca="false">S9*S13*Hypothèses!$D$24</f>
        <v>7.66750375329006</v>
      </c>
      <c r="T16" s="38" t="n">
        <f aca="false">T9*T13*Hypothèses!$D$24</f>
        <v>8.92416204909049</v>
      </c>
      <c r="U16" s="38" t="n">
        <f aca="false">U9*U13*Hypothèses!$D$24</f>
        <v>10.1682537619329</v>
      </c>
      <c r="V16" s="38" t="n">
        <f aca="false">V9*V13*Hypothèses!$D$24</f>
        <v>11.3999045576469</v>
      </c>
      <c r="W16" s="38" t="n">
        <f aca="false">W9*W13*Hypothèses!$D$24</f>
        <v>12.6192388454038</v>
      </c>
      <c r="X16" s="38" t="n">
        <f aca="false">X9*X13*Hypothèses!$D$24</f>
        <v>13.8263797902831</v>
      </c>
      <c r="Y16" s="38" t="n">
        <f aca="false">Y9*Y13*Hypothèses!$D$24</f>
        <v>15.0214493257136</v>
      </c>
      <c r="Z16" s="38" t="n">
        <f aca="false">Z9*Z13*Hypothèses!$D$24</f>
        <v>16.2045681657898</v>
      </c>
      <c r="AA16" s="38" t="n">
        <f aca="false">AA9*AA13*Hypothèses!$D$24</f>
        <v>17.3758558174652</v>
      </c>
      <c r="AB16" s="38" t="n">
        <f aca="false">AB9*AB13*Hypothèses!$D$24</f>
        <v>20.5354305926239</v>
      </c>
      <c r="AC16" s="38" t="n">
        <f aca="false">AC9*AC13*Hypothèses!$D$24</f>
        <v>23.663409620031</v>
      </c>
      <c r="AD16" s="38" t="n">
        <f aca="false">AD9*AD13*Hypothèses!$D$24</f>
        <v>26.760108857164</v>
      </c>
      <c r="AE16" s="38" t="n">
        <f aca="false">AE9*AE13*Hypothèses!$D$24</f>
        <v>29.8258411019257</v>
      </c>
      <c r="AF16" s="38" t="n">
        <f aca="false">AF9*AF13*Hypothèses!$D$24</f>
        <v>32.8609160242398</v>
      </c>
      <c r="AG16" s="38" t="n">
        <f aca="false">AG9*AG13*Hypothèses!$D$24</f>
        <v>35.8656401973307</v>
      </c>
      <c r="AH16" s="38" t="n">
        <f aca="false">AH9*AH13*Hypothèses!$D$24</f>
        <v>38.8403171286907</v>
      </c>
      <c r="AI16" s="38" t="n">
        <f aca="false">AI9*AI13*Hypothèses!$D$24</f>
        <v>41.7852472907372</v>
      </c>
      <c r="AJ16" s="38" t="n">
        <f aca="false">AJ9*AJ13*Hypothèses!$D$24</f>
        <v>44.7007281511631</v>
      </c>
      <c r="AK16" s="38" t="n">
        <f aca="false">AK9*AK13*Hypothèses!$D$24</f>
        <v>47.5870542029848</v>
      </c>
      <c r="AL16" s="38" t="n">
        <f aca="false">AL9*AL13*Hypothèses!$D$24</f>
        <v>50.4445169942883</v>
      </c>
      <c r="AN16" s="38" t="n">
        <f aca="false">SUM(C16:N16)</f>
        <v>6.98878735611482</v>
      </c>
      <c r="AO16" s="38" t="n">
        <f aca="false">SUM(O16:Z16)</f>
        <v>113.679090897364</v>
      </c>
      <c r="AP16" s="38" t="n">
        <f aca="false">SUM(AA16:AL16)</f>
        <v>410.245065978645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0.871063881</v>
      </c>
      <c r="K17" s="38" t="n">
        <f aca="false">K13*Hypothèses!$D$26*$D$4</f>
        <v>1.46235324219</v>
      </c>
      <c r="L17" s="38" t="n">
        <f aca="false">L13*Hypothèses!$D$26*$D$4</f>
        <v>2.0477297097681</v>
      </c>
      <c r="M17" s="38" t="n">
        <f aca="false">M13*Hypothèses!$D$26*$D$4</f>
        <v>2.62725241267042</v>
      </c>
      <c r="N17" s="38" t="n">
        <f aca="false">N13*Hypothèses!$D$26*$D$4</f>
        <v>3.20097988854371</v>
      </c>
      <c r="O17" s="38" t="n">
        <f aca="false">O13*Hypothèses!$D$26*$D$4</f>
        <v>3.76897008965828</v>
      </c>
      <c r="P17" s="38" t="n">
        <f aca="false">P13*Hypothèses!$D$26*$D$4</f>
        <v>5.73128038876169</v>
      </c>
      <c r="Q17" s="38" t="n">
        <f aca="false">Q13*Hypothèses!$D$26*$D$4</f>
        <v>7.67396758487408</v>
      </c>
      <c r="R17" s="38" t="n">
        <f aca="false">R13*Hypothèses!$D$26*$D$4</f>
        <v>9.59722790902534</v>
      </c>
      <c r="S17" s="38" t="n">
        <f aca="false">S13*Hypothèses!$D$26*$D$4</f>
        <v>11.5012556299351</v>
      </c>
      <c r="T17" s="38" t="n">
        <f aca="false">T13*Hypothèses!$D$26*$D$4</f>
        <v>13.3862430736357</v>
      </c>
      <c r="U17" s="38" t="n">
        <f aca="false">U13*Hypothèses!$D$26*$D$4</f>
        <v>15.2523806428994</v>
      </c>
      <c r="V17" s="38" t="n">
        <f aca="false">V13*Hypothèses!$D$26*$D$4</f>
        <v>17.0998568364704</v>
      </c>
      <c r="W17" s="38" t="n">
        <f aca="false">W13*Hypothèses!$D$26*$D$4</f>
        <v>18.9288582681057</v>
      </c>
      <c r="X17" s="38" t="n">
        <f aca="false">X13*Hypothèses!$D$26*$D$4</f>
        <v>20.7395696854246</v>
      </c>
      <c r="Y17" s="38" t="n">
        <f aca="false">Y13*Hypothèses!$D$26*$D$4</f>
        <v>22.5321739885704</v>
      </c>
      <c r="Z17" s="38" t="n">
        <f aca="false">Z13*Hypothèses!$D$26*$D$4</f>
        <v>24.3068522486847</v>
      </c>
      <c r="AA17" s="38" t="n">
        <f aca="false">AA13*Hypothèses!$D$26*$D$4</f>
        <v>26.0637837261978</v>
      </c>
      <c r="AB17" s="38" t="n">
        <f aca="false">AB13*Hypothèses!$D$26*$D$4</f>
        <v>30.8031458889358</v>
      </c>
      <c r="AC17" s="38" t="n">
        <f aca="false">AC13*Hypothèses!$D$26*$D$4</f>
        <v>35.4951144300465</v>
      </c>
      <c r="AD17" s="38" t="n">
        <f aca="false">AD13*Hypothèses!$D$26*$D$4</f>
        <v>40.140163285746</v>
      </c>
      <c r="AE17" s="38" t="n">
        <f aca="false">AE13*Hypothèses!$D$26*$D$4</f>
        <v>44.7387616528886</v>
      </c>
      <c r="AF17" s="38" t="n">
        <f aca="false">AF13*Hypothèses!$D$26*$D$4</f>
        <v>49.2913740363597</v>
      </c>
      <c r="AG17" s="38" t="n">
        <f aca="false">AG13*Hypothèses!$D$26*$D$4</f>
        <v>53.7984602959961</v>
      </c>
      <c r="AH17" s="38" t="n">
        <f aca="false">AH13*Hypothèses!$D$26*$D$4</f>
        <v>58.2604756930361</v>
      </c>
      <c r="AI17" s="38" t="n">
        <f aca="false">AI13*Hypothèses!$D$26*$D$4</f>
        <v>62.6778709361058</v>
      </c>
      <c r="AJ17" s="38" t="n">
        <f aca="false">AJ13*Hypothèses!$D$26*$D$4</f>
        <v>67.0510922267447</v>
      </c>
      <c r="AK17" s="38" t="n">
        <f aca="false">AK13*Hypothèses!$D$26*$D$4</f>
        <v>71.3805813044773</v>
      </c>
      <c r="AL17" s="38" t="n">
        <f aca="false">AL13*Hypothèses!$D$26*$D$4</f>
        <v>75.6667754914325</v>
      </c>
      <c r="AN17" s="38" t="n">
        <f aca="false">SUM(C17:N17)</f>
        <v>11.3564510341722</v>
      </c>
      <c r="AO17" s="38" t="n">
        <f aca="false">SUM(O17:Z17)</f>
        <v>170.518636346045</v>
      </c>
      <c r="AP17" s="38" t="n">
        <f aca="false">SUM(AA17:AL17)</f>
        <v>615.367598967967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29.0354627</v>
      </c>
      <c r="J18" s="39" t="n">
        <f aca="false">J13+J14+J15+J16-J17</f>
        <v>48.745108073</v>
      </c>
      <c r="K18" s="39" t="n">
        <f aca="false">K13+K14+K15+K16-K17</f>
        <v>68.25765699227</v>
      </c>
      <c r="L18" s="39" t="n">
        <f aca="false">L13+L14+L15+L16-L17</f>
        <v>87.5750804223473</v>
      </c>
      <c r="M18" s="39" t="n">
        <f aca="false">M13+M14+M15+M16-M17</f>
        <v>106.699329618124</v>
      </c>
      <c r="N18" s="39" t="n">
        <f aca="false">N13+N14+N15+N16-N17</f>
        <v>125.632336321943</v>
      </c>
      <c r="O18" s="39" t="n">
        <f aca="false">O13+O14+O15+O16-O17</f>
        <v>191.04267962539</v>
      </c>
      <c r="P18" s="39" t="n">
        <f aca="false">P13+P14+P15+P16-P17</f>
        <v>255.798919495803</v>
      </c>
      <c r="Q18" s="39" t="n">
        <f aca="false">Q13+Q14+Q15+Q16-Q17</f>
        <v>319.907596967511</v>
      </c>
      <c r="R18" s="39" t="n">
        <f aca="false">R13+R14+R15+R16-R17</f>
        <v>383.375187664503</v>
      </c>
      <c r="S18" s="39" t="n">
        <f aca="false">S13+S14+S15+S16-S17</f>
        <v>446.208102454524</v>
      </c>
      <c r="T18" s="39" t="n">
        <f aca="false">T13+T14+T15+T16-T17</f>
        <v>508.412688096646</v>
      </c>
      <c r="U18" s="39" t="n">
        <f aca="false">U13+U14+U15+U16-U17</f>
        <v>569.995227882346</v>
      </c>
      <c r="V18" s="39" t="n">
        <f aca="false">V13+V14+V15+V16-V17</f>
        <v>630.961942270189</v>
      </c>
      <c r="W18" s="39" t="n">
        <f aca="false">W13+W14+W15+W16-W17</f>
        <v>691.318989514154</v>
      </c>
      <c r="X18" s="39" t="n">
        <f aca="false">X13+X14+X15+X16-X17</f>
        <v>751.072466285679</v>
      </c>
      <c r="Y18" s="39" t="n">
        <f aca="false">Y13+Y14+Y15+Y16-Y17</f>
        <v>810.228408289489</v>
      </c>
      <c r="Z18" s="39" t="n">
        <f aca="false">Z13+Z14+Z15+Z16-Z17</f>
        <v>868.792790873261</v>
      </c>
      <c r="AA18" s="39" t="n">
        <f aca="false">AA13+AA14+AA15+AA16-AA17</f>
        <v>1026.77152963119</v>
      </c>
      <c r="AB18" s="39" t="n">
        <f aca="false">AB13+AB14+AB15+AB16-AB17</f>
        <v>1183.17048100155</v>
      </c>
      <c r="AC18" s="39" t="n">
        <f aca="false">AC13+AC14+AC15+AC16-AC17</f>
        <v>1338.0054428582</v>
      </c>
      <c r="AD18" s="39" t="n">
        <f aca="false">AD13+AD14+AD15+AD16-AD17</f>
        <v>1491.29205509629</v>
      </c>
      <c r="AE18" s="39" t="n">
        <f aca="false">AE13+AE14+AE15+AE16-AE17</f>
        <v>1643.04580121199</v>
      </c>
      <c r="AF18" s="39" t="n">
        <f aca="false">AF13+AF14+AF15+AF16-AF17</f>
        <v>1793.28200986654</v>
      </c>
      <c r="AG18" s="39" t="n">
        <f aca="false">AG13+AG14+AG15+AG16-AG17</f>
        <v>1942.01585643454</v>
      </c>
      <c r="AH18" s="39" t="n">
        <f aca="false">AH13+AH14+AH15+AH16-AH17</f>
        <v>2089.26236453686</v>
      </c>
      <c r="AI18" s="39" t="n">
        <f aca="false">AI13+AI14+AI15+AI16-AI17</f>
        <v>2235.03640755816</v>
      </c>
      <c r="AJ18" s="39" t="n">
        <f aca="false">AJ13+AJ14+AJ15+AJ16-AJ17</f>
        <v>2379.35271014924</v>
      </c>
      <c r="AK18" s="39" t="n">
        <f aca="false">AK13+AK14+AK15+AK16-AK17</f>
        <v>2522.22584971442</v>
      </c>
      <c r="AL18" s="39" t="n">
        <f aca="false">AL13+AL14+AL15+AL16-AL17</f>
        <v>2663.67025788394</v>
      </c>
      <c r="AN18" s="39" t="n">
        <f aca="false">N18</f>
        <v>125.632336321943</v>
      </c>
      <c r="AO18" s="39" t="n">
        <f aca="false">Z18</f>
        <v>868.792790873261</v>
      </c>
      <c r="AP18" s="39" t="n">
        <f aca="false">AL18</f>
        <v>2663.67025788394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7.258865675</v>
      </c>
      <c r="J19" s="38" t="n">
        <f aca="false">J18*Hypothèses!$D$16</f>
        <v>12.18627701825</v>
      </c>
      <c r="K19" s="38" t="n">
        <f aca="false">K18*Hypothèses!$D$16</f>
        <v>17.0644142480675</v>
      </c>
      <c r="L19" s="38" t="n">
        <f aca="false">L18*Hypothèses!$D$16</f>
        <v>21.8937701055868</v>
      </c>
      <c r="M19" s="38" t="n">
        <f aca="false">M18*Hypothèses!$D$16</f>
        <v>26.674832404531</v>
      </c>
      <c r="N19" s="38" t="n">
        <f aca="false">N18*Hypothèses!$D$16</f>
        <v>31.4080840804856</v>
      </c>
      <c r="O19" s="38" t="n">
        <f aca="false">O18*Hypothèses!$D$16</f>
        <v>47.7606699063475</v>
      </c>
      <c r="P19" s="38" t="n">
        <f aca="false">P18*Hypothèses!$D$16</f>
        <v>63.9497298739506</v>
      </c>
      <c r="Q19" s="38" t="n">
        <f aca="false">Q18*Hypothèses!$D$16</f>
        <v>79.9768992418778</v>
      </c>
      <c r="R19" s="38" t="n">
        <f aca="false">R18*Hypothèses!$D$16</f>
        <v>95.8437969161257</v>
      </c>
      <c r="S19" s="38" t="n">
        <f aca="false">S18*Hypothèses!$D$16</f>
        <v>111.552025613631</v>
      </c>
      <c r="T19" s="38" t="n">
        <f aca="false">T18*Hypothèses!$D$16</f>
        <v>127.103172024161</v>
      </c>
      <c r="U19" s="38" t="n">
        <f aca="false">U18*Hypothèses!$D$16</f>
        <v>142.498806970587</v>
      </c>
      <c r="V19" s="38" t="n">
        <f aca="false">V18*Hypothèses!$D$16</f>
        <v>157.740485567547</v>
      </c>
      <c r="W19" s="38" t="n">
        <f aca="false">W18*Hypothèses!$D$16</f>
        <v>172.829747378538</v>
      </c>
      <c r="X19" s="38" t="n">
        <f aca="false">X18*Hypothèses!$D$16</f>
        <v>187.76811657142</v>
      </c>
      <c r="Y19" s="38" t="n">
        <f aca="false">Y18*Hypothèses!$D$16</f>
        <v>202.557102072372</v>
      </c>
      <c r="Z19" s="38" t="n">
        <f aca="false">Z18*Hypothèses!$D$16</f>
        <v>217.198197718315</v>
      </c>
      <c r="AA19" s="38" t="n">
        <f aca="false">AA18*Hypothèses!$D$16</f>
        <v>256.692882407799</v>
      </c>
      <c r="AB19" s="38" t="n">
        <f aca="false">AB18*Hypothèses!$D$16</f>
        <v>295.792620250387</v>
      </c>
      <c r="AC19" s="38" t="n">
        <f aca="false">AC18*Hypothèses!$D$16</f>
        <v>334.50136071455</v>
      </c>
      <c r="AD19" s="38" t="n">
        <f aca="false">AD18*Hypothèses!$D$16</f>
        <v>372.823013774071</v>
      </c>
      <c r="AE19" s="38" t="n">
        <f aca="false">AE18*Hypothèses!$D$16</f>
        <v>410.761450302997</v>
      </c>
      <c r="AF19" s="38" t="n">
        <f aca="false">AF18*Hypothèses!$D$16</f>
        <v>448.320502466634</v>
      </c>
      <c r="AG19" s="38" t="n">
        <f aca="false">AG18*Hypothèses!$D$16</f>
        <v>485.503964108634</v>
      </c>
      <c r="AH19" s="38" t="n">
        <f aca="false">AH18*Hypothèses!$D$16</f>
        <v>522.315591134215</v>
      </c>
      <c r="AI19" s="38" t="n">
        <f aca="false">AI18*Hypothèses!$D$16</f>
        <v>558.759101889539</v>
      </c>
      <c r="AJ19" s="38" t="n">
        <f aca="false">AJ18*Hypothèses!$D$16</f>
        <v>594.838177537311</v>
      </c>
      <c r="AK19" s="38" t="n">
        <f aca="false">AK18*Hypothèses!$D$16</f>
        <v>630.556462428604</v>
      </c>
      <c r="AL19" s="38" t="n">
        <f aca="false">AL18*Hypothèses!$D$16</f>
        <v>665.917564470985</v>
      </c>
      <c r="AN19" s="38" t="n">
        <f aca="false">N19</f>
        <v>31.4080840804856</v>
      </c>
      <c r="AO19" s="38" t="n">
        <f aca="false">Z19</f>
        <v>217.198197718315</v>
      </c>
      <c r="AP19" s="38" t="n">
        <f aca="false">AL19</f>
        <v>665.917564470985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17.42127762</v>
      </c>
      <c r="J20" s="38" t="n">
        <f aca="false">J18*Hypothèses!$D$17</f>
        <v>29.2470648438</v>
      </c>
      <c r="K20" s="38" t="n">
        <f aca="false">K18*Hypothèses!$D$17</f>
        <v>40.954594195362</v>
      </c>
      <c r="L20" s="38" t="n">
        <f aca="false">L18*Hypothèses!$D$17</f>
        <v>52.5450482534084</v>
      </c>
      <c r="M20" s="38" t="n">
        <f aca="false">M18*Hypothèses!$D$17</f>
        <v>64.0195977708743</v>
      </c>
      <c r="N20" s="38" t="n">
        <f aca="false">N18*Hypothèses!$D$17</f>
        <v>75.3794017931655</v>
      </c>
      <c r="O20" s="38" t="n">
        <f aca="false">O18*Hypothèses!$D$17</f>
        <v>114.625607775234</v>
      </c>
      <c r="P20" s="38" t="n">
        <f aca="false">P18*Hypothèses!$D$17</f>
        <v>153.479351697482</v>
      </c>
      <c r="Q20" s="38" t="n">
        <f aca="false">Q18*Hypothèses!$D$17</f>
        <v>191.944558180507</v>
      </c>
      <c r="R20" s="38" t="n">
        <f aca="false">R18*Hypothèses!$D$17</f>
        <v>230.025112598702</v>
      </c>
      <c r="S20" s="38" t="n">
        <f aca="false">S18*Hypothèses!$D$17</f>
        <v>267.724861472715</v>
      </c>
      <c r="T20" s="38" t="n">
        <f aca="false">T18*Hypothèses!$D$17</f>
        <v>305.047612857988</v>
      </c>
      <c r="U20" s="38" t="n">
        <f aca="false">U18*Hypothèses!$D$17</f>
        <v>341.997136729408</v>
      </c>
      <c r="V20" s="38" t="n">
        <f aca="false">V18*Hypothèses!$D$17</f>
        <v>378.577165362113</v>
      </c>
      <c r="W20" s="38" t="n">
        <f aca="false">W18*Hypothèses!$D$17</f>
        <v>414.791393708492</v>
      </c>
      <c r="X20" s="38" t="n">
        <f aca="false">X18*Hypothèses!$D$17</f>
        <v>450.643479771407</v>
      </c>
      <c r="Y20" s="38" t="n">
        <f aca="false">Y18*Hypothèses!$D$17</f>
        <v>486.137044973693</v>
      </c>
      <c r="Z20" s="38" t="n">
        <f aca="false">Z18*Hypothèses!$D$17</f>
        <v>521.275674523956</v>
      </c>
      <c r="AA20" s="38" t="n">
        <f aca="false">AA18*Hypothèses!$D$17</f>
        <v>616.062917778717</v>
      </c>
      <c r="AB20" s="38" t="n">
        <f aca="false">AB18*Hypothèses!$D$17</f>
        <v>709.90228860093</v>
      </c>
      <c r="AC20" s="38" t="n">
        <f aca="false">AC18*Hypothèses!$D$17</f>
        <v>802.80326571492</v>
      </c>
      <c r="AD20" s="38" t="n">
        <f aca="false">AD18*Hypothèses!$D$17</f>
        <v>894.775233057771</v>
      </c>
      <c r="AE20" s="38" t="n">
        <f aca="false">AE18*Hypothèses!$D$17</f>
        <v>985.827480727194</v>
      </c>
      <c r="AF20" s="38" t="n">
        <f aca="false">AF18*Hypothèses!$D$17</f>
        <v>1075.96920591992</v>
      </c>
      <c r="AG20" s="38" t="n">
        <f aca="false">AG18*Hypothèses!$D$17</f>
        <v>1165.20951386072</v>
      </c>
      <c r="AH20" s="38" t="n">
        <f aca="false">AH18*Hypothèses!$D$17</f>
        <v>1253.55741872212</v>
      </c>
      <c r="AI20" s="38" t="n">
        <f aca="false">AI18*Hypothèses!$D$17</f>
        <v>1341.02184453489</v>
      </c>
      <c r="AJ20" s="38" t="n">
        <f aca="false">AJ18*Hypothèses!$D$17</f>
        <v>1427.61162608955</v>
      </c>
      <c r="AK20" s="38" t="n">
        <f aca="false">AK18*Hypothèses!$D$17</f>
        <v>1513.33550982865</v>
      </c>
      <c r="AL20" s="38" t="n">
        <f aca="false">AL18*Hypothèses!$D$17</f>
        <v>1598.20215473036</v>
      </c>
      <c r="AN20" s="38" t="n">
        <f aca="false">N20</f>
        <v>75.3794017931655</v>
      </c>
      <c r="AO20" s="38" t="n">
        <f aca="false">Z20</f>
        <v>521.275674523956</v>
      </c>
      <c r="AP20" s="38" t="n">
        <f aca="false">AL20</f>
        <v>1598.20215473036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4.355319405</v>
      </c>
      <c r="J21" s="38" t="n">
        <f aca="false">J18*Hypothèses!$D$18</f>
        <v>7.31176621095</v>
      </c>
      <c r="K21" s="38" t="n">
        <f aca="false">K18*Hypothèses!$D$18</f>
        <v>10.2386485488405</v>
      </c>
      <c r="L21" s="38" t="n">
        <f aca="false">L18*Hypothèses!$D$18</f>
        <v>13.1362620633521</v>
      </c>
      <c r="M21" s="38" t="n">
        <f aca="false">M18*Hypothèses!$D$18</f>
        <v>16.0048994427186</v>
      </c>
      <c r="N21" s="38" t="n">
        <f aca="false">N18*Hypothèses!$D$18</f>
        <v>18.8448504482914</v>
      </c>
      <c r="O21" s="38" t="n">
        <f aca="false">O18*Hypothèses!$D$18</f>
        <v>28.6564019438085</v>
      </c>
      <c r="P21" s="38" t="n">
        <f aca="false">P18*Hypothèses!$D$18</f>
        <v>38.3698379243704</v>
      </c>
      <c r="Q21" s="38" t="n">
        <f aca="false">Q18*Hypothèses!$D$18</f>
        <v>47.9861395451267</v>
      </c>
      <c r="R21" s="38" t="n">
        <f aca="false">R18*Hypothèses!$D$18</f>
        <v>57.5062781496754</v>
      </c>
      <c r="S21" s="38" t="n">
        <f aca="false">S18*Hypothèses!$D$18</f>
        <v>66.9312153681787</v>
      </c>
      <c r="T21" s="38" t="n">
        <f aca="false">T18*Hypothèses!$D$18</f>
        <v>76.2619032144969</v>
      </c>
      <c r="U21" s="38" t="n">
        <f aca="false">U18*Hypothèses!$D$18</f>
        <v>85.4992841823519</v>
      </c>
      <c r="V21" s="38" t="n">
        <f aca="false">V18*Hypothèses!$D$18</f>
        <v>94.6442913405284</v>
      </c>
      <c r="W21" s="38" t="n">
        <f aca="false">W18*Hypothèses!$D$18</f>
        <v>103.697848427123</v>
      </c>
      <c r="X21" s="38" t="n">
        <f aca="false">X18*Hypothèses!$D$18</f>
        <v>112.660869942852</v>
      </c>
      <c r="Y21" s="38" t="n">
        <f aca="false">Y18*Hypothèses!$D$18</f>
        <v>121.534261243423</v>
      </c>
      <c r="Z21" s="38" t="n">
        <f aca="false">Z18*Hypothèses!$D$18</f>
        <v>130.318918630989</v>
      </c>
      <c r="AA21" s="38" t="n">
        <f aca="false">AA18*Hypothèses!$D$18</f>
        <v>154.015729444679</v>
      </c>
      <c r="AB21" s="38" t="n">
        <f aca="false">AB18*Hypothèses!$D$18</f>
        <v>177.475572150232</v>
      </c>
      <c r="AC21" s="38" t="n">
        <f aca="false">AC18*Hypothèses!$D$18</f>
        <v>200.70081642873</v>
      </c>
      <c r="AD21" s="38" t="n">
        <f aca="false">AD18*Hypothèses!$D$18</f>
        <v>223.693808264443</v>
      </c>
      <c r="AE21" s="38" t="n">
        <f aca="false">AE18*Hypothèses!$D$18</f>
        <v>246.456870181798</v>
      </c>
      <c r="AF21" s="38" t="n">
        <f aca="false">AF18*Hypothèses!$D$18</f>
        <v>268.99230147998</v>
      </c>
      <c r="AG21" s="38" t="n">
        <f aca="false">AG18*Hypothèses!$D$18</f>
        <v>291.302378465181</v>
      </c>
      <c r="AH21" s="38" t="n">
        <f aca="false">AH18*Hypothèses!$D$18</f>
        <v>313.389354680529</v>
      </c>
      <c r="AI21" s="38" t="n">
        <f aca="false">AI18*Hypothèses!$D$18</f>
        <v>335.255461133724</v>
      </c>
      <c r="AJ21" s="38" t="n">
        <f aca="false">AJ18*Hypothèses!$D$18</f>
        <v>356.902906522386</v>
      </c>
      <c r="AK21" s="38" t="n">
        <f aca="false">AK18*Hypothèses!$D$18</f>
        <v>378.333877457162</v>
      </c>
      <c r="AL21" s="38" t="n">
        <f aca="false">AL18*Hypothèses!$D$18</f>
        <v>399.550538682591</v>
      </c>
      <c r="AN21" s="38" t="n">
        <f aca="false">N21</f>
        <v>18.8448504482914</v>
      </c>
      <c r="AO21" s="38" t="n">
        <f aca="false">Z21</f>
        <v>130.318918630989</v>
      </c>
      <c r="AP21" s="38" t="n">
        <f aca="false">AL21</f>
        <v>399.550538682591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70.325</v>
      </c>
      <c r="G23" s="15" t="n">
        <f aca="false">G19*Hypothèses!$D$12*$C$4</f>
        <v>68.21525</v>
      </c>
      <c r="H23" s="15" t="n">
        <f aca="false">H19*Hypothèses!$D$12*$C$4</f>
        <v>66.1687925</v>
      </c>
      <c r="I23" s="15" t="n">
        <f aca="false">I19*Hypothèses!$D$12*$C$4</f>
        <v>210.507104575</v>
      </c>
      <c r="J23" s="15" t="n">
        <f aca="false">J19*Hypothèses!$D$12*$C$4</f>
        <v>353.40203352925</v>
      </c>
      <c r="K23" s="15" t="n">
        <f aca="false">K19*Hypothèses!$D$12*$C$4</f>
        <v>494.868013193957</v>
      </c>
      <c r="L23" s="15" t="n">
        <f aca="false">L19*Hypothèses!$D$12*$C$4</f>
        <v>634.919333062018</v>
      </c>
      <c r="M23" s="15" t="n">
        <f aca="false">M19*Hypothèses!$D$12*$C$4</f>
        <v>773.570139731398</v>
      </c>
      <c r="N23" s="15" t="n">
        <f aca="false">N19*Hypothèses!$D$12*$C$4</f>
        <v>910.834438334084</v>
      </c>
      <c r="O23" s="15" t="n">
        <f aca="false">O19*Hypothèses!$D$12*$C$4</f>
        <v>1385.05942728408</v>
      </c>
      <c r="P23" s="15" t="n">
        <f aca="false">P19*Hypothèses!$D$12*$C$4</f>
        <v>1854.54216634457</v>
      </c>
      <c r="Q23" s="15" t="n">
        <f aca="false">Q19*Hypothèses!$D$12*$C$4</f>
        <v>2319.33007801446</v>
      </c>
      <c r="R23" s="15" t="n">
        <f aca="false">R19*Hypothèses!$D$12*$C$4</f>
        <v>2779.47011056765</v>
      </c>
      <c r="S23" s="15" t="n">
        <f aca="false">S19*Hypothèses!$D$12*$C$4</f>
        <v>3235.0087427953</v>
      </c>
      <c r="T23" s="15" t="n">
        <f aca="false">T19*Hypothèses!$D$12*$C$4</f>
        <v>3685.99198870068</v>
      </c>
      <c r="U23" s="15" t="n">
        <f aca="false">U19*Hypothèses!$D$12*$C$4</f>
        <v>4132.46540214701</v>
      </c>
      <c r="V23" s="15" t="n">
        <f aca="false">V19*Hypothèses!$D$12*$C$4</f>
        <v>4574.47408145887</v>
      </c>
      <c r="W23" s="15" t="n">
        <f aca="false">W19*Hypothèses!$D$12*$C$4</f>
        <v>5012.06267397762</v>
      </c>
      <c r="X23" s="15" t="n">
        <f aca="false">X19*Hypothèses!$D$12*$C$4</f>
        <v>5445.27538057117</v>
      </c>
      <c r="Y23" s="15" t="n">
        <f aca="false">Y19*Hypothèses!$D$12*$C$4</f>
        <v>5874.15596009879</v>
      </c>
      <c r="Z23" s="15" t="n">
        <f aca="false">Z19*Hypothèses!$D$12*$C$4</f>
        <v>6298.74773383114</v>
      </c>
      <c r="AA23" s="15" t="n">
        <f aca="false">AA19*Hypothèses!$D$12*$C$4</f>
        <v>7444.09358982616</v>
      </c>
      <c r="AB23" s="15" t="n">
        <f aca="false">AB19*Hypothèses!$D$12*$C$4</f>
        <v>8577.98598726123</v>
      </c>
      <c r="AC23" s="15" t="n">
        <f aca="false">AC19*Hypothèses!$D$12*$C$4</f>
        <v>9700.53946072195</v>
      </c>
      <c r="AD23" s="15" t="n">
        <f aca="false">AD19*Hypothèses!$D$12*$C$4</f>
        <v>10811.8673994481</v>
      </c>
      <c r="AE23" s="15" t="n">
        <f aca="false">AE19*Hypothèses!$D$12*$C$4</f>
        <v>11912.0820587869</v>
      </c>
      <c r="AF23" s="15" t="n">
        <f aca="false">AF19*Hypothèses!$D$12*$C$4</f>
        <v>13001.2945715324</v>
      </c>
      <c r="AG23" s="15" t="n">
        <f aca="false">AG19*Hypothèses!$D$12*$C$4</f>
        <v>14079.6149591504</v>
      </c>
      <c r="AH23" s="15" t="n">
        <f aca="false">AH19*Hypothèses!$D$12*$C$4</f>
        <v>15147.1521428922</v>
      </c>
      <c r="AI23" s="15" t="n">
        <f aca="false">AI19*Hypothèses!$D$12*$C$4</f>
        <v>16204.0139547966</v>
      </c>
      <c r="AJ23" s="15" t="n">
        <f aca="false">AJ19*Hypothèses!$D$12*$C$4</f>
        <v>17250.307148582</v>
      </c>
      <c r="AK23" s="15" t="n">
        <f aca="false">AK19*Hypothèses!$D$12*$C$4</f>
        <v>18286.1374104295</v>
      </c>
      <c r="AL23" s="15" t="n">
        <f aca="false">AL19*Hypothèses!$D$12*$C$4</f>
        <v>19311.6093696586</v>
      </c>
      <c r="AN23" s="15" t="n">
        <f aca="false">SUM(C23:N23)</f>
        <v>3655.31010492571</v>
      </c>
      <c r="AO23" s="15" t="n">
        <f aca="false">SUM(O23:Z23)</f>
        <v>46596.5837457913</v>
      </c>
      <c r="AP23" s="15" t="n">
        <f aca="false">SUM(AA23:AL23)</f>
        <v>161726.698053086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459.78</v>
      </c>
      <c r="G24" s="15" t="n">
        <f aca="false">G20*Hypothèses!$D$13*$C$4</f>
        <v>445.9866</v>
      </c>
      <c r="H24" s="15" t="n">
        <f aca="false">H20*Hypothèses!$D$13*$C$4</f>
        <v>432.607002</v>
      </c>
      <c r="I24" s="15" t="n">
        <f aca="false">I20*Hypothèses!$D$13*$C$4</f>
        <v>1376.28093198</v>
      </c>
      <c r="J24" s="15" t="n">
        <f aca="false">J20*Hypothèses!$D$13*$C$4</f>
        <v>2310.5181226602</v>
      </c>
      <c r="K24" s="15" t="n">
        <f aca="false">K20*Hypothèses!$D$13*$C$4</f>
        <v>3235.4129414336</v>
      </c>
      <c r="L24" s="15" t="n">
        <f aca="false">L20*Hypothèses!$D$13*$C$4</f>
        <v>4151.05881201926</v>
      </c>
      <c r="M24" s="15" t="n">
        <f aca="false">M20*Hypothèses!$D$13*$C$4</f>
        <v>5057.54822389907</v>
      </c>
      <c r="N24" s="15" t="n">
        <f aca="false">N20*Hypothèses!$D$13*$C$4</f>
        <v>5954.97274166008</v>
      </c>
      <c r="O24" s="15" t="n">
        <f aca="false">O20*Hypothèses!$D$13*$C$4</f>
        <v>9055.42301424348</v>
      </c>
      <c r="P24" s="15" t="n">
        <f aca="false">P20*Hypothèses!$D$13*$C$4</f>
        <v>12124.868784101</v>
      </c>
      <c r="Q24" s="15" t="n">
        <f aca="false">Q20*Hypothèses!$D$13*$C$4</f>
        <v>15163.62009626</v>
      </c>
      <c r="R24" s="15" t="n">
        <f aca="false">R20*Hypothèses!$D$13*$C$4</f>
        <v>18171.9838952974</v>
      </c>
      <c r="S24" s="15" t="n">
        <f aca="false">S20*Hypothèses!$D$13*$C$4</f>
        <v>21150.2640563445</v>
      </c>
      <c r="T24" s="15" t="n">
        <f aca="false">T20*Hypothèses!$D$13*$C$4</f>
        <v>24098.761415781</v>
      </c>
      <c r="U24" s="15" t="n">
        <f aca="false">U20*Hypothèses!$D$13*$C$4</f>
        <v>27017.7738016232</v>
      </c>
      <c r="V24" s="15" t="n">
        <f aca="false">V20*Hypothèses!$D$13*$C$4</f>
        <v>29907.596063607</v>
      </c>
      <c r="W24" s="15" t="n">
        <f aca="false">W20*Hypothèses!$D$13*$C$4</f>
        <v>32768.5201029709</v>
      </c>
      <c r="X24" s="15" t="n">
        <f aca="false">X20*Hypothèses!$D$13*$C$4</f>
        <v>35600.8349019412</v>
      </c>
      <c r="Y24" s="15" t="n">
        <f aca="false">Y20*Hypothèses!$D$13*$C$4</f>
        <v>38404.8265529218</v>
      </c>
      <c r="Z24" s="15" t="n">
        <f aca="false">Z20*Hypothèses!$D$13*$C$4</f>
        <v>41180.7782873925</v>
      </c>
      <c r="AA24" s="15" t="n">
        <f aca="false">AA20*Hypothèses!$D$13*$C$4</f>
        <v>48668.9705045186</v>
      </c>
      <c r="AB24" s="15" t="n">
        <f aca="false">AB20*Hypothèses!$D$13*$C$4</f>
        <v>56082.2807994734</v>
      </c>
      <c r="AC24" s="15" t="n">
        <f aca="false">AC20*Hypothèses!$D$13*$C$4</f>
        <v>63421.4579914787</v>
      </c>
      <c r="AD24" s="15" t="n">
        <f aca="false">AD20*Hypothèses!$D$13*$C$4</f>
        <v>70687.2434115639</v>
      </c>
      <c r="AE24" s="15" t="n">
        <f aca="false">AE20*Hypothèses!$D$13*$C$4</f>
        <v>77880.3709774483</v>
      </c>
      <c r="AF24" s="15" t="n">
        <f aca="false">AF20*Hypothèses!$D$13*$C$4</f>
        <v>85001.5672676738</v>
      </c>
      <c r="AG24" s="15" t="n">
        <f aca="false">AG20*Hypothèses!$D$13*$C$4</f>
        <v>92051.5515949971</v>
      </c>
      <c r="AH24" s="15" t="n">
        <f aca="false">AH20*Hypothèses!$D$13*$C$4</f>
        <v>99031.0360790471</v>
      </c>
      <c r="AI24" s="15" t="n">
        <f aca="false">AI20*Hypothèses!$D$13*$C$4</f>
        <v>105940.725718257</v>
      </c>
      <c r="AJ24" s="15" t="n">
        <f aca="false">AJ20*Hypothèses!$D$13*$C$4</f>
        <v>112781.318461074</v>
      </c>
      <c r="AK24" s="15" t="n">
        <f aca="false">AK20*Hypothèses!$D$13*$C$4</f>
        <v>119553.505276463</v>
      </c>
      <c r="AL24" s="15" t="n">
        <f aca="false">AL20*Hypothèses!$D$13*$C$4</f>
        <v>126257.970223699</v>
      </c>
      <c r="AN24" s="15" t="n">
        <f aca="false">SUM(C24:N24)</f>
        <v>23898.1653756522</v>
      </c>
      <c r="AO24" s="15" t="n">
        <f aca="false">SUM(O24:Z24)</f>
        <v>304645.250972484</v>
      </c>
      <c r="AP24" s="15" t="n">
        <f aca="false">SUM(AA24:AL24)</f>
        <v>1057357.99830569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187.695</v>
      </c>
      <c r="G25" s="15" t="n">
        <f aca="false">G21*Hypothèses!$D$14*$C$4</f>
        <v>182.06415</v>
      </c>
      <c r="H25" s="15" t="n">
        <f aca="false">H21*Hypothèses!$D$14*$C$4</f>
        <v>176.6022255</v>
      </c>
      <c r="I25" s="15" t="n">
        <f aca="false">I21*Hypothèses!$D$14*$C$4</f>
        <v>561.836203245</v>
      </c>
      <c r="J25" s="15" t="n">
        <f aca="false">J21*Hypothèses!$D$14*$C$4</f>
        <v>943.21784121255</v>
      </c>
      <c r="K25" s="15" t="n">
        <f aca="false">K21*Hypothèses!$D$14*$C$4</f>
        <v>1320.78566280042</v>
      </c>
      <c r="L25" s="15" t="n">
        <f aca="false">L21*Hypothèses!$D$14*$C$4</f>
        <v>1694.57780617242</v>
      </c>
      <c r="M25" s="15" t="n">
        <f aca="false">M21*Hypothèses!$D$14*$C$4</f>
        <v>2064.6320281107</v>
      </c>
      <c r="N25" s="15" t="n">
        <f aca="false">N21*Hypothèses!$D$14*$C$4</f>
        <v>2430.98570782959</v>
      </c>
      <c r="O25" s="15" t="n">
        <f aca="false">O21*Hypothèses!$D$14*$C$4</f>
        <v>3696.67585075129</v>
      </c>
      <c r="P25" s="15" t="n">
        <f aca="false">P21*Hypothèses!$D$14*$C$4</f>
        <v>4949.70909224378</v>
      </c>
      <c r="Q25" s="15" t="n">
        <f aca="false">Q21*Hypothèses!$D$14*$C$4</f>
        <v>6190.21200132134</v>
      </c>
      <c r="R25" s="15" t="n">
        <f aca="false">R21*Hypothèses!$D$14*$C$4</f>
        <v>7418.30988130813</v>
      </c>
      <c r="S25" s="15" t="n">
        <f aca="false">S21*Hypothèses!$D$14*$C$4</f>
        <v>8634.12678249505</v>
      </c>
      <c r="T25" s="15" t="n">
        <f aca="false">T21*Hypothèses!$D$14*$C$4</f>
        <v>9837.7855146701</v>
      </c>
      <c r="U25" s="15" t="n">
        <f aca="false">U21*Hypothèses!$D$14*$C$4</f>
        <v>11029.4076595234</v>
      </c>
      <c r="V25" s="15" t="n">
        <f aca="false">V21*Hypothèses!$D$14*$C$4</f>
        <v>12209.1135829282</v>
      </c>
      <c r="W25" s="15" t="n">
        <f aca="false">W21*Hypothèses!$D$14*$C$4</f>
        <v>13377.0224470989</v>
      </c>
      <c r="X25" s="15" t="n">
        <f aca="false">X21*Hypothèses!$D$14*$C$4</f>
        <v>14533.2522226279</v>
      </c>
      <c r="Y25" s="15" t="n">
        <f aca="false">Y21*Hypothèses!$D$14*$C$4</f>
        <v>15677.9197004016</v>
      </c>
      <c r="Z25" s="15" t="n">
        <f aca="false">Z21*Hypothèses!$D$14*$C$4</f>
        <v>16811.1405033976</v>
      </c>
      <c r="AA25" s="15" t="n">
        <f aca="false">AA21*Hypothèses!$D$14*$C$4</f>
        <v>19868.0290983636</v>
      </c>
      <c r="AB25" s="15" t="n">
        <f aca="false">AB21*Hypothèses!$D$14*$C$4</f>
        <v>22894.34880738</v>
      </c>
      <c r="AC25" s="15" t="n">
        <f aca="false">AC21*Hypothèses!$D$14*$C$4</f>
        <v>25890.4053193062</v>
      </c>
      <c r="AD25" s="15" t="n">
        <f aca="false">AD21*Hypothèses!$D$14*$C$4</f>
        <v>28856.5012661131</v>
      </c>
      <c r="AE25" s="15" t="n">
        <f aca="false">AE21*Hypothèses!$D$14*$C$4</f>
        <v>31792.936253452</v>
      </c>
      <c r="AF25" s="15" t="n">
        <f aca="false">AF21*Hypothèses!$D$14*$C$4</f>
        <v>34700.0068909175</v>
      </c>
      <c r="AG25" s="15" t="n">
        <f aca="false">AG21*Hypothèses!$D$14*$C$4</f>
        <v>37578.0068220083</v>
      </c>
      <c r="AH25" s="15" t="n">
        <f aca="false">AH21*Hypothèses!$D$14*$C$4</f>
        <v>40427.2267537882</v>
      </c>
      <c r="AI25" s="15" t="n">
        <f aca="false">AI21*Hypothèses!$D$14*$C$4</f>
        <v>43247.9544862503</v>
      </c>
      <c r="AJ25" s="15" t="n">
        <f aca="false">AJ21*Hypothèses!$D$14*$C$4</f>
        <v>46040.4749413878</v>
      </c>
      <c r="AK25" s="15" t="n">
        <f aca="false">AK21*Hypothèses!$D$14*$C$4</f>
        <v>48805.0701919739</v>
      </c>
      <c r="AL25" s="15" t="n">
        <f aca="false">AL21*Hypothèses!$D$14*$C$4</f>
        <v>51542.0194900542</v>
      </c>
      <c r="AN25" s="15" t="n">
        <f aca="false">SUM(C25:N25)</f>
        <v>9755.89662487068</v>
      </c>
      <c r="AO25" s="15" t="n">
        <f aca="false">SUM(O25:Z25)</f>
        <v>124364.675238767</v>
      </c>
      <c r="AP25" s="15" t="n">
        <f aca="false">SUM(AA25:AL25)</f>
        <v>431642.980320995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717.8</v>
      </c>
      <c r="G26" s="40" t="n">
        <f aca="false">G23+G24+G25</f>
        <v>696.266</v>
      </c>
      <c r="H26" s="40" t="n">
        <f aca="false">H23+H24+H25</f>
        <v>675.37802</v>
      </c>
      <c r="I26" s="40" t="n">
        <f aca="false">I23+I24+I25</f>
        <v>2148.6242398</v>
      </c>
      <c r="J26" s="40" t="n">
        <f aca="false">J23+J24+J25</f>
        <v>3607.137997402</v>
      </c>
      <c r="K26" s="40" t="n">
        <f aca="false">K23+K24+K25</f>
        <v>5051.06661742798</v>
      </c>
      <c r="L26" s="40" t="n">
        <f aca="false">L23+L24+L25</f>
        <v>6480.5559512537</v>
      </c>
      <c r="M26" s="40" t="n">
        <f aca="false">M23+M24+M25</f>
        <v>7895.75039174116</v>
      </c>
      <c r="N26" s="40" t="n">
        <f aca="false">N23+N24+N25</f>
        <v>9296.79288782375</v>
      </c>
      <c r="O26" s="40" t="n">
        <f aca="false">O23+O24+O25</f>
        <v>14137.1582922788</v>
      </c>
      <c r="P26" s="40" t="n">
        <f aca="false">P23+P24+P25</f>
        <v>18929.1200426894</v>
      </c>
      <c r="Q26" s="40" t="n">
        <f aca="false">Q23+Q24+Q25</f>
        <v>23673.1621755958</v>
      </c>
      <c r="R26" s="40" t="n">
        <f aca="false">R23+R24+R25</f>
        <v>28369.7638871732</v>
      </c>
      <c r="S26" s="40" t="n">
        <f aca="false">S23+S24+S25</f>
        <v>33019.3995816348</v>
      </c>
      <c r="T26" s="40" t="n">
        <f aca="false">T23+T24+T25</f>
        <v>37622.5389191518</v>
      </c>
      <c r="U26" s="40" t="n">
        <f aca="false">U23+U24+U25</f>
        <v>42179.6468632936</v>
      </c>
      <c r="V26" s="40" t="n">
        <f aca="false">V23+V24+V25</f>
        <v>46691.183727994</v>
      </c>
      <c r="W26" s="40" t="n">
        <f aca="false">W23+W24+W25</f>
        <v>51157.6052240474</v>
      </c>
      <c r="X26" s="40" t="n">
        <f aca="false">X23+X24+X25</f>
        <v>55579.3625051402</v>
      </c>
      <c r="Y26" s="40" t="n">
        <f aca="false">Y23+Y24+Y25</f>
        <v>59956.9022134222</v>
      </c>
      <c r="Z26" s="40" t="n">
        <f aca="false">Z23+Z24+Z25</f>
        <v>64290.6665246213</v>
      </c>
      <c r="AA26" s="40" t="n">
        <f aca="false">AA23+AA24+AA25</f>
        <v>75981.0931927084</v>
      </c>
      <c r="AB26" s="40" t="n">
        <f aca="false">AB23+AB24+AB25</f>
        <v>87554.6155941146</v>
      </c>
      <c r="AC26" s="40" t="n">
        <f aca="false">AC23+AC24+AC25</f>
        <v>99012.4027715068</v>
      </c>
      <c r="AD26" s="40" t="n">
        <f aca="false">AD23+AD24+AD25</f>
        <v>110355.612077125</v>
      </c>
      <c r="AE26" s="40" t="n">
        <f aca="false">AE23+AE24+AE25</f>
        <v>121585.389289687</v>
      </c>
      <c r="AF26" s="40" t="n">
        <f aca="false">AF23+AF24+AF25</f>
        <v>132702.868730124</v>
      </c>
      <c r="AG26" s="40" t="n">
        <f aca="false">AG23+AG24+AG25</f>
        <v>143709.173376156</v>
      </c>
      <c r="AH26" s="40" t="n">
        <f aca="false">AH23+AH24+AH25</f>
        <v>154605.414975728</v>
      </c>
      <c r="AI26" s="40" t="n">
        <f aca="false">AI23+AI24+AI25</f>
        <v>165392.694159304</v>
      </c>
      <c r="AJ26" s="40" t="n">
        <f aca="false">AJ23+AJ24+AJ25</f>
        <v>176072.100551044</v>
      </c>
      <c r="AK26" s="40" t="n">
        <f aca="false">AK23+AK24+AK25</f>
        <v>186644.712878867</v>
      </c>
      <c r="AL26" s="40" t="n">
        <f aca="false">AL23+AL24+AL25</f>
        <v>197111.599083411</v>
      </c>
      <c r="AN26" s="40" t="n">
        <f aca="false">SUM(C26:N26)</f>
        <v>37309.3721054486</v>
      </c>
      <c r="AO26" s="40" t="n">
        <f aca="false">SUM(O26:Z26)</f>
        <v>475606.509957043</v>
      </c>
      <c r="AP26" s="40" t="n">
        <f aca="false">SUM(AA26:AL26)</f>
        <v>1650727.67667978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119.633333333333</v>
      </c>
      <c r="G27" s="15" t="n">
        <f aca="false">G26*Hypothèses!$D$15/(1+Hypothèses!$D$15)</f>
        <v>116.044333333333</v>
      </c>
      <c r="H27" s="15" t="n">
        <f aca="false">H26*Hypothèses!$D$15/(1+Hypothèses!$D$15)</f>
        <v>112.563003333333</v>
      </c>
      <c r="I27" s="15" t="n">
        <f aca="false">I26*Hypothèses!$D$15/(1+Hypothèses!$D$15)</f>
        <v>358.104039966667</v>
      </c>
      <c r="J27" s="15" t="n">
        <f aca="false">J26*Hypothèses!$D$15/(1+Hypothèses!$D$15)</f>
        <v>601.189666233667</v>
      </c>
      <c r="K27" s="15" t="n">
        <f aca="false">K26*Hypothèses!$D$15/(1+Hypothèses!$D$15)</f>
        <v>841.844436237997</v>
      </c>
      <c r="L27" s="15" t="n">
        <f aca="false">L26*Hypothèses!$D$15/(1+Hypothèses!$D$15)</f>
        <v>1080.09265854228</v>
      </c>
      <c r="M27" s="15" t="n">
        <f aca="false">M26*Hypothèses!$D$15/(1+Hypothèses!$D$15)</f>
        <v>1315.95839862353</v>
      </c>
      <c r="N27" s="15" t="n">
        <f aca="false">N26*Hypothèses!$D$15/(1+Hypothèses!$D$15)</f>
        <v>1549.46548130396</v>
      </c>
      <c r="O27" s="15" t="n">
        <f aca="false">O26*Hypothèses!$D$15/(1+Hypothèses!$D$15)</f>
        <v>2356.19304871314</v>
      </c>
      <c r="P27" s="15" t="n">
        <f aca="false">P26*Hypothèses!$D$15/(1+Hypothèses!$D$15)</f>
        <v>3154.85334044823</v>
      </c>
      <c r="Q27" s="15" t="n">
        <f aca="false">Q26*Hypothèses!$D$15/(1+Hypothèses!$D$15)</f>
        <v>3945.52702926597</v>
      </c>
      <c r="R27" s="15" t="n">
        <f aca="false">R26*Hypothèses!$D$15/(1+Hypothèses!$D$15)</f>
        <v>4728.29398119554</v>
      </c>
      <c r="S27" s="15" t="n">
        <f aca="false">S26*Hypothèses!$D$15/(1+Hypothèses!$D$15)</f>
        <v>5503.2332636058</v>
      </c>
      <c r="T27" s="15" t="n">
        <f aca="false">T26*Hypothèses!$D$15/(1+Hypothèses!$D$15)</f>
        <v>6270.42315319197</v>
      </c>
      <c r="U27" s="15" t="n">
        <f aca="false">U26*Hypothèses!$D$15/(1+Hypothèses!$D$15)</f>
        <v>7029.94114388227</v>
      </c>
      <c r="V27" s="15" t="n">
        <f aca="false">V26*Hypothèses!$D$15/(1+Hypothèses!$D$15)</f>
        <v>7781.86395466566</v>
      </c>
      <c r="W27" s="15" t="n">
        <f aca="false">W26*Hypothèses!$D$15/(1+Hypothèses!$D$15)</f>
        <v>8526.26753734123</v>
      </c>
      <c r="X27" s="15" t="n">
        <f aca="false">X26*Hypothèses!$D$15/(1+Hypothèses!$D$15)</f>
        <v>9263.22708419004</v>
      </c>
      <c r="Y27" s="15" t="n">
        <f aca="false">Y26*Hypothèses!$D$15/(1+Hypothèses!$D$15)</f>
        <v>9992.81703557036</v>
      </c>
      <c r="Z27" s="15" t="n">
        <f aca="false">Z26*Hypothèses!$D$15/(1+Hypothèses!$D$15)</f>
        <v>10715.1110874369</v>
      </c>
      <c r="AA27" s="15" t="n">
        <f aca="false">AA26*Hypothèses!$D$15/(1+Hypothèses!$D$15)</f>
        <v>12663.5155321181</v>
      </c>
      <c r="AB27" s="15" t="n">
        <f aca="false">AB26*Hypothèses!$D$15/(1+Hypothèses!$D$15)</f>
        <v>14592.4359323524</v>
      </c>
      <c r="AC27" s="15" t="n">
        <f aca="false">AC26*Hypothèses!$D$15/(1+Hypothèses!$D$15)</f>
        <v>16502.0671285845</v>
      </c>
      <c r="AD27" s="15" t="n">
        <f aca="false">AD26*Hypothèses!$D$15/(1+Hypothèses!$D$15)</f>
        <v>18392.6020128542</v>
      </c>
      <c r="AE27" s="15" t="n">
        <f aca="false">AE26*Hypothèses!$D$15/(1+Hypothèses!$D$15)</f>
        <v>20264.2315482812</v>
      </c>
      <c r="AF27" s="15" t="n">
        <f aca="false">AF26*Hypothèses!$D$15/(1+Hypothèses!$D$15)</f>
        <v>22117.1447883539</v>
      </c>
      <c r="AG27" s="15" t="n">
        <f aca="false">AG26*Hypothèses!$D$15/(1+Hypothèses!$D$15)</f>
        <v>23951.528896026</v>
      </c>
      <c r="AH27" s="15" t="n">
        <f aca="false">AH26*Hypothèses!$D$15/(1+Hypothèses!$D$15)</f>
        <v>25767.5691626213</v>
      </c>
      <c r="AI27" s="15" t="n">
        <f aca="false">AI26*Hypothèses!$D$15/(1+Hypothèses!$D$15)</f>
        <v>27565.4490265506</v>
      </c>
      <c r="AJ27" s="15" t="n">
        <f aca="false">AJ26*Hypothèses!$D$15/(1+Hypothèses!$D$15)</f>
        <v>29345.3500918407</v>
      </c>
      <c r="AK27" s="15" t="n">
        <f aca="false">AK26*Hypothèses!$D$15/(1+Hypothèses!$D$15)</f>
        <v>31107.4521464778</v>
      </c>
      <c r="AL27" s="15" t="n">
        <f aca="false">AL26*Hypothèses!$D$15/(1+Hypothèses!$D$15)</f>
        <v>32851.9331805686</v>
      </c>
      <c r="AN27" s="15" t="n">
        <f aca="false">SUM(C27:N27)</f>
        <v>6218.22868424143</v>
      </c>
      <c r="AO27" s="15" t="n">
        <f aca="false">SUM(O27:Z27)</f>
        <v>79267.7516595071</v>
      </c>
      <c r="AP27" s="15" t="n">
        <f aca="false">SUM(AA27:AL27)</f>
        <v>275121.279446629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598.166666666667</v>
      </c>
      <c r="G28" s="40" t="n">
        <f aca="false">G26-G27</f>
        <v>580.221666666667</v>
      </c>
      <c r="H28" s="40" t="n">
        <f aca="false">H26-H27</f>
        <v>562.815016666667</v>
      </c>
      <c r="I28" s="40" t="n">
        <f aca="false">I26-I27</f>
        <v>1790.52019983333</v>
      </c>
      <c r="J28" s="40" t="n">
        <f aca="false">J26-J27</f>
        <v>3005.94833116833</v>
      </c>
      <c r="K28" s="40" t="n">
        <f aca="false">K26-K27</f>
        <v>4209.22218118998</v>
      </c>
      <c r="L28" s="40" t="n">
        <f aca="false">L26-L27</f>
        <v>5400.46329271142</v>
      </c>
      <c r="M28" s="40" t="n">
        <f aca="false">M26-M27</f>
        <v>6579.79199311764</v>
      </c>
      <c r="N28" s="40" t="n">
        <f aca="false">N26-N27</f>
        <v>7747.32740651979</v>
      </c>
      <c r="O28" s="40" t="n">
        <f aca="false">O26-O27</f>
        <v>11780.9652435657</v>
      </c>
      <c r="P28" s="40" t="n">
        <f aca="false">P26-P27</f>
        <v>15774.2667022412</v>
      </c>
      <c r="Q28" s="40" t="n">
        <f aca="false">Q26-Q27</f>
        <v>19727.6351463299</v>
      </c>
      <c r="R28" s="40" t="n">
        <f aca="false">R26-R27</f>
        <v>23641.4699059777</v>
      </c>
      <c r="S28" s="40" t="n">
        <f aca="false">S26-S27</f>
        <v>27516.166318029</v>
      </c>
      <c r="T28" s="40" t="n">
        <f aca="false">T26-T27</f>
        <v>31352.1157659598</v>
      </c>
      <c r="U28" s="40" t="n">
        <f aca="false">U26-U27</f>
        <v>35149.7057194113</v>
      </c>
      <c r="V28" s="40" t="n">
        <f aca="false">V26-V27</f>
        <v>38909.3197733283</v>
      </c>
      <c r="W28" s="40" t="n">
        <f aca="false">W26-W27</f>
        <v>42631.3376867061</v>
      </c>
      <c r="X28" s="40" t="n">
        <f aca="false">X26-X27</f>
        <v>46316.1354209502</v>
      </c>
      <c r="Y28" s="40" t="n">
        <f aca="false">Y26-Y27</f>
        <v>49964.0851778518</v>
      </c>
      <c r="Z28" s="40" t="n">
        <f aca="false">Z26-Z27</f>
        <v>53575.5554371844</v>
      </c>
      <c r="AA28" s="40" t="n">
        <f aca="false">AA26-AA27</f>
        <v>63317.5776605903</v>
      </c>
      <c r="AB28" s="40" t="n">
        <f aca="false">AB26-AB27</f>
        <v>72962.1796617622</v>
      </c>
      <c r="AC28" s="40" t="n">
        <f aca="false">AC26-AC27</f>
        <v>82510.3356429224</v>
      </c>
      <c r="AD28" s="40" t="n">
        <f aca="false">AD26-AD27</f>
        <v>91963.0100642709</v>
      </c>
      <c r="AE28" s="40" t="n">
        <f aca="false">AE26-AE27</f>
        <v>101321.157741406</v>
      </c>
      <c r="AF28" s="40" t="n">
        <f aca="false">AF26-AF27</f>
        <v>110585.72394177</v>
      </c>
      <c r="AG28" s="40" t="n">
        <f aca="false">AG26-AG27</f>
        <v>119757.64448013</v>
      </c>
      <c r="AH28" s="40" t="n">
        <f aca="false">AH26-AH27</f>
        <v>128837.845813106</v>
      </c>
      <c r="AI28" s="40" t="n">
        <f aca="false">AI26-AI27</f>
        <v>137827.245132753</v>
      </c>
      <c r="AJ28" s="40" t="n">
        <f aca="false">AJ26-AJ27</f>
        <v>146726.750459203</v>
      </c>
      <c r="AK28" s="40" t="n">
        <f aca="false">AK26-AK27</f>
        <v>155537.260732389</v>
      </c>
      <c r="AL28" s="40" t="n">
        <f aca="false">AL26-AL27</f>
        <v>164259.665902843</v>
      </c>
      <c r="AN28" s="40" t="n">
        <f aca="false">SUM(C28:N28)</f>
        <v>31091.1434212072</v>
      </c>
      <c r="AO28" s="40" t="n">
        <f aca="false">SUM(O28:Z28)</f>
        <v>396338.758297536</v>
      </c>
      <c r="AP28" s="40" t="n">
        <f aca="false">SUM(AA28:AL28)</f>
        <v>1375606.39723315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7.178</v>
      </c>
      <c r="G29" s="15" t="n">
        <f aca="false">G26*Hypothèses!$D$27</f>
        <v>6.96266</v>
      </c>
      <c r="H29" s="15" t="n">
        <f aca="false">H26*Hypothèses!$D$27</f>
        <v>6.7537802</v>
      </c>
      <c r="I29" s="15" t="n">
        <f aca="false">I26*Hypothèses!$D$27</f>
        <v>21.486242398</v>
      </c>
      <c r="J29" s="15" t="n">
        <f aca="false">J26*Hypothèses!$D$27</f>
        <v>36.07137997402</v>
      </c>
      <c r="K29" s="15" t="n">
        <f aca="false">K26*Hypothèses!$D$27</f>
        <v>50.5106661742798</v>
      </c>
      <c r="L29" s="15" t="n">
        <f aca="false">L26*Hypothèses!$D$27</f>
        <v>64.805559512537</v>
      </c>
      <c r="M29" s="15" t="n">
        <f aca="false">M26*Hypothèses!$D$27</f>
        <v>78.9575039174116</v>
      </c>
      <c r="N29" s="15" t="n">
        <f aca="false">N26*Hypothèses!$D$27</f>
        <v>92.9679288782375</v>
      </c>
      <c r="O29" s="15" t="n">
        <f aca="false">O26*Hypothèses!$D$27</f>
        <v>141.371582922788</v>
      </c>
      <c r="P29" s="15" t="n">
        <f aca="false">P26*Hypothèses!$D$27</f>
        <v>189.291200426894</v>
      </c>
      <c r="Q29" s="15" t="n">
        <f aca="false">Q26*Hypothèses!$D$27</f>
        <v>236.731621755958</v>
      </c>
      <c r="R29" s="15" t="n">
        <f aca="false">R26*Hypothèses!$D$27</f>
        <v>283.697638871732</v>
      </c>
      <c r="S29" s="15" t="n">
        <f aca="false">S26*Hypothèses!$D$27</f>
        <v>330.193995816348</v>
      </c>
      <c r="T29" s="15" t="n">
        <f aca="false">T26*Hypothèses!$D$27</f>
        <v>376.225389191518</v>
      </c>
      <c r="U29" s="15" t="n">
        <f aca="false">U26*Hypothèses!$D$27</f>
        <v>421.796468632936</v>
      </c>
      <c r="V29" s="15" t="n">
        <f aca="false">V26*Hypothèses!$D$27</f>
        <v>466.91183727994</v>
      </c>
      <c r="W29" s="15" t="n">
        <f aca="false">W26*Hypothèses!$D$27</f>
        <v>511.576052240474</v>
      </c>
      <c r="X29" s="15" t="n">
        <f aca="false">X26*Hypothèses!$D$27</f>
        <v>555.793625051402</v>
      </c>
      <c r="Y29" s="15" t="n">
        <f aca="false">Y26*Hypothèses!$D$27</f>
        <v>599.569022134222</v>
      </c>
      <c r="Z29" s="15" t="n">
        <f aca="false">Z26*Hypothèses!$D$27</f>
        <v>642.906665246213</v>
      </c>
      <c r="AA29" s="15" t="n">
        <f aca="false">AA26*Hypothèses!$D$27</f>
        <v>759.810931927084</v>
      </c>
      <c r="AB29" s="15" t="n">
        <f aca="false">AB26*Hypothèses!$D$27</f>
        <v>875.546155941147</v>
      </c>
      <c r="AC29" s="15" t="n">
        <f aca="false">AC26*Hypothèses!$D$27</f>
        <v>990.124027715068</v>
      </c>
      <c r="AD29" s="15" t="n">
        <f aca="false">AD26*Hypothèses!$D$27</f>
        <v>1103.55612077125</v>
      </c>
      <c r="AE29" s="15" t="n">
        <f aca="false">AE26*Hypothèses!$D$27</f>
        <v>1215.85389289687</v>
      </c>
      <c r="AF29" s="15" t="n">
        <f aca="false">AF26*Hypothèses!$D$27</f>
        <v>1327.02868730124</v>
      </c>
      <c r="AG29" s="15" t="n">
        <f aca="false">AG26*Hypothèses!$D$27</f>
        <v>1437.09173376156</v>
      </c>
      <c r="AH29" s="15" t="n">
        <f aca="false">AH26*Hypothèses!$D$27</f>
        <v>1546.05414975728</v>
      </c>
      <c r="AI29" s="15" t="n">
        <f aca="false">AI26*Hypothèses!$D$27</f>
        <v>1653.92694159304</v>
      </c>
      <c r="AJ29" s="15" t="n">
        <f aca="false">AJ26*Hypothèses!$D$27</f>
        <v>1760.72100551044</v>
      </c>
      <c r="AK29" s="15" t="n">
        <f aca="false">AK26*Hypothèses!$D$27</f>
        <v>1866.44712878867</v>
      </c>
      <c r="AL29" s="15" t="n">
        <f aca="false">AL26*Hypothèses!$D$27</f>
        <v>1971.11599083411</v>
      </c>
      <c r="AN29" s="15" t="n">
        <f aca="false">SUM(C29:N29)</f>
        <v>373.093721054486</v>
      </c>
      <c r="AO29" s="15" t="n">
        <f aca="false">SUM(O29:Z29)</f>
        <v>4756.06509957043</v>
      </c>
      <c r="AP29" s="15" t="n">
        <f aca="false">SUM(AA29:AL29)</f>
        <v>16507.2767667977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13.08433</v>
      </c>
      <c r="G30" s="15" t="n">
        <f aca="false">(G26-G29)*Hypothèses!$D$28+G18*Hypothèses!$D$29</f>
        <v>12.6918001</v>
      </c>
      <c r="H30" s="15" t="n">
        <f aca="false">(H26-H29)*Hypothèses!$D$28+H18*Hypothèses!$D$29</f>
        <v>12.311046097</v>
      </c>
      <c r="I30" s="15" t="n">
        <f aca="false">(I26-I29)*Hypothèses!$D$28+I18*Hypothèses!$D$29</f>
        <v>39.16593563603</v>
      </c>
      <c r="J30" s="15" t="n">
        <f aca="false">(J26-J29)*Hypothèses!$D$28+J18*Hypothèses!$D$29</f>
        <v>65.7522762796697</v>
      </c>
      <c r="K30" s="15" t="n">
        <f aca="false">(K26-K29)*Hypothèses!$D$28+K18*Hypothèses!$D$29</f>
        <v>92.072753516873</v>
      </c>
      <c r="L30" s="15" t="n">
        <f aca="false">(L26-L29)*Hypothèses!$D$28+L18*Hypothèses!$D$29</f>
        <v>118.130025981704</v>
      </c>
      <c r="M30" s="15" t="n">
        <f aca="false">(M26-M29)*Hypothèses!$D$28+M18*Hypothèses!$D$29</f>
        <v>143.926725721887</v>
      </c>
      <c r="N30" s="15" t="n">
        <f aca="false">(N26-N29)*Hypothèses!$D$28+N18*Hypothèses!$D$29</f>
        <v>169.465458464668</v>
      </c>
      <c r="O30" s="15" t="n">
        <f aca="false">(O26-O29)*Hypothèses!$D$28+O18*Hypothèses!$D$29</f>
        <v>257.697470546688</v>
      </c>
      <c r="P30" s="15" t="n">
        <f aca="false">(P26-P29)*Hypothèses!$D$28+P18*Hypothèses!$D$29</f>
        <v>345.047162507888</v>
      </c>
      <c r="Q30" s="15" t="n">
        <f aca="false">(Q26-Q29)*Hypothèses!$D$28+Q18*Hypothèses!$D$29</f>
        <v>431.523357549476</v>
      </c>
      <c r="R30" s="15" t="n">
        <f aca="false">(R26-R29)*Hypothèses!$D$28+R18*Hypothèses!$D$29</f>
        <v>517.134790640648</v>
      </c>
      <c r="S30" s="15" t="n">
        <f aca="false">(S26-S29)*Hypothèses!$D$28+S18*Hypothèses!$D$29</f>
        <v>601.890109400908</v>
      </c>
      <c r="T30" s="15" t="n">
        <f aca="false">(T26-T29)*Hypothèses!$D$28+T18*Hypothèses!$D$29</f>
        <v>685.797874973566</v>
      </c>
      <c r="U30" s="15" t="n">
        <f aca="false">(U26-U29)*Hypothèses!$D$28+U18*Hypothèses!$D$29</f>
        <v>768.866562890496</v>
      </c>
      <c r="V30" s="15" t="n">
        <f aca="false">(V26-V29)*Hypothèses!$D$28+V18*Hypothèses!$D$29</f>
        <v>851.104563928258</v>
      </c>
      <c r="W30" s="15" t="n">
        <f aca="false">(W26-W29)*Hypothèses!$D$28+W18*Hypothèses!$D$29</f>
        <v>932.520184955642</v>
      </c>
      <c r="X30" s="15" t="n">
        <f aca="false">(X26-X29)*Hypothèses!$D$28+X18*Hypothèses!$D$29</f>
        <v>1013.12164977275</v>
      </c>
      <c r="Y30" s="15" t="n">
        <f aca="false">(Y26-Y29)*Hypothèses!$D$28+Y18*Hypothèses!$D$29</f>
        <v>1092.91709994169</v>
      </c>
      <c r="Z30" s="15" t="n">
        <f aca="false">(Z26-Z29)*Hypothèses!$D$28+Z18*Hypothèses!$D$29</f>
        <v>1171.91459560894</v>
      </c>
      <c r="AA30" s="15" t="n">
        <f aca="false">(AA26-AA29)*Hypothèses!$D$28+AA18*Hypothèses!$D$29</f>
        <v>1385.01211631952</v>
      </c>
      <c r="AB30" s="15" t="n">
        <f aca="false">(AB26-AB29)*Hypothèses!$D$28+AB18*Hypothèses!$D$29</f>
        <v>1595.97866182299</v>
      </c>
      <c r="AC30" s="15" t="n">
        <f aca="false">(AC26-AC29)*Hypothèses!$D$28+AC18*Hypothèses!$D$29</f>
        <v>1804.83554187143</v>
      </c>
      <c r="AD30" s="15" t="n">
        <f aca="false">(AD26-AD29)*Hypothèses!$D$28+AD18*Hypothèses!$D$29</f>
        <v>2011.60385311938</v>
      </c>
      <c r="AE30" s="15" t="n">
        <f aca="false">(AE26-AE29)*Hypothèses!$D$28+AE18*Hypothèses!$D$29</f>
        <v>2216.30448125485</v>
      </c>
      <c r="AF30" s="15" t="n">
        <f aca="false">(AF26-AF29)*Hypothèses!$D$28+AF18*Hypothèses!$D$29</f>
        <v>2418.95810310897</v>
      </c>
      <c r="AG30" s="15" t="n">
        <f aca="false">(AG26-AG29)*Hypothèses!$D$28+AG18*Hypothèses!$D$29</f>
        <v>2619.58518874455</v>
      </c>
      <c r="AH30" s="15" t="n">
        <f aca="false">(AH26-AH29)*Hypothèses!$D$28+AH18*Hypothèses!$D$29</f>
        <v>2818.20600352377</v>
      </c>
      <c r="AI30" s="15" t="n">
        <f aca="false">(AI26-AI29)*Hypothèses!$D$28+AI18*Hypothèses!$D$29</f>
        <v>3014.8406101552</v>
      </c>
      <c r="AJ30" s="15" t="n">
        <f aca="false">(AJ26-AJ29)*Hypothèses!$D$28+AJ18*Hypothèses!$D$29</f>
        <v>3209.50887072031</v>
      </c>
      <c r="AK30" s="15" t="n">
        <f aca="false">(AK26-AK29)*Hypothèses!$D$28+AK18*Hypothèses!$D$29</f>
        <v>3402.23044867978</v>
      </c>
      <c r="AL30" s="15" t="n">
        <f aca="false">(AL26-AL29)*Hypothèses!$D$28+AL18*Hypothèses!$D$29</f>
        <v>3593.02481085964</v>
      </c>
      <c r="AN30" s="15" t="n">
        <f aca="false">SUM(C30:N30)</f>
        <v>680.089351797833</v>
      </c>
      <c r="AO30" s="15" t="n">
        <f aca="false">SUM(O30:Z30)</f>
        <v>8669.53542271696</v>
      </c>
      <c r="AP30" s="15" t="n">
        <f aca="false">SUM(AA30:AL30)</f>
        <v>30090.0886901804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697.53767</v>
      </c>
      <c r="G31" s="40" t="n">
        <f aca="false">G26-G29-G30</f>
        <v>676.6115399</v>
      </c>
      <c r="H31" s="40" t="n">
        <f aca="false">H26-H29-H30</f>
        <v>656.313193703</v>
      </c>
      <c r="I31" s="40" t="n">
        <f aca="false">I26-I29-I30</f>
        <v>2087.97206176597</v>
      </c>
      <c r="J31" s="40" t="n">
        <f aca="false">J26-J29-J30</f>
        <v>3505.31434114831</v>
      </c>
      <c r="K31" s="40" t="n">
        <f aca="false">K26-K29-K30</f>
        <v>4908.48319773683</v>
      </c>
      <c r="L31" s="40" t="n">
        <f aca="false">L26-L29-L30</f>
        <v>6297.62036575946</v>
      </c>
      <c r="M31" s="40" t="n">
        <f aca="false">M26-M29-M30</f>
        <v>7672.86616210186</v>
      </c>
      <c r="N31" s="40" t="n">
        <f aca="false">N26-N29-N30</f>
        <v>9034.35950048085</v>
      </c>
      <c r="O31" s="40" t="n">
        <f aca="false">O26-O29-O30</f>
        <v>13738.0892388094</v>
      </c>
      <c r="P31" s="40" t="n">
        <f aca="false">P26-P29-P30</f>
        <v>18394.7816797546</v>
      </c>
      <c r="Q31" s="40" t="n">
        <f aca="false">Q26-Q29-Q30</f>
        <v>23004.9071962904</v>
      </c>
      <c r="R31" s="40" t="n">
        <f aca="false">R26-R29-R30</f>
        <v>27568.9314576608</v>
      </c>
      <c r="S31" s="40" t="n">
        <f aca="false">S26-S29-S30</f>
        <v>32087.3154764176</v>
      </c>
      <c r="T31" s="40" t="n">
        <f aca="false">T26-T29-T30</f>
        <v>36560.5156549867</v>
      </c>
      <c r="U31" s="40" t="n">
        <f aca="false">U26-U29-U30</f>
        <v>40988.9838317702</v>
      </c>
      <c r="V31" s="40" t="n">
        <f aca="false">V26-V29-V30</f>
        <v>45373.1673267858</v>
      </c>
      <c r="W31" s="40" t="n">
        <f aca="false">W26-W29-W30</f>
        <v>49713.5089868513</v>
      </c>
      <c r="X31" s="40" t="n">
        <f aca="false">X26-X29-X30</f>
        <v>54010.4472303161</v>
      </c>
      <c r="Y31" s="40" t="n">
        <f aca="false">Y26-Y29-Y30</f>
        <v>58264.4160913463</v>
      </c>
      <c r="Z31" s="40" t="n">
        <f aca="false">Z26-Z29-Z30</f>
        <v>62475.8452637661</v>
      </c>
      <c r="AA31" s="40" t="n">
        <f aca="false">AA26-AA29-AA30</f>
        <v>73836.2701444618</v>
      </c>
      <c r="AB31" s="40" t="n">
        <f aca="false">AB26-AB29-AB30</f>
        <v>85083.0907763505</v>
      </c>
      <c r="AC31" s="40" t="n">
        <f aca="false">AC26-AC29-AC30</f>
        <v>96217.4432019204</v>
      </c>
      <c r="AD31" s="40" t="n">
        <f aca="false">AD26-AD29-AD30</f>
        <v>107240.452103234</v>
      </c>
      <c r="AE31" s="40" t="n">
        <f aca="false">AE26-AE29-AE30</f>
        <v>118153.230915535</v>
      </c>
      <c r="AF31" s="40" t="n">
        <f aca="false">AF26-AF29-AF30</f>
        <v>128956.881939713</v>
      </c>
      <c r="AG31" s="40" t="n">
        <f aca="false">AG26-AG29-AG30</f>
        <v>139652.49645365</v>
      </c>
      <c r="AH31" s="40" t="n">
        <f aca="false">AH26-AH29-AH30</f>
        <v>150241.154822447</v>
      </c>
      <c r="AI31" s="40" t="n">
        <f aca="false">AI26-AI29-AI30</f>
        <v>160723.926607555</v>
      </c>
      <c r="AJ31" s="40" t="n">
        <f aca="false">AJ26-AJ29-AJ30</f>
        <v>171101.870674813</v>
      </c>
      <c r="AK31" s="40" t="n">
        <f aca="false">AK26-AK29-AK30</f>
        <v>181376.035301398</v>
      </c>
      <c r="AL31" s="40" t="n">
        <f aca="false">AL26-AL29-AL30</f>
        <v>191547.458281718</v>
      </c>
      <c r="AN31" s="40" t="n">
        <f aca="false">SUM(C31:N31)</f>
        <v>36256.1890325963</v>
      </c>
      <c r="AO31" s="40" t="n">
        <f aca="false">SUM(O31:Z31)</f>
        <v>462180.909434755</v>
      </c>
      <c r="AP31" s="40" t="n">
        <f aca="false">SUM(AA31:AL31)</f>
        <v>1604130.3112228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163.50327</v>
      </c>
      <c r="F33" s="15" t="n">
        <f aca="false">(F19*Hypothèses!$D$31+F20*Hypothèses!$D$32+F21*Hypothèses!$D$33)*Hypothèses!$D$34*$F$4</f>
        <v>158.5981719</v>
      </c>
      <c r="G33" s="15" t="n">
        <f aca="false">(G19*Hypothèses!$D$31+G20*Hypothèses!$D$32+G21*Hypothèses!$D$33)*Hypothèses!$D$34*$F$4</f>
        <v>153.840226743</v>
      </c>
      <c r="H33" s="15" t="n">
        <f aca="false">(H19*Hypothèses!$D$31+H20*Hypothèses!$D$32+H21*Hypothèses!$D$33)*Hypothèses!$D$34*$F$4</f>
        <v>149.22501994071</v>
      </c>
      <c r="I33" s="15" t="n">
        <f aca="false">(I19*Hypothèses!$D$31+I20*Hypothèses!$D$32+I21*Hypothèses!$D$33)*Hypothèses!$D$34*$F$4</f>
        <v>474.739309741303</v>
      </c>
      <c r="J33" s="15" t="n">
        <f aca="false">(J19*Hypothèses!$D$31+J20*Hypothèses!$D$32+J21*Hypothèses!$D$33)*Hypothèses!$D$34*$F$4</f>
        <v>796.99845664389</v>
      </c>
      <c r="K33" s="15" t="n">
        <f aca="false">(K19*Hypothèses!$D$31+K20*Hypothèses!$D$32+K21*Hypothèses!$D$33)*Hypothèses!$D$34*$F$4</f>
        <v>1116.03501207745</v>
      </c>
      <c r="L33" s="15" t="n">
        <f aca="false">(L19*Hypothèses!$D$31+L20*Hypothèses!$D$32+L21*Hypothèses!$D$33)*Hypothèses!$D$34*$F$4</f>
        <v>1431.88120195668</v>
      </c>
      <c r="M33" s="15" t="n">
        <f aca="false">(M19*Hypothèses!$D$31+M20*Hypothèses!$D$32+M21*Hypothèses!$D$33)*Hypothèses!$D$34*$F$4</f>
        <v>1744.56892993711</v>
      </c>
      <c r="N33" s="15" t="n">
        <f aca="false">(N19*Hypothèses!$D$31+N20*Hypothèses!$D$32+N21*Hypothèses!$D$33)*Hypothèses!$D$34*$F$4</f>
        <v>2054.12978063774</v>
      </c>
      <c r="O33" s="15" t="n">
        <f aca="false">(O19*Hypothèses!$D$31+O20*Hypothèses!$D$32+O21*Hypothèses!$D$33)*Hypothèses!$D$34*$F$4</f>
        <v>3123.61028283136</v>
      </c>
      <c r="P33" s="15" t="n">
        <f aca="false">(P19*Hypothèses!$D$31+P20*Hypothèses!$D$32+P21*Hypothèses!$D$33)*Hypothèses!$D$34*$F$4</f>
        <v>4182.39598000305</v>
      </c>
      <c r="Q33" s="15" t="n">
        <f aca="false">(Q19*Hypothèses!$D$31+Q20*Hypothèses!$D$32+Q21*Hypothèses!$D$33)*Hypothèses!$D$34*$F$4</f>
        <v>5230.59382020302</v>
      </c>
      <c r="R33" s="15" t="n">
        <f aca="false">(R19*Hypothèses!$D$31+R20*Hypothèses!$D$32+R21*Hypothèses!$D$33)*Hypothèses!$D$34*$F$4</f>
        <v>6268.30968200099</v>
      </c>
      <c r="S33" s="15" t="n">
        <f aca="false">(S19*Hypothèses!$D$31+S20*Hypothèses!$D$32+S21*Hypothèses!$D$33)*Hypothèses!$D$34*$F$4</f>
        <v>7295.64838518098</v>
      </c>
      <c r="T33" s="15" t="n">
        <f aca="false">(T19*Hypothèses!$D$31+T20*Hypothèses!$D$32+T21*Hypothèses!$D$33)*Hypothèses!$D$34*$F$4</f>
        <v>8312.71370132917</v>
      </c>
      <c r="U33" s="15" t="n">
        <f aca="false">(U19*Hypothèses!$D$31+U20*Hypothèses!$D$32+U21*Hypothèses!$D$33)*Hypothèses!$D$34*$F$4</f>
        <v>9319.60836431587</v>
      </c>
      <c r="V33" s="15" t="n">
        <f aca="false">(V19*Hypothèses!$D$31+V20*Hypothèses!$D$32+V21*Hypothèses!$D$33)*Hypothèses!$D$34*$F$4</f>
        <v>10316.4340806727</v>
      </c>
      <c r="W33" s="15" t="n">
        <f aca="false">(W19*Hypothèses!$D$31+W20*Hypothèses!$D$32+W21*Hypothèses!$D$33)*Hypothèses!$D$34*$F$4</f>
        <v>11303.291539866</v>
      </c>
      <c r="X33" s="15" t="n">
        <f aca="false">(X19*Hypothèses!$D$31+X20*Hypothèses!$D$32+X21*Hypothèses!$D$33)*Hypothèses!$D$34*$F$4</f>
        <v>12280.2804244673</v>
      </c>
      <c r="Y33" s="15" t="n">
        <f aca="false">(Y19*Hypothèses!$D$31+Y20*Hypothèses!$D$32+Y21*Hypothèses!$D$33)*Hypothèses!$D$34*$F$4</f>
        <v>13247.4994202227</v>
      </c>
      <c r="Z33" s="15" t="n">
        <f aca="false">(Z19*Hypothèses!$D$31+Z20*Hypothèses!$D$32+Z21*Hypothèses!$D$33)*Hypothèses!$D$34*$F$4</f>
        <v>14205.0462260204</v>
      </c>
      <c r="AA33" s="15" t="n">
        <f aca="false">(AA19*Hypothèses!$D$31+AA20*Hypothèses!$D$32+AA21*Hypothèses!$D$33)*Hypothèses!$D$34*$F$4</f>
        <v>16788.0502637602</v>
      </c>
      <c r="AB33" s="15" t="n">
        <f aca="false">(AB19*Hypothèses!$D$31+AB20*Hypothèses!$D$32+AB21*Hypothèses!$D$33)*Hypothèses!$D$34*$F$4</f>
        <v>19345.2242611226</v>
      </c>
      <c r="AC33" s="15" t="n">
        <f aca="false">(AC19*Hypothèses!$D$31+AC20*Hypothèses!$D$32+AC21*Hypothèses!$D$33)*Hypothèses!$D$34*$F$4</f>
        <v>21876.8265185114</v>
      </c>
      <c r="AD33" s="15" t="n">
        <f aca="false">(AD19*Hypothèses!$D$31+AD20*Hypothèses!$D$32+AD21*Hypothèses!$D$33)*Hypothèses!$D$34*$F$4</f>
        <v>24383.1127533263</v>
      </c>
      <c r="AE33" s="15" t="n">
        <f aca="false">(AE19*Hypothèses!$D$31+AE20*Hypothèses!$D$32+AE21*Hypothèses!$D$33)*Hypothèses!$D$34*$F$4</f>
        <v>26864.336125793</v>
      </c>
      <c r="AF33" s="15" t="n">
        <f aca="false">(AF19*Hypothèses!$D$31+AF20*Hypothèses!$D$32+AF21*Hypothèses!$D$33)*Hypothèses!$D$34*$F$4</f>
        <v>29320.7472645351</v>
      </c>
      <c r="AG33" s="15" t="n">
        <f aca="false">(AG19*Hypothèses!$D$31+AG20*Hypothèses!$D$32+AG21*Hypothèses!$D$33)*Hypothèses!$D$34*$F$4</f>
        <v>31752.5942918897</v>
      </c>
      <c r="AH33" s="15" t="n">
        <f aca="false">(AH19*Hypothèses!$D$31+AH20*Hypothèses!$D$32+AH21*Hypothèses!$D$33)*Hypothèses!$D$34*$F$4</f>
        <v>34160.1228489709</v>
      </c>
      <c r="AI33" s="15" t="n">
        <f aca="false">(AI19*Hypothèses!$D$31+AI20*Hypothèses!$D$32+AI21*Hypothèses!$D$33)*Hypothèses!$D$34*$F$4</f>
        <v>36543.5761204811</v>
      </c>
      <c r="AJ33" s="15" t="n">
        <f aca="false">(AJ19*Hypothèses!$D$31+AJ20*Hypothèses!$D$32+AJ21*Hypothèses!$D$33)*Hypothèses!$D$34*$F$4</f>
        <v>38903.1948592763</v>
      </c>
      <c r="AK33" s="15" t="n">
        <f aca="false">(AK19*Hypothèses!$D$31+AK20*Hypothèses!$D$32+AK21*Hypothèses!$D$33)*Hypothèses!$D$34*$F$4</f>
        <v>41239.2174106836</v>
      </c>
      <c r="AL33" s="15" t="n">
        <f aca="false">(AL19*Hypothèses!$D$31+AL20*Hypothèses!$D$32+AL21*Hypothèses!$D$33)*Hypothèses!$D$34*$F$4</f>
        <v>43551.8797365767</v>
      </c>
      <c r="AN33" s="15" t="n">
        <f aca="false">SUM(C33:N33)</f>
        <v>8243.51937957788</v>
      </c>
      <c r="AO33" s="15" t="n">
        <f aca="false">SUM(O33:Z33)</f>
        <v>105085.431907114</v>
      </c>
      <c r="AP33" s="15" t="n">
        <f aca="false">SUM(AA33:AL33)</f>
        <v>364728.882454927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43.55319405</v>
      </c>
      <c r="J34" s="15" t="n">
        <f aca="false">J18*Hypothèses!$D$35</f>
        <v>73.1176621095</v>
      </c>
      <c r="K34" s="15" t="n">
        <f aca="false">K18*Hypothèses!$D$35</f>
        <v>102.386485488405</v>
      </c>
      <c r="L34" s="15" t="n">
        <f aca="false">L18*Hypothèses!$D$35</f>
        <v>131.362620633521</v>
      </c>
      <c r="M34" s="15" t="n">
        <f aca="false">M18*Hypothèses!$D$35</f>
        <v>160.048994427186</v>
      </c>
      <c r="N34" s="15" t="n">
        <f aca="false">N18*Hypothèses!$D$35</f>
        <v>188.448504482914</v>
      </c>
      <c r="O34" s="15" t="n">
        <f aca="false">O18*Hypothèses!$D$35</f>
        <v>286.564019438085</v>
      </c>
      <c r="P34" s="15" t="n">
        <f aca="false">P18*Hypothèses!$D$35</f>
        <v>383.698379243704</v>
      </c>
      <c r="Q34" s="15" t="n">
        <f aca="false">Q18*Hypothèses!$D$35</f>
        <v>479.861395451267</v>
      </c>
      <c r="R34" s="15" t="n">
        <f aca="false">R18*Hypothèses!$D$35</f>
        <v>575.062781496754</v>
      </c>
      <c r="S34" s="15" t="n">
        <f aca="false">S18*Hypothèses!$D$35</f>
        <v>669.312153681787</v>
      </c>
      <c r="T34" s="15" t="n">
        <f aca="false">T18*Hypothèses!$D$35</f>
        <v>762.619032144969</v>
      </c>
      <c r="U34" s="15" t="n">
        <f aca="false">U18*Hypothèses!$D$35</f>
        <v>854.992841823519</v>
      </c>
      <c r="V34" s="15" t="n">
        <f aca="false">V18*Hypothèses!$D$35</f>
        <v>946.442913405284</v>
      </c>
      <c r="W34" s="15" t="n">
        <f aca="false">W18*Hypothèses!$D$35</f>
        <v>1036.97848427123</v>
      </c>
      <c r="X34" s="15" t="n">
        <f aca="false">X18*Hypothèses!$D$35</f>
        <v>1126.60869942852</v>
      </c>
      <c r="Y34" s="15" t="n">
        <f aca="false">Y18*Hypothèses!$D$35</f>
        <v>1215.34261243423</v>
      </c>
      <c r="Z34" s="15" t="n">
        <f aca="false">Z18*Hypothèses!$D$35</f>
        <v>1303.18918630989</v>
      </c>
      <c r="AA34" s="15" t="n">
        <f aca="false">AA18*Hypothèses!$D$35</f>
        <v>1540.15729444679</v>
      </c>
      <c r="AB34" s="15" t="n">
        <f aca="false">AB18*Hypothèses!$D$35</f>
        <v>1774.75572150232</v>
      </c>
      <c r="AC34" s="15" t="n">
        <f aca="false">AC18*Hypothèses!$D$35</f>
        <v>2007.0081642873</v>
      </c>
      <c r="AD34" s="15" t="n">
        <f aca="false">AD18*Hypothèses!$D$35</f>
        <v>2236.93808264443</v>
      </c>
      <c r="AE34" s="15" t="n">
        <f aca="false">AE18*Hypothèses!$D$35</f>
        <v>2464.56870181798</v>
      </c>
      <c r="AF34" s="15" t="n">
        <f aca="false">AF18*Hypothèses!$D$35</f>
        <v>2689.9230147998</v>
      </c>
      <c r="AG34" s="15" t="n">
        <f aca="false">AG18*Hypothèses!$D$35</f>
        <v>2913.02378465181</v>
      </c>
      <c r="AH34" s="15" t="n">
        <f aca="false">AH18*Hypothèses!$D$35</f>
        <v>3133.89354680529</v>
      </c>
      <c r="AI34" s="15" t="n">
        <f aca="false">AI18*Hypothèses!$D$35</f>
        <v>3352.55461133724</v>
      </c>
      <c r="AJ34" s="15" t="n">
        <f aca="false">AJ18*Hypothèses!$D$35</f>
        <v>3569.02906522386</v>
      </c>
      <c r="AK34" s="15" t="n">
        <f aca="false">AK18*Hypothèses!$D$35</f>
        <v>3783.33877457162</v>
      </c>
      <c r="AL34" s="15" t="n">
        <f aca="false">AL18*Hypothèses!$D$35</f>
        <v>3995.50538682591</v>
      </c>
      <c r="AN34" s="15" t="n">
        <f aca="false">SUM(C34:N34)</f>
        <v>756.271056191526</v>
      </c>
      <c r="AO34" s="15" t="n">
        <f aca="false">SUM(O34:Z34)</f>
        <v>9640.67249912924</v>
      </c>
      <c r="AP34" s="15" t="n">
        <f aca="false">SUM(AA34:AL34)</f>
        <v>33460.6961489144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87.1063881</v>
      </c>
      <c r="J35" s="15" t="n">
        <f aca="false">J18*Hypothèses!$D$36</f>
        <v>146.235324219</v>
      </c>
      <c r="K35" s="15" t="n">
        <f aca="false">K18*Hypothèses!$D$36</f>
        <v>204.77297097681</v>
      </c>
      <c r="L35" s="15" t="n">
        <f aca="false">L18*Hypothèses!$D$36</f>
        <v>262.725241267042</v>
      </c>
      <c r="M35" s="15" t="n">
        <f aca="false">M18*Hypothèses!$D$36</f>
        <v>320.097988854371</v>
      </c>
      <c r="N35" s="15" t="n">
        <f aca="false">N18*Hypothèses!$D$36</f>
        <v>376.897008965828</v>
      </c>
      <c r="O35" s="15" t="n">
        <f aca="false">O18*Hypothèses!$D$36</f>
        <v>573.128038876169</v>
      </c>
      <c r="P35" s="15" t="n">
        <f aca="false">P18*Hypothèses!$D$36</f>
        <v>767.396758487408</v>
      </c>
      <c r="Q35" s="15" t="n">
        <f aca="false">Q18*Hypothèses!$D$36</f>
        <v>959.722790902534</v>
      </c>
      <c r="R35" s="15" t="n">
        <f aca="false">R18*Hypothèses!$D$36</f>
        <v>1150.12556299351</v>
      </c>
      <c r="S35" s="15" t="n">
        <f aca="false">S18*Hypothèses!$D$36</f>
        <v>1338.62430736357</v>
      </c>
      <c r="T35" s="15" t="n">
        <f aca="false">T18*Hypothèses!$D$36</f>
        <v>1525.23806428994</v>
      </c>
      <c r="U35" s="15" t="n">
        <f aca="false">U18*Hypothèses!$D$36</f>
        <v>1709.98568364704</v>
      </c>
      <c r="V35" s="15" t="n">
        <f aca="false">V18*Hypothèses!$D$36</f>
        <v>1892.88582681057</v>
      </c>
      <c r="W35" s="15" t="n">
        <f aca="false">W18*Hypothèses!$D$36</f>
        <v>2073.95696854246</v>
      </c>
      <c r="X35" s="15" t="n">
        <f aca="false">X18*Hypothèses!$D$36</f>
        <v>2253.21739885704</v>
      </c>
      <c r="Y35" s="15" t="n">
        <f aca="false">Y18*Hypothèses!$D$36</f>
        <v>2430.68522486847</v>
      </c>
      <c r="Z35" s="15" t="n">
        <f aca="false">Z18*Hypothèses!$D$36</f>
        <v>2606.37837261978</v>
      </c>
      <c r="AA35" s="15" t="n">
        <f aca="false">AA18*Hypothèses!$D$36</f>
        <v>3080.31458889358</v>
      </c>
      <c r="AB35" s="15" t="n">
        <f aca="false">AB18*Hypothèses!$D$36</f>
        <v>3549.51144300465</v>
      </c>
      <c r="AC35" s="15" t="n">
        <f aca="false">AC18*Hypothèses!$D$36</f>
        <v>4014.0163285746</v>
      </c>
      <c r="AD35" s="15" t="n">
        <f aca="false">AD18*Hypothèses!$D$36</f>
        <v>4473.87616528886</v>
      </c>
      <c r="AE35" s="15" t="n">
        <f aca="false">AE18*Hypothèses!$D$36</f>
        <v>4929.13740363597</v>
      </c>
      <c r="AF35" s="15" t="n">
        <f aca="false">AF18*Hypothèses!$D$36</f>
        <v>5379.84602959961</v>
      </c>
      <c r="AG35" s="15" t="n">
        <f aca="false">AG18*Hypothèses!$D$36</f>
        <v>5826.04756930361</v>
      </c>
      <c r="AH35" s="15" t="n">
        <f aca="false">AH18*Hypothèses!$D$36</f>
        <v>6267.78709361058</v>
      </c>
      <c r="AI35" s="15" t="n">
        <f aca="false">AI18*Hypothèses!$D$36</f>
        <v>6705.10922267447</v>
      </c>
      <c r="AJ35" s="15" t="n">
        <f aca="false">AJ18*Hypothèses!$D$36</f>
        <v>7138.05813044773</v>
      </c>
      <c r="AK35" s="15" t="n">
        <f aca="false">AK18*Hypothèses!$D$36</f>
        <v>7566.67754914325</v>
      </c>
      <c r="AL35" s="15" t="n">
        <f aca="false">AL18*Hypothèses!$D$36</f>
        <v>7991.01077365182</v>
      </c>
      <c r="AN35" s="15" t="n">
        <f aca="false">SUM(C35:N35)</f>
        <v>1512.54211238305</v>
      </c>
      <c r="AO35" s="15" t="n">
        <f aca="false">SUM(O35:Z35)</f>
        <v>19281.3449982585</v>
      </c>
      <c r="AP35" s="15" t="n">
        <f aca="false">SUM(AA35:AL35)</f>
        <v>66921.3922978287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208.50327</v>
      </c>
      <c r="F36" s="40" t="n">
        <f aca="false">F33+F34+F35</f>
        <v>202.2481719</v>
      </c>
      <c r="G36" s="40" t="n">
        <f aca="false">G33+G34+G35</f>
        <v>196.180726743</v>
      </c>
      <c r="H36" s="40" t="n">
        <f aca="false">H33+H34+H35</f>
        <v>190.29530494071</v>
      </c>
      <c r="I36" s="40" t="n">
        <f aca="false">I33+I34+I35</f>
        <v>605.398891891303</v>
      </c>
      <c r="J36" s="40" t="n">
        <f aca="false">J33+J34+J35</f>
        <v>1016.35144297239</v>
      </c>
      <c r="K36" s="40" t="n">
        <f aca="false">K33+K34+K35</f>
        <v>1423.19446854267</v>
      </c>
      <c r="L36" s="40" t="n">
        <f aca="false">L33+L34+L35</f>
        <v>1825.96906385724</v>
      </c>
      <c r="M36" s="40" t="n">
        <f aca="false">M33+M34+M35</f>
        <v>2224.71591321867</v>
      </c>
      <c r="N36" s="40" t="n">
        <f aca="false">N33+N34+N35</f>
        <v>2619.47529408648</v>
      </c>
      <c r="O36" s="40" t="n">
        <f aca="false">O33+O34+O35</f>
        <v>3983.30234114561</v>
      </c>
      <c r="P36" s="40" t="n">
        <f aca="false">P33+P34+P35</f>
        <v>5333.49111773416</v>
      </c>
      <c r="Q36" s="40" t="n">
        <f aca="false">Q33+Q34+Q35</f>
        <v>6670.17800655682</v>
      </c>
      <c r="R36" s="40" t="n">
        <f aca="false">R33+R34+R35</f>
        <v>7993.49802649125</v>
      </c>
      <c r="S36" s="40" t="n">
        <f aca="false">S33+S34+S35</f>
        <v>9303.58484622634</v>
      </c>
      <c r="T36" s="40" t="n">
        <f aca="false">T33+T34+T35</f>
        <v>10600.5707977641</v>
      </c>
      <c r="U36" s="40" t="n">
        <f aca="false">U33+U34+U35</f>
        <v>11884.5868897864</v>
      </c>
      <c r="V36" s="40" t="n">
        <f aca="false">V33+V34+V35</f>
        <v>13155.7628208886</v>
      </c>
      <c r="W36" s="40" t="n">
        <f aca="false">W33+W34+W35</f>
        <v>14414.2269926797</v>
      </c>
      <c r="X36" s="40" t="n">
        <f aca="false">X33+X34+X35</f>
        <v>15660.1065227529</v>
      </c>
      <c r="Y36" s="40" t="n">
        <f aca="false">Y33+Y34+Y35</f>
        <v>16893.5272575254</v>
      </c>
      <c r="Z36" s="40" t="n">
        <f aca="false">Z33+Z34+Z35</f>
        <v>18114.6137849501</v>
      </c>
      <c r="AA36" s="40" t="n">
        <f aca="false">AA33+AA34+AA35</f>
        <v>21408.5221471006</v>
      </c>
      <c r="AB36" s="40" t="n">
        <f aca="false">AB33+AB34+AB35</f>
        <v>24669.4914256296</v>
      </c>
      <c r="AC36" s="40" t="n">
        <f aca="false">AC33+AC34+AC35</f>
        <v>27897.8510113733</v>
      </c>
      <c r="AD36" s="40" t="n">
        <f aca="false">AD33+AD34+AD35</f>
        <v>31093.9270012596</v>
      </c>
      <c r="AE36" s="40" t="n">
        <f aca="false">AE33+AE34+AE35</f>
        <v>34258.042231247</v>
      </c>
      <c r="AF36" s="40" t="n">
        <f aca="false">AF33+AF34+AF35</f>
        <v>37390.5163089345</v>
      </c>
      <c r="AG36" s="40" t="n">
        <f aca="false">AG33+AG34+AG35</f>
        <v>40491.6656458452</v>
      </c>
      <c r="AH36" s="40" t="n">
        <f aca="false">AH33+AH34+AH35</f>
        <v>43561.8034893867</v>
      </c>
      <c r="AI36" s="40" t="n">
        <f aca="false">AI33+AI34+AI35</f>
        <v>46601.2399544929</v>
      </c>
      <c r="AJ36" s="40" t="n">
        <f aca="false">AJ33+AJ34+AJ35</f>
        <v>49610.2820549479</v>
      </c>
      <c r="AK36" s="40" t="n">
        <f aca="false">AK33+AK34+AK35</f>
        <v>52589.2337343984</v>
      </c>
      <c r="AL36" s="40" t="n">
        <f aca="false">AL33+AL34+AL35</f>
        <v>55538.3958970544</v>
      </c>
      <c r="AN36" s="40" t="n">
        <f aca="false">SUM(C36:N36)</f>
        <v>10512.3325481525</v>
      </c>
      <c r="AO36" s="40" t="n">
        <f aca="false">SUM(O36:Z36)</f>
        <v>134007.449404501</v>
      </c>
      <c r="AP36" s="40" t="n">
        <f aca="false">SUM(AA36:AL36)</f>
        <v>465110.97090167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388.50773</v>
      </c>
      <c r="F37" s="40" t="n">
        <f aca="false">F28-F36-F30-F29/(1+Hypothèses!$D$15)</f>
        <v>376.8524981</v>
      </c>
      <c r="G37" s="40" t="n">
        <f aca="false">G28-G36-G30-G29/(1+Hypothèses!$D$15)</f>
        <v>365.546923157</v>
      </c>
      <c r="H37" s="40" t="n">
        <f aca="false">H28-H36-H30-H29/(1+Hypothèses!$D$15)</f>
        <v>354.58051546229</v>
      </c>
      <c r="I37" s="40" t="n">
        <f aca="false">I28-I36-I30-I29/(1+Hypothèses!$D$15)</f>
        <v>1128.05017030767</v>
      </c>
      <c r="J37" s="40" t="n">
        <f aca="false">J28-J36-J30-J29/(1+Hypothèses!$D$15)</f>
        <v>1893.78512860459</v>
      </c>
      <c r="K37" s="40" t="n">
        <f aca="false">K28-K36-K30-K29/(1+Hypothèses!$D$15)</f>
        <v>2651.86273731854</v>
      </c>
      <c r="L37" s="40" t="n">
        <f aca="false">L28-L36-L30-L29/(1+Hypothèses!$D$15)</f>
        <v>3402.35956994536</v>
      </c>
      <c r="M37" s="40" t="n">
        <f aca="false">M28-M36-M30-M29/(1+Hypothèses!$D$15)</f>
        <v>4145.35143424591</v>
      </c>
      <c r="N37" s="40" t="n">
        <f aca="false">N28-N36-N30-N29/(1+Hypothèses!$D$15)</f>
        <v>4880.91337990344</v>
      </c>
      <c r="O37" s="40" t="n">
        <f aca="false">O28-O36-O30-O29/(1+Hypothèses!$D$15)</f>
        <v>7422.15577943775</v>
      </c>
      <c r="P37" s="40" t="n">
        <f aca="false">P28-P36-P30-P29/(1+Hypothèses!$D$15)</f>
        <v>9937.9857549767</v>
      </c>
      <c r="Q37" s="40" t="n">
        <f aca="false">Q28-Q36-Q30-Q29/(1+Hypothèses!$D$15)</f>
        <v>12428.6574307603</v>
      </c>
      <c r="R37" s="40" t="n">
        <f aca="false">R28-R36-R30-R29/(1+Hypothèses!$D$15)</f>
        <v>14894.422389786</v>
      </c>
      <c r="S37" s="40" t="n">
        <f aca="false">S28-S36-S30-S29/(1+Hypothèses!$D$15)</f>
        <v>17335.5296992215</v>
      </c>
      <c r="T37" s="40" t="n">
        <f aca="false">T28-T36-T30-T29/(1+Hypothèses!$D$15)</f>
        <v>19752.2259355626</v>
      </c>
      <c r="U37" s="40" t="n">
        <f aca="false">U28-U36-U30-U29/(1+Hypothèses!$D$15)</f>
        <v>22144.7552095403</v>
      </c>
      <c r="V37" s="40" t="n">
        <f aca="false">V28-V36-V30-V29/(1+Hypothèses!$D$15)</f>
        <v>24513.3591907782</v>
      </c>
      <c r="W37" s="40" t="n">
        <f aca="false">W28-W36-W30-W29/(1+Hypothèses!$D$15)</f>
        <v>26858.2771322038</v>
      </c>
      <c r="X37" s="40" t="n">
        <f aca="false">X28-X36-X30-X29/(1+Hypothèses!$D$15)</f>
        <v>29179.7458942151</v>
      </c>
      <c r="Y37" s="40" t="n">
        <f aca="false">Y28-Y36-Y30-Y29/(1+Hypothèses!$D$15)</f>
        <v>31477.9999686062</v>
      </c>
      <c r="Z37" s="40" t="n">
        <f aca="false">Z28-Z36-Z30-Z29/(1+Hypothèses!$D$15)</f>
        <v>33753.2715022535</v>
      </c>
      <c r="AA37" s="40" t="n">
        <f aca="false">AA28-AA36-AA30-AA29/(1+Hypothèses!$D$15)</f>
        <v>39890.8676205643</v>
      </c>
      <c r="AB37" s="40" t="n">
        <f aca="false">AB28-AB36-AB30-AB29/(1+Hypothèses!$D$15)</f>
        <v>45967.087777692</v>
      </c>
      <c r="AC37" s="40" t="n">
        <f aca="false">AC28-AC36-AC30-AC29/(1+Hypothèses!$D$15)</f>
        <v>51982.5457332484</v>
      </c>
      <c r="AD37" s="40" t="n">
        <f aca="false">AD28-AD36-AD30-AD29/(1+Hypothèses!$D$15)</f>
        <v>57937.8491092493</v>
      </c>
      <c r="AE37" s="40" t="n">
        <f aca="false">AE28-AE36-AE30-AE29/(1+Hypothèses!$D$15)</f>
        <v>63833.5994514901</v>
      </c>
      <c r="AF37" s="40" t="n">
        <f aca="false">AF28-AF36-AF30-AF29/(1+Hypothèses!$D$15)</f>
        <v>69670.3922903086</v>
      </c>
      <c r="AG37" s="40" t="n">
        <f aca="false">AG28-AG36-AG30-AG29/(1+Hypothèses!$D$15)</f>
        <v>75448.8172007388</v>
      </c>
      <c r="AH37" s="40" t="n">
        <f aca="false">AH28-AH36-AH30-AH29/(1+Hypothèses!$D$15)</f>
        <v>81169.4578620648</v>
      </c>
      <c r="AI37" s="40" t="n">
        <f aca="false">AI28-AI36-AI30-AI29/(1+Hypothèses!$D$15)</f>
        <v>86832.8921167774</v>
      </c>
      <c r="AJ37" s="40" t="n">
        <f aca="false">AJ28-AJ36-AJ30-AJ29/(1+Hypothèses!$D$15)</f>
        <v>92439.692028943</v>
      </c>
      <c r="AK37" s="40" t="n">
        <f aca="false">AK28-AK36-AK30-AK29/(1+Hypothèses!$D$15)</f>
        <v>97990.4239419869</v>
      </c>
      <c r="AL37" s="40" t="n">
        <f aca="false">AL28-AL36-AL30-AL29/(1+Hypothèses!$D$15)</f>
        <v>103485.6485359</v>
      </c>
      <c r="AN37" s="40" t="n">
        <f aca="false">SUM(C37:N37)</f>
        <v>19587.8100870448</v>
      </c>
      <c r="AO37" s="40" t="n">
        <f aca="false">SUM(O37:Z37)</f>
        <v>249698.385887342</v>
      </c>
      <c r="AP37" s="40" t="n">
        <f aca="false">SUM(AA37:AL37)</f>
        <v>866649.273668964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-13953.1589366667</v>
      </c>
      <c r="F52" s="40" t="n">
        <f aca="false">F37-F39-F51</f>
        <v>-13964.8141685667</v>
      </c>
      <c r="G52" s="40" t="n">
        <f aca="false">G37-G39-G51</f>
        <v>-13976.1197435097</v>
      </c>
      <c r="H52" s="40" t="n">
        <f aca="false">H37-H39-H51</f>
        <v>-13987.0861512044</v>
      </c>
      <c r="I52" s="40" t="n">
        <f aca="false">I37-I39-I51</f>
        <v>-9521.94982969233</v>
      </c>
      <c r="J52" s="40" t="n">
        <f aca="false">J37-J39-J51</f>
        <v>-3756.21487139541</v>
      </c>
      <c r="K52" s="40" t="n">
        <f aca="false">K37-K39-K51</f>
        <v>-2998.13726268146</v>
      </c>
      <c r="L52" s="40" t="n">
        <f aca="false">L37-L39-L51</f>
        <v>-2247.64043005464</v>
      </c>
      <c r="M52" s="40" t="n">
        <f aca="false">M37-M39-M51</f>
        <v>-1504.6485657541</v>
      </c>
      <c r="N52" s="40" t="n">
        <f aca="false">N37-N39-N51</f>
        <v>-769.086620096556</v>
      </c>
      <c r="O52" s="40" t="n">
        <f aca="false">O37-O39-O51</f>
        <v>-19727.8442205623</v>
      </c>
      <c r="P52" s="40" t="n">
        <f aca="false">P37-P39-P51</f>
        <v>-17212.0142450233</v>
      </c>
      <c r="Q52" s="40" t="n">
        <f aca="false">Q37-Q39-Q51</f>
        <v>-14721.3425692397</v>
      </c>
      <c r="R52" s="40" t="n">
        <f aca="false">R37-R39-R51</f>
        <v>-12255.577610214</v>
      </c>
      <c r="S52" s="40" t="n">
        <f aca="false">S37-S39-S51</f>
        <v>-9814.47030077853</v>
      </c>
      <c r="T52" s="40" t="n">
        <f aca="false">T37-T39-T51</f>
        <v>-7397.77406443741</v>
      </c>
      <c r="U52" s="40" t="n">
        <f aca="false">U37-U39-U51</f>
        <v>-16505.2447904597</v>
      </c>
      <c r="V52" s="40" t="n">
        <f aca="false">V37-V39-V51</f>
        <v>-9136.64080922178</v>
      </c>
      <c r="W52" s="40" t="n">
        <f aca="false">W37-W39-W51</f>
        <v>-6791.72286779624</v>
      </c>
      <c r="X52" s="40" t="n">
        <f aca="false">X37-X39-X51</f>
        <v>-4470.25410578493</v>
      </c>
      <c r="Y52" s="40" t="n">
        <f aca="false">Y37-Y39-Y51</f>
        <v>-2172.00003139375</v>
      </c>
      <c r="Z52" s="40" t="n">
        <f aca="false">Z37-Z39-Z51</f>
        <v>103.271502253512</v>
      </c>
      <c r="AA52" s="40" t="n">
        <f aca="false">AA37-AA39-AA51</f>
        <v>-8759.13237943569</v>
      </c>
      <c r="AB52" s="40" t="n">
        <f aca="false">AB37-AB39-AB51</f>
        <v>-2682.912222308</v>
      </c>
      <c r="AC52" s="40" t="n">
        <f aca="false">AC37-AC39-AC51</f>
        <v>3332.54573324842</v>
      </c>
      <c r="AD52" s="40" t="n">
        <f aca="false">AD37-AD39-AD51</f>
        <v>9287.84910924927</v>
      </c>
      <c r="AE52" s="40" t="n">
        <f aca="false">AE37-AE39-AE51</f>
        <v>15183.5994514901</v>
      </c>
      <c r="AF52" s="40" t="n">
        <f aca="false">AF37-AF39-AF51</f>
        <v>21020.3922903085</v>
      </c>
      <c r="AG52" s="40" t="n">
        <f aca="false">AG37-AG39-AG51</f>
        <v>21798.8172007388</v>
      </c>
      <c r="AH52" s="40" t="n">
        <f aca="false">AH37-AH39-AH51</f>
        <v>32519.4578620648</v>
      </c>
      <c r="AI52" s="40" t="n">
        <f aca="false">AI37-AI39-AI51</f>
        <v>38182.8921167774</v>
      </c>
      <c r="AJ52" s="40" t="n">
        <f aca="false">AJ37-AJ39-AJ51</f>
        <v>43789.692028943</v>
      </c>
      <c r="AK52" s="40" t="n">
        <f aca="false">AK37-AK39-AK51</f>
        <v>49340.4239419869</v>
      </c>
      <c r="AL52" s="40" t="n">
        <f aca="false">AL37-AL39-AL51</f>
        <v>54835.6485359004</v>
      </c>
      <c r="AN52" s="40" t="n">
        <f aca="false">SUM(C52:N52)</f>
        <v>-107862.189912955</v>
      </c>
      <c r="AO52" s="40" t="n">
        <f aca="false">SUM(O52:Z52)</f>
        <v>-120101.614112658</v>
      </c>
      <c r="AP52" s="40" t="n">
        <f aca="false">SUM(AA52:AL52)</f>
        <v>277849.273668964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0</v>
      </c>
      <c r="Z53" s="13" t="n">
        <f aca="false">IF(Z52&gt;0,1,0)</f>
        <v>1</v>
      </c>
      <c r="AA53" s="13" t="n">
        <f aca="false">IF(AA52&gt;0,1,0)</f>
        <v>0</v>
      </c>
      <c r="AB53" s="13" t="n">
        <f aca="false">IF(AB52&gt;0,1,0)</f>
        <v>0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119.633333333333</v>
      </c>
      <c r="H55" s="15" t="n">
        <f aca="false">G27</f>
        <v>116.044333333333</v>
      </c>
      <c r="I55" s="15" t="n">
        <f aca="false">H27</f>
        <v>112.563003333333</v>
      </c>
      <c r="J55" s="15" t="n">
        <f aca="false">I27</f>
        <v>358.104039966667</v>
      </c>
      <c r="K55" s="15" t="n">
        <f aca="false">J27</f>
        <v>601.189666233667</v>
      </c>
      <c r="L55" s="15" t="n">
        <f aca="false">K27</f>
        <v>841.844436237997</v>
      </c>
      <c r="M55" s="15" t="n">
        <f aca="false">L27</f>
        <v>1080.09265854228</v>
      </c>
      <c r="N55" s="15" t="n">
        <f aca="false">M27</f>
        <v>1315.95839862353</v>
      </c>
      <c r="O55" s="15" t="n">
        <f aca="false">N27</f>
        <v>1549.46548130396</v>
      </c>
      <c r="P55" s="15" t="n">
        <f aca="false">O27</f>
        <v>2356.19304871314</v>
      </c>
      <c r="Q55" s="15" t="n">
        <f aca="false">P27</f>
        <v>3154.85334044823</v>
      </c>
      <c r="R55" s="15" t="n">
        <f aca="false">Q27</f>
        <v>3945.52702926597</v>
      </c>
      <c r="S55" s="15" t="n">
        <f aca="false">R27</f>
        <v>4728.29398119554</v>
      </c>
      <c r="T55" s="15" t="n">
        <f aca="false">S27</f>
        <v>5503.2332636058</v>
      </c>
      <c r="U55" s="15" t="n">
        <f aca="false">T27</f>
        <v>6270.42315319197</v>
      </c>
      <c r="V55" s="15" t="n">
        <f aca="false">U27</f>
        <v>7029.94114388227</v>
      </c>
      <c r="W55" s="15" t="n">
        <f aca="false">V27</f>
        <v>7781.86395466566</v>
      </c>
      <c r="X55" s="15" t="n">
        <f aca="false">W27</f>
        <v>8526.26753734123</v>
      </c>
      <c r="Y55" s="15" t="n">
        <f aca="false">X27</f>
        <v>9263.22708419004</v>
      </c>
      <c r="Z55" s="15" t="n">
        <f aca="false">Y27</f>
        <v>9992.81703557036</v>
      </c>
      <c r="AA55" s="15" t="n">
        <f aca="false">Z27</f>
        <v>10715.1110874369</v>
      </c>
      <c r="AB55" s="15" t="n">
        <f aca="false">AA27</f>
        <v>12663.5155321181</v>
      </c>
      <c r="AC55" s="15" t="n">
        <f aca="false">AB27</f>
        <v>14592.4359323524</v>
      </c>
      <c r="AD55" s="15" t="n">
        <f aca="false">AC27</f>
        <v>16502.0671285845</v>
      </c>
      <c r="AE55" s="15" t="n">
        <f aca="false">AD27</f>
        <v>18392.6020128542</v>
      </c>
      <c r="AF55" s="15" t="n">
        <f aca="false">AE27</f>
        <v>20264.2315482812</v>
      </c>
      <c r="AG55" s="15" t="n">
        <f aca="false">AF27</f>
        <v>22117.1447883539</v>
      </c>
      <c r="AH55" s="15" t="n">
        <f aca="false">AG27</f>
        <v>23951.528896026</v>
      </c>
      <c r="AI55" s="15" t="n">
        <f aca="false">AH27</f>
        <v>25767.5691626213</v>
      </c>
      <c r="AJ55" s="15" t="n">
        <f aca="false">AI27</f>
        <v>27565.4490265506</v>
      </c>
      <c r="AK55" s="15" t="n">
        <f aca="false">AJ27</f>
        <v>29345.3500918407</v>
      </c>
      <c r="AL55" s="15" t="n">
        <f aca="false">AK27</f>
        <v>31107.4521464778</v>
      </c>
      <c r="AN55" s="15" t="n">
        <f aca="false">SUM(C55:N55)</f>
        <v>4668.76320293747</v>
      </c>
      <c r="AO55" s="15" t="n">
        <f aca="false">SUM(O55:Z55)</f>
        <v>70102.1060533742</v>
      </c>
      <c r="AP55" s="15" t="n">
        <f aca="false">SUM(AA55:AL55)</f>
        <v>252984.457353497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2910.03398733333</v>
      </c>
      <c r="G56" s="15" t="n">
        <f aca="false">(F36+F39+F43+F44+F45+F47+F48+F49+F50)*Hypothèses!$D$15</f>
        <v>2908.78296771333</v>
      </c>
      <c r="H56" s="15" t="n">
        <f aca="false">(G36+G39+G43+G44+G45+G47+G48+G49+G50)*Hypothèses!$D$15</f>
        <v>2907.56947868193</v>
      </c>
      <c r="I56" s="15" t="n">
        <f aca="false">(H36+H39+H43+H44+H45+H47+H48+H49+H50)*Hypothèses!$D$15</f>
        <v>2906.39239432148</v>
      </c>
      <c r="J56" s="15" t="n">
        <f aca="false">(I36+I39+I43+I44+I45+I47+I48+I49+I50)*Hypothèses!$D$15</f>
        <v>2221.07977837826</v>
      </c>
      <c r="K56" s="15" t="n">
        <f aca="false">(J36+J39+J43+J44+J45+J47+J48+J49+J50)*Hypothèses!$D$15</f>
        <v>1303.27028859448</v>
      </c>
      <c r="L56" s="15" t="n">
        <f aca="false">(K36+K39+K43+K44+K45+K47+K48+K49+K50)*Hypothèses!$D$15</f>
        <v>1384.63889370853</v>
      </c>
      <c r="M56" s="15" t="n">
        <f aca="false">(L36+L39+L43+L44+L45+L47+L48+L49+L50)*Hypothèses!$D$15</f>
        <v>1465.19381277145</v>
      </c>
      <c r="N56" s="15" t="n">
        <f aca="false">(M36+M39+M43+M44+M45+M47+M48+M49+M50)*Hypothèses!$D$15</f>
        <v>1544.94318264373</v>
      </c>
      <c r="O56" s="15" t="n">
        <f aca="false">(N36+N39+N43+N44+N45+N47+N48+N49+N50)*Hypothèses!$D$15</f>
        <v>1623.8950588173</v>
      </c>
      <c r="P56" s="15" t="n">
        <f aca="false">(O36+O39+O43+O44+O45+O47+O48+O49+O50)*Hypothèses!$D$15</f>
        <v>3296.66046822912</v>
      </c>
      <c r="Q56" s="15" t="n">
        <f aca="false">(P36+P39+P43+P44+P45+P47+P48+P49+P50)*Hypothèses!$D$15</f>
        <v>3566.69822354683</v>
      </c>
      <c r="R56" s="15" t="n">
        <f aca="false">(Q36+Q39+Q43+Q44+Q45+Q47+Q48+Q49+Q50)*Hypothèses!$D$15</f>
        <v>3834.03560131136</v>
      </c>
      <c r="S56" s="15" t="n">
        <f aca="false">(R36+R39+R43+R44+R45+R47+R48+R49+R50)*Hypothèses!$D$15</f>
        <v>4098.69960529825</v>
      </c>
      <c r="T56" s="15" t="n">
        <f aca="false">(S36+S39+S43+S44+S45+S47+S48+S49+S50)*Hypothèses!$D$15</f>
        <v>4360.71696924527</v>
      </c>
      <c r="U56" s="15" t="n">
        <f aca="false">(T36+T39+T43+T44+T45+T47+T48+T49+T50)*Hypothèses!$D$15</f>
        <v>4620.11415955281</v>
      </c>
      <c r="V56" s="15" t="n">
        <f aca="false">(U36+U39+U43+U44+U45+U47+U48+U49+U50)*Hypothèses!$D$15</f>
        <v>5876.91737795729</v>
      </c>
      <c r="W56" s="15" t="n">
        <f aca="false">(V36+V39+V43+V44+V45+V47+V48+V49+V50)*Hypothèses!$D$15</f>
        <v>5131.15256417771</v>
      </c>
      <c r="X56" s="15" t="n">
        <f aca="false">(W36+W39+W43+W44+W45+W47+W48+W49+W50)*Hypothèses!$D$15</f>
        <v>5382.84539853594</v>
      </c>
      <c r="Y56" s="15" t="n">
        <f aca="false">(X36+X39+X43+X44+X45+X47+X48+X49+X50)*Hypothèses!$D$15</f>
        <v>5632.02130455058</v>
      </c>
      <c r="Z56" s="15" t="n">
        <f aca="false">(Y36+Y39+Y43+Y44+Y45+Y47+Y48+Y49+Y50)*Hypothèses!$D$15</f>
        <v>5878.70545150507</v>
      </c>
      <c r="AA56" s="15" t="n">
        <f aca="false">(Z36+Z39+Z43+Z44+Z45+Z47+Z48+Z49+Z50)*Hypothèses!$D$15</f>
        <v>6122.92275699002</v>
      </c>
      <c r="AB56" s="15" t="n">
        <f aca="false">(AA36+AA39+AA43+AA44+AA45+AA47+AA48+AA49+AA50)*Hypothèses!$D$15</f>
        <v>9781.70442942012</v>
      </c>
      <c r="AC56" s="15" t="n">
        <f aca="false">(AB36+AB39+AB43+AB44+AB45+AB47+AB48+AB49+AB50)*Hypothèses!$D$15</f>
        <v>10433.8982851259</v>
      </c>
      <c r="AD56" s="15" t="n">
        <f aca="false">(AC36+AC39+AC43+AC44+AC45+AC47+AC48+AC49+AC50)*Hypothèses!$D$15</f>
        <v>11079.5702022747</v>
      </c>
      <c r="AE56" s="15" t="n">
        <f aca="false">(AD36+AD39+AD43+AD44+AD45+AD47+AD48+AD49+AD50)*Hypothèses!$D$15</f>
        <v>11718.7854002519</v>
      </c>
      <c r="AF56" s="15" t="n">
        <f aca="false">(AE36+AE39+AE43+AE44+AE45+AE47+AE48+AE49+AE50)*Hypothèses!$D$15</f>
        <v>12351.6084462494</v>
      </c>
      <c r="AG56" s="15" t="n">
        <f aca="false">(AF36+AF39+AF43+AF44+AF45+AF47+AF48+AF49+AF50)*Hypothèses!$D$15</f>
        <v>12978.1032617869</v>
      </c>
      <c r="AH56" s="15" t="n">
        <f aca="false">(AG36+AG39+AG43+AG44+AG45+AG47+AG48+AG49+AG50)*Hypothèses!$D$15</f>
        <v>14598.333129169</v>
      </c>
      <c r="AI56" s="15" t="n">
        <f aca="false">(AH36+AH39+AH43+AH44+AH45+AH47+AH48+AH49+AH50)*Hypothèses!$D$15</f>
        <v>14212.3606978773</v>
      </c>
      <c r="AJ56" s="15" t="n">
        <f aca="false">(AI36+AI39+AI43+AI44+AI45+AI47+AI48+AI49+AI50)*Hypothèses!$D$15</f>
        <v>14820.2479908986</v>
      </c>
      <c r="AK56" s="15" t="n">
        <f aca="false">(AJ36+AJ39+AJ43+AJ44+AJ45+AJ47+AJ48+AJ49+AJ50)*Hypothèses!$D$15</f>
        <v>15422.0564109896</v>
      </c>
      <c r="AL56" s="15" t="n">
        <f aca="false">(AK36+AK39+AK43+AK44+AK45+AK47+AK48+AK49+AK50)*Hypothèses!$D$15</f>
        <v>16017.8467468797</v>
      </c>
      <c r="AN56" s="15" t="n">
        <f aca="false">SUM(C56:N56)</f>
        <v>25788.5714508132</v>
      </c>
      <c r="AO56" s="15" t="n">
        <f aca="false">SUM(O56:Z56)</f>
        <v>53302.4621827275</v>
      </c>
      <c r="AP56" s="15" t="n">
        <f aca="false">SUM(AA56:AL56)</f>
        <v>149537.437757913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-38777.7256033333</v>
      </c>
      <c r="G58" s="15" t="n">
        <f aca="false">F60</f>
        <v>-49837.4021179</v>
      </c>
      <c r="H58" s="15" t="n">
        <f aca="false">G60</f>
        <v>-60909.4883370297</v>
      </c>
      <c r="I58" s="15" t="n">
        <f aca="false">H60</f>
        <v>-71993.6119695854</v>
      </c>
      <c r="J58" s="15" t="n">
        <f aca="false">I60</f>
        <v>-78367.2094087226</v>
      </c>
      <c r="K58" s="15" t="n">
        <f aca="false">J60</f>
        <v>-79665.2707721351</v>
      </c>
      <c r="L58" s="15" t="n">
        <f aca="false">K60</f>
        <v>-81127.9014205802</v>
      </c>
      <c r="M58" s="15" t="n">
        <f aca="false">L60</f>
        <v>-81763.4556612074</v>
      </c>
      <c r="N58" s="15" t="n">
        <f aca="false">M60</f>
        <v>-81580.204258095</v>
      </c>
      <c r="O58" s="15" t="n">
        <f aca="false">N60</f>
        <v>-80586.3352676805</v>
      </c>
      <c r="P58" s="15" t="n">
        <f aca="false">O60</f>
        <v>-97907.1187925034</v>
      </c>
      <c r="Q58" s="15" t="n">
        <f aca="false">P60</f>
        <v>-111055.360810967</v>
      </c>
      <c r="R58" s="15" t="n">
        <f aca="false">Q60</f>
        <v>-121458.786738135</v>
      </c>
      <c r="S58" s="15" t="n">
        <f aca="false">R60</f>
        <v>-129144.84473492</v>
      </c>
      <c r="T58" s="15" t="n">
        <f aca="false">S60</f>
        <v>-134140.708480626</v>
      </c>
      <c r="U58" s="15" t="n">
        <f aca="false">T60</f>
        <v>-136473.279917764</v>
      </c>
      <c r="V58" s="15" t="n">
        <f aca="false">U60</f>
        <v>-147669.191969419</v>
      </c>
      <c r="W58" s="15" t="n">
        <f aca="false">V60</f>
        <v>-150254.811229447</v>
      </c>
      <c r="X58" s="15" t="n">
        <f aca="false">W60</f>
        <v>-151256.240625763</v>
      </c>
      <c r="Y58" s="15" t="n">
        <f aca="false">X60</f>
        <v>-149699.322057005</v>
      </c>
      <c r="Z58" s="15" t="n">
        <f aca="false">Y60</f>
        <v>-145609.639002824</v>
      </c>
      <c r="AA58" s="15" t="n">
        <f aca="false">Z60</f>
        <v>-139012.519108073</v>
      </c>
      <c r="AB58" s="15" t="n">
        <f aca="false">AA60</f>
        <v>-139826.959441159</v>
      </c>
      <c r="AC58" s="15" t="n">
        <f aca="false">AB60</f>
        <v>-130945.171193136</v>
      </c>
      <c r="AD58" s="15" t="n">
        <f aca="false">AC60</f>
        <v>-115434.116649815</v>
      </c>
      <c r="AE58" s="15" t="n">
        <f aca="false">AD60</f>
        <v>-93360.0884741502</v>
      </c>
      <c r="AF58" s="15" t="n">
        <f aca="false">AE60</f>
        <v>-64788.716402464</v>
      </c>
      <c r="AG58" s="15" t="n">
        <f aca="false">AF60</f>
        <v>-29784.9738737169</v>
      </c>
      <c r="AH58" s="15" t="n">
        <f aca="false">AG60</f>
        <v>6586.81540752057</v>
      </c>
      <c r="AI58" s="15" t="n">
        <f aca="false">AH60</f>
        <v>55262.9709737234</v>
      </c>
      <c r="AJ58" s="15" t="n">
        <f aca="false">AI60</f>
        <v>109180.449162042</v>
      </c>
      <c r="AK58" s="15" t="n">
        <f aca="false">AJ60</f>
        <v>169276.836746255</v>
      </c>
      <c r="AL58" s="15" t="n">
        <f aca="false">AK60</f>
        <v>235490.344632404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-10462.7256033333</v>
      </c>
      <c r="F59" s="15" t="n">
        <f aca="false">F31-F36-F39-F51-F55+F56+F57</f>
        <v>-11059.6765145667</v>
      </c>
      <c r="G59" s="15" t="n">
        <f aca="false">G31-G36-G39-G51-G55+G56+G57</f>
        <v>-11072.0862191297</v>
      </c>
      <c r="H59" s="15" t="n">
        <f aca="false">H31-H36-H39-H51-H55+H56+H57</f>
        <v>-11084.1236325558</v>
      </c>
      <c r="I59" s="15" t="n">
        <f aca="false">I31-I36-I39-I51-I55+I56+I57</f>
        <v>-6373.59743913719</v>
      </c>
      <c r="J59" s="15" t="n">
        <f aca="false">J31-J36-J39-J51-J55+J56+J57</f>
        <v>-1298.06136341249</v>
      </c>
      <c r="K59" s="15" t="n">
        <f aca="false">K31-K36-K39-K51-K55+K56+K57</f>
        <v>-1462.63064844503</v>
      </c>
      <c r="L59" s="15" t="n">
        <f aca="false">L31-L36-L39-L51-L55+L56+L57</f>
        <v>-635.554240627246</v>
      </c>
      <c r="M59" s="15" t="n">
        <f aca="false">M31-M36-M39-M51-M55+M56+M57</f>
        <v>183.25140311236</v>
      </c>
      <c r="N59" s="15" t="n">
        <f aca="false">N31-N36-N39-N51-N55+N56+N57</f>
        <v>993.868990414571</v>
      </c>
      <c r="O59" s="15" t="n">
        <f aca="false">O31-O36-O39-O51-O55+O56+O57</f>
        <v>-17320.7835248229</v>
      </c>
      <c r="P59" s="15" t="n">
        <f aca="false">P31-P36-P39-P51-P55+P56+P57</f>
        <v>-13148.2420184636</v>
      </c>
      <c r="Q59" s="15" t="n">
        <f aca="false">Q31-Q36-Q39-Q51-Q55+Q56+Q57</f>
        <v>-10403.4259271678</v>
      </c>
      <c r="R59" s="15" t="n">
        <f aca="false">R31-R36-R39-R51-R55+R56+R57</f>
        <v>-7686.05799678503</v>
      </c>
      <c r="S59" s="15" t="n">
        <f aca="false">S31-S36-S39-S51-S55+S56+S57</f>
        <v>-4995.86374570607</v>
      </c>
      <c r="T59" s="15" t="n">
        <f aca="false">T31-T36-T39-T51-T55+T56+T57</f>
        <v>-2332.57143713789</v>
      </c>
      <c r="U59" s="15" t="n">
        <f aca="false">U31-U36-U39-U51-U55+U56+U57</f>
        <v>-11195.9120516554</v>
      </c>
      <c r="V59" s="15" t="n">
        <f aca="false">V31-V36-V39-V51-V55+V56+V57</f>
        <v>-2585.61926002776</v>
      </c>
      <c r="W59" s="15" t="n">
        <f aca="false">W31-W36-W39-W51-W55+W56+W57</f>
        <v>-1001.42939631636</v>
      </c>
      <c r="X59" s="15" t="n">
        <f aca="false">X31-X36-X39-X51-X55+X56+X57</f>
        <v>1556.91856875791</v>
      </c>
      <c r="Y59" s="15" t="n">
        <f aca="false">Y31-Y36-Y39-Y51-Y55+Y56+Y57</f>
        <v>4089.68305418144</v>
      </c>
      <c r="Z59" s="15" t="n">
        <f aca="false">Z31-Z36-Z39-Z51-Z55+Z56+Z57</f>
        <v>6597.11989475073</v>
      </c>
      <c r="AA59" s="15" t="n">
        <f aca="false">AA31-AA36-AA39-AA51-AA55+AA56+AA57</f>
        <v>-814.440333085668</v>
      </c>
      <c r="AB59" s="15" t="n">
        <f aca="false">AB31-AB36-AB39-AB51-AB55+AB56+AB57</f>
        <v>8881.78824802297</v>
      </c>
      <c r="AC59" s="15" t="n">
        <f aca="false">AC31-AC36-AC39-AC51-AC55+AC56+AC57</f>
        <v>15511.0545433205</v>
      </c>
      <c r="AD59" s="15" t="n">
        <f aca="false">AD31-AD36-AD39-AD51-AD55+AD56+AD57</f>
        <v>22074.0281756651</v>
      </c>
      <c r="AE59" s="15" t="n">
        <f aca="false">AE31-AE36-AE39-AE51-AE55+AE56+AE57</f>
        <v>28571.3720716862</v>
      </c>
      <c r="AF59" s="15" t="n">
        <f aca="false">AF31-AF36-AF39-AF51-AF55+AF56+AF57</f>
        <v>35003.7425287471</v>
      </c>
      <c r="AG59" s="15" t="n">
        <f aca="false">AG31-AG36-AG39-AG51-AG55+AG56+AG57</f>
        <v>36371.7892812374</v>
      </c>
      <c r="AH59" s="15" t="n">
        <f aca="false">AH31-AH36-AH39-AH51-AH55+AH56+AH57</f>
        <v>48676.1555662028</v>
      </c>
      <c r="AI59" s="15" t="n">
        <f aca="false">AI31-AI36-AI39-AI51-AI55+AI56+AI57</f>
        <v>53917.4781883186</v>
      </c>
      <c r="AJ59" s="15" t="n">
        <f aca="false">AJ31-AJ36-AJ39-AJ51-AJ55+AJ56+AJ57</f>
        <v>60096.3875842132</v>
      </c>
      <c r="AK59" s="15" t="n">
        <f aca="false">AK31-AK36-AK39-AK51-AK55+AK56+AK57</f>
        <v>66213.5078861488</v>
      </c>
      <c r="AL59" s="15" t="n">
        <f aca="false">AL31-AL36-AL39-AL51-AL55+AL56+AL57</f>
        <v>72269.4569850651</v>
      </c>
      <c r="AN59" s="15" t="n">
        <f aca="false">SUM(C59:N59)</f>
        <v>-80586.3352676805</v>
      </c>
      <c r="AO59" s="15" t="n">
        <f aca="false">SUM(O59:Z59)</f>
        <v>-58426.1838403928</v>
      </c>
      <c r="AP59" s="15" t="n">
        <f aca="false">SUM(AA59:AL59)</f>
        <v>446772.320725542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-38777.7256033333</v>
      </c>
      <c r="F60" s="40" t="n">
        <f aca="false">F58+F59</f>
        <v>-49837.4021179</v>
      </c>
      <c r="G60" s="40" t="n">
        <f aca="false">G58+G59</f>
        <v>-60909.4883370297</v>
      </c>
      <c r="H60" s="40" t="n">
        <f aca="false">H58+H59</f>
        <v>-71993.6119695854</v>
      </c>
      <c r="I60" s="40" t="n">
        <f aca="false">I58+I59</f>
        <v>-78367.2094087226</v>
      </c>
      <c r="J60" s="40" t="n">
        <f aca="false">J58+J59</f>
        <v>-79665.2707721351</v>
      </c>
      <c r="K60" s="40" t="n">
        <f aca="false">K58+K59</f>
        <v>-81127.9014205802</v>
      </c>
      <c r="L60" s="40" t="n">
        <f aca="false">L58+L59</f>
        <v>-81763.4556612074</v>
      </c>
      <c r="M60" s="40" t="n">
        <f aca="false">M58+M59</f>
        <v>-81580.204258095</v>
      </c>
      <c r="N60" s="40" t="n">
        <f aca="false">N58+N59</f>
        <v>-80586.3352676805</v>
      </c>
      <c r="O60" s="40" t="n">
        <f aca="false">O58+O59</f>
        <v>-97907.1187925034</v>
      </c>
      <c r="P60" s="40" t="n">
        <f aca="false">P58+P59</f>
        <v>-111055.360810967</v>
      </c>
      <c r="Q60" s="40" t="n">
        <f aca="false">Q58+Q59</f>
        <v>-121458.786738135</v>
      </c>
      <c r="R60" s="40" t="n">
        <f aca="false">R58+R59</f>
        <v>-129144.84473492</v>
      </c>
      <c r="S60" s="40" t="n">
        <f aca="false">S58+S59</f>
        <v>-134140.708480626</v>
      </c>
      <c r="T60" s="40" t="n">
        <f aca="false">T58+T59</f>
        <v>-136473.279917764</v>
      </c>
      <c r="U60" s="40" t="n">
        <f aca="false">U58+U59</f>
        <v>-147669.191969419</v>
      </c>
      <c r="V60" s="40" t="n">
        <f aca="false">V58+V59</f>
        <v>-150254.811229447</v>
      </c>
      <c r="W60" s="40" t="n">
        <f aca="false">W58+W59</f>
        <v>-151256.240625763</v>
      </c>
      <c r="X60" s="40" t="n">
        <f aca="false">X58+X59</f>
        <v>-149699.322057005</v>
      </c>
      <c r="Y60" s="40" t="n">
        <f aca="false">Y58+Y59</f>
        <v>-145609.639002824</v>
      </c>
      <c r="Z60" s="40" t="n">
        <f aca="false">Z58+Z59</f>
        <v>-139012.519108073</v>
      </c>
      <c r="AA60" s="40" t="n">
        <f aca="false">AA58+AA59</f>
        <v>-139826.959441159</v>
      </c>
      <c r="AB60" s="40" t="n">
        <f aca="false">AB58+AB59</f>
        <v>-130945.171193136</v>
      </c>
      <c r="AC60" s="40" t="n">
        <f aca="false">AC58+AC59</f>
        <v>-115434.116649815</v>
      </c>
      <c r="AD60" s="40" t="n">
        <f aca="false">AD58+AD59</f>
        <v>-93360.0884741502</v>
      </c>
      <c r="AE60" s="40" t="n">
        <f aca="false">AE58+AE59</f>
        <v>-64788.716402464</v>
      </c>
      <c r="AF60" s="40" t="n">
        <f aca="false">AF58+AF59</f>
        <v>-29784.9738737169</v>
      </c>
      <c r="AG60" s="40" t="n">
        <f aca="false">AG58+AG59</f>
        <v>6586.81540752057</v>
      </c>
      <c r="AH60" s="40" t="n">
        <f aca="false">AH58+AH59</f>
        <v>55262.9709737234</v>
      </c>
      <c r="AI60" s="40" t="n">
        <f aca="false">AI58+AI59</f>
        <v>109180.449162042</v>
      </c>
      <c r="AJ60" s="40" t="n">
        <f aca="false">AJ58+AJ59</f>
        <v>169276.836746255</v>
      </c>
      <c r="AK60" s="40" t="n">
        <f aca="false">AK58+AK59</f>
        <v>235490.344632404</v>
      </c>
      <c r="AL60" s="40" t="n">
        <f aca="false">AL58+AL59</f>
        <v>307759.801617469</v>
      </c>
      <c r="AN60" s="40" t="n">
        <f aca="false">N60</f>
        <v>-80586.3352676805</v>
      </c>
      <c r="AO60" s="40" t="n">
        <f aca="false">Z60</f>
        <v>-139012.519108073</v>
      </c>
      <c r="AP60" s="40" t="n">
        <f aca="false">AL60</f>
        <v>307759.801617469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-38777.7256033333</v>
      </c>
      <c r="F62" s="40" t="n">
        <f aca="false">F60-F61</f>
        <v>-49837.4021179</v>
      </c>
      <c r="G62" s="40" t="n">
        <f aca="false">G60-G61</f>
        <v>-60909.4883370297</v>
      </c>
      <c r="H62" s="40" t="n">
        <f aca="false">H60-H61</f>
        <v>-71993.6119695854</v>
      </c>
      <c r="I62" s="40" t="n">
        <f aca="false">I60-I61</f>
        <v>-78367.2094087226</v>
      </c>
      <c r="J62" s="40" t="n">
        <f aca="false">J60-J61</f>
        <v>-79665.2707721351</v>
      </c>
      <c r="K62" s="40" t="n">
        <f aca="false">K60-K61</f>
        <v>-81127.9014205802</v>
      </c>
      <c r="L62" s="40" t="n">
        <f aca="false">L60-L61</f>
        <v>-81763.4556612074</v>
      </c>
      <c r="M62" s="40" t="n">
        <f aca="false">M60-M61</f>
        <v>-81580.204258095</v>
      </c>
      <c r="N62" s="40" t="n">
        <f aca="false">N60-N61</f>
        <v>-80586.3352676805</v>
      </c>
      <c r="O62" s="40" t="n">
        <f aca="false">O60-O61</f>
        <v>-97907.1187925034</v>
      </c>
      <c r="P62" s="40" t="n">
        <f aca="false">P60-P61</f>
        <v>-111055.360810967</v>
      </c>
      <c r="Q62" s="40" t="n">
        <f aca="false">Q60-Q61</f>
        <v>-121458.786738135</v>
      </c>
      <c r="R62" s="40" t="n">
        <f aca="false">R60-R61</f>
        <v>-129144.84473492</v>
      </c>
      <c r="S62" s="40" t="n">
        <f aca="false">S60-S61</f>
        <v>-134140.708480626</v>
      </c>
      <c r="T62" s="40" t="n">
        <f aca="false">T60-T61</f>
        <v>-136473.279917764</v>
      </c>
      <c r="U62" s="40" t="n">
        <f aca="false">U60-U61</f>
        <v>-147669.191969419</v>
      </c>
      <c r="V62" s="40" t="n">
        <f aca="false">V60-V61</f>
        <v>-150254.811229447</v>
      </c>
      <c r="W62" s="40" t="n">
        <f aca="false">W60-W61</f>
        <v>-151256.240625763</v>
      </c>
      <c r="X62" s="40" t="n">
        <f aca="false">X60-X61</f>
        <v>-149699.322057005</v>
      </c>
      <c r="Y62" s="40" t="n">
        <f aca="false">Y60-Y61</f>
        <v>-145609.639002824</v>
      </c>
      <c r="Z62" s="40" t="n">
        <f aca="false">Z60-Z61</f>
        <v>-139012.519108073</v>
      </c>
      <c r="AA62" s="40" t="n">
        <f aca="false">AA60-AA61</f>
        <v>-139826.959441159</v>
      </c>
      <c r="AB62" s="40" t="n">
        <f aca="false">AB60-AB61</f>
        <v>-130945.171193136</v>
      </c>
      <c r="AC62" s="40" t="n">
        <f aca="false">AC60-AC61</f>
        <v>-115434.116649815</v>
      </c>
      <c r="AD62" s="40" t="n">
        <f aca="false">AD60-AD61</f>
        <v>-93360.0884741502</v>
      </c>
      <c r="AE62" s="40" t="n">
        <f aca="false">AE60-AE61</f>
        <v>-64788.716402464</v>
      </c>
      <c r="AF62" s="40" t="n">
        <f aca="false">AF60-AF61</f>
        <v>-29784.9738737169</v>
      </c>
      <c r="AG62" s="40" t="n">
        <f aca="false">AG60-AG61</f>
        <v>6586.81540752057</v>
      </c>
      <c r="AH62" s="40" t="n">
        <f aca="false">AH60-AH61</f>
        <v>55262.9709737234</v>
      </c>
      <c r="AI62" s="40" t="n">
        <f aca="false">AI60-AI61</f>
        <v>109180.449162042</v>
      </c>
      <c r="AJ62" s="40" t="n">
        <f aca="false">AJ60-AJ61</f>
        <v>169276.836746255</v>
      </c>
      <c r="AK62" s="40" t="n">
        <f aca="false">AK60-AK61</f>
        <v>235490.344632404</v>
      </c>
      <c r="AL62" s="40" t="n">
        <f aca="false">AL60-AL61</f>
        <v>307759.801617469</v>
      </c>
      <c r="AN62" s="40" t="n">
        <f aca="false">N62</f>
        <v>-80586.3352676805</v>
      </c>
      <c r="AO62" s="40" t="n">
        <f aca="false">Z62</f>
        <v>-139012.519108073</v>
      </c>
      <c r="AP62" s="40" t="n">
        <f aca="false">AL62</f>
        <v>307759.801617469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-38777.7256033333</v>
      </c>
      <c r="F63" s="15" t="n">
        <f aca="false">MIN(E63,F62)</f>
        <v>-49837.4021179</v>
      </c>
      <c r="G63" s="15" t="n">
        <f aca="false">MIN(F63,G62)</f>
        <v>-60909.4883370297</v>
      </c>
      <c r="H63" s="15" t="n">
        <f aca="false">MIN(G63,H62)</f>
        <v>-71993.6119695854</v>
      </c>
      <c r="I63" s="15" t="n">
        <f aca="false">MIN(H63,I62)</f>
        <v>-78367.2094087226</v>
      </c>
      <c r="J63" s="15" t="n">
        <f aca="false">MIN(I63,J62)</f>
        <v>-79665.2707721351</v>
      </c>
      <c r="K63" s="15" t="n">
        <f aca="false">MIN(J63,K62)</f>
        <v>-81127.9014205802</v>
      </c>
      <c r="L63" s="15" t="n">
        <f aca="false">MIN(K63,L62)</f>
        <v>-81763.4556612074</v>
      </c>
      <c r="M63" s="15" t="n">
        <f aca="false">MIN(L63,M62)</f>
        <v>-81763.4556612074</v>
      </c>
      <c r="N63" s="15" t="n">
        <f aca="false">MIN(M63,N62)</f>
        <v>-81763.4556612074</v>
      </c>
      <c r="O63" s="15" t="n">
        <f aca="false">MIN(N63,O62)</f>
        <v>-97907.1187925034</v>
      </c>
      <c r="P63" s="15" t="n">
        <f aca="false">MIN(O63,P62)</f>
        <v>-111055.360810967</v>
      </c>
      <c r="Q63" s="15" t="n">
        <f aca="false">MIN(P63,Q62)</f>
        <v>-121458.786738135</v>
      </c>
      <c r="R63" s="15" t="n">
        <f aca="false">MIN(Q63,R62)</f>
        <v>-129144.84473492</v>
      </c>
      <c r="S63" s="15" t="n">
        <f aca="false">MIN(R63,S62)</f>
        <v>-134140.708480626</v>
      </c>
      <c r="T63" s="15" t="n">
        <f aca="false">MIN(S63,T62)</f>
        <v>-136473.279917764</v>
      </c>
      <c r="U63" s="15" t="n">
        <f aca="false">MIN(T63,U62)</f>
        <v>-147669.191969419</v>
      </c>
      <c r="V63" s="15" t="n">
        <f aca="false">MIN(U63,V62)</f>
        <v>-150254.811229447</v>
      </c>
      <c r="W63" s="15" t="n">
        <f aca="false">MIN(V63,W62)</f>
        <v>-151256.240625763</v>
      </c>
      <c r="X63" s="15" t="n">
        <f aca="false">MIN(W63,X62)</f>
        <v>-151256.240625763</v>
      </c>
      <c r="Y63" s="15" t="n">
        <f aca="false">MIN(X63,Y62)</f>
        <v>-151256.240625763</v>
      </c>
      <c r="Z63" s="15" t="n">
        <f aca="false">MIN(Y63,Z62)</f>
        <v>-151256.240625763</v>
      </c>
      <c r="AA63" s="15" t="n">
        <f aca="false">MIN(Z63,AA62)</f>
        <v>-151256.240625763</v>
      </c>
      <c r="AB63" s="15" t="n">
        <f aca="false">MIN(AA63,AB62)</f>
        <v>-151256.240625763</v>
      </c>
      <c r="AC63" s="15" t="n">
        <f aca="false">MIN(AB63,AC62)</f>
        <v>-151256.240625763</v>
      </c>
      <c r="AD63" s="15" t="n">
        <f aca="false">MIN(AC63,AD62)</f>
        <v>-151256.240625763</v>
      </c>
      <c r="AE63" s="15" t="n">
        <f aca="false">MIN(AD63,AE62)</f>
        <v>-151256.240625763</v>
      </c>
      <c r="AF63" s="15" t="n">
        <f aca="false">MIN(AE63,AF62)</f>
        <v>-151256.240625763</v>
      </c>
      <c r="AG63" s="15" t="n">
        <f aca="false">MIN(AF63,AG62)</f>
        <v>-151256.240625763</v>
      </c>
      <c r="AH63" s="15" t="n">
        <f aca="false">MIN(AG63,AH62)</f>
        <v>-151256.240625763</v>
      </c>
      <c r="AI63" s="15" t="n">
        <f aca="false">MIN(AH63,AI62)</f>
        <v>-151256.240625763</v>
      </c>
      <c r="AJ63" s="15" t="n">
        <f aca="false">MIN(AI63,AJ62)</f>
        <v>-151256.240625763</v>
      </c>
      <c r="AK63" s="15" t="n">
        <f aca="false">MIN(AJ63,AK62)</f>
        <v>-151256.240625763</v>
      </c>
      <c r="AL63" s="15" t="n">
        <f aca="false">MIN(AK63,AL62)</f>
        <v>-151256.240625763</v>
      </c>
      <c r="AN63" s="15" t="n">
        <f aca="false">N63</f>
        <v>-81763.4556612074</v>
      </c>
      <c r="AO63" s="15" t="n">
        <f aca="false">Z63</f>
        <v>-151256.240625763</v>
      </c>
      <c r="AP63" s="15" t="n">
        <f aca="false">AL63</f>
        <v>-151256.240625763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0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7178</v>
      </c>
      <c r="G66" s="15" t="n">
        <f aca="false">G28*12</f>
        <v>6962.66</v>
      </c>
      <c r="H66" s="15" t="n">
        <f aca="false">H28*12</f>
        <v>6753.7802</v>
      </c>
      <c r="I66" s="15" t="n">
        <f aca="false">I28*12</f>
        <v>21486.242398</v>
      </c>
      <c r="J66" s="15" t="n">
        <f aca="false">J28*12</f>
        <v>36071.37997402</v>
      </c>
      <c r="K66" s="15" t="n">
        <f aca="false">K28*12</f>
        <v>50510.6661742798</v>
      </c>
      <c r="L66" s="15" t="n">
        <f aca="false">L28*12</f>
        <v>64805.559512537</v>
      </c>
      <c r="M66" s="15" t="n">
        <f aca="false">M28*12</f>
        <v>78957.5039174116</v>
      </c>
      <c r="N66" s="15" t="n">
        <f aca="false">N28*12</f>
        <v>92967.9288782375</v>
      </c>
      <c r="O66" s="15" t="n">
        <f aca="false">O28*12</f>
        <v>141371.582922788</v>
      </c>
      <c r="P66" s="15" t="n">
        <f aca="false">P28*12</f>
        <v>189291.200426894</v>
      </c>
      <c r="Q66" s="15" t="n">
        <f aca="false">Q28*12</f>
        <v>236731.621755958</v>
      </c>
      <c r="R66" s="15" t="n">
        <f aca="false">R28*12</f>
        <v>283697.638871732</v>
      </c>
      <c r="S66" s="15" t="n">
        <f aca="false">S28*12</f>
        <v>330193.995816348</v>
      </c>
      <c r="T66" s="15" t="n">
        <f aca="false">T28*12</f>
        <v>376225.389191518</v>
      </c>
      <c r="U66" s="15" t="n">
        <f aca="false">U28*12</f>
        <v>421796.468632936</v>
      </c>
      <c r="V66" s="15" t="n">
        <f aca="false">V28*12</f>
        <v>466911.83727994</v>
      </c>
      <c r="W66" s="15" t="n">
        <f aca="false">W28*12</f>
        <v>511576.052240474</v>
      </c>
      <c r="X66" s="15" t="n">
        <f aca="false">X28*12</f>
        <v>555793.625051403</v>
      </c>
      <c r="Y66" s="15" t="n">
        <f aca="false">Y28*12</f>
        <v>599569.022134222</v>
      </c>
      <c r="Z66" s="15" t="n">
        <f aca="false">Z28*12</f>
        <v>642906.665246213</v>
      </c>
      <c r="AA66" s="15" t="n">
        <f aca="false">AA28*12</f>
        <v>759810.931927084</v>
      </c>
      <c r="AB66" s="15" t="n">
        <f aca="false">AB28*12</f>
        <v>875546.155941146</v>
      </c>
      <c r="AC66" s="15" t="n">
        <f aca="false">AC28*12</f>
        <v>990124.027715068</v>
      </c>
      <c r="AD66" s="15" t="n">
        <f aca="false">AD28*12</f>
        <v>1103556.12077125</v>
      </c>
      <c r="AE66" s="15" t="n">
        <f aca="false">AE28*12</f>
        <v>1215853.89289687</v>
      </c>
      <c r="AF66" s="15" t="n">
        <f aca="false">AF28*12</f>
        <v>1327028.68730124</v>
      </c>
      <c r="AG66" s="15" t="n">
        <f aca="false">AG28*12</f>
        <v>1437091.73376156</v>
      </c>
      <c r="AH66" s="15" t="n">
        <f aca="false">AH28*12</f>
        <v>1546054.14975728</v>
      </c>
      <c r="AI66" s="15" t="n">
        <f aca="false">AI28*12</f>
        <v>1653926.94159304</v>
      </c>
      <c r="AJ66" s="15" t="n">
        <f aca="false">AJ28*12</f>
        <v>1760721.00551044</v>
      </c>
      <c r="AK66" s="15" t="n">
        <f aca="false">AK28*12</f>
        <v>1866447.12878867</v>
      </c>
      <c r="AL66" s="15" t="n">
        <f aca="false">AL28*12</f>
        <v>1971115.99083411</v>
      </c>
      <c r="AN66" s="15" t="n">
        <f aca="false">N66</f>
        <v>92967.9288782375</v>
      </c>
      <c r="AO66" s="15" t="n">
        <f aca="false">Z66</f>
        <v>642906.665246213</v>
      </c>
      <c r="AP66" s="15" t="n">
        <f aca="false">AL66</f>
        <v>1971115.99083411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20.850327</v>
      </c>
      <c r="F68" s="19" t="n">
        <f aca="false">IF(F18&gt;0,F36/F18,0)</f>
        <v>20.850327</v>
      </c>
      <c r="G68" s="19" t="n">
        <f aca="false">IF(G18&gt;0,G36/G18,0)</f>
        <v>20.850327</v>
      </c>
      <c r="H68" s="19" t="n">
        <f aca="false">IF(H18&gt;0,H36/H18,0)</f>
        <v>20.850327</v>
      </c>
      <c r="I68" s="19" t="n">
        <f aca="false">IF(I18&gt;0,I36/I18,0)</f>
        <v>20.850327</v>
      </c>
      <c r="J68" s="19" t="n">
        <f aca="false">IF(J18&gt;0,J36/J18,0)</f>
        <v>20.850327</v>
      </c>
      <c r="K68" s="19" t="n">
        <f aca="false">IF(K18&gt;0,K36/K18,0)</f>
        <v>20.850327</v>
      </c>
      <c r="L68" s="19" t="n">
        <f aca="false">IF(L18&gt;0,L36/L18,0)</f>
        <v>20.850327</v>
      </c>
      <c r="M68" s="19" t="n">
        <f aca="false">IF(M18&gt;0,M36/M18,0)</f>
        <v>20.850327</v>
      </c>
      <c r="N68" s="19" t="n">
        <f aca="false">IF(N18&gt;0,N36/N18,0)</f>
        <v>20.850327</v>
      </c>
      <c r="O68" s="19" t="n">
        <f aca="false">IF(O18&gt;0,O36/O18,0)</f>
        <v>20.850327</v>
      </c>
      <c r="P68" s="19" t="n">
        <f aca="false">IF(P18&gt;0,P36/P18,0)</f>
        <v>20.850327</v>
      </c>
      <c r="Q68" s="19" t="n">
        <f aca="false">IF(Q18&gt;0,Q36/Q18,0)</f>
        <v>20.850327</v>
      </c>
      <c r="R68" s="19" t="n">
        <f aca="false">IF(R18&gt;0,R36/R18,0)</f>
        <v>20.850327</v>
      </c>
      <c r="S68" s="19" t="n">
        <f aca="false">IF(S18&gt;0,S36/S18,0)</f>
        <v>20.850327</v>
      </c>
      <c r="T68" s="19" t="n">
        <f aca="false">IF(T18&gt;0,T36/T18,0)</f>
        <v>20.850327</v>
      </c>
      <c r="U68" s="19" t="n">
        <f aca="false">IF(U18&gt;0,U36/U18,0)</f>
        <v>20.850327</v>
      </c>
      <c r="V68" s="19" t="n">
        <f aca="false">IF(V18&gt;0,V36/V18,0)</f>
        <v>20.850327</v>
      </c>
      <c r="W68" s="19" t="n">
        <f aca="false">IF(W18&gt;0,W36/W18,0)</f>
        <v>20.850327</v>
      </c>
      <c r="X68" s="19" t="n">
        <f aca="false">IF(X18&gt;0,X36/X18,0)</f>
        <v>20.850327</v>
      </c>
      <c r="Y68" s="19" t="n">
        <f aca="false">IF(Y18&gt;0,Y36/Y18,0)</f>
        <v>20.850327</v>
      </c>
      <c r="Z68" s="19" t="n">
        <f aca="false">IF(Z18&gt;0,Z36/Z18,0)</f>
        <v>20.850327</v>
      </c>
      <c r="AA68" s="19" t="n">
        <f aca="false">IF(AA18&gt;0,AA36/AA18,0)</f>
        <v>20.850327</v>
      </c>
      <c r="AB68" s="19" t="n">
        <f aca="false">IF(AB18&gt;0,AB36/AB18,0)</f>
        <v>20.850327</v>
      </c>
      <c r="AC68" s="19" t="n">
        <f aca="false">IF(AC18&gt;0,AC36/AC18,0)</f>
        <v>20.850327</v>
      </c>
      <c r="AD68" s="19" t="n">
        <f aca="false">IF(AD18&gt;0,AD36/AD18,0)</f>
        <v>20.850327</v>
      </c>
      <c r="AE68" s="19" t="n">
        <f aca="false">IF(AE18&gt;0,AE36/AE18,0)</f>
        <v>20.850327</v>
      </c>
      <c r="AF68" s="19" t="n">
        <f aca="false">IF(AF18&gt;0,AF36/AF18,0)</f>
        <v>20.850327</v>
      </c>
      <c r="AG68" s="19" t="n">
        <f aca="false">IF(AG18&gt;0,AG36/AG18,0)</f>
        <v>20.850327</v>
      </c>
      <c r="AH68" s="19" t="n">
        <f aca="false">IF(AH18&gt;0,AH36/AH18,0)</f>
        <v>20.850327</v>
      </c>
      <c r="AI68" s="19" t="n">
        <f aca="false">IF(AI18&gt;0,AI36/AI18,0)</f>
        <v>20.850327</v>
      </c>
      <c r="AJ68" s="19" t="n">
        <f aca="false">IF(AJ18&gt;0,AJ36/AJ18,0)</f>
        <v>20.850327</v>
      </c>
      <c r="AK68" s="19" t="n">
        <f aca="false">IF(AK18&gt;0,AK36/AK18,0)</f>
        <v>20.850327</v>
      </c>
      <c r="AL68" s="19" t="n">
        <f aca="false">IF(AL18&gt;0,AL36/AL18,0)</f>
        <v>20.850327</v>
      </c>
      <c r="AN68" s="19" t="n">
        <f aca="false">N68</f>
        <v>20.850327</v>
      </c>
      <c r="AO68" s="19" t="n">
        <f aca="false">Z68</f>
        <v>20.850327</v>
      </c>
      <c r="AP68" s="19" t="n">
        <f aca="false">AL68</f>
        <v>20.850327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38.850773</v>
      </c>
      <c r="F69" s="19" t="n">
        <f aca="false">IF(F18&gt;0,F37/F18,0)</f>
        <v>38.850773</v>
      </c>
      <c r="G69" s="19" t="n">
        <f aca="false">IF(G18&gt;0,G37/G18,0)</f>
        <v>38.850773</v>
      </c>
      <c r="H69" s="19" t="n">
        <f aca="false">IF(H18&gt;0,H37/H18,0)</f>
        <v>38.850773</v>
      </c>
      <c r="I69" s="19" t="n">
        <f aca="false">IF(I18&gt;0,I37/I18,0)</f>
        <v>38.850773</v>
      </c>
      <c r="J69" s="19" t="n">
        <f aca="false">IF(J18&gt;0,J37/J18,0)</f>
        <v>38.850773</v>
      </c>
      <c r="K69" s="19" t="n">
        <f aca="false">IF(K18&gt;0,K37/K18,0)</f>
        <v>38.850773</v>
      </c>
      <c r="L69" s="19" t="n">
        <f aca="false">IF(L18&gt;0,L37/L18,0)</f>
        <v>38.850773</v>
      </c>
      <c r="M69" s="19" t="n">
        <f aca="false">IF(M18&gt;0,M37/M18,0)</f>
        <v>38.850773</v>
      </c>
      <c r="N69" s="19" t="n">
        <f aca="false">IF(N18&gt;0,N37/N18,0)</f>
        <v>38.850773</v>
      </c>
      <c r="O69" s="19" t="n">
        <f aca="false">IF(O18&gt;0,O37/O18,0)</f>
        <v>38.850773</v>
      </c>
      <c r="P69" s="19" t="n">
        <f aca="false">IF(P18&gt;0,P37/P18,0)</f>
        <v>38.850773</v>
      </c>
      <c r="Q69" s="19" t="n">
        <f aca="false">IF(Q18&gt;0,Q37/Q18,0)</f>
        <v>38.850773</v>
      </c>
      <c r="R69" s="19" t="n">
        <f aca="false">IF(R18&gt;0,R37/R18,0)</f>
        <v>38.850773</v>
      </c>
      <c r="S69" s="19" t="n">
        <f aca="false">IF(S18&gt;0,S37/S18,0)</f>
        <v>38.850773</v>
      </c>
      <c r="T69" s="19" t="n">
        <f aca="false">IF(T18&gt;0,T37/T18,0)</f>
        <v>38.850773</v>
      </c>
      <c r="U69" s="19" t="n">
        <f aca="false">IF(U18&gt;0,U37/U18,0)</f>
        <v>38.850773</v>
      </c>
      <c r="V69" s="19" t="n">
        <f aca="false">IF(V18&gt;0,V37/V18,0)</f>
        <v>38.850773</v>
      </c>
      <c r="W69" s="19" t="n">
        <f aca="false">IF(W18&gt;0,W37/W18,0)</f>
        <v>38.850773</v>
      </c>
      <c r="X69" s="19" t="n">
        <f aca="false">IF(X18&gt;0,X37/X18,0)</f>
        <v>38.850773</v>
      </c>
      <c r="Y69" s="19" t="n">
        <f aca="false">IF(Y18&gt;0,Y37/Y18,0)</f>
        <v>38.850773</v>
      </c>
      <c r="Z69" s="19" t="n">
        <f aca="false">IF(Z18&gt;0,Z37/Z18,0)</f>
        <v>38.850773</v>
      </c>
      <c r="AA69" s="19" t="n">
        <f aca="false">IF(AA18&gt;0,AA37/AA18,0)</f>
        <v>38.850773</v>
      </c>
      <c r="AB69" s="19" t="n">
        <f aca="false">IF(AB18&gt;0,AB37/AB18,0)</f>
        <v>38.850773</v>
      </c>
      <c r="AC69" s="19" t="n">
        <f aca="false">IF(AC18&gt;0,AC37/AC18,0)</f>
        <v>38.850773</v>
      </c>
      <c r="AD69" s="19" t="n">
        <f aca="false">IF(AD18&gt;0,AD37/AD18,0)</f>
        <v>38.850773</v>
      </c>
      <c r="AE69" s="19" t="n">
        <f aca="false">IF(AE18&gt;0,AE37/AE18,0)</f>
        <v>38.850773</v>
      </c>
      <c r="AF69" s="19" t="n">
        <f aca="false">IF(AF18&gt;0,AF37/AF18,0)</f>
        <v>38.850773</v>
      </c>
      <c r="AG69" s="19" t="n">
        <f aca="false">IF(AG18&gt;0,AG37/AG18,0)</f>
        <v>38.850773</v>
      </c>
      <c r="AH69" s="19" t="n">
        <f aca="false">IF(AH18&gt;0,AH37/AH18,0)</f>
        <v>38.850773</v>
      </c>
      <c r="AI69" s="19" t="n">
        <f aca="false">IF(AI18&gt;0,AI37/AI18,0)</f>
        <v>38.850773</v>
      </c>
      <c r="AJ69" s="19" t="n">
        <f aca="false">IF(AJ18&gt;0,AJ37/AJ18,0)</f>
        <v>38.850773</v>
      </c>
      <c r="AK69" s="19" t="n">
        <f aca="false">IF(AK18&gt;0,AK37/AK18,0)</f>
        <v>38.850773</v>
      </c>
      <c r="AL69" s="19" t="n">
        <f aca="false">IF(AL18&gt;0,AL37/AL18,0)</f>
        <v>38.850773</v>
      </c>
      <c r="AN69" s="19" t="n">
        <f aca="false">N69</f>
        <v>38.850773</v>
      </c>
      <c r="AO69" s="19" t="n">
        <f aca="false">Z69</f>
        <v>38.850773</v>
      </c>
      <c r="AP69" s="19" t="n">
        <f aca="false">AL69</f>
        <v>38.850773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0.630012535135135</v>
      </c>
      <c r="F70" s="17" t="n">
        <f aca="false">IF(F28&gt;0,F37/F28,0)</f>
        <v>0.630012535135135</v>
      </c>
      <c r="G70" s="17" t="n">
        <f aca="false">IF(G28&gt;0,G37/G28,0)</f>
        <v>0.630012535135135</v>
      </c>
      <c r="H70" s="17" t="n">
        <f aca="false">IF(H28&gt;0,H37/H28,0)</f>
        <v>0.630012535135135</v>
      </c>
      <c r="I70" s="17" t="n">
        <f aca="false">IF(I28&gt;0,I37/I28,0)</f>
        <v>0.630012535135135</v>
      </c>
      <c r="J70" s="17" t="n">
        <f aca="false">IF(J28&gt;0,J37/J28,0)</f>
        <v>0.630012535135135</v>
      </c>
      <c r="K70" s="17" t="n">
        <f aca="false">IF(K28&gt;0,K37/K28,0)</f>
        <v>0.630012535135135</v>
      </c>
      <c r="L70" s="17" t="n">
        <f aca="false">IF(L28&gt;0,L37/L28,0)</f>
        <v>0.630012535135135</v>
      </c>
      <c r="M70" s="17" t="n">
        <f aca="false">IF(M28&gt;0,M37/M28,0)</f>
        <v>0.630012535135135</v>
      </c>
      <c r="N70" s="17" t="n">
        <f aca="false">IF(N28&gt;0,N37/N28,0)</f>
        <v>0.630012535135135</v>
      </c>
      <c r="O70" s="17" t="n">
        <f aca="false">IF(O28&gt;0,O37/O28,0)</f>
        <v>0.630012535135135</v>
      </c>
      <c r="P70" s="17" t="n">
        <f aca="false">IF(P28&gt;0,P37/P28,0)</f>
        <v>0.630012535135135</v>
      </c>
      <c r="Q70" s="17" t="n">
        <f aca="false">IF(Q28&gt;0,Q37/Q28,0)</f>
        <v>0.630012535135135</v>
      </c>
      <c r="R70" s="17" t="n">
        <f aca="false">IF(R28&gt;0,R37/R28,0)</f>
        <v>0.630012535135135</v>
      </c>
      <c r="S70" s="17" t="n">
        <f aca="false">IF(S28&gt;0,S37/S28,0)</f>
        <v>0.630012535135135</v>
      </c>
      <c r="T70" s="17" t="n">
        <f aca="false">IF(T28&gt;0,T37/T28,0)</f>
        <v>0.630012535135135</v>
      </c>
      <c r="U70" s="17" t="n">
        <f aca="false">IF(U28&gt;0,U37/U28,0)</f>
        <v>0.630012535135135</v>
      </c>
      <c r="V70" s="17" t="n">
        <f aca="false">IF(V28&gt;0,V37/V28,0)</f>
        <v>0.630012535135135</v>
      </c>
      <c r="W70" s="17" t="n">
        <f aca="false">IF(W28&gt;0,W37/W28,0)</f>
        <v>0.630012535135135</v>
      </c>
      <c r="X70" s="17" t="n">
        <f aca="false">IF(X28&gt;0,X37/X28,0)</f>
        <v>0.630012535135135</v>
      </c>
      <c r="Y70" s="17" t="n">
        <f aca="false">IF(Y28&gt;0,Y37/Y28,0)</f>
        <v>0.630012535135135</v>
      </c>
      <c r="Z70" s="17" t="n">
        <f aca="false">IF(Z28&gt;0,Z37/Z28,0)</f>
        <v>0.630012535135135</v>
      </c>
      <c r="AA70" s="17" t="n">
        <f aca="false">IF(AA28&gt;0,AA37/AA28,0)</f>
        <v>0.630012535135135</v>
      </c>
      <c r="AB70" s="17" t="n">
        <f aca="false">IF(AB28&gt;0,AB37/AB28,0)</f>
        <v>0.630012535135135</v>
      </c>
      <c r="AC70" s="17" t="n">
        <f aca="false">IF(AC28&gt;0,AC37/AC28,0)</f>
        <v>0.630012535135135</v>
      </c>
      <c r="AD70" s="17" t="n">
        <f aca="false">IF(AD28&gt;0,AD37/AD28,0)</f>
        <v>0.630012535135135</v>
      </c>
      <c r="AE70" s="17" t="n">
        <f aca="false">IF(AE28&gt;0,AE37/AE28,0)</f>
        <v>0.630012535135135</v>
      </c>
      <c r="AF70" s="17" t="n">
        <f aca="false">IF(AF28&gt;0,AF37/AF28,0)</f>
        <v>0.630012535135135</v>
      </c>
      <c r="AG70" s="17" t="n">
        <f aca="false">IF(AG28&gt;0,AG37/AG28,0)</f>
        <v>0.630012535135135</v>
      </c>
      <c r="AH70" s="17" t="n">
        <f aca="false">IF(AH28&gt;0,AH37/AH28,0)</f>
        <v>0.630012535135135</v>
      </c>
      <c r="AI70" s="17" t="n">
        <f aca="false">IF(AI28&gt;0,AI37/AI28,0)</f>
        <v>0.630012535135135</v>
      </c>
      <c r="AJ70" s="17" t="n">
        <f aca="false">IF(AJ28&gt;0,AJ37/AJ28,0)</f>
        <v>0.630012535135135</v>
      </c>
      <c r="AK70" s="17" t="n">
        <f aca="false">IF(AK28&gt;0,AK37/AK28,0)</f>
        <v>0.630012535135135</v>
      </c>
      <c r="AL70" s="17" t="n">
        <f aca="false">IF(AL28&gt;0,AL37/AL28,0)</f>
        <v>0.630012535135135</v>
      </c>
      <c r="AN70" s="17" t="n">
        <f aca="false">N70</f>
        <v>0.630012535135135</v>
      </c>
      <c r="AO70" s="17" t="n">
        <f aca="false">Z70</f>
        <v>0.630012535135135</v>
      </c>
      <c r="AP70" s="17" t="n">
        <f aca="false">AL70</f>
        <v>0.630012535135135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3.86092703998451</v>
      </c>
      <c r="F72" s="38" t="n">
        <f aca="false">IF(F69&gt;0,Hypothèses!$D$23*$E$4/F69,0)</f>
        <v>3.86092703998451</v>
      </c>
      <c r="G72" s="38" t="n">
        <f aca="false">IF(G69&gt;0,Hypothèses!$D$23*$E$4/G69,0)</f>
        <v>3.86092703998451</v>
      </c>
      <c r="H72" s="38" t="n">
        <f aca="false">IF(H69&gt;0,Hypothèses!$D$23*$E$4/H69,0)</f>
        <v>3.86092703998451</v>
      </c>
      <c r="I72" s="38" t="n">
        <f aca="false">IF(I69&gt;0,Hypothèses!$D$23*$E$4/I69,0)</f>
        <v>3.86092703998451</v>
      </c>
      <c r="J72" s="38" t="n">
        <f aca="false">IF(J69&gt;0,Hypothèses!$D$23*$E$4/J69,0)</f>
        <v>3.86092703998451</v>
      </c>
      <c r="K72" s="38" t="n">
        <f aca="false">IF(K69&gt;0,Hypothèses!$D$23*$E$4/K69,0)</f>
        <v>3.86092703998451</v>
      </c>
      <c r="L72" s="38" t="n">
        <f aca="false">IF(L69&gt;0,Hypothèses!$D$23*$E$4/L69,0)</f>
        <v>3.86092703998451</v>
      </c>
      <c r="M72" s="38" t="n">
        <f aca="false">IF(M69&gt;0,Hypothèses!$D$23*$E$4/M69,0)</f>
        <v>3.86092703998451</v>
      </c>
      <c r="N72" s="38" t="n">
        <f aca="false">IF(N69&gt;0,Hypothèses!$D$23*$E$4/N69,0)</f>
        <v>3.86092703998451</v>
      </c>
      <c r="O72" s="38" t="n">
        <f aca="false">IF(O69&gt;0,Hypothèses!$D$23*$E$4/O69,0)</f>
        <v>3.86092703998451</v>
      </c>
      <c r="P72" s="38" t="n">
        <f aca="false">IF(P69&gt;0,Hypothèses!$D$23*$E$4/P69,0)</f>
        <v>3.86092703998451</v>
      </c>
      <c r="Q72" s="38" t="n">
        <f aca="false">IF(Q69&gt;0,Hypothèses!$D$23*$E$4/Q69,0)</f>
        <v>3.86092703998451</v>
      </c>
      <c r="R72" s="38" t="n">
        <f aca="false">IF(R69&gt;0,Hypothèses!$D$23*$E$4/R69,0)</f>
        <v>3.86092703998451</v>
      </c>
      <c r="S72" s="38" t="n">
        <f aca="false">IF(S69&gt;0,Hypothèses!$D$23*$E$4/S69,0)</f>
        <v>3.86092703998451</v>
      </c>
      <c r="T72" s="38" t="n">
        <f aca="false">IF(T69&gt;0,Hypothèses!$D$23*$E$4/T69,0)</f>
        <v>3.86092703998451</v>
      </c>
      <c r="U72" s="38" t="n">
        <f aca="false">IF(U69&gt;0,Hypothèses!$D$23*$E$4/U69,0)</f>
        <v>3.86092703998451</v>
      </c>
      <c r="V72" s="38" t="n">
        <f aca="false">IF(V69&gt;0,Hypothèses!$D$23*$E$4/V69,0)</f>
        <v>3.86092703998451</v>
      </c>
      <c r="W72" s="38" t="n">
        <f aca="false">IF(W69&gt;0,Hypothèses!$D$23*$E$4/W69,0)</f>
        <v>3.86092703998451</v>
      </c>
      <c r="X72" s="38" t="n">
        <f aca="false">IF(X69&gt;0,Hypothèses!$D$23*$E$4/X69,0)</f>
        <v>3.86092703998451</v>
      </c>
      <c r="Y72" s="38" t="n">
        <f aca="false">IF(Y69&gt;0,Hypothèses!$D$23*$E$4/Y69,0)</f>
        <v>3.86092703998451</v>
      </c>
      <c r="Z72" s="38" t="n">
        <f aca="false">IF(Z69&gt;0,Hypothèses!$D$23*$E$4/Z69,0)</f>
        <v>3.86092703998451</v>
      </c>
      <c r="AA72" s="38" t="n">
        <f aca="false">IF(AA69&gt;0,Hypothèses!$D$23*$E$4/AA69,0)</f>
        <v>3.86092703998451</v>
      </c>
      <c r="AB72" s="38" t="n">
        <f aca="false">IF(AB69&gt;0,Hypothèses!$D$23*$E$4/AB69,0)</f>
        <v>3.86092703998451</v>
      </c>
      <c r="AC72" s="38" t="n">
        <f aca="false">IF(AC69&gt;0,Hypothèses!$D$23*$E$4/AC69,0)</f>
        <v>3.86092703998451</v>
      </c>
      <c r="AD72" s="38" t="n">
        <f aca="false">IF(AD69&gt;0,Hypothèses!$D$23*$E$4/AD69,0)</f>
        <v>3.86092703998451</v>
      </c>
      <c r="AE72" s="38" t="n">
        <f aca="false">IF(AE69&gt;0,Hypothèses!$D$23*$E$4/AE69,0)</f>
        <v>3.86092703998451</v>
      </c>
      <c r="AF72" s="38" t="n">
        <f aca="false">IF(AF69&gt;0,Hypothèses!$D$23*$E$4/AF69,0)</f>
        <v>3.86092703998451</v>
      </c>
      <c r="AG72" s="38" t="n">
        <f aca="false">IF(AG69&gt;0,Hypothèses!$D$23*$E$4/AG69,0)</f>
        <v>3.86092703998451</v>
      </c>
      <c r="AH72" s="38" t="n">
        <f aca="false">IF(AH69&gt;0,Hypothèses!$D$23*$E$4/AH69,0)</f>
        <v>3.86092703998451</v>
      </c>
      <c r="AI72" s="38" t="n">
        <f aca="false">IF(AI69&gt;0,Hypothèses!$D$23*$E$4/AI69,0)</f>
        <v>3.86092703998451</v>
      </c>
      <c r="AJ72" s="38" t="n">
        <f aca="false">IF(AJ69&gt;0,Hypothèses!$D$23*$E$4/AJ69,0)</f>
        <v>3.86092703998451</v>
      </c>
      <c r="AK72" s="38" t="n">
        <f aca="false">IF(AK69&gt;0,Hypothèses!$D$23*$E$4/AK69,0)</f>
        <v>3.86092703998451</v>
      </c>
      <c r="AL72" s="38" t="n">
        <f aca="false">IF(AL69&gt;0,Hypothèses!$D$23*$E$4/AL69,0)</f>
        <v>3.86092703998451</v>
      </c>
      <c r="AN72" s="38" t="n">
        <f aca="false">N72</f>
        <v>3.86092703998451</v>
      </c>
      <c r="AO72" s="38" t="n">
        <f aca="false">Z72</f>
        <v>3.86092703998451</v>
      </c>
      <c r="AP72" s="38" t="n">
        <f aca="false">AL72</f>
        <v>3.86092703998451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1295.02576666667</v>
      </c>
      <c r="F73" s="15" t="n">
        <f aca="false">IF(Hypothèses!$D$26*$D$4&gt;0,F69/(Hypothèses!$D$26*$D$4),0)</f>
        <v>1295.02576666667</v>
      </c>
      <c r="G73" s="15" t="n">
        <f aca="false">IF(Hypothèses!$D$26*$D$4&gt;0,G69/(Hypothèses!$D$26*$D$4),0)</f>
        <v>1295.02576666667</v>
      </c>
      <c r="H73" s="15" t="n">
        <f aca="false">IF(Hypothèses!$D$26*$D$4&gt;0,H69/(Hypothèses!$D$26*$D$4),0)</f>
        <v>1295.02576666667</v>
      </c>
      <c r="I73" s="15" t="n">
        <f aca="false">IF(Hypothèses!$D$26*$D$4&gt;0,I69/(Hypothèses!$D$26*$D$4),0)</f>
        <v>1295.02576666667</v>
      </c>
      <c r="J73" s="15" t="n">
        <f aca="false">IF(Hypothèses!$D$26*$D$4&gt;0,J69/(Hypothèses!$D$26*$D$4),0)</f>
        <v>1295.02576666667</v>
      </c>
      <c r="K73" s="15" t="n">
        <f aca="false">IF(Hypothèses!$D$26*$D$4&gt;0,K69/(Hypothèses!$D$26*$D$4),0)</f>
        <v>1295.02576666667</v>
      </c>
      <c r="L73" s="15" t="n">
        <f aca="false">IF(Hypothèses!$D$26*$D$4&gt;0,L69/(Hypothèses!$D$26*$D$4),0)</f>
        <v>1295.02576666667</v>
      </c>
      <c r="M73" s="15" t="n">
        <f aca="false">IF(Hypothèses!$D$26*$D$4&gt;0,M69/(Hypothèses!$D$26*$D$4),0)</f>
        <v>1295.02576666667</v>
      </c>
      <c r="N73" s="15" t="n">
        <f aca="false">IF(Hypothèses!$D$26*$D$4&gt;0,N69/(Hypothèses!$D$26*$D$4),0)</f>
        <v>1295.02576666667</v>
      </c>
      <c r="O73" s="15" t="n">
        <f aca="false">IF(Hypothèses!$D$26*$D$4&gt;0,O69/(Hypothèses!$D$26*$D$4),0)</f>
        <v>1295.02576666667</v>
      </c>
      <c r="P73" s="15" t="n">
        <f aca="false">IF(Hypothèses!$D$26*$D$4&gt;0,P69/(Hypothèses!$D$26*$D$4),0)</f>
        <v>1295.02576666667</v>
      </c>
      <c r="Q73" s="15" t="n">
        <f aca="false">IF(Hypothèses!$D$26*$D$4&gt;0,Q69/(Hypothèses!$D$26*$D$4),0)</f>
        <v>1295.02576666667</v>
      </c>
      <c r="R73" s="15" t="n">
        <f aca="false">IF(Hypothèses!$D$26*$D$4&gt;0,R69/(Hypothèses!$D$26*$D$4),0)</f>
        <v>1295.02576666667</v>
      </c>
      <c r="S73" s="15" t="n">
        <f aca="false">IF(Hypothèses!$D$26*$D$4&gt;0,S69/(Hypothèses!$D$26*$D$4),0)</f>
        <v>1295.02576666667</v>
      </c>
      <c r="T73" s="15" t="n">
        <f aca="false">IF(Hypothèses!$D$26*$D$4&gt;0,T69/(Hypothèses!$D$26*$D$4),0)</f>
        <v>1295.02576666667</v>
      </c>
      <c r="U73" s="15" t="n">
        <f aca="false">IF(Hypothèses!$D$26*$D$4&gt;0,U69/(Hypothèses!$D$26*$D$4),0)</f>
        <v>1295.02576666667</v>
      </c>
      <c r="V73" s="15" t="n">
        <f aca="false">IF(Hypothèses!$D$26*$D$4&gt;0,V69/(Hypothèses!$D$26*$D$4),0)</f>
        <v>1295.02576666667</v>
      </c>
      <c r="W73" s="15" t="n">
        <f aca="false">IF(Hypothèses!$D$26*$D$4&gt;0,W69/(Hypothèses!$D$26*$D$4),0)</f>
        <v>1295.02576666667</v>
      </c>
      <c r="X73" s="15" t="n">
        <f aca="false">IF(Hypothèses!$D$26*$D$4&gt;0,X69/(Hypothèses!$D$26*$D$4),0)</f>
        <v>1295.02576666667</v>
      </c>
      <c r="Y73" s="15" t="n">
        <f aca="false">IF(Hypothèses!$D$26*$D$4&gt;0,Y69/(Hypothèses!$D$26*$D$4),0)</f>
        <v>1295.02576666667</v>
      </c>
      <c r="Z73" s="15" t="n">
        <f aca="false">IF(Hypothèses!$D$26*$D$4&gt;0,Z69/(Hypothèses!$D$26*$D$4),0)</f>
        <v>1295.02576666667</v>
      </c>
      <c r="AA73" s="15" t="n">
        <f aca="false">IF(Hypothèses!$D$26*$D$4&gt;0,AA69/(Hypothèses!$D$26*$D$4),0)</f>
        <v>1295.02576666667</v>
      </c>
      <c r="AB73" s="15" t="n">
        <f aca="false">IF(Hypothèses!$D$26*$D$4&gt;0,AB69/(Hypothèses!$D$26*$D$4),0)</f>
        <v>1295.02576666667</v>
      </c>
      <c r="AC73" s="15" t="n">
        <f aca="false">IF(Hypothèses!$D$26*$D$4&gt;0,AC69/(Hypothèses!$D$26*$D$4),0)</f>
        <v>1295.02576666667</v>
      </c>
      <c r="AD73" s="15" t="n">
        <f aca="false">IF(Hypothèses!$D$26*$D$4&gt;0,AD69/(Hypothèses!$D$26*$D$4),0)</f>
        <v>1295.02576666667</v>
      </c>
      <c r="AE73" s="15" t="n">
        <f aca="false">IF(Hypothèses!$D$26*$D$4&gt;0,AE69/(Hypothèses!$D$26*$D$4),0)</f>
        <v>1295.02576666667</v>
      </c>
      <c r="AF73" s="15" t="n">
        <f aca="false">IF(Hypothèses!$D$26*$D$4&gt;0,AF69/(Hypothèses!$D$26*$D$4),0)</f>
        <v>1295.02576666667</v>
      </c>
      <c r="AG73" s="15" t="n">
        <f aca="false">IF(Hypothèses!$D$26*$D$4&gt;0,AG69/(Hypothèses!$D$26*$D$4),0)</f>
        <v>1295.02576666667</v>
      </c>
      <c r="AH73" s="15" t="n">
        <f aca="false">IF(Hypothèses!$D$26*$D$4&gt;0,AH69/(Hypothèses!$D$26*$D$4),0)</f>
        <v>1295.02576666667</v>
      </c>
      <c r="AI73" s="15" t="n">
        <f aca="false">IF(Hypothèses!$D$26*$D$4&gt;0,AI69/(Hypothèses!$D$26*$D$4),0)</f>
        <v>1295.02576666667</v>
      </c>
      <c r="AJ73" s="15" t="n">
        <f aca="false">IF(Hypothèses!$D$26*$D$4&gt;0,AJ69/(Hypothèses!$D$26*$D$4),0)</f>
        <v>1295.02576666667</v>
      </c>
      <c r="AK73" s="15" t="n">
        <f aca="false">IF(Hypothèses!$D$26*$D$4&gt;0,AK69/(Hypothèses!$D$26*$D$4),0)</f>
        <v>1295.02576666667</v>
      </c>
      <c r="AL73" s="15" t="n">
        <f aca="false">IF(Hypothèses!$D$26*$D$4&gt;0,AL69/(Hypothèses!$D$26*$D$4),0)</f>
        <v>1295.02576666667</v>
      </c>
      <c r="AN73" s="15" t="n">
        <f aca="false">N73</f>
        <v>1295.02576666667</v>
      </c>
      <c r="AO73" s="15" t="n">
        <f aca="false">Z73</f>
        <v>1295.02576666667</v>
      </c>
      <c r="AP73" s="15" t="n">
        <f aca="false">AL73</f>
        <v>1295.02576666667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8.63350511111111</v>
      </c>
      <c r="F74" s="41" t="n">
        <f aca="false">IF(Hypothèses!$D$23*$E$4&gt;0,F73/(Hypothèses!$D$23*$E$4),0)</f>
        <v>8.63350511111111</v>
      </c>
      <c r="G74" s="41" t="n">
        <f aca="false">IF(Hypothèses!$D$23*$E$4&gt;0,G73/(Hypothèses!$D$23*$E$4),0)</f>
        <v>8.63350511111111</v>
      </c>
      <c r="H74" s="41" t="n">
        <f aca="false">IF(Hypothèses!$D$23*$E$4&gt;0,H73/(Hypothèses!$D$23*$E$4),0)</f>
        <v>8.63350511111111</v>
      </c>
      <c r="I74" s="41" t="n">
        <f aca="false">IF(Hypothèses!$D$23*$E$4&gt;0,I73/(Hypothèses!$D$23*$E$4),0)</f>
        <v>8.63350511111111</v>
      </c>
      <c r="J74" s="41" t="n">
        <f aca="false">IF(Hypothèses!$D$23*$E$4&gt;0,J73/(Hypothèses!$D$23*$E$4),0)</f>
        <v>8.63350511111111</v>
      </c>
      <c r="K74" s="41" t="n">
        <f aca="false">IF(Hypothèses!$D$23*$E$4&gt;0,K73/(Hypothèses!$D$23*$E$4),0)</f>
        <v>8.63350511111111</v>
      </c>
      <c r="L74" s="41" t="n">
        <f aca="false">IF(Hypothèses!$D$23*$E$4&gt;0,L73/(Hypothèses!$D$23*$E$4),0)</f>
        <v>8.63350511111111</v>
      </c>
      <c r="M74" s="41" t="n">
        <f aca="false">IF(Hypothèses!$D$23*$E$4&gt;0,M73/(Hypothèses!$D$23*$E$4),0)</f>
        <v>8.63350511111111</v>
      </c>
      <c r="N74" s="41" t="n">
        <f aca="false">IF(Hypothèses!$D$23*$E$4&gt;0,N73/(Hypothèses!$D$23*$E$4),0)</f>
        <v>8.63350511111111</v>
      </c>
      <c r="O74" s="41" t="n">
        <f aca="false">IF(Hypothèses!$D$23*$E$4&gt;0,O73/(Hypothèses!$D$23*$E$4),0)</f>
        <v>8.63350511111111</v>
      </c>
      <c r="P74" s="41" t="n">
        <f aca="false">IF(Hypothèses!$D$23*$E$4&gt;0,P73/(Hypothèses!$D$23*$E$4),0)</f>
        <v>8.63350511111111</v>
      </c>
      <c r="Q74" s="41" t="n">
        <f aca="false">IF(Hypothèses!$D$23*$E$4&gt;0,Q73/(Hypothèses!$D$23*$E$4),0)</f>
        <v>8.63350511111111</v>
      </c>
      <c r="R74" s="41" t="n">
        <f aca="false">IF(Hypothèses!$D$23*$E$4&gt;0,R73/(Hypothèses!$D$23*$E$4),0)</f>
        <v>8.63350511111111</v>
      </c>
      <c r="S74" s="41" t="n">
        <f aca="false">IF(Hypothèses!$D$23*$E$4&gt;0,S73/(Hypothèses!$D$23*$E$4),0)</f>
        <v>8.63350511111111</v>
      </c>
      <c r="T74" s="41" t="n">
        <f aca="false">IF(Hypothèses!$D$23*$E$4&gt;0,T73/(Hypothèses!$D$23*$E$4),0)</f>
        <v>8.63350511111111</v>
      </c>
      <c r="U74" s="41" t="n">
        <f aca="false">IF(Hypothèses!$D$23*$E$4&gt;0,U73/(Hypothèses!$D$23*$E$4),0)</f>
        <v>8.63350511111111</v>
      </c>
      <c r="V74" s="41" t="n">
        <f aca="false">IF(Hypothèses!$D$23*$E$4&gt;0,V73/(Hypothèses!$D$23*$E$4),0)</f>
        <v>8.63350511111111</v>
      </c>
      <c r="W74" s="41" t="n">
        <f aca="false">IF(Hypothèses!$D$23*$E$4&gt;0,W73/(Hypothèses!$D$23*$E$4),0)</f>
        <v>8.63350511111111</v>
      </c>
      <c r="X74" s="41" t="n">
        <f aca="false">IF(Hypothèses!$D$23*$E$4&gt;0,X73/(Hypothèses!$D$23*$E$4),0)</f>
        <v>8.63350511111111</v>
      </c>
      <c r="Y74" s="41" t="n">
        <f aca="false">IF(Hypothèses!$D$23*$E$4&gt;0,Y73/(Hypothèses!$D$23*$E$4),0)</f>
        <v>8.63350511111111</v>
      </c>
      <c r="Z74" s="41" t="n">
        <f aca="false">IF(Hypothèses!$D$23*$E$4&gt;0,Z73/(Hypothèses!$D$23*$E$4),0)</f>
        <v>8.63350511111111</v>
      </c>
      <c r="AA74" s="41" t="n">
        <f aca="false">IF(Hypothèses!$D$23*$E$4&gt;0,AA73/(Hypothèses!$D$23*$E$4),0)</f>
        <v>8.63350511111111</v>
      </c>
      <c r="AB74" s="41" t="n">
        <f aca="false">IF(Hypothèses!$D$23*$E$4&gt;0,AB73/(Hypothèses!$D$23*$E$4),0)</f>
        <v>8.63350511111111</v>
      </c>
      <c r="AC74" s="41" t="n">
        <f aca="false">IF(Hypothèses!$D$23*$E$4&gt;0,AC73/(Hypothèses!$D$23*$E$4),0)</f>
        <v>8.63350511111111</v>
      </c>
      <c r="AD74" s="41" t="n">
        <f aca="false">IF(Hypothèses!$D$23*$E$4&gt;0,AD73/(Hypothèses!$D$23*$E$4),0)</f>
        <v>8.63350511111111</v>
      </c>
      <c r="AE74" s="41" t="n">
        <f aca="false">IF(Hypothèses!$D$23*$E$4&gt;0,AE73/(Hypothèses!$D$23*$E$4),0)</f>
        <v>8.63350511111111</v>
      </c>
      <c r="AF74" s="41" t="n">
        <f aca="false">IF(Hypothèses!$D$23*$E$4&gt;0,AF73/(Hypothèses!$D$23*$E$4),0)</f>
        <v>8.63350511111111</v>
      </c>
      <c r="AG74" s="41" t="n">
        <f aca="false">IF(Hypothèses!$D$23*$E$4&gt;0,AG73/(Hypothèses!$D$23*$E$4),0)</f>
        <v>8.63350511111111</v>
      </c>
      <c r="AH74" s="41" t="n">
        <f aca="false">IF(Hypothèses!$D$23*$E$4&gt;0,AH73/(Hypothèses!$D$23*$E$4),0)</f>
        <v>8.63350511111111</v>
      </c>
      <c r="AI74" s="41" t="n">
        <f aca="false">IF(Hypothèses!$D$23*$E$4&gt;0,AI73/(Hypothèses!$D$23*$E$4),0)</f>
        <v>8.63350511111111</v>
      </c>
      <c r="AJ74" s="41" t="n">
        <f aca="false">IF(Hypothèses!$D$23*$E$4&gt;0,AJ73/(Hypothèses!$D$23*$E$4),0)</f>
        <v>8.63350511111111</v>
      </c>
      <c r="AK74" s="41" t="n">
        <f aca="false">IF(Hypothèses!$D$23*$E$4&gt;0,AK73/(Hypothèses!$D$23*$E$4),0)</f>
        <v>8.63350511111111</v>
      </c>
      <c r="AL74" s="41" t="n">
        <f aca="false">IF(Hypothèses!$D$23*$E$4&gt;0,AL73/(Hypothèses!$D$23*$E$4),0)</f>
        <v>8.63350511111111</v>
      </c>
      <c r="AN74" s="41" t="n">
        <f aca="false">N74</f>
        <v>8.63350511111111</v>
      </c>
      <c r="AO74" s="41" t="n">
        <f aca="false">Z74</f>
        <v>8.63350511111111</v>
      </c>
      <c r="AP74" s="41" t="n">
        <f aca="false">AL74</f>
        <v>8.63350511111111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504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</v>
      </c>
      <c r="F4" s="34" t="n">
        <v>0.6667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29.0354627</v>
      </c>
      <c r="K13" s="38" t="n">
        <f aca="false">J18</f>
        <v>48.745108073</v>
      </c>
      <c r="L13" s="38" t="n">
        <f aca="false">K18</f>
        <v>68.25765699227</v>
      </c>
      <c r="M13" s="38" t="n">
        <f aca="false">L18</f>
        <v>87.5750804223473</v>
      </c>
      <c r="N13" s="38" t="n">
        <f aca="false">M18</f>
        <v>106.699329618124</v>
      </c>
      <c r="O13" s="38" t="n">
        <f aca="false">N18</f>
        <v>125.632336321943</v>
      </c>
      <c r="P13" s="38" t="n">
        <f aca="false">O18</f>
        <v>191.04267962539</v>
      </c>
      <c r="Q13" s="38" t="n">
        <f aca="false">P18</f>
        <v>255.798919495803</v>
      </c>
      <c r="R13" s="38" t="n">
        <f aca="false">Q18</f>
        <v>319.907596967511</v>
      </c>
      <c r="S13" s="38" t="n">
        <f aca="false">R18</f>
        <v>383.375187664503</v>
      </c>
      <c r="T13" s="38" t="n">
        <f aca="false">S18</f>
        <v>446.208102454524</v>
      </c>
      <c r="U13" s="38" t="n">
        <f aca="false">T18</f>
        <v>508.412688096646</v>
      </c>
      <c r="V13" s="38" t="n">
        <f aca="false">U18</f>
        <v>569.995227882346</v>
      </c>
      <c r="W13" s="38" t="n">
        <f aca="false">V18</f>
        <v>630.961942270189</v>
      </c>
      <c r="X13" s="38" t="n">
        <f aca="false">W18</f>
        <v>691.318989514154</v>
      </c>
      <c r="Y13" s="38" t="n">
        <f aca="false">X18</f>
        <v>751.072466285679</v>
      </c>
      <c r="Z13" s="38" t="n">
        <f aca="false">Y18</f>
        <v>810.228408289489</v>
      </c>
      <c r="AA13" s="38" t="n">
        <f aca="false">Z18</f>
        <v>868.792790873261</v>
      </c>
      <c r="AB13" s="38" t="n">
        <f aca="false">AA18</f>
        <v>1026.77152963119</v>
      </c>
      <c r="AC13" s="38" t="n">
        <f aca="false">AB18</f>
        <v>1183.17048100155</v>
      </c>
      <c r="AD13" s="38" t="n">
        <f aca="false">AC18</f>
        <v>1338.0054428582</v>
      </c>
      <c r="AE13" s="38" t="n">
        <f aca="false">AD18</f>
        <v>1491.29205509629</v>
      </c>
      <c r="AF13" s="38" t="n">
        <f aca="false">AE18</f>
        <v>1643.04580121199</v>
      </c>
      <c r="AG13" s="38" t="n">
        <f aca="false">AF18</f>
        <v>1793.28200986654</v>
      </c>
      <c r="AH13" s="38" t="n">
        <f aca="false">AG18</f>
        <v>1942.01585643454</v>
      </c>
      <c r="AI13" s="38" t="n">
        <f aca="false">AH18</f>
        <v>2089.26236453686</v>
      </c>
      <c r="AJ13" s="38" t="n">
        <f aca="false">AI18</f>
        <v>2235.03640755816</v>
      </c>
      <c r="AK13" s="38" t="n">
        <f aca="false">AJ18</f>
        <v>2379.35271014924</v>
      </c>
      <c r="AL13" s="38" t="n">
        <f aca="false">AK18</f>
        <v>2522.22584971442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0.580709254</v>
      </c>
      <c r="K16" s="38" t="n">
        <f aca="false">K9*K13*Hypothèses!$D$24</f>
        <v>0.97490216146</v>
      </c>
      <c r="L16" s="38" t="n">
        <f aca="false">L9*L13*Hypothèses!$D$24</f>
        <v>1.3651531398454</v>
      </c>
      <c r="M16" s="38" t="n">
        <f aca="false">M9*M13*Hypothèses!$D$24</f>
        <v>1.75150160844695</v>
      </c>
      <c r="N16" s="38" t="n">
        <f aca="false">N9*N13*Hypothèses!$D$24</f>
        <v>2.13398659236248</v>
      </c>
      <c r="O16" s="38" t="n">
        <f aca="false">O9*O13*Hypothèses!$D$24</f>
        <v>2.51264672643885</v>
      </c>
      <c r="P16" s="38" t="n">
        <f aca="false">P9*P13*Hypothèses!$D$24</f>
        <v>3.8208535925078</v>
      </c>
      <c r="Q16" s="38" t="n">
        <f aca="false">Q9*Q13*Hypothèses!$D$24</f>
        <v>5.11597838991605</v>
      </c>
      <c r="R16" s="38" t="n">
        <f aca="false">R9*R13*Hypothèses!$D$24</f>
        <v>6.39815193935023</v>
      </c>
      <c r="S16" s="38" t="n">
        <f aca="false">S9*S13*Hypothèses!$D$24</f>
        <v>7.66750375329006</v>
      </c>
      <c r="T16" s="38" t="n">
        <f aca="false">T9*T13*Hypothèses!$D$24</f>
        <v>8.92416204909049</v>
      </c>
      <c r="U16" s="38" t="n">
        <f aca="false">U9*U13*Hypothèses!$D$24</f>
        <v>10.1682537619329</v>
      </c>
      <c r="V16" s="38" t="n">
        <f aca="false">V9*V13*Hypothèses!$D$24</f>
        <v>11.3999045576469</v>
      </c>
      <c r="W16" s="38" t="n">
        <f aca="false">W9*W13*Hypothèses!$D$24</f>
        <v>12.6192388454038</v>
      </c>
      <c r="X16" s="38" t="n">
        <f aca="false">X9*X13*Hypothèses!$D$24</f>
        <v>13.8263797902831</v>
      </c>
      <c r="Y16" s="38" t="n">
        <f aca="false">Y9*Y13*Hypothèses!$D$24</f>
        <v>15.0214493257136</v>
      </c>
      <c r="Z16" s="38" t="n">
        <f aca="false">Z9*Z13*Hypothèses!$D$24</f>
        <v>16.2045681657898</v>
      </c>
      <c r="AA16" s="38" t="n">
        <f aca="false">AA9*AA13*Hypothèses!$D$24</f>
        <v>17.3758558174652</v>
      </c>
      <c r="AB16" s="38" t="n">
        <f aca="false">AB9*AB13*Hypothèses!$D$24</f>
        <v>20.5354305926239</v>
      </c>
      <c r="AC16" s="38" t="n">
        <f aca="false">AC9*AC13*Hypothèses!$D$24</f>
        <v>23.663409620031</v>
      </c>
      <c r="AD16" s="38" t="n">
        <f aca="false">AD9*AD13*Hypothèses!$D$24</f>
        <v>26.760108857164</v>
      </c>
      <c r="AE16" s="38" t="n">
        <f aca="false">AE9*AE13*Hypothèses!$D$24</f>
        <v>29.8258411019257</v>
      </c>
      <c r="AF16" s="38" t="n">
        <f aca="false">AF9*AF13*Hypothèses!$D$24</f>
        <v>32.8609160242398</v>
      </c>
      <c r="AG16" s="38" t="n">
        <f aca="false">AG9*AG13*Hypothèses!$D$24</f>
        <v>35.8656401973307</v>
      </c>
      <c r="AH16" s="38" t="n">
        <f aca="false">AH9*AH13*Hypothèses!$D$24</f>
        <v>38.8403171286907</v>
      </c>
      <c r="AI16" s="38" t="n">
        <f aca="false">AI9*AI13*Hypothèses!$D$24</f>
        <v>41.7852472907372</v>
      </c>
      <c r="AJ16" s="38" t="n">
        <f aca="false">AJ9*AJ13*Hypothèses!$D$24</f>
        <v>44.7007281511631</v>
      </c>
      <c r="AK16" s="38" t="n">
        <f aca="false">AK9*AK13*Hypothèses!$D$24</f>
        <v>47.5870542029848</v>
      </c>
      <c r="AL16" s="38" t="n">
        <f aca="false">AL9*AL13*Hypothèses!$D$24</f>
        <v>50.4445169942883</v>
      </c>
      <c r="AN16" s="38" t="n">
        <f aca="false">SUM(C16:N16)</f>
        <v>6.98878735611482</v>
      </c>
      <c r="AO16" s="38" t="n">
        <f aca="false">SUM(O16:Z16)</f>
        <v>113.679090897364</v>
      </c>
      <c r="AP16" s="38" t="n">
        <f aca="false">SUM(AA16:AL16)</f>
        <v>410.245065978645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0.871063881</v>
      </c>
      <c r="K17" s="38" t="n">
        <f aca="false">K13*Hypothèses!$D$26*$D$4</f>
        <v>1.46235324219</v>
      </c>
      <c r="L17" s="38" t="n">
        <f aca="false">L13*Hypothèses!$D$26*$D$4</f>
        <v>2.0477297097681</v>
      </c>
      <c r="M17" s="38" t="n">
        <f aca="false">M13*Hypothèses!$D$26*$D$4</f>
        <v>2.62725241267042</v>
      </c>
      <c r="N17" s="38" t="n">
        <f aca="false">N13*Hypothèses!$D$26*$D$4</f>
        <v>3.20097988854371</v>
      </c>
      <c r="O17" s="38" t="n">
        <f aca="false">O13*Hypothèses!$D$26*$D$4</f>
        <v>3.76897008965828</v>
      </c>
      <c r="P17" s="38" t="n">
        <f aca="false">P13*Hypothèses!$D$26*$D$4</f>
        <v>5.73128038876169</v>
      </c>
      <c r="Q17" s="38" t="n">
        <f aca="false">Q13*Hypothèses!$D$26*$D$4</f>
        <v>7.67396758487408</v>
      </c>
      <c r="R17" s="38" t="n">
        <f aca="false">R13*Hypothèses!$D$26*$D$4</f>
        <v>9.59722790902534</v>
      </c>
      <c r="S17" s="38" t="n">
        <f aca="false">S13*Hypothèses!$D$26*$D$4</f>
        <v>11.5012556299351</v>
      </c>
      <c r="T17" s="38" t="n">
        <f aca="false">T13*Hypothèses!$D$26*$D$4</f>
        <v>13.3862430736357</v>
      </c>
      <c r="U17" s="38" t="n">
        <f aca="false">U13*Hypothèses!$D$26*$D$4</f>
        <v>15.2523806428994</v>
      </c>
      <c r="V17" s="38" t="n">
        <f aca="false">V13*Hypothèses!$D$26*$D$4</f>
        <v>17.0998568364704</v>
      </c>
      <c r="W17" s="38" t="n">
        <f aca="false">W13*Hypothèses!$D$26*$D$4</f>
        <v>18.9288582681057</v>
      </c>
      <c r="X17" s="38" t="n">
        <f aca="false">X13*Hypothèses!$D$26*$D$4</f>
        <v>20.7395696854246</v>
      </c>
      <c r="Y17" s="38" t="n">
        <f aca="false">Y13*Hypothèses!$D$26*$D$4</f>
        <v>22.5321739885704</v>
      </c>
      <c r="Z17" s="38" t="n">
        <f aca="false">Z13*Hypothèses!$D$26*$D$4</f>
        <v>24.3068522486847</v>
      </c>
      <c r="AA17" s="38" t="n">
        <f aca="false">AA13*Hypothèses!$D$26*$D$4</f>
        <v>26.0637837261978</v>
      </c>
      <c r="AB17" s="38" t="n">
        <f aca="false">AB13*Hypothèses!$D$26*$D$4</f>
        <v>30.8031458889358</v>
      </c>
      <c r="AC17" s="38" t="n">
        <f aca="false">AC13*Hypothèses!$D$26*$D$4</f>
        <v>35.4951144300465</v>
      </c>
      <c r="AD17" s="38" t="n">
        <f aca="false">AD13*Hypothèses!$D$26*$D$4</f>
        <v>40.140163285746</v>
      </c>
      <c r="AE17" s="38" t="n">
        <f aca="false">AE13*Hypothèses!$D$26*$D$4</f>
        <v>44.7387616528886</v>
      </c>
      <c r="AF17" s="38" t="n">
        <f aca="false">AF13*Hypothèses!$D$26*$D$4</f>
        <v>49.2913740363597</v>
      </c>
      <c r="AG17" s="38" t="n">
        <f aca="false">AG13*Hypothèses!$D$26*$D$4</f>
        <v>53.7984602959961</v>
      </c>
      <c r="AH17" s="38" t="n">
        <f aca="false">AH13*Hypothèses!$D$26*$D$4</f>
        <v>58.2604756930361</v>
      </c>
      <c r="AI17" s="38" t="n">
        <f aca="false">AI13*Hypothèses!$D$26*$D$4</f>
        <v>62.6778709361058</v>
      </c>
      <c r="AJ17" s="38" t="n">
        <f aca="false">AJ13*Hypothèses!$D$26*$D$4</f>
        <v>67.0510922267447</v>
      </c>
      <c r="AK17" s="38" t="n">
        <f aca="false">AK13*Hypothèses!$D$26*$D$4</f>
        <v>71.3805813044773</v>
      </c>
      <c r="AL17" s="38" t="n">
        <f aca="false">AL13*Hypothèses!$D$26*$D$4</f>
        <v>75.6667754914325</v>
      </c>
      <c r="AN17" s="38" t="n">
        <f aca="false">SUM(C17:N17)</f>
        <v>11.3564510341722</v>
      </c>
      <c r="AO17" s="38" t="n">
        <f aca="false">SUM(O17:Z17)</f>
        <v>170.518636346045</v>
      </c>
      <c r="AP17" s="38" t="n">
        <f aca="false">SUM(AA17:AL17)</f>
        <v>615.367598967967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29.0354627</v>
      </c>
      <c r="J18" s="39" t="n">
        <f aca="false">J13+J14+J15+J16-J17</f>
        <v>48.745108073</v>
      </c>
      <c r="K18" s="39" t="n">
        <f aca="false">K13+K14+K15+K16-K17</f>
        <v>68.25765699227</v>
      </c>
      <c r="L18" s="39" t="n">
        <f aca="false">L13+L14+L15+L16-L17</f>
        <v>87.5750804223473</v>
      </c>
      <c r="M18" s="39" t="n">
        <f aca="false">M13+M14+M15+M16-M17</f>
        <v>106.699329618124</v>
      </c>
      <c r="N18" s="39" t="n">
        <f aca="false">N13+N14+N15+N16-N17</f>
        <v>125.632336321943</v>
      </c>
      <c r="O18" s="39" t="n">
        <f aca="false">O13+O14+O15+O16-O17</f>
        <v>191.04267962539</v>
      </c>
      <c r="P18" s="39" t="n">
        <f aca="false">P13+P14+P15+P16-P17</f>
        <v>255.798919495803</v>
      </c>
      <c r="Q18" s="39" t="n">
        <f aca="false">Q13+Q14+Q15+Q16-Q17</f>
        <v>319.907596967511</v>
      </c>
      <c r="R18" s="39" t="n">
        <f aca="false">R13+R14+R15+R16-R17</f>
        <v>383.375187664503</v>
      </c>
      <c r="S18" s="39" t="n">
        <f aca="false">S13+S14+S15+S16-S17</f>
        <v>446.208102454524</v>
      </c>
      <c r="T18" s="39" t="n">
        <f aca="false">T13+T14+T15+T16-T17</f>
        <v>508.412688096646</v>
      </c>
      <c r="U18" s="39" t="n">
        <f aca="false">U13+U14+U15+U16-U17</f>
        <v>569.995227882346</v>
      </c>
      <c r="V18" s="39" t="n">
        <f aca="false">V13+V14+V15+V16-V17</f>
        <v>630.961942270189</v>
      </c>
      <c r="W18" s="39" t="n">
        <f aca="false">W13+W14+W15+W16-W17</f>
        <v>691.318989514154</v>
      </c>
      <c r="X18" s="39" t="n">
        <f aca="false">X13+X14+X15+X16-X17</f>
        <v>751.072466285679</v>
      </c>
      <c r="Y18" s="39" t="n">
        <f aca="false">Y13+Y14+Y15+Y16-Y17</f>
        <v>810.228408289489</v>
      </c>
      <c r="Z18" s="39" t="n">
        <f aca="false">Z13+Z14+Z15+Z16-Z17</f>
        <v>868.792790873261</v>
      </c>
      <c r="AA18" s="39" t="n">
        <f aca="false">AA13+AA14+AA15+AA16-AA17</f>
        <v>1026.77152963119</v>
      </c>
      <c r="AB18" s="39" t="n">
        <f aca="false">AB13+AB14+AB15+AB16-AB17</f>
        <v>1183.17048100155</v>
      </c>
      <c r="AC18" s="39" t="n">
        <f aca="false">AC13+AC14+AC15+AC16-AC17</f>
        <v>1338.0054428582</v>
      </c>
      <c r="AD18" s="39" t="n">
        <f aca="false">AD13+AD14+AD15+AD16-AD17</f>
        <v>1491.29205509629</v>
      </c>
      <c r="AE18" s="39" t="n">
        <f aca="false">AE13+AE14+AE15+AE16-AE17</f>
        <v>1643.04580121199</v>
      </c>
      <c r="AF18" s="39" t="n">
        <f aca="false">AF13+AF14+AF15+AF16-AF17</f>
        <v>1793.28200986654</v>
      </c>
      <c r="AG18" s="39" t="n">
        <f aca="false">AG13+AG14+AG15+AG16-AG17</f>
        <v>1942.01585643454</v>
      </c>
      <c r="AH18" s="39" t="n">
        <f aca="false">AH13+AH14+AH15+AH16-AH17</f>
        <v>2089.26236453686</v>
      </c>
      <c r="AI18" s="39" t="n">
        <f aca="false">AI13+AI14+AI15+AI16-AI17</f>
        <v>2235.03640755816</v>
      </c>
      <c r="AJ18" s="39" t="n">
        <f aca="false">AJ13+AJ14+AJ15+AJ16-AJ17</f>
        <v>2379.35271014924</v>
      </c>
      <c r="AK18" s="39" t="n">
        <f aca="false">AK13+AK14+AK15+AK16-AK17</f>
        <v>2522.22584971442</v>
      </c>
      <c r="AL18" s="39" t="n">
        <f aca="false">AL13+AL14+AL15+AL16-AL17</f>
        <v>2663.67025788394</v>
      </c>
      <c r="AN18" s="39" t="n">
        <f aca="false">N18</f>
        <v>125.632336321943</v>
      </c>
      <c r="AO18" s="39" t="n">
        <f aca="false">Z18</f>
        <v>868.792790873261</v>
      </c>
      <c r="AP18" s="39" t="n">
        <f aca="false">AL18</f>
        <v>2663.67025788394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7.258865675</v>
      </c>
      <c r="J19" s="38" t="n">
        <f aca="false">J18*Hypothèses!$D$16</f>
        <v>12.18627701825</v>
      </c>
      <c r="K19" s="38" t="n">
        <f aca="false">K18*Hypothèses!$D$16</f>
        <v>17.0644142480675</v>
      </c>
      <c r="L19" s="38" t="n">
        <f aca="false">L18*Hypothèses!$D$16</f>
        <v>21.8937701055868</v>
      </c>
      <c r="M19" s="38" t="n">
        <f aca="false">M18*Hypothèses!$D$16</f>
        <v>26.674832404531</v>
      </c>
      <c r="N19" s="38" t="n">
        <f aca="false">N18*Hypothèses!$D$16</f>
        <v>31.4080840804856</v>
      </c>
      <c r="O19" s="38" t="n">
        <f aca="false">O18*Hypothèses!$D$16</f>
        <v>47.7606699063475</v>
      </c>
      <c r="P19" s="38" t="n">
        <f aca="false">P18*Hypothèses!$D$16</f>
        <v>63.9497298739506</v>
      </c>
      <c r="Q19" s="38" t="n">
        <f aca="false">Q18*Hypothèses!$D$16</f>
        <v>79.9768992418778</v>
      </c>
      <c r="R19" s="38" t="n">
        <f aca="false">R18*Hypothèses!$D$16</f>
        <v>95.8437969161257</v>
      </c>
      <c r="S19" s="38" t="n">
        <f aca="false">S18*Hypothèses!$D$16</f>
        <v>111.552025613631</v>
      </c>
      <c r="T19" s="38" t="n">
        <f aca="false">T18*Hypothèses!$D$16</f>
        <v>127.103172024161</v>
      </c>
      <c r="U19" s="38" t="n">
        <f aca="false">U18*Hypothèses!$D$16</f>
        <v>142.498806970587</v>
      </c>
      <c r="V19" s="38" t="n">
        <f aca="false">V18*Hypothèses!$D$16</f>
        <v>157.740485567547</v>
      </c>
      <c r="W19" s="38" t="n">
        <f aca="false">W18*Hypothèses!$D$16</f>
        <v>172.829747378538</v>
      </c>
      <c r="X19" s="38" t="n">
        <f aca="false">X18*Hypothèses!$D$16</f>
        <v>187.76811657142</v>
      </c>
      <c r="Y19" s="38" t="n">
        <f aca="false">Y18*Hypothèses!$D$16</f>
        <v>202.557102072372</v>
      </c>
      <c r="Z19" s="38" t="n">
        <f aca="false">Z18*Hypothèses!$D$16</f>
        <v>217.198197718315</v>
      </c>
      <c r="AA19" s="38" t="n">
        <f aca="false">AA18*Hypothèses!$D$16</f>
        <v>256.692882407799</v>
      </c>
      <c r="AB19" s="38" t="n">
        <f aca="false">AB18*Hypothèses!$D$16</f>
        <v>295.792620250387</v>
      </c>
      <c r="AC19" s="38" t="n">
        <f aca="false">AC18*Hypothèses!$D$16</f>
        <v>334.50136071455</v>
      </c>
      <c r="AD19" s="38" t="n">
        <f aca="false">AD18*Hypothèses!$D$16</f>
        <v>372.823013774071</v>
      </c>
      <c r="AE19" s="38" t="n">
        <f aca="false">AE18*Hypothèses!$D$16</f>
        <v>410.761450302997</v>
      </c>
      <c r="AF19" s="38" t="n">
        <f aca="false">AF18*Hypothèses!$D$16</f>
        <v>448.320502466634</v>
      </c>
      <c r="AG19" s="38" t="n">
        <f aca="false">AG18*Hypothèses!$D$16</f>
        <v>485.503964108634</v>
      </c>
      <c r="AH19" s="38" t="n">
        <f aca="false">AH18*Hypothèses!$D$16</f>
        <v>522.315591134215</v>
      </c>
      <c r="AI19" s="38" t="n">
        <f aca="false">AI18*Hypothèses!$D$16</f>
        <v>558.759101889539</v>
      </c>
      <c r="AJ19" s="38" t="n">
        <f aca="false">AJ18*Hypothèses!$D$16</f>
        <v>594.838177537311</v>
      </c>
      <c r="AK19" s="38" t="n">
        <f aca="false">AK18*Hypothèses!$D$16</f>
        <v>630.556462428604</v>
      </c>
      <c r="AL19" s="38" t="n">
        <f aca="false">AL18*Hypothèses!$D$16</f>
        <v>665.917564470985</v>
      </c>
      <c r="AN19" s="38" t="n">
        <f aca="false">N19</f>
        <v>31.4080840804856</v>
      </c>
      <c r="AO19" s="38" t="n">
        <f aca="false">Z19</f>
        <v>217.198197718315</v>
      </c>
      <c r="AP19" s="38" t="n">
        <f aca="false">AL19</f>
        <v>665.917564470985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17.42127762</v>
      </c>
      <c r="J20" s="38" t="n">
        <f aca="false">J18*Hypothèses!$D$17</f>
        <v>29.2470648438</v>
      </c>
      <c r="K20" s="38" t="n">
        <f aca="false">K18*Hypothèses!$D$17</f>
        <v>40.954594195362</v>
      </c>
      <c r="L20" s="38" t="n">
        <f aca="false">L18*Hypothèses!$D$17</f>
        <v>52.5450482534084</v>
      </c>
      <c r="M20" s="38" t="n">
        <f aca="false">M18*Hypothèses!$D$17</f>
        <v>64.0195977708743</v>
      </c>
      <c r="N20" s="38" t="n">
        <f aca="false">N18*Hypothèses!$D$17</f>
        <v>75.3794017931655</v>
      </c>
      <c r="O20" s="38" t="n">
        <f aca="false">O18*Hypothèses!$D$17</f>
        <v>114.625607775234</v>
      </c>
      <c r="P20" s="38" t="n">
        <f aca="false">P18*Hypothèses!$D$17</f>
        <v>153.479351697482</v>
      </c>
      <c r="Q20" s="38" t="n">
        <f aca="false">Q18*Hypothèses!$D$17</f>
        <v>191.944558180507</v>
      </c>
      <c r="R20" s="38" t="n">
        <f aca="false">R18*Hypothèses!$D$17</f>
        <v>230.025112598702</v>
      </c>
      <c r="S20" s="38" t="n">
        <f aca="false">S18*Hypothèses!$D$17</f>
        <v>267.724861472715</v>
      </c>
      <c r="T20" s="38" t="n">
        <f aca="false">T18*Hypothèses!$D$17</f>
        <v>305.047612857988</v>
      </c>
      <c r="U20" s="38" t="n">
        <f aca="false">U18*Hypothèses!$D$17</f>
        <v>341.997136729408</v>
      </c>
      <c r="V20" s="38" t="n">
        <f aca="false">V18*Hypothèses!$D$17</f>
        <v>378.577165362113</v>
      </c>
      <c r="W20" s="38" t="n">
        <f aca="false">W18*Hypothèses!$D$17</f>
        <v>414.791393708492</v>
      </c>
      <c r="X20" s="38" t="n">
        <f aca="false">X18*Hypothèses!$D$17</f>
        <v>450.643479771407</v>
      </c>
      <c r="Y20" s="38" t="n">
        <f aca="false">Y18*Hypothèses!$D$17</f>
        <v>486.137044973693</v>
      </c>
      <c r="Z20" s="38" t="n">
        <f aca="false">Z18*Hypothèses!$D$17</f>
        <v>521.275674523956</v>
      </c>
      <c r="AA20" s="38" t="n">
        <f aca="false">AA18*Hypothèses!$D$17</f>
        <v>616.062917778717</v>
      </c>
      <c r="AB20" s="38" t="n">
        <f aca="false">AB18*Hypothèses!$D$17</f>
        <v>709.90228860093</v>
      </c>
      <c r="AC20" s="38" t="n">
        <f aca="false">AC18*Hypothèses!$D$17</f>
        <v>802.80326571492</v>
      </c>
      <c r="AD20" s="38" t="n">
        <f aca="false">AD18*Hypothèses!$D$17</f>
        <v>894.775233057771</v>
      </c>
      <c r="AE20" s="38" t="n">
        <f aca="false">AE18*Hypothèses!$D$17</f>
        <v>985.827480727194</v>
      </c>
      <c r="AF20" s="38" t="n">
        <f aca="false">AF18*Hypothèses!$D$17</f>
        <v>1075.96920591992</v>
      </c>
      <c r="AG20" s="38" t="n">
        <f aca="false">AG18*Hypothèses!$D$17</f>
        <v>1165.20951386072</v>
      </c>
      <c r="AH20" s="38" t="n">
        <f aca="false">AH18*Hypothèses!$D$17</f>
        <v>1253.55741872212</v>
      </c>
      <c r="AI20" s="38" t="n">
        <f aca="false">AI18*Hypothèses!$D$17</f>
        <v>1341.02184453489</v>
      </c>
      <c r="AJ20" s="38" t="n">
        <f aca="false">AJ18*Hypothèses!$D$17</f>
        <v>1427.61162608955</v>
      </c>
      <c r="AK20" s="38" t="n">
        <f aca="false">AK18*Hypothèses!$D$17</f>
        <v>1513.33550982865</v>
      </c>
      <c r="AL20" s="38" t="n">
        <f aca="false">AL18*Hypothèses!$D$17</f>
        <v>1598.20215473036</v>
      </c>
      <c r="AN20" s="38" t="n">
        <f aca="false">N20</f>
        <v>75.3794017931655</v>
      </c>
      <c r="AO20" s="38" t="n">
        <f aca="false">Z20</f>
        <v>521.275674523956</v>
      </c>
      <c r="AP20" s="38" t="n">
        <f aca="false">AL20</f>
        <v>1598.20215473036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4.355319405</v>
      </c>
      <c r="J21" s="38" t="n">
        <f aca="false">J18*Hypothèses!$D$18</f>
        <v>7.31176621095</v>
      </c>
      <c r="K21" s="38" t="n">
        <f aca="false">K18*Hypothèses!$D$18</f>
        <v>10.2386485488405</v>
      </c>
      <c r="L21" s="38" t="n">
        <f aca="false">L18*Hypothèses!$D$18</f>
        <v>13.1362620633521</v>
      </c>
      <c r="M21" s="38" t="n">
        <f aca="false">M18*Hypothèses!$D$18</f>
        <v>16.0048994427186</v>
      </c>
      <c r="N21" s="38" t="n">
        <f aca="false">N18*Hypothèses!$D$18</f>
        <v>18.8448504482914</v>
      </c>
      <c r="O21" s="38" t="n">
        <f aca="false">O18*Hypothèses!$D$18</f>
        <v>28.6564019438085</v>
      </c>
      <c r="P21" s="38" t="n">
        <f aca="false">P18*Hypothèses!$D$18</f>
        <v>38.3698379243704</v>
      </c>
      <c r="Q21" s="38" t="n">
        <f aca="false">Q18*Hypothèses!$D$18</f>
        <v>47.9861395451267</v>
      </c>
      <c r="R21" s="38" t="n">
        <f aca="false">R18*Hypothèses!$D$18</f>
        <v>57.5062781496754</v>
      </c>
      <c r="S21" s="38" t="n">
        <f aca="false">S18*Hypothèses!$D$18</f>
        <v>66.9312153681787</v>
      </c>
      <c r="T21" s="38" t="n">
        <f aca="false">T18*Hypothèses!$D$18</f>
        <v>76.2619032144969</v>
      </c>
      <c r="U21" s="38" t="n">
        <f aca="false">U18*Hypothèses!$D$18</f>
        <v>85.4992841823519</v>
      </c>
      <c r="V21" s="38" t="n">
        <f aca="false">V18*Hypothèses!$D$18</f>
        <v>94.6442913405284</v>
      </c>
      <c r="W21" s="38" t="n">
        <f aca="false">W18*Hypothèses!$D$18</f>
        <v>103.697848427123</v>
      </c>
      <c r="X21" s="38" t="n">
        <f aca="false">X18*Hypothèses!$D$18</f>
        <v>112.660869942852</v>
      </c>
      <c r="Y21" s="38" t="n">
        <f aca="false">Y18*Hypothèses!$D$18</f>
        <v>121.534261243423</v>
      </c>
      <c r="Z21" s="38" t="n">
        <f aca="false">Z18*Hypothèses!$D$18</f>
        <v>130.318918630989</v>
      </c>
      <c r="AA21" s="38" t="n">
        <f aca="false">AA18*Hypothèses!$D$18</f>
        <v>154.015729444679</v>
      </c>
      <c r="AB21" s="38" t="n">
        <f aca="false">AB18*Hypothèses!$D$18</f>
        <v>177.475572150232</v>
      </c>
      <c r="AC21" s="38" t="n">
        <f aca="false">AC18*Hypothèses!$D$18</f>
        <v>200.70081642873</v>
      </c>
      <c r="AD21" s="38" t="n">
        <f aca="false">AD18*Hypothèses!$D$18</f>
        <v>223.693808264443</v>
      </c>
      <c r="AE21" s="38" t="n">
        <f aca="false">AE18*Hypothèses!$D$18</f>
        <v>246.456870181798</v>
      </c>
      <c r="AF21" s="38" t="n">
        <f aca="false">AF18*Hypothèses!$D$18</f>
        <v>268.99230147998</v>
      </c>
      <c r="AG21" s="38" t="n">
        <f aca="false">AG18*Hypothèses!$D$18</f>
        <v>291.302378465181</v>
      </c>
      <c r="AH21" s="38" t="n">
        <f aca="false">AH18*Hypothèses!$D$18</f>
        <v>313.389354680529</v>
      </c>
      <c r="AI21" s="38" t="n">
        <f aca="false">AI18*Hypothèses!$D$18</f>
        <v>335.255461133724</v>
      </c>
      <c r="AJ21" s="38" t="n">
        <f aca="false">AJ18*Hypothèses!$D$18</f>
        <v>356.902906522386</v>
      </c>
      <c r="AK21" s="38" t="n">
        <f aca="false">AK18*Hypothèses!$D$18</f>
        <v>378.333877457162</v>
      </c>
      <c r="AL21" s="38" t="n">
        <f aca="false">AL18*Hypothèses!$D$18</f>
        <v>399.550538682591</v>
      </c>
      <c r="AN21" s="38" t="n">
        <f aca="false">N21</f>
        <v>18.8448504482914</v>
      </c>
      <c r="AO21" s="38" t="n">
        <f aca="false">Z21</f>
        <v>130.318918630989</v>
      </c>
      <c r="AP21" s="38" t="n">
        <f aca="false">AL21</f>
        <v>399.550538682591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70.325</v>
      </c>
      <c r="G23" s="15" t="n">
        <f aca="false">G19*Hypothèses!$D$12*$C$4</f>
        <v>68.21525</v>
      </c>
      <c r="H23" s="15" t="n">
        <f aca="false">H19*Hypothèses!$D$12*$C$4</f>
        <v>66.1687925</v>
      </c>
      <c r="I23" s="15" t="n">
        <f aca="false">I19*Hypothèses!$D$12*$C$4</f>
        <v>210.507104575</v>
      </c>
      <c r="J23" s="15" t="n">
        <f aca="false">J19*Hypothèses!$D$12*$C$4</f>
        <v>353.40203352925</v>
      </c>
      <c r="K23" s="15" t="n">
        <f aca="false">K19*Hypothèses!$D$12*$C$4</f>
        <v>494.868013193957</v>
      </c>
      <c r="L23" s="15" t="n">
        <f aca="false">L19*Hypothèses!$D$12*$C$4</f>
        <v>634.919333062018</v>
      </c>
      <c r="M23" s="15" t="n">
        <f aca="false">M19*Hypothèses!$D$12*$C$4</f>
        <v>773.570139731398</v>
      </c>
      <c r="N23" s="15" t="n">
        <f aca="false">N19*Hypothèses!$D$12*$C$4</f>
        <v>910.834438334084</v>
      </c>
      <c r="O23" s="15" t="n">
        <f aca="false">O19*Hypothèses!$D$12*$C$4</f>
        <v>1385.05942728408</v>
      </c>
      <c r="P23" s="15" t="n">
        <f aca="false">P19*Hypothèses!$D$12*$C$4</f>
        <v>1854.54216634457</v>
      </c>
      <c r="Q23" s="15" t="n">
        <f aca="false">Q19*Hypothèses!$D$12*$C$4</f>
        <v>2319.33007801446</v>
      </c>
      <c r="R23" s="15" t="n">
        <f aca="false">R19*Hypothèses!$D$12*$C$4</f>
        <v>2779.47011056765</v>
      </c>
      <c r="S23" s="15" t="n">
        <f aca="false">S19*Hypothèses!$D$12*$C$4</f>
        <v>3235.0087427953</v>
      </c>
      <c r="T23" s="15" t="n">
        <f aca="false">T19*Hypothèses!$D$12*$C$4</f>
        <v>3685.99198870068</v>
      </c>
      <c r="U23" s="15" t="n">
        <f aca="false">U19*Hypothèses!$D$12*$C$4</f>
        <v>4132.46540214701</v>
      </c>
      <c r="V23" s="15" t="n">
        <f aca="false">V19*Hypothèses!$D$12*$C$4</f>
        <v>4574.47408145887</v>
      </c>
      <c r="W23" s="15" t="n">
        <f aca="false">W19*Hypothèses!$D$12*$C$4</f>
        <v>5012.06267397762</v>
      </c>
      <c r="X23" s="15" t="n">
        <f aca="false">X19*Hypothèses!$D$12*$C$4</f>
        <v>5445.27538057117</v>
      </c>
      <c r="Y23" s="15" t="n">
        <f aca="false">Y19*Hypothèses!$D$12*$C$4</f>
        <v>5874.15596009879</v>
      </c>
      <c r="Z23" s="15" t="n">
        <f aca="false">Z19*Hypothèses!$D$12*$C$4</f>
        <v>6298.74773383114</v>
      </c>
      <c r="AA23" s="15" t="n">
        <f aca="false">AA19*Hypothèses!$D$12*$C$4</f>
        <v>7444.09358982616</v>
      </c>
      <c r="AB23" s="15" t="n">
        <f aca="false">AB19*Hypothèses!$D$12*$C$4</f>
        <v>8577.98598726123</v>
      </c>
      <c r="AC23" s="15" t="n">
        <f aca="false">AC19*Hypothèses!$D$12*$C$4</f>
        <v>9700.53946072195</v>
      </c>
      <c r="AD23" s="15" t="n">
        <f aca="false">AD19*Hypothèses!$D$12*$C$4</f>
        <v>10811.8673994481</v>
      </c>
      <c r="AE23" s="15" t="n">
        <f aca="false">AE19*Hypothèses!$D$12*$C$4</f>
        <v>11912.0820587869</v>
      </c>
      <c r="AF23" s="15" t="n">
        <f aca="false">AF19*Hypothèses!$D$12*$C$4</f>
        <v>13001.2945715324</v>
      </c>
      <c r="AG23" s="15" t="n">
        <f aca="false">AG19*Hypothèses!$D$12*$C$4</f>
        <v>14079.6149591504</v>
      </c>
      <c r="AH23" s="15" t="n">
        <f aca="false">AH19*Hypothèses!$D$12*$C$4</f>
        <v>15147.1521428922</v>
      </c>
      <c r="AI23" s="15" t="n">
        <f aca="false">AI19*Hypothèses!$D$12*$C$4</f>
        <v>16204.0139547966</v>
      </c>
      <c r="AJ23" s="15" t="n">
        <f aca="false">AJ19*Hypothèses!$D$12*$C$4</f>
        <v>17250.307148582</v>
      </c>
      <c r="AK23" s="15" t="n">
        <f aca="false">AK19*Hypothèses!$D$12*$C$4</f>
        <v>18286.1374104295</v>
      </c>
      <c r="AL23" s="15" t="n">
        <f aca="false">AL19*Hypothèses!$D$12*$C$4</f>
        <v>19311.6093696586</v>
      </c>
      <c r="AN23" s="15" t="n">
        <f aca="false">SUM(C23:N23)</f>
        <v>3655.31010492571</v>
      </c>
      <c r="AO23" s="15" t="n">
        <f aca="false">SUM(O23:Z23)</f>
        <v>46596.5837457913</v>
      </c>
      <c r="AP23" s="15" t="n">
        <f aca="false">SUM(AA23:AL23)</f>
        <v>161726.698053086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459.78</v>
      </c>
      <c r="G24" s="15" t="n">
        <f aca="false">G20*Hypothèses!$D$13*$C$4</f>
        <v>445.9866</v>
      </c>
      <c r="H24" s="15" t="n">
        <f aca="false">H20*Hypothèses!$D$13*$C$4</f>
        <v>432.607002</v>
      </c>
      <c r="I24" s="15" t="n">
        <f aca="false">I20*Hypothèses!$D$13*$C$4</f>
        <v>1376.28093198</v>
      </c>
      <c r="J24" s="15" t="n">
        <f aca="false">J20*Hypothèses!$D$13*$C$4</f>
        <v>2310.5181226602</v>
      </c>
      <c r="K24" s="15" t="n">
        <f aca="false">K20*Hypothèses!$D$13*$C$4</f>
        <v>3235.4129414336</v>
      </c>
      <c r="L24" s="15" t="n">
        <f aca="false">L20*Hypothèses!$D$13*$C$4</f>
        <v>4151.05881201926</v>
      </c>
      <c r="M24" s="15" t="n">
        <f aca="false">M20*Hypothèses!$D$13*$C$4</f>
        <v>5057.54822389907</v>
      </c>
      <c r="N24" s="15" t="n">
        <f aca="false">N20*Hypothèses!$D$13*$C$4</f>
        <v>5954.97274166008</v>
      </c>
      <c r="O24" s="15" t="n">
        <f aca="false">O20*Hypothèses!$D$13*$C$4</f>
        <v>9055.42301424348</v>
      </c>
      <c r="P24" s="15" t="n">
        <f aca="false">P20*Hypothèses!$D$13*$C$4</f>
        <v>12124.868784101</v>
      </c>
      <c r="Q24" s="15" t="n">
        <f aca="false">Q20*Hypothèses!$D$13*$C$4</f>
        <v>15163.62009626</v>
      </c>
      <c r="R24" s="15" t="n">
        <f aca="false">R20*Hypothèses!$D$13*$C$4</f>
        <v>18171.9838952974</v>
      </c>
      <c r="S24" s="15" t="n">
        <f aca="false">S20*Hypothèses!$D$13*$C$4</f>
        <v>21150.2640563445</v>
      </c>
      <c r="T24" s="15" t="n">
        <f aca="false">T20*Hypothèses!$D$13*$C$4</f>
        <v>24098.761415781</v>
      </c>
      <c r="U24" s="15" t="n">
        <f aca="false">U20*Hypothèses!$D$13*$C$4</f>
        <v>27017.7738016232</v>
      </c>
      <c r="V24" s="15" t="n">
        <f aca="false">V20*Hypothèses!$D$13*$C$4</f>
        <v>29907.596063607</v>
      </c>
      <c r="W24" s="15" t="n">
        <f aca="false">W20*Hypothèses!$D$13*$C$4</f>
        <v>32768.5201029709</v>
      </c>
      <c r="X24" s="15" t="n">
        <f aca="false">X20*Hypothèses!$D$13*$C$4</f>
        <v>35600.8349019412</v>
      </c>
      <c r="Y24" s="15" t="n">
        <f aca="false">Y20*Hypothèses!$D$13*$C$4</f>
        <v>38404.8265529218</v>
      </c>
      <c r="Z24" s="15" t="n">
        <f aca="false">Z20*Hypothèses!$D$13*$C$4</f>
        <v>41180.7782873925</v>
      </c>
      <c r="AA24" s="15" t="n">
        <f aca="false">AA20*Hypothèses!$D$13*$C$4</f>
        <v>48668.9705045186</v>
      </c>
      <c r="AB24" s="15" t="n">
        <f aca="false">AB20*Hypothèses!$D$13*$C$4</f>
        <v>56082.2807994734</v>
      </c>
      <c r="AC24" s="15" t="n">
        <f aca="false">AC20*Hypothèses!$D$13*$C$4</f>
        <v>63421.4579914787</v>
      </c>
      <c r="AD24" s="15" t="n">
        <f aca="false">AD20*Hypothèses!$D$13*$C$4</f>
        <v>70687.2434115639</v>
      </c>
      <c r="AE24" s="15" t="n">
        <f aca="false">AE20*Hypothèses!$D$13*$C$4</f>
        <v>77880.3709774483</v>
      </c>
      <c r="AF24" s="15" t="n">
        <f aca="false">AF20*Hypothèses!$D$13*$C$4</f>
        <v>85001.5672676738</v>
      </c>
      <c r="AG24" s="15" t="n">
        <f aca="false">AG20*Hypothèses!$D$13*$C$4</f>
        <v>92051.5515949971</v>
      </c>
      <c r="AH24" s="15" t="n">
        <f aca="false">AH20*Hypothèses!$D$13*$C$4</f>
        <v>99031.0360790471</v>
      </c>
      <c r="AI24" s="15" t="n">
        <f aca="false">AI20*Hypothèses!$D$13*$C$4</f>
        <v>105940.725718257</v>
      </c>
      <c r="AJ24" s="15" t="n">
        <f aca="false">AJ20*Hypothèses!$D$13*$C$4</f>
        <v>112781.318461074</v>
      </c>
      <c r="AK24" s="15" t="n">
        <f aca="false">AK20*Hypothèses!$D$13*$C$4</f>
        <v>119553.505276463</v>
      </c>
      <c r="AL24" s="15" t="n">
        <f aca="false">AL20*Hypothèses!$D$13*$C$4</f>
        <v>126257.970223699</v>
      </c>
      <c r="AN24" s="15" t="n">
        <f aca="false">SUM(C24:N24)</f>
        <v>23898.1653756522</v>
      </c>
      <c r="AO24" s="15" t="n">
        <f aca="false">SUM(O24:Z24)</f>
        <v>304645.250972484</v>
      </c>
      <c r="AP24" s="15" t="n">
        <f aca="false">SUM(AA24:AL24)</f>
        <v>1057357.99830569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187.695</v>
      </c>
      <c r="G25" s="15" t="n">
        <f aca="false">G21*Hypothèses!$D$14*$C$4</f>
        <v>182.06415</v>
      </c>
      <c r="H25" s="15" t="n">
        <f aca="false">H21*Hypothèses!$D$14*$C$4</f>
        <v>176.6022255</v>
      </c>
      <c r="I25" s="15" t="n">
        <f aca="false">I21*Hypothèses!$D$14*$C$4</f>
        <v>561.836203245</v>
      </c>
      <c r="J25" s="15" t="n">
        <f aca="false">J21*Hypothèses!$D$14*$C$4</f>
        <v>943.21784121255</v>
      </c>
      <c r="K25" s="15" t="n">
        <f aca="false">K21*Hypothèses!$D$14*$C$4</f>
        <v>1320.78566280042</v>
      </c>
      <c r="L25" s="15" t="n">
        <f aca="false">L21*Hypothèses!$D$14*$C$4</f>
        <v>1694.57780617242</v>
      </c>
      <c r="M25" s="15" t="n">
        <f aca="false">M21*Hypothèses!$D$14*$C$4</f>
        <v>2064.6320281107</v>
      </c>
      <c r="N25" s="15" t="n">
        <f aca="false">N21*Hypothèses!$D$14*$C$4</f>
        <v>2430.98570782959</v>
      </c>
      <c r="O25" s="15" t="n">
        <f aca="false">O21*Hypothèses!$D$14*$C$4</f>
        <v>3696.67585075129</v>
      </c>
      <c r="P25" s="15" t="n">
        <f aca="false">P21*Hypothèses!$D$14*$C$4</f>
        <v>4949.70909224378</v>
      </c>
      <c r="Q25" s="15" t="n">
        <f aca="false">Q21*Hypothèses!$D$14*$C$4</f>
        <v>6190.21200132134</v>
      </c>
      <c r="R25" s="15" t="n">
        <f aca="false">R21*Hypothèses!$D$14*$C$4</f>
        <v>7418.30988130813</v>
      </c>
      <c r="S25" s="15" t="n">
        <f aca="false">S21*Hypothèses!$D$14*$C$4</f>
        <v>8634.12678249505</v>
      </c>
      <c r="T25" s="15" t="n">
        <f aca="false">T21*Hypothèses!$D$14*$C$4</f>
        <v>9837.7855146701</v>
      </c>
      <c r="U25" s="15" t="n">
        <f aca="false">U21*Hypothèses!$D$14*$C$4</f>
        <v>11029.4076595234</v>
      </c>
      <c r="V25" s="15" t="n">
        <f aca="false">V21*Hypothèses!$D$14*$C$4</f>
        <v>12209.1135829282</v>
      </c>
      <c r="W25" s="15" t="n">
        <f aca="false">W21*Hypothèses!$D$14*$C$4</f>
        <v>13377.0224470989</v>
      </c>
      <c r="X25" s="15" t="n">
        <f aca="false">X21*Hypothèses!$D$14*$C$4</f>
        <v>14533.2522226279</v>
      </c>
      <c r="Y25" s="15" t="n">
        <f aca="false">Y21*Hypothèses!$D$14*$C$4</f>
        <v>15677.9197004016</v>
      </c>
      <c r="Z25" s="15" t="n">
        <f aca="false">Z21*Hypothèses!$D$14*$C$4</f>
        <v>16811.1405033976</v>
      </c>
      <c r="AA25" s="15" t="n">
        <f aca="false">AA21*Hypothèses!$D$14*$C$4</f>
        <v>19868.0290983636</v>
      </c>
      <c r="AB25" s="15" t="n">
        <f aca="false">AB21*Hypothèses!$D$14*$C$4</f>
        <v>22894.34880738</v>
      </c>
      <c r="AC25" s="15" t="n">
        <f aca="false">AC21*Hypothèses!$D$14*$C$4</f>
        <v>25890.4053193062</v>
      </c>
      <c r="AD25" s="15" t="n">
        <f aca="false">AD21*Hypothèses!$D$14*$C$4</f>
        <v>28856.5012661131</v>
      </c>
      <c r="AE25" s="15" t="n">
        <f aca="false">AE21*Hypothèses!$D$14*$C$4</f>
        <v>31792.936253452</v>
      </c>
      <c r="AF25" s="15" t="n">
        <f aca="false">AF21*Hypothèses!$D$14*$C$4</f>
        <v>34700.0068909175</v>
      </c>
      <c r="AG25" s="15" t="n">
        <f aca="false">AG21*Hypothèses!$D$14*$C$4</f>
        <v>37578.0068220083</v>
      </c>
      <c r="AH25" s="15" t="n">
        <f aca="false">AH21*Hypothèses!$D$14*$C$4</f>
        <v>40427.2267537882</v>
      </c>
      <c r="AI25" s="15" t="n">
        <f aca="false">AI21*Hypothèses!$D$14*$C$4</f>
        <v>43247.9544862503</v>
      </c>
      <c r="AJ25" s="15" t="n">
        <f aca="false">AJ21*Hypothèses!$D$14*$C$4</f>
        <v>46040.4749413878</v>
      </c>
      <c r="AK25" s="15" t="n">
        <f aca="false">AK21*Hypothèses!$D$14*$C$4</f>
        <v>48805.0701919739</v>
      </c>
      <c r="AL25" s="15" t="n">
        <f aca="false">AL21*Hypothèses!$D$14*$C$4</f>
        <v>51542.0194900542</v>
      </c>
      <c r="AN25" s="15" t="n">
        <f aca="false">SUM(C25:N25)</f>
        <v>9755.89662487068</v>
      </c>
      <c r="AO25" s="15" t="n">
        <f aca="false">SUM(O25:Z25)</f>
        <v>124364.675238767</v>
      </c>
      <c r="AP25" s="15" t="n">
        <f aca="false">SUM(AA25:AL25)</f>
        <v>431642.980320995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717.8</v>
      </c>
      <c r="G26" s="40" t="n">
        <f aca="false">G23+G24+G25</f>
        <v>696.266</v>
      </c>
      <c r="H26" s="40" t="n">
        <f aca="false">H23+H24+H25</f>
        <v>675.37802</v>
      </c>
      <c r="I26" s="40" t="n">
        <f aca="false">I23+I24+I25</f>
        <v>2148.6242398</v>
      </c>
      <c r="J26" s="40" t="n">
        <f aca="false">J23+J24+J25</f>
        <v>3607.137997402</v>
      </c>
      <c r="K26" s="40" t="n">
        <f aca="false">K23+K24+K25</f>
        <v>5051.06661742798</v>
      </c>
      <c r="L26" s="40" t="n">
        <f aca="false">L23+L24+L25</f>
        <v>6480.5559512537</v>
      </c>
      <c r="M26" s="40" t="n">
        <f aca="false">M23+M24+M25</f>
        <v>7895.75039174116</v>
      </c>
      <c r="N26" s="40" t="n">
        <f aca="false">N23+N24+N25</f>
        <v>9296.79288782375</v>
      </c>
      <c r="O26" s="40" t="n">
        <f aca="false">O23+O24+O25</f>
        <v>14137.1582922788</v>
      </c>
      <c r="P26" s="40" t="n">
        <f aca="false">P23+P24+P25</f>
        <v>18929.1200426894</v>
      </c>
      <c r="Q26" s="40" t="n">
        <f aca="false">Q23+Q24+Q25</f>
        <v>23673.1621755958</v>
      </c>
      <c r="R26" s="40" t="n">
        <f aca="false">R23+R24+R25</f>
        <v>28369.7638871732</v>
      </c>
      <c r="S26" s="40" t="n">
        <f aca="false">S23+S24+S25</f>
        <v>33019.3995816348</v>
      </c>
      <c r="T26" s="40" t="n">
        <f aca="false">T23+T24+T25</f>
        <v>37622.5389191518</v>
      </c>
      <c r="U26" s="40" t="n">
        <f aca="false">U23+U24+U25</f>
        <v>42179.6468632936</v>
      </c>
      <c r="V26" s="40" t="n">
        <f aca="false">V23+V24+V25</f>
        <v>46691.183727994</v>
      </c>
      <c r="W26" s="40" t="n">
        <f aca="false">W23+W24+W25</f>
        <v>51157.6052240474</v>
      </c>
      <c r="X26" s="40" t="n">
        <f aca="false">X23+X24+X25</f>
        <v>55579.3625051402</v>
      </c>
      <c r="Y26" s="40" t="n">
        <f aca="false">Y23+Y24+Y25</f>
        <v>59956.9022134222</v>
      </c>
      <c r="Z26" s="40" t="n">
        <f aca="false">Z23+Z24+Z25</f>
        <v>64290.6665246213</v>
      </c>
      <c r="AA26" s="40" t="n">
        <f aca="false">AA23+AA24+AA25</f>
        <v>75981.0931927084</v>
      </c>
      <c r="AB26" s="40" t="n">
        <f aca="false">AB23+AB24+AB25</f>
        <v>87554.6155941146</v>
      </c>
      <c r="AC26" s="40" t="n">
        <f aca="false">AC23+AC24+AC25</f>
        <v>99012.4027715068</v>
      </c>
      <c r="AD26" s="40" t="n">
        <f aca="false">AD23+AD24+AD25</f>
        <v>110355.612077125</v>
      </c>
      <c r="AE26" s="40" t="n">
        <f aca="false">AE23+AE24+AE25</f>
        <v>121585.389289687</v>
      </c>
      <c r="AF26" s="40" t="n">
        <f aca="false">AF23+AF24+AF25</f>
        <v>132702.868730124</v>
      </c>
      <c r="AG26" s="40" t="n">
        <f aca="false">AG23+AG24+AG25</f>
        <v>143709.173376156</v>
      </c>
      <c r="AH26" s="40" t="n">
        <f aca="false">AH23+AH24+AH25</f>
        <v>154605.414975728</v>
      </c>
      <c r="AI26" s="40" t="n">
        <f aca="false">AI23+AI24+AI25</f>
        <v>165392.694159304</v>
      </c>
      <c r="AJ26" s="40" t="n">
        <f aca="false">AJ23+AJ24+AJ25</f>
        <v>176072.100551044</v>
      </c>
      <c r="AK26" s="40" t="n">
        <f aca="false">AK23+AK24+AK25</f>
        <v>186644.712878867</v>
      </c>
      <c r="AL26" s="40" t="n">
        <f aca="false">AL23+AL24+AL25</f>
        <v>197111.599083411</v>
      </c>
      <c r="AN26" s="40" t="n">
        <f aca="false">SUM(C26:N26)</f>
        <v>37309.3721054486</v>
      </c>
      <c r="AO26" s="40" t="n">
        <f aca="false">SUM(O26:Z26)</f>
        <v>475606.509957043</v>
      </c>
      <c r="AP26" s="40" t="n">
        <f aca="false">SUM(AA26:AL26)</f>
        <v>1650727.67667978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119.633333333333</v>
      </c>
      <c r="G27" s="15" t="n">
        <f aca="false">G26*Hypothèses!$D$15/(1+Hypothèses!$D$15)</f>
        <v>116.044333333333</v>
      </c>
      <c r="H27" s="15" t="n">
        <f aca="false">H26*Hypothèses!$D$15/(1+Hypothèses!$D$15)</f>
        <v>112.563003333333</v>
      </c>
      <c r="I27" s="15" t="n">
        <f aca="false">I26*Hypothèses!$D$15/(1+Hypothèses!$D$15)</f>
        <v>358.104039966667</v>
      </c>
      <c r="J27" s="15" t="n">
        <f aca="false">J26*Hypothèses!$D$15/(1+Hypothèses!$D$15)</f>
        <v>601.189666233667</v>
      </c>
      <c r="K27" s="15" t="n">
        <f aca="false">K26*Hypothèses!$D$15/(1+Hypothèses!$D$15)</f>
        <v>841.844436237997</v>
      </c>
      <c r="L27" s="15" t="n">
        <f aca="false">L26*Hypothèses!$D$15/(1+Hypothèses!$D$15)</f>
        <v>1080.09265854228</v>
      </c>
      <c r="M27" s="15" t="n">
        <f aca="false">M26*Hypothèses!$D$15/(1+Hypothèses!$D$15)</f>
        <v>1315.95839862353</v>
      </c>
      <c r="N27" s="15" t="n">
        <f aca="false">N26*Hypothèses!$D$15/(1+Hypothèses!$D$15)</f>
        <v>1549.46548130396</v>
      </c>
      <c r="O27" s="15" t="n">
        <f aca="false">O26*Hypothèses!$D$15/(1+Hypothèses!$D$15)</f>
        <v>2356.19304871314</v>
      </c>
      <c r="P27" s="15" t="n">
        <f aca="false">P26*Hypothèses!$D$15/(1+Hypothèses!$D$15)</f>
        <v>3154.85334044823</v>
      </c>
      <c r="Q27" s="15" t="n">
        <f aca="false">Q26*Hypothèses!$D$15/(1+Hypothèses!$D$15)</f>
        <v>3945.52702926597</v>
      </c>
      <c r="R27" s="15" t="n">
        <f aca="false">R26*Hypothèses!$D$15/(1+Hypothèses!$D$15)</f>
        <v>4728.29398119554</v>
      </c>
      <c r="S27" s="15" t="n">
        <f aca="false">S26*Hypothèses!$D$15/(1+Hypothèses!$D$15)</f>
        <v>5503.2332636058</v>
      </c>
      <c r="T27" s="15" t="n">
        <f aca="false">T26*Hypothèses!$D$15/(1+Hypothèses!$D$15)</f>
        <v>6270.42315319197</v>
      </c>
      <c r="U27" s="15" t="n">
        <f aca="false">U26*Hypothèses!$D$15/(1+Hypothèses!$D$15)</f>
        <v>7029.94114388227</v>
      </c>
      <c r="V27" s="15" t="n">
        <f aca="false">V26*Hypothèses!$D$15/(1+Hypothèses!$D$15)</f>
        <v>7781.86395466566</v>
      </c>
      <c r="W27" s="15" t="n">
        <f aca="false">W26*Hypothèses!$D$15/(1+Hypothèses!$D$15)</f>
        <v>8526.26753734123</v>
      </c>
      <c r="X27" s="15" t="n">
        <f aca="false">X26*Hypothèses!$D$15/(1+Hypothèses!$D$15)</f>
        <v>9263.22708419004</v>
      </c>
      <c r="Y27" s="15" t="n">
        <f aca="false">Y26*Hypothèses!$D$15/(1+Hypothèses!$D$15)</f>
        <v>9992.81703557036</v>
      </c>
      <c r="Z27" s="15" t="n">
        <f aca="false">Z26*Hypothèses!$D$15/(1+Hypothèses!$D$15)</f>
        <v>10715.1110874369</v>
      </c>
      <c r="AA27" s="15" t="n">
        <f aca="false">AA26*Hypothèses!$D$15/(1+Hypothèses!$D$15)</f>
        <v>12663.5155321181</v>
      </c>
      <c r="AB27" s="15" t="n">
        <f aca="false">AB26*Hypothèses!$D$15/(1+Hypothèses!$D$15)</f>
        <v>14592.4359323524</v>
      </c>
      <c r="AC27" s="15" t="n">
        <f aca="false">AC26*Hypothèses!$D$15/(1+Hypothèses!$D$15)</f>
        <v>16502.0671285845</v>
      </c>
      <c r="AD27" s="15" t="n">
        <f aca="false">AD26*Hypothèses!$D$15/(1+Hypothèses!$D$15)</f>
        <v>18392.6020128542</v>
      </c>
      <c r="AE27" s="15" t="n">
        <f aca="false">AE26*Hypothèses!$D$15/(1+Hypothèses!$D$15)</f>
        <v>20264.2315482812</v>
      </c>
      <c r="AF27" s="15" t="n">
        <f aca="false">AF26*Hypothèses!$D$15/(1+Hypothèses!$D$15)</f>
        <v>22117.1447883539</v>
      </c>
      <c r="AG27" s="15" t="n">
        <f aca="false">AG26*Hypothèses!$D$15/(1+Hypothèses!$D$15)</f>
        <v>23951.528896026</v>
      </c>
      <c r="AH27" s="15" t="n">
        <f aca="false">AH26*Hypothèses!$D$15/(1+Hypothèses!$D$15)</f>
        <v>25767.5691626213</v>
      </c>
      <c r="AI27" s="15" t="n">
        <f aca="false">AI26*Hypothèses!$D$15/(1+Hypothèses!$D$15)</f>
        <v>27565.4490265506</v>
      </c>
      <c r="AJ27" s="15" t="n">
        <f aca="false">AJ26*Hypothèses!$D$15/(1+Hypothèses!$D$15)</f>
        <v>29345.3500918407</v>
      </c>
      <c r="AK27" s="15" t="n">
        <f aca="false">AK26*Hypothèses!$D$15/(1+Hypothèses!$D$15)</f>
        <v>31107.4521464778</v>
      </c>
      <c r="AL27" s="15" t="n">
        <f aca="false">AL26*Hypothèses!$D$15/(1+Hypothèses!$D$15)</f>
        <v>32851.9331805686</v>
      </c>
      <c r="AN27" s="15" t="n">
        <f aca="false">SUM(C27:N27)</f>
        <v>6218.22868424143</v>
      </c>
      <c r="AO27" s="15" t="n">
        <f aca="false">SUM(O27:Z27)</f>
        <v>79267.7516595071</v>
      </c>
      <c r="AP27" s="15" t="n">
        <f aca="false">SUM(AA27:AL27)</f>
        <v>275121.279446629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598.166666666667</v>
      </c>
      <c r="G28" s="40" t="n">
        <f aca="false">G26-G27</f>
        <v>580.221666666667</v>
      </c>
      <c r="H28" s="40" t="n">
        <f aca="false">H26-H27</f>
        <v>562.815016666667</v>
      </c>
      <c r="I28" s="40" t="n">
        <f aca="false">I26-I27</f>
        <v>1790.52019983333</v>
      </c>
      <c r="J28" s="40" t="n">
        <f aca="false">J26-J27</f>
        <v>3005.94833116833</v>
      </c>
      <c r="K28" s="40" t="n">
        <f aca="false">K26-K27</f>
        <v>4209.22218118998</v>
      </c>
      <c r="L28" s="40" t="n">
        <f aca="false">L26-L27</f>
        <v>5400.46329271142</v>
      </c>
      <c r="M28" s="40" t="n">
        <f aca="false">M26-M27</f>
        <v>6579.79199311764</v>
      </c>
      <c r="N28" s="40" t="n">
        <f aca="false">N26-N27</f>
        <v>7747.32740651979</v>
      </c>
      <c r="O28" s="40" t="n">
        <f aca="false">O26-O27</f>
        <v>11780.9652435657</v>
      </c>
      <c r="P28" s="40" t="n">
        <f aca="false">P26-P27</f>
        <v>15774.2667022412</v>
      </c>
      <c r="Q28" s="40" t="n">
        <f aca="false">Q26-Q27</f>
        <v>19727.6351463299</v>
      </c>
      <c r="R28" s="40" t="n">
        <f aca="false">R26-R27</f>
        <v>23641.4699059777</v>
      </c>
      <c r="S28" s="40" t="n">
        <f aca="false">S26-S27</f>
        <v>27516.166318029</v>
      </c>
      <c r="T28" s="40" t="n">
        <f aca="false">T26-T27</f>
        <v>31352.1157659598</v>
      </c>
      <c r="U28" s="40" t="n">
        <f aca="false">U26-U27</f>
        <v>35149.7057194113</v>
      </c>
      <c r="V28" s="40" t="n">
        <f aca="false">V26-V27</f>
        <v>38909.3197733283</v>
      </c>
      <c r="W28" s="40" t="n">
        <f aca="false">W26-W27</f>
        <v>42631.3376867061</v>
      </c>
      <c r="X28" s="40" t="n">
        <f aca="false">X26-X27</f>
        <v>46316.1354209502</v>
      </c>
      <c r="Y28" s="40" t="n">
        <f aca="false">Y26-Y27</f>
        <v>49964.0851778518</v>
      </c>
      <c r="Z28" s="40" t="n">
        <f aca="false">Z26-Z27</f>
        <v>53575.5554371844</v>
      </c>
      <c r="AA28" s="40" t="n">
        <f aca="false">AA26-AA27</f>
        <v>63317.5776605903</v>
      </c>
      <c r="AB28" s="40" t="n">
        <f aca="false">AB26-AB27</f>
        <v>72962.1796617622</v>
      </c>
      <c r="AC28" s="40" t="n">
        <f aca="false">AC26-AC27</f>
        <v>82510.3356429224</v>
      </c>
      <c r="AD28" s="40" t="n">
        <f aca="false">AD26-AD27</f>
        <v>91963.0100642709</v>
      </c>
      <c r="AE28" s="40" t="n">
        <f aca="false">AE26-AE27</f>
        <v>101321.157741406</v>
      </c>
      <c r="AF28" s="40" t="n">
        <f aca="false">AF26-AF27</f>
        <v>110585.72394177</v>
      </c>
      <c r="AG28" s="40" t="n">
        <f aca="false">AG26-AG27</f>
        <v>119757.64448013</v>
      </c>
      <c r="AH28" s="40" t="n">
        <f aca="false">AH26-AH27</f>
        <v>128837.845813106</v>
      </c>
      <c r="AI28" s="40" t="n">
        <f aca="false">AI26-AI27</f>
        <v>137827.245132753</v>
      </c>
      <c r="AJ28" s="40" t="n">
        <f aca="false">AJ26-AJ27</f>
        <v>146726.750459203</v>
      </c>
      <c r="AK28" s="40" t="n">
        <f aca="false">AK26-AK27</f>
        <v>155537.260732389</v>
      </c>
      <c r="AL28" s="40" t="n">
        <f aca="false">AL26-AL27</f>
        <v>164259.665902843</v>
      </c>
      <c r="AN28" s="40" t="n">
        <f aca="false">SUM(C28:N28)</f>
        <v>31091.1434212072</v>
      </c>
      <c r="AO28" s="40" t="n">
        <f aca="false">SUM(O28:Z28)</f>
        <v>396338.758297536</v>
      </c>
      <c r="AP28" s="40" t="n">
        <f aca="false">SUM(AA28:AL28)</f>
        <v>1375606.39723315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7.178</v>
      </c>
      <c r="G29" s="15" t="n">
        <f aca="false">G26*Hypothèses!$D$27</f>
        <v>6.96266</v>
      </c>
      <c r="H29" s="15" t="n">
        <f aca="false">H26*Hypothèses!$D$27</f>
        <v>6.7537802</v>
      </c>
      <c r="I29" s="15" t="n">
        <f aca="false">I26*Hypothèses!$D$27</f>
        <v>21.486242398</v>
      </c>
      <c r="J29" s="15" t="n">
        <f aca="false">J26*Hypothèses!$D$27</f>
        <v>36.07137997402</v>
      </c>
      <c r="K29" s="15" t="n">
        <f aca="false">K26*Hypothèses!$D$27</f>
        <v>50.5106661742798</v>
      </c>
      <c r="L29" s="15" t="n">
        <f aca="false">L26*Hypothèses!$D$27</f>
        <v>64.805559512537</v>
      </c>
      <c r="M29" s="15" t="n">
        <f aca="false">M26*Hypothèses!$D$27</f>
        <v>78.9575039174116</v>
      </c>
      <c r="N29" s="15" t="n">
        <f aca="false">N26*Hypothèses!$D$27</f>
        <v>92.9679288782375</v>
      </c>
      <c r="O29" s="15" t="n">
        <f aca="false">O26*Hypothèses!$D$27</f>
        <v>141.371582922788</v>
      </c>
      <c r="P29" s="15" t="n">
        <f aca="false">P26*Hypothèses!$D$27</f>
        <v>189.291200426894</v>
      </c>
      <c r="Q29" s="15" t="n">
        <f aca="false">Q26*Hypothèses!$D$27</f>
        <v>236.731621755958</v>
      </c>
      <c r="R29" s="15" t="n">
        <f aca="false">R26*Hypothèses!$D$27</f>
        <v>283.697638871732</v>
      </c>
      <c r="S29" s="15" t="n">
        <f aca="false">S26*Hypothèses!$D$27</f>
        <v>330.193995816348</v>
      </c>
      <c r="T29" s="15" t="n">
        <f aca="false">T26*Hypothèses!$D$27</f>
        <v>376.225389191518</v>
      </c>
      <c r="U29" s="15" t="n">
        <f aca="false">U26*Hypothèses!$D$27</f>
        <v>421.796468632936</v>
      </c>
      <c r="V29" s="15" t="n">
        <f aca="false">V26*Hypothèses!$D$27</f>
        <v>466.91183727994</v>
      </c>
      <c r="W29" s="15" t="n">
        <f aca="false">W26*Hypothèses!$D$27</f>
        <v>511.576052240474</v>
      </c>
      <c r="X29" s="15" t="n">
        <f aca="false">X26*Hypothèses!$D$27</f>
        <v>555.793625051402</v>
      </c>
      <c r="Y29" s="15" t="n">
        <f aca="false">Y26*Hypothèses!$D$27</f>
        <v>599.569022134222</v>
      </c>
      <c r="Z29" s="15" t="n">
        <f aca="false">Z26*Hypothèses!$D$27</f>
        <v>642.906665246213</v>
      </c>
      <c r="AA29" s="15" t="n">
        <f aca="false">AA26*Hypothèses!$D$27</f>
        <v>759.810931927084</v>
      </c>
      <c r="AB29" s="15" t="n">
        <f aca="false">AB26*Hypothèses!$D$27</f>
        <v>875.546155941147</v>
      </c>
      <c r="AC29" s="15" t="n">
        <f aca="false">AC26*Hypothèses!$D$27</f>
        <v>990.124027715068</v>
      </c>
      <c r="AD29" s="15" t="n">
        <f aca="false">AD26*Hypothèses!$D$27</f>
        <v>1103.55612077125</v>
      </c>
      <c r="AE29" s="15" t="n">
        <f aca="false">AE26*Hypothèses!$D$27</f>
        <v>1215.85389289687</v>
      </c>
      <c r="AF29" s="15" t="n">
        <f aca="false">AF26*Hypothèses!$D$27</f>
        <v>1327.02868730124</v>
      </c>
      <c r="AG29" s="15" t="n">
        <f aca="false">AG26*Hypothèses!$D$27</f>
        <v>1437.09173376156</v>
      </c>
      <c r="AH29" s="15" t="n">
        <f aca="false">AH26*Hypothèses!$D$27</f>
        <v>1546.05414975728</v>
      </c>
      <c r="AI29" s="15" t="n">
        <f aca="false">AI26*Hypothèses!$D$27</f>
        <v>1653.92694159304</v>
      </c>
      <c r="AJ29" s="15" t="n">
        <f aca="false">AJ26*Hypothèses!$D$27</f>
        <v>1760.72100551044</v>
      </c>
      <c r="AK29" s="15" t="n">
        <f aca="false">AK26*Hypothèses!$D$27</f>
        <v>1866.44712878867</v>
      </c>
      <c r="AL29" s="15" t="n">
        <f aca="false">AL26*Hypothèses!$D$27</f>
        <v>1971.11599083411</v>
      </c>
      <c r="AN29" s="15" t="n">
        <f aca="false">SUM(C29:N29)</f>
        <v>373.093721054486</v>
      </c>
      <c r="AO29" s="15" t="n">
        <f aca="false">SUM(O29:Z29)</f>
        <v>4756.06509957043</v>
      </c>
      <c r="AP29" s="15" t="n">
        <f aca="false">SUM(AA29:AL29)</f>
        <v>16507.2767667977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13.08433</v>
      </c>
      <c r="G30" s="15" t="n">
        <f aca="false">(G26-G29)*Hypothèses!$D$28+G18*Hypothèses!$D$29</f>
        <v>12.6918001</v>
      </c>
      <c r="H30" s="15" t="n">
        <f aca="false">(H26-H29)*Hypothèses!$D$28+H18*Hypothèses!$D$29</f>
        <v>12.311046097</v>
      </c>
      <c r="I30" s="15" t="n">
        <f aca="false">(I26-I29)*Hypothèses!$D$28+I18*Hypothèses!$D$29</f>
        <v>39.16593563603</v>
      </c>
      <c r="J30" s="15" t="n">
        <f aca="false">(J26-J29)*Hypothèses!$D$28+J18*Hypothèses!$D$29</f>
        <v>65.7522762796697</v>
      </c>
      <c r="K30" s="15" t="n">
        <f aca="false">(K26-K29)*Hypothèses!$D$28+K18*Hypothèses!$D$29</f>
        <v>92.072753516873</v>
      </c>
      <c r="L30" s="15" t="n">
        <f aca="false">(L26-L29)*Hypothèses!$D$28+L18*Hypothèses!$D$29</f>
        <v>118.130025981704</v>
      </c>
      <c r="M30" s="15" t="n">
        <f aca="false">(M26-M29)*Hypothèses!$D$28+M18*Hypothèses!$D$29</f>
        <v>143.926725721887</v>
      </c>
      <c r="N30" s="15" t="n">
        <f aca="false">(N26-N29)*Hypothèses!$D$28+N18*Hypothèses!$D$29</f>
        <v>169.465458464668</v>
      </c>
      <c r="O30" s="15" t="n">
        <f aca="false">(O26-O29)*Hypothèses!$D$28+O18*Hypothèses!$D$29</f>
        <v>257.697470546688</v>
      </c>
      <c r="P30" s="15" t="n">
        <f aca="false">(P26-P29)*Hypothèses!$D$28+P18*Hypothèses!$D$29</f>
        <v>345.047162507888</v>
      </c>
      <c r="Q30" s="15" t="n">
        <f aca="false">(Q26-Q29)*Hypothèses!$D$28+Q18*Hypothèses!$D$29</f>
        <v>431.523357549476</v>
      </c>
      <c r="R30" s="15" t="n">
        <f aca="false">(R26-R29)*Hypothèses!$D$28+R18*Hypothèses!$D$29</f>
        <v>517.134790640648</v>
      </c>
      <c r="S30" s="15" t="n">
        <f aca="false">(S26-S29)*Hypothèses!$D$28+S18*Hypothèses!$D$29</f>
        <v>601.890109400908</v>
      </c>
      <c r="T30" s="15" t="n">
        <f aca="false">(T26-T29)*Hypothèses!$D$28+T18*Hypothèses!$D$29</f>
        <v>685.797874973566</v>
      </c>
      <c r="U30" s="15" t="n">
        <f aca="false">(U26-U29)*Hypothèses!$D$28+U18*Hypothèses!$D$29</f>
        <v>768.866562890496</v>
      </c>
      <c r="V30" s="15" t="n">
        <f aca="false">(V26-V29)*Hypothèses!$D$28+V18*Hypothèses!$D$29</f>
        <v>851.104563928258</v>
      </c>
      <c r="W30" s="15" t="n">
        <f aca="false">(W26-W29)*Hypothèses!$D$28+W18*Hypothèses!$D$29</f>
        <v>932.520184955642</v>
      </c>
      <c r="X30" s="15" t="n">
        <f aca="false">(X26-X29)*Hypothèses!$D$28+X18*Hypothèses!$D$29</f>
        <v>1013.12164977275</v>
      </c>
      <c r="Y30" s="15" t="n">
        <f aca="false">(Y26-Y29)*Hypothèses!$D$28+Y18*Hypothèses!$D$29</f>
        <v>1092.91709994169</v>
      </c>
      <c r="Z30" s="15" t="n">
        <f aca="false">(Z26-Z29)*Hypothèses!$D$28+Z18*Hypothèses!$D$29</f>
        <v>1171.91459560894</v>
      </c>
      <c r="AA30" s="15" t="n">
        <f aca="false">(AA26-AA29)*Hypothèses!$D$28+AA18*Hypothèses!$D$29</f>
        <v>1385.01211631952</v>
      </c>
      <c r="AB30" s="15" t="n">
        <f aca="false">(AB26-AB29)*Hypothèses!$D$28+AB18*Hypothèses!$D$29</f>
        <v>1595.97866182299</v>
      </c>
      <c r="AC30" s="15" t="n">
        <f aca="false">(AC26-AC29)*Hypothèses!$D$28+AC18*Hypothèses!$D$29</f>
        <v>1804.83554187143</v>
      </c>
      <c r="AD30" s="15" t="n">
        <f aca="false">(AD26-AD29)*Hypothèses!$D$28+AD18*Hypothèses!$D$29</f>
        <v>2011.60385311938</v>
      </c>
      <c r="AE30" s="15" t="n">
        <f aca="false">(AE26-AE29)*Hypothèses!$D$28+AE18*Hypothèses!$D$29</f>
        <v>2216.30448125485</v>
      </c>
      <c r="AF30" s="15" t="n">
        <f aca="false">(AF26-AF29)*Hypothèses!$D$28+AF18*Hypothèses!$D$29</f>
        <v>2418.95810310897</v>
      </c>
      <c r="AG30" s="15" t="n">
        <f aca="false">(AG26-AG29)*Hypothèses!$D$28+AG18*Hypothèses!$D$29</f>
        <v>2619.58518874455</v>
      </c>
      <c r="AH30" s="15" t="n">
        <f aca="false">(AH26-AH29)*Hypothèses!$D$28+AH18*Hypothèses!$D$29</f>
        <v>2818.20600352377</v>
      </c>
      <c r="AI30" s="15" t="n">
        <f aca="false">(AI26-AI29)*Hypothèses!$D$28+AI18*Hypothèses!$D$29</f>
        <v>3014.8406101552</v>
      </c>
      <c r="AJ30" s="15" t="n">
        <f aca="false">(AJ26-AJ29)*Hypothèses!$D$28+AJ18*Hypothèses!$D$29</f>
        <v>3209.50887072031</v>
      </c>
      <c r="AK30" s="15" t="n">
        <f aca="false">(AK26-AK29)*Hypothèses!$D$28+AK18*Hypothèses!$D$29</f>
        <v>3402.23044867978</v>
      </c>
      <c r="AL30" s="15" t="n">
        <f aca="false">(AL26-AL29)*Hypothèses!$D$28+AL18*Hypothèses!$D$29</f>
        <v>3593.02481085964</v>
      </c>
      <c r="AN30" s="15" t="n">
        <f aca="false">SUM(C30:N30)</f>
        <v>680.089351797833</v>
      </c>
      <c r="AO30" s="15" t="n">
        <f aca="false">SUM(O30:Z30)</f>
        <v>8669.53542271696</v>
      </c>
      <c r="AP30" s="15" t="n">
        <f aca="false">SUM(AA30:AL30)</f>
        <v>30090.0886901804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697.53767</v>
      </c>
      <c r="G31" s="40" t="n">
        <f aca="false">G26-G29-G30</f>
        <v>676.6115399</v>
      </c>
      <c r="H31" s="40" t="n">
        <f aca="false">H26-H29-H30</f>
        <v>656.313193703</v>
      </c>
      <c r="I31" s="40" t="n">
        <f aca="false">I26-I29-I30</f>
        <v>2087.97206176597</v>
      </c>
      <c r="J31" s="40" t="n">
        <f aca="false">J26-J29-J30</f>
        <v>3505.31434114831</v>
      </c>
      <c r="K31" s="40" t="n">
        <f aca="false">K26-K29-K30</f>
        <v>4908.48319773683</v>
      </c>
      <c r="L31" s="40" t="n">
        <f aca="false">L26-L29-L30</f>
        <v>6297.62036575946</v>
      </c>
      <c r="M31" s="40" t="n">
        <f aca="false">M26-M29-M30</f>
        <v>7672.86616210186</v>
      </c>
      <c r="N31" s="40" t="n">
        <f aca="false">N26-N29-N30</f>
        <v>9034.35950048085</v>
      </c>
      <c r="O31" s="40" t="n">
        <f aca="false">O26-O29-O30</f>
        <v>13738.0892388094</v>
      </c>
      <c r="P31" s="40" t="n">
        <f aca="false">P26-P29-P30</f>
        <v>18394.7816797546</v>
      </c>
      <c r="Q31" s="40" t="n">
        <f aca="false">Q26-Q29-Q30</f>
        <v>23004.9071962904</v>
      </c>
      <c r="R31" s="40" t="n">
        <f aca="false">R26-R29-R30</f>
        <v>27568.9314576608</v>
      </c>
      <c r="S31" s="40" t="n">
        <f aca="false">S26-S29-S30</f>
        <v>32087.3154764176</v>
      </c>
      <c r="T31" s="40" t="n">
        <f aca="false">T26-T29-T30</f>
        <v>36560.5156549867</v>
      </c>
      <c r="U31" s="40" t="n">
        <f aca="false">U26-U29-U30</f>
        <v>40988.9838317702</v>
      </c>
      <c r="V31" s="40" t="n">
        <f aca="false">V26-V29-V30</f>
        <v>45373.1673267858</v>
      </c>
      <c r="W31" s="40" t="n">
        <f aca="false">W26-W29-W30</f>
        <v>49713.5089868513</v>
      </c>
      <c r="X31" s="40" t="n">
        <f aca="false">X26-X29-X30</f>
        <v>54010.4472303161</v>
      </c>
      <c r="Y31" s="40" t="n">
        <f aca="false">Y26-Y29-Y30</f>
        <v>58264.4160913463</v>
      </c>
      <c r="Z31" s="40" t="n">
        <f aca="false">Z26-Z29-Z30</f>
        <v>62475.8452637661</v>
      </c>
      <c r="AA31" s="40" t="n">
        <f aca="false">AA26-AA29-AA30</f>
        <v>73836.2701444618</v>
      </c>
      <c r="AB31" s="40" t="n">
        <f aca="false">AB26-AB29-AB30</f>
        <v>85083.0907763505</v>
      </c>
      <c r="AC31" s="40" t="n">
        <f aca="false">AC26-AC29-AC30</f>
        <v>96217.4432019204</v>
      </c>
      <c r="AD31" s="40" t="n">
        <f aca="false">AD26-AD29-AD30</f>
        <v>107240.452103234</v>
      </c>
      <c r="AE31" s="40" t="n">
        <f aca="false">AE26-AE29-AE30</f>
        <v>118153.230915535</v>
      </c>
      <c r="AF31" s="40" t="n">
        <f aca="false">AF26-AF29-AF30</f>
        <v>128956.881939713</v>
      </c>
      <c r="AG31" s="40" t="n">
        <f aca="false">AG26-AG29-AG30</f>
        <v>139652.49645365</v>
      </c>
      <c r="AH31" s="40" t="n">
        <f aca="false">AH26-AH29-AH30</f>
        <v>150241.154822447</v>
      </c>
      <c r="AI31" s="40" t="n">
        <f aca="false">AI26-AI29-AI30</f>
        <v>160723.926607555</v>
      </c>
      <c r="AJ31" s="40" t="n">
        <f aca="false">AJ26-AJ29-AJ30</f>
        <v>171101.870674813</v>
      </c>
      <c r="AK31" s="40" t="n">
        <f aca="false">AK26-AK29-AK30</f>
        <v>181376.035301398</v>
      </c>
      <c r="AL31" s="40" t="n">
        <f aca="false">AL26-AL29-AL30</f>
        <v>191547.458281718</v>
      </c>
      <c r="AN31" s="40" t="n">
        <f aca="false">SUM(C31:N31)</f>
        <v>36256.1890325963</v>
      </c>
      <c r="AO31" s="40" t="n">
        <f aca="false">SUM(O31:Z31)</f>
        <v>462180.909434755</v>
      </c>
      <c r="AP31" s="40" t="n">
        <f aca="false">SUM(AA31:AL31)</f>
        <v>1604130.3112228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65.40327</v>
      </c>
      <c r="F33" s="15" t="n">
        <f aca="false">(F19*Hypothèses!$D$31+F20*Hypothèses!$D$32+F21*Hypothèses!$D$33)*Hypothèses!$D$34*$F$4</f>
        <v>63.4411719</v>
      </c>
      <c r="G33" s="15" t="n">
        <f aca="false">(G19*Hypothèses!$D$31+G20*Hypothèses!$D$32+G21*Hypothèses!$D$33)*Hypothèses!$D$34*$F$4</f>
        <v>61.537936743</v>
      </c>
      <c r="H33" s="15" t="n">
        <f aca="false">(H19*Hypothèses!$D$31+H20*Hypothèses!$D$32+H21*Hypothèses!$D$33)*Hypothèses!$D$34*$F$4</f>
        <v>59.69179864071</v>
      </c>
      <c r="I33" s="15" t="n">
        <f aca="false">(I19*Hypothèses!$D$31+I20*Hypothèses!$D$32+I21*Hypothèses!$D$33)*Hypothèses!$D$34*$F$4</f>
        <v>189.901420654303</v>
      </c>
      <c r="J33" s="15" t="n">
        <f aca="false">(J19*Hypothèses!$D$31+J20*Hypothèses!$D$32+J21*Hypothèses!$D$33)*Hypothèses!$D$34*$F$4</f>
        <v>318.80894644776</v>
      </c>
      <c r="K33" s="15" t="n">
        <f aca="false">(K19*Hypothèses!$D$31+K20*Hypothèses!$D$32+K21*Hypothèses!$D$33)*Hypothèses!$D$34*$F$4</f>
        <v>446.427396983282</v>
      </c>
      <c r="L33" s="15" t="n">
        <f aca="false">(L19*Hypothèses!$D$31+L20*Hypothèses!$D$32+L21*Hypothèses!$D$33)*Hypothèses!$D$34*$F$4</f>
        <v>572.769663013449</v>
      </c>
      <c r="M33" s="15" t="n">
        <f aca="false">(M19*Hypothèses!$D$31+M20*Hypothèses!$D$32+M21*Hypothèses!$D$33)*Hypothèses!$D$34*$F$4</f>
        <v>697.848506383315</v>
      </c>
      <c r="N33" s="15" t="n">
        <f aca="false">(N19*Hypothèses!$D$31+N20*Hypothèses!$D$32+N21*Hypothèses!$D$33)*Hypothèses!$D$34*$F$4</f>
        <v>821.676561319482</v>
      </c>
      <c r="O33" s="15" t="n">
        <f aca="false">(O19*Hypothèses!$D$31+O20*Hypothèses!$D$32+O21*Hypothèses!$D$33)*Hypothèses!$D$34*$F$4</f>
        <v>1249.48159570629</v>
      </c>
      <c r="P33" s="15" t="n">
        <f aca="false">(P19*Hypothèses!$D$31+P20*Hypothèses!$D$32+P21*Hypothèses!$D$33)*Hypothèses!$D$34*$F$4</f>
        <v>1673.00857974922</v>
      </c>
      <c r="Q33" s="15" t="n">
        <f aca="false">(Q19*Hypothèses!$D$31+Q20*Hypothèses!$D$32+Q21*Hypothèses!$D$33)*Hypothèses!$D$34*$F$4</f>
        <v>2092.30029395173</v>
      </c>
      <c r="R33" s="15" t="n">
        <f aca="false">(R19*Hypothèses!$D$31+R20*Hypothèses!$D$32+R21*Hypothèses!$D$33)*Hypothèses!$D$34*$F$4</f>
        <v>2507.39909101221</v>
      </c>
      <c r="S33" s="15" t="n">
        <f aca="false">(S19*Hypothèses!$D$31+S20*Hypothèses!$D$32+S21*Hypothèses!$D$33)*Hypothèses!$D$34*$F$4</f>
        <v>2918.34690010209</v>
      </c>
      <c r="T33" s="15" t="n">
        <f aca="false">(T19*Hypothèses!$D$31+T20*Hypothèses!$D$32+T21*Hypothèses!$D$33)*Hypothèses!$D$34*$F$4</f>
        <v>3325.18523110107</v>
      </c>
      <c r="U33" s="15" t="n">
        <f aca="false">(U19*Hypothèses!$D$31+U20*Hypothèses!$D$32+U21*Hypothèses!$D$33)*Hypothèses!$D$34*$F$4</f>
        <v>3727.95517879006</v>
      </c>
      <c r="V33" s="15" t="n">
        <f aca="false">(V19*Hypothèses!$D$31+V20*Hypothèses!$D$32+V21*Hypothèses!$D$33)*Hypothèses!$D$34*$F$4</f>
        <v>4126.69742700216</v>
      </c>
      <c r="W33" s="15" t="n">
        <f aca="false">(W19*Hypothèses!$D$31+W20*Hypothèses!$D$32+W21*Hypothèses!$D$33)*Hypothèses!$D$34*$F$4</f>
        <v>4521.45225273214</v>
      </c>
      <c r="X33" s="15" t="n">
        <f aca="false">(X19*Hypothèses!$D$31+X20*Hypothèses!$D$32+X21*Hypothèses!$D$33)*Hypothèses!$D$34*$F$4</f>
        <v>4912.25953020482</v>
      </c>
      <c r="Y33" s="15" t="n">
        <f aca="false">(Y19*Hypothèses!$D$31+Y20*Hypothèses!$D$32+Y21*Hypothèses!$D$33)*Hypothèses!$D$34*$F$4</f>
        <v>5299.15873490277</v>
      </c>
      <c r="Z33" s="15" t="n">
        <f aca="false">(Z19*Hypothèses!$D$31+Z20*Hypothèses!$D$32+Z21*Hypothèses!$D$33)*Hypothèses!$D$34*$F$4</f>
        <v>5682.18894755374</v>
      </c>
      <c r="AA33" s="15" t="n">
        <f aca="false">(AA19*Hypothèses!$D$31+AA20*Hypothèses!$D$32+AA21*Hypothèses!$D$33)*Hypothèses!$D$34*$F$4</f>
        <v>6715.4215580782</v>
      </c>
      <c r="AB33" s="15" t="n">
        <f aca="false">(AB19*Hypothèses!$D$31+AB20*Hypothèses!$D$32+AB21*Hypothèses!$D$33)*Hypothèses!$D$34*$F$4</f>
        <v>7738.32184249742</v>
      </c>
      <c r="AC33" s="15" t="n">
        <f aca="false">(AC19*Hypothèses!$D$31+AC20*Hypothèses!$D$32+AC21*Hypothèses!$D$33)*Hypothèses!$D$34*$F$4</f>
        <v>8750.99312407245</v>
      </c>
      <c r="AD33" s="15" t="n">
        <f aca="false">(AD19*Hypothèses!$D$31+AD20*Hypothèses!$D$32+AD21*Hypothèses!$D$33)*Hypothèses!$D$34*$F$4</f>
        <v>9753.53769283172</v>
      </c>
      <c r="AE33" s="15" t="n">
        <f aca="false">(AE19*Hypothèses!$D$31+AE20*Hypothèses!$D$32+AE21*Hypothèses!$D$33)*Hypothèses!$D$34*$F$4</f>
        <v>10746.0568159034</v>
      </c>
      <c r="AF33" s="15" t="n">
        <f aca="false">(AF19*Hypothèses!$D$31+AF20*Hypothèses!$D$32+AF21*Hypothèses!$D$33)*Hypothèses!$D$34*$F$4</f>
        <v>11728.6507477444</v>
      </c>
      <c r="AG33" s="15" t="n">
        <f aca="false">(AG19*Hypothèses!$D$31+AG20*Hypothèses!$D$32+AG21*Hypothèses!$D$33)*Hypothèses!$D$34*$F$4</f>
        <v>12701.4187402669</v>
      </c>
      <c r="AH33" s="15" t="n">
        <f aca="false">(AH19*Hypothèses!$D$31+AH20*Hypothèses!$D$32+AH21*Hypothèses!$D$33)*Hypothèses!$D$34*$F$4</f>
        <v>13664.4590528643</v>
      </c>
      <c r="AI33" s="15" t="n">
        <f aca="false">(AI19*Hypothèses!$D$31+AI20*Hypothèses!$D$32+AI21*Hypothèses!$D$33)*Hypothèses!$D$34*$F$4</f>
        <v>14617.8689623356</v>
      </c>
      <c r="AJ33" s="15" t="n">
        <f aca="false">(AJ19*Hypothèses!$D$31+AJ20*Hypothèses!$D$32+AJ21*Hypothèses!$D$33)*Hypothèses!$D$34*$F$4</f>
        <v>15561.7447727123</v>
      </c>
      <c r="AK33" s="15" t="n">
        <f aca="false">(AK19*Hypothèses!$D$31+AK20*Hypothèses!$D$32+AK21*Hypothèses!$D$33)*Hypothèses!$D$34*$F$4</f>
        <v>16496.1818249851</v>
      </c>
      <c r="AL33" s="15" t="n">
        <f aca="false">(AL19*Hypothèses!$D$31+AL20*Hypothèses!$D$32+AL21*Hypothèses!$D$33)*Hypothèses!$D$34*$F$4</f>
        <v>17421.2745067353</v>
      </c>
      <c r="AN33" s="15" t="n">
        <f aca="false">SUM(C33:N33)</f>
        <v>3297.5066720853</v>
      </c>
      <c r="AO33" s="15" t="n">
        <f aca="false">SUM(O33:Z33)</f>
        <v>42035.4337628083</v>
      </c>
      <c r="AP33" s="15" t="n">
        <f aca="false">SUM(AA33:AL33)</f>
        <v>145895.929641027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43.55319405</v>
      </c>
      <c r="J34" s="15" t="n">
        <f aca="false">J18*Hypothèses!$D$35</f>
        <v>73.1176621095</v>
      </c>
      <c r="K34" s="15" t="n">
        <f aca="false">K18*Hypothèses!$D$35</f>
        <v>102.386485488405</v>
      </c>
      <c r="L34" s="15" t="n">
        <f aca="false">L18*Hypothèses!$D$35</f>
        <v>131.362620633521</v>
      </c>
      <c r="M34" s="15" t="n">
        <f aca="false">M18*Hypothèses!$D$35</f>
        <v>160.048994427186</v>
      </c>
      <c r="N34" s="15" t="n">
        <f aca="false">N18*Hypothèses!$D$35</f>
        <v>188.448504482914</v>
      </c>
      <c r="O34" s="15" t="n">
        <f aca="false">O18*Hypothèses!$D$35</f>
        <v>286.564019438085</v>
      </c>
      <c r="P34" s="15" t="n">
        <f aca="false">P18*Hypothèses!$D$35</f>
        <v>383.698379243704</v>
      </c>
      <c r="Q34" s="15" t="n">
        <f aca="false">Q18*Hypothèses!$D$35</f>
        <v>479.861395451267</v>
      </c>
      <c r="R34" s="15" t="n">
        <f aca="false">R18*Hypothèses!$D$35</f>
        <v>575.062781496754</v>
      </c>
      <c r="S34" s="15" t="n">
        <f aca="false">S18*Hypothèses!$D$35</f>
        <v>669.312153681787</v>
      </c>
      <c r="T34" s="15" t="n">
        <f aca="false">T18*Hypothèses!$D$35</f>
        <v>762.619032144969</v>
      </c>
      <c r="U34" s="15" t="n">
        <f aca="false">U18*Hypothèses!$D$35</f>
        <v>854.992841823519</v>
      </c>
      <c r="V34" s="15" t="n">
        <f aca="false">V18*Hypothèses!$D$35</f>
        <v>946.442913405284</v>
      </c>
      <c r="W34" s="15" t="n">
        <f aca="false">W18*Hypothèses!$D$35</f>
        <v>1036.97848427123</v>
      </c>
      <c r="X34" s="15" t="n">
        <f aca="false">X18*Hypothèses!$D$35</f>
        <v>1126.60869942852</v>
      </c>
      <c r="Y34" s="15" t="n">
        <f aca="false">Y18*Hypothèses!$D$35</f>
        <v>1215.34261243423</v>
      </c>
      <c r="Z34" s="15" t="n">
        <f aca="false">Z18*Hypothèses!$D$35</f>
        <v>1303.18918630989</v>
      </c>
      <c r="AA34" s="15" t="n">
        <f aca="false">AA18*Hypothèses!$D$35</f>
        <v>1540.15729444679</v>
      </c>
      <c r="AB34" s="15" t="n">
        <f aca="false">AB18*Hypothèses!$D$35</f>
        <v>1774.75572150232</v>
      </c>
      <c r="AC34" s="15" t="n">
        <f aca="false">AC18*Hypothèses!$D$35</f>
        <v>2007.0081642873</v>
      </c>
      <c r="AD34" s="15" t="n">
        <f aca="false">AD18*Hypothèses!$D$35</f>
        <v>2236.93808264443</v>
      </c>
      <c r="AE34" s="15" t="n">
        <f aca="false">AE18*Hypothèses!$D$35</f>
        <v>2464.56870181798</v>
      </c>
      <c r="AF34" s="15" t="n">
        <f aca="false">AF18*Hypothèses!$D$35</f>
        <v>2689.9230147998</v>
      </c>
      <c r="AG34" s="15" t="n">
        <f aca="false">AG18*Hypothèses!$D$35</f>
        <v>2913.02378465181</v>
      </c>
      <c r="AH34" s="15" t="n">
        <f aca="false">AH18*Hypothèses!$D$35</f>
        <v>3133.89354680529</v>
      </c>
      <c r="AI34" s="15" t="n">
        <f aca="false">AI18*Hypothèses!$D$35</f>
        <v>3352.55461133724</v>
      </c>
      <c r="AJ34" s="15" t="n">
        <f aca="false">AJ18*Hypothèses!$D$35</f>
        <v>3569.02906522386</v>
      </c>
      <c r="AK34" s="15" t="n">
        <f aca="false">AK18*Hypothèses!$D$35</f>
        <v>3783.33877457162</v>
      </c>
      <c r="AL34" s="15" t="n">
        <f aca="false">AL18*Hypothèses!$D$35</f>
        <v>3995.50538682591</v>
      </c>
      <c r="AN34" s="15" t="n">
        <f aca="false">SUM(C34:N34)</f>
        <v>756.271056191526</v>
      </c>
      <c r="AO34" s="15" t="n">
        <f aca="false">SUM(O34:Z34)</f>
        <v>9640.67249912924</v>
      </c>
      <c r="AP34" s="15" t="n">
        <f aca="false">SUM(AA34:AL34)</f>
        <v>33460.6961489144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87.1063881</v>
      </c>
      <c r="J35" s="15" t="n">
        <f aca="false">J18*Hypothèses!$D$36</f>
        <v>146.235324219</v>
      </c>
      <c r="K35" s="15" t="n">
        <f aca="false">K18*Hypothèses!$D$36</f>
        <v>204.77297097681</v>
      </c>
      <c r="L35" s="15" t="n">
        <f aca="false">L18*Hypothèses!$D$36</f>
        <v>262.725241267042</v>
      </c>
      <c r="M35" s="15" t="n">
        <f aca="false">M18*Hypothèses!$D$36</f>
        <v>320.097988854371</v>
      </c>
      <c r="N35" s="15" t="n">
        <f aca="false">N18*Hypothèses!$D$36</f>
        <v>376.897008965828</v>
      </c>
      <c r="O35" s="15" t="n">
        <f aca="false">O18*Hypothèses!$D$36</f>
        <v>573.128038876169</v>
      </c>
      <c r="P35" s="15" t="n">
        <f aca="false">P18*Hypothèses!$D$36</f>
        <v>767.396758487408</v>
      </c>
      <c r="Q35" s="15" t="n">
        <f aca="false">Q18*Hypothèses!$D$36</f>
        <v>959.722790902534</v>
      </c>
      <c r="R35" s="15" t="n">
        <f aca="false">R18*Hypothèses!$D$36</f>
        <v>1150.12556299351</v>
      </c>
      <c r="S35" s="15" t="n">
        <f aca="false">S18*Hypothèses!$D$36</f>
        <v>1338.62430736357</v>
      </c>
      <c r="T35" s="15" t="n">
        <f aca="false">T18*Hypothèses!$D$36</f>
        <v>1525.23806428994</v>
      </c>
      <c r="U35" s="15" t="n">
        <f aca="false">U18*Hypothèses!$D$36</f>
        <v>1709.98568364704</v>
      </c>
      <c r="V35" s="15" t="n">
        <f aca="false">V18*Hypothèses!$D$36</f>
        <v>1892.88582681057</v>
      </c>
      <c r="W35" s="15" t="n">
        <f aca="false">W18*Hypothèses!$D$36</f>
        <v>2073.95696854246</v>
      </c>
      <c r="X35" s="15" t="n">
        <f aca="false">X18*Hypothèses!$D$36</f>
        <v>2253.21739885704</v>
      </c>
      <c r="Y35" s="15" t="n">
        <f aca="false">Y18*Hypothèses!$D$36</f>
        <v>2430.68522486847</v>
      </c>
      <c r="Z35" s="15" t="n">
        <f aca="false">Z18*Hypothèses!$D$36</f>
        <v>2606.37837261978</v>
      </c>
      <c r="AA35" s="15" t="n">
        <f aca="false">AA18*Hypothèses!$D$36</f>
        <v>3080.31458889358</v>
      </c>
      <c r="AB35" s="15" t="n">
        <f aca="false">AB18*Hypothèses!$D$36</f>
        <v>3549.51144300465</v>
      </c>
      <c r="AC35" s="15" t="n">
        <f aca="false">AC18*Hypothèses!$D$36</f>
        <v>4014.0163285746</v>
      </c>
      <c r="AD35" s="15" t="n">
        <f aca="false">AD18*Hypothèses!$D$36</f>
        <v>4473.87616528886</v>
      </c>
      <c r="AE35" s="15" t="n">
        <f aca="false">AE18*Hypothèses!$D$36</f>
        <v>4929.13740363597</v>
      </c>
      <c r="AF35" s="15" t="n">
        <f aca="false">AF18*Hypothèses!$D$36</f>
        <v>5379.84602959961</v>
      </c>
      <c r="AG35" s="15" t="n">
        <f aca="false">AG18*Hypothèses!$D$36</f>
        <v>5826.04756930361</v>
      </c>
      <c r="AH35" s="15" t="n">
        <f aca="false">AH18*Hypothèses!$D$36</f>
        <v>6267.78709361058</v>
      </c>
      <c r="AI35" s="15" t="n">
        <f aca="false">AI18*Hypothèses!$D$36</f>
        <v>6705.10922267447</v>
      </c>
      <c r="AJ35" s="15" t="n">
        <f aca="false">AJ18*Hypothèses!$D$36</f>
        <v>7138.05813044773</v>
      </c>
      <c r="AK35" s="15" t="n">
        <f aca="false">AK18*Hypothèses!$D$36</f>
        <v>7566.67754914325</v>
      </c>
      <c r="AL35" s="15" t="n">
        <f aca="false">AL18*Hypothèses!$D$36</f>
        <v>7991.01077365182</v>
      </c>
      <c r="AN35" s="15" t="n">
        <f aca="false">SUM(C35:N35)</f>
        <v>1512.54211238305</v>
      </c>
      <c r="AO35" s="15" t="n">
        <f aca="false">SUM(O35:Z35)</f>
        <v>19281.3449982585</v>
      </c>
      <c r="AP35" s="15" t="n">
        <f aca="false">SUM(AA35:AL35)</f>
        <v>66921.3922978287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110.40327</v>
      </c>
      <c r="F36" s="40" t="n">
        <f aca="false">F33+F34+F35</f>
        <v>107.0911719</v>
      </c>
      <c r="G36" s="40" t="n">
        <f aca="false">G33+G34+G35</f>
        <v>103.878436743</v>
      </c>
      <c r="H36" s="40" t="n">
        <f aca="false">H33+H34+H35</f>
        <v>100.76208364071</v>
      </c>
      <c r="I36" s="40" t="n">
        <f aca="false">I33+I34+I35</f>
        <v>320.561002804303</v>
      </c>
      <c r="J36" s="40" t="n">
        <f aca="false">J33+J34+J35</f>
        <v>538.16193277626</v>
      </c>
      <c r="K36" s="40" t="n">
        <f aca="false">K33+K34+K35</f>
        <v>753.586853448497</v>
      </c>
      <c r="L36" s="40" t="n">
        <f aca="false">L33+L34+L35</f>
        <v>966.857524914012</v>
      </c>
      <c r="M36" s="40" t="n">
        <f aca="false">M33+M34+M35</f>
        <v>1177.99548966487</v>
      </c>
      <c r="N36" s="40" t="n">
        <f aca="false">N33+N34+N35</f>
        <v>1387.02207476822</v>
      </c>
      <c r="O36" s="40" t="n">
        <f aca="false">O33+O34+O35</f>
        <v>2109.17365402054</v>
      </c>
      <c r="P36" s="40" t="n">
        <f aca="false">P33+P34+P35</f>
        <v>2824.10371748034</v>
      </c>
      <c r="Q36" s="40" t="n">
        <f aca="false">Q33+Q34+Q35</f>
        <v>3531.88448030553</v>
      </c>
      <c r="R36" s="40" t="n">
        <f aca="false">R33+R34+R35</f>
        <v>4232.58743550248</v>
      </c>
      <c r="S36" s="40" t="n">
        <f aca="false">S33+S34+S35</f>
        <v>4926.28336114745</v>
      </c>
      <c r="T36" s="40" t="n">
        <f aca="false">T33+T34+T35</f>
        <v>5613.04232753598</v>
      </c>
      <c r="U36" s="40" t="n">
        <f aca="false">U33+U34+U35</f>
        <v>6292.93370426062</v>
      </c>
      <c r="V36" s="40" t="n">
        <f aca="false">V33+V34+V35</f>
        <v>6966.02616721801</v>
      </c>
      <c r="W36" s="40" t="n">
        <f aca="false">W33+W34+W35</f>
        <v>7632.38770554583</v>
      </c>
      <c r="X36" s="40" t="n">
        <f aca="false">X33+X34+X35</f>
        <v>8292.08562849037</v>
      </c>
      <c r="Y36" s="40" t="n">
        <f aca="false">Y33+Y34+Y35</f>
        <v>8945.18657220547</v>
      </c>
      <c r="Z36" s="40" t="n">
        <f aca="false">Z33+Z34+Z35</f>
        <v>9591.75650648341</v>
      </c>
      <c r="AA36" s="40" t="n">
        <f aca="false">AA33+AA34+AA35</f>
        <v>11335.8934414186</v>
      </c>
      <c r="AB36" s="40" t="n">
        <f aca="false">AB33+AB34+AB35</f>
        <v>13062.5890070044</v>
      </c>
      <c r="AC36" s="40" t="n">
        <f aca="false">AC33+AC34+AC35</f>
        <v>14772.0176169343</v>
      </c>
      <c r="AD36" s="40" t="n">
        <f aca="false">AD33+AD34+AD35</f>
        <v>16464.351940765</v>
      </c>
      <c r="AE36" s="40" t="n">
        <f aca="false">AE33+AE34+AE35</f>
        <v>18139.7629213574</v>
      </c>
      <c r="AF36" s="40" t="n">
        <f aca="false">AF33+AF34+AF35</f>
        <v>19798.4197921438</v>
      </c>
      <c r="AG36" s="40" t="n">
        <f aca="false">AG33+AG34+AG35</f>
        <v>21440.4900942223</v>
      </c>
      <c r="AH36" s="40" t="n">
        <f aca="false">AH33+AH34+AH35</f>
        <v>23066.1396932801</v>
      </c>
      <c r="AI36" s="40" t="n">
        <f aca="false">AI33+AI34+AI35</f>
        <v>24675.5327963473</v>
      </c>
      <c r="AJ36" s="40" t="n">
        <f aca="false">AJ33+AJ34+AJ35</f>
        <v>26268.8319683839</v>
      </c>
      <c r="AK36" s="40" t="n">
        <f aca="false">AK33+AK34+AK35</f>
        <v>27846.1981487</v>
      </c>
      <c r="AL36" s="40" t="n">
        <f aca="false">AL33+AL34+AL35</f>
        <v>29407.790667213</v>
      </c>
      <c r="AN36" s="40" t="n">
        <f aca="false">SUM(C36:N36)</f>
        <v>5566.31984065988</v>
      </c>
      <c r="AO36" s="40" t="n">
        <f aca="false">SUM(O36:Z36)</f>
        <v>70957.451260196</v>
      </c>
      <c r="AP36" s="40" t="n">
        <f aca="false">SUM(AA36:AL36)</f>
        <v>246278.01808777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486.60773</v>
      </c>
      <c r="F37" s="40" t="n">
        <f aca="false">F28-F36-F30-F29/(1+Hypothèses!$D$15)</f>
        <v>472.0094981</v>
      </c>
      <c r="G37" s="40" t="n">
        <f aca="false">G28-G36-G30-G29/(1+Hypothèses!$D$15)</f>
        <v>457.849213157</v>
      </c>
      <c r="H37" s="40" t="n">
        <f aca="false">H28-H36-H30-H29/(1+Hypothèses!$D$15)</f>
        <v>444.11373676229</v>
      </c>
      <c r="I37" s="40" t="n">
        <f aca="false">I28-I36-I30-I29/(1+Hypothèses!$D$15)</f>
        <v>1412.88805939467</v>
      </c>
      <c r="J37" s="40" t="n">
        <f aca="false">J28-J36-J30-J29/(1+Hypothèses!$D$15)</f>
        <v>2371.97463880072</v>
      </c>
      <c r="K37" s="40" t="n">
        <f aca="false">K28-K36-K30-K29/(1+Hypothèses!$D$15)</f>
        <v>3321.47035241271</v>
      </c>
      <c r="L37" s="40" t="n">
        <f aca="false">L28-L36-L30-L29/(1+Hypothèses!$D$15)</f>
        <v>4261.47110888858</v>
      </c>
      <c r="M37" s="40" t="n">
        <f aca="false">M28-M36-M30-M29/(1+Hypothèses!$D$15)</f>
        <v>5192.0718577997</v>
      </c>
      <c r="N37" s="40" t="n">
        <f aca="false">N28-N36-N30-N29/(1+Hypothèses!$D$15)</f>
        <v>6113.3665992217</v>
      </c>
      <c r="O37" s="40" t="n">
        <f aca="false">O28-O36-O30-O29/(1+Hypothèses!$D$15)</f>
        <v>9296.28446656282</v>
      </c>
      <c r="P37" s="40" t="n">
        <f aca="false">P28-P36-P30-P29/(1+Hypothèses!$D$15)</f>
        <v>12447.3731552305</v>
      </c>
      <c r="Q37" s="40" t="n">
        <f aca="false">Q28-Q36-Q30-Q29/(1+Hypothèses!$D$15)</f>
        <v>15566.9509570116</v>
      </c>
      <c r="R37" s="40" t="n">
        <f aca="false">R28-R36-R30-R29/(1+Hypothèses!$D$15)</f>
        <v>18655.3329807748</v>
      </c>
      <c r="S37" s="40" t="n">
        <f aca="false">S28-S36-S30-S29/(1+Hypothèses!$D$15)</f>
        <v>21712.8311843004</v>
      </c>
      <c r="T37" s="40" t="n">
        <f aca="false">T28-T36-T30-T29/(1+Hypothèses!$D$15)</f>
        <v>24739.7544057907</v>
      </c>
      <c r="U37" s="40" t="n">
        <f aca="false">U28-U36-U30-U29/(1+Hypothèses!$D$15)</f>
        <v>27736.4083950661</v>
      </c>
      <c r="V37" s="40" t="n">
        <f aca="false">V28-V36-V30-V29/(1+Hypothèses!$D$15)</f>
        <v>30703.0958444488</v>
      </c>
      <c r="W37" s="40" t="n">
        <f aca="false">W28-W36-W30-W29/(1+Hypothèses!$D$15)</f>
        <v>33640.1164193376</v>
      </c>
      <c r="X37" s="40" t="n">
        <f aca="false">X28-X36-X30-X29/(1+Hypothèses!$D$15)</f>
        <v>36547.7667884776</v>
      </c>
      <c r="Y37" s="40" t="n">
        <f aca="false">Y28-Y36-Y30-Y29/(1+Hypothèses!$D$15)</f>
        <v>39426.3406539261</v>
      </c>
      <c r="Z37" s="40" t="n">
        <f aca="false">Z28-Z36-Z30-Z29/(1+Hypothèses!$D$15)</f>
        <v>42276.1287807202</v>
      </c>
      <c r="AA37" s="40" t="n">
        <f aca="false">AA28-AA36-AA30-AA29/(1+Hypothèses!$D$15)</f>
        <v>49963.4963262463</v>
      </c>
      <c r="AB37" s="40" t="n">
        <f aca="false">AB28-AB36-AB30-AB29/(1+Hypothèses!$D$15)</f>
        <v>57573.9901963172</v>
      </c>
      <c r="AC37" s="40" t="n">
        <f aca="false">AC28-AC36-AC30-AC29/(1+Hypothèses!$D$15)</f>
        <v>65108.3791276874</v>
      </c>
      <c r="AD37" s="40" t="n">
        <f aca="false">AD28-AD36-AD30-AD29/(1+Hypothèses!$D$15)</f>
        <v>72567.4241697438</v>
      </c>
      <c r="AE37" s="40" t="n">
        <f aca="false">AE28-AE36-AE30-AE29/(1+Hypothèses!$D$15)</f>
        <v>79951.8787613798</v>
      </c>
      <c r="AF37" s="40" t="n">
        <f aca="false">AF28-AF36-AF30-AF29/(1+Hypothèses!$D$15)</f>
        <v>87262.4888070993</v>
      </c>
      <c r="AG37" s="40" t="n">
        <f aca="false">AG28-AG36-AG30-AG29/(1+Hypothèses!$D$15)</f>
        <v>94499.9927523616</v>
      </c>
      <c r="AH37" s="40" t="n">
        <f aca="false">AH28-AH36-AH30-AH29/(1+Hypothèses!$D$15)</f>
        <v>101665.121658171</v>
      </c>
      <c r="AI37" s="40" t="n">
        <f aca="false">AI28-AI36-AI30-AI29/(1+Hypothèses!$D$15)</f>
        <v>108758.599274923</v>
      </c>
      <c r="AJ37" s="40" t="n">
        <f aca="false">AJ28-AJ36-AJ30-AJ29/(1+Hypothèses!$D$15)</f>
        <v>115781.142115507</v>
      </c>
      <c r="AK37" s="40" t="n">
        <f aca="false">AK28-AK36-AK30-AK29/(1+Hypothèses!$D$15)</f>
        <v>122733.459527685</v>
      </c>
      <c r="AL37" s="40" t="n">
        <f aca="false">AL28-AL36-AL30-AL29/(1+Hypothèses!$D$15)</f>
        <v>129616.253765742</v>
      </c>
      <c r="AN37" s="40" t="n">
        <f aca="false">SUM(C37:N37)</f>
        <v>24533.8227945374</v>
      </c>
      <c r="AO37" s="40" t="n">
        <f aca="false">SUM(O37:Z37)</f>
        <v>312748.384031647</v>
      </c>
      <c r="AP37" s="40" t="n">
        <f aca="false">SUM(AA37:AL37)</f>
        <v>1085482.22648286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-13855.0589366667</v>
      </c>
      <c r="F52" s="40" t="n">
        <f aca="false">F37-F39-F51</f>
        <v>-13869.6571685667</v>
      </c>
      <c r="G52" s="40" t="n">
        <f aca="false">G37-G39-G51</f>
        <v>-13883.8174535097</v>
      </c>
      <c r="H52" s="40" t="n">
        <f aca="false">H37-H39-H51</f>
        <v>-13897.5529299044</v>
      </c>
      <c r="I52" s="40" t="n">
        <f aca="false">I37-I39-I51</f>
        <v>-9237.11194060533</v>
      </c>
      <c r="J52" s="40" t="n">
        <f aca="false">J37-J39-J51</f>
        <v>-3278.02536119928</v>
      </c>
      <c r="K52" s="40" t="n">
        <f aca="false">K37-K39-K51</f>
        <v>-2328.52964758729</v>
      </c>
      <c r="L52" s="40" t="n">
        <f aca="false">L37-L39-L51</f>
        <v>-1388.52889111142</v>
      </c>
      <c r="M52" s="40" t="n">
        <f aca="false">M37-M39-M51</f>
        <v>-457.928142200301</v>
      </c>
      <c r="N52" s="40" t="n">
        <f aca="false">N37-N39-N51</f>
        <v>463.366599221702</v>
      </c>
      <c r="O52" s="40" t="n">
        <f aca="false">O37-O39-O51</f>
        <v>-17853.7155334372</v>
      </c>
      <c r="P52" s="40" t="n">
        <f aca="false">P37-P39-P51</f>
        <v>-14702.6268447695</v>
      </c>
      <c r="Q52" s="40" t="n">
        <f aca="false">Q37-Q39-Q51</f>
        <v>-11583.0490429884</v>
      </c>
      <c r="R52" s="40" t="n">
        <f aca="false">R37-R39-R51</f>
        <v>-8494.66701922523</v>
      </c>
      <c r="S52" s="40" t="n">
        <f aca="false">S37-S39-S51</f>
        <v>-5437.16881569964</v>
      </c>
      <c r="T52" s="40" t="n">
        <f aca="false">T37-T39-T51</f>
        <v>-2410.24559420932</v>
      </c>
      <c r="U52" s="40" t="n">
        <f aca="false">U37-U39-U51</f>
        <v>-10913.5916049339</v>
      </c>
      <c r="V52" s="40" t="n">
        <f aca="false">V37-V39-V51</f>
        <v>-2946.90415555123</v>
      </c>
      <c r="W52" s="40" t="n">
        <f aca="false">W37-W39-W51</f>
        <v>-9.88358066238288</v>
      </c>
      <c r="X52" s="40" t="n">
        <f aca="false">X37-X39-X51</f>
        <v>2897.76678847758</v>
      </c>
      <c r="Y52" s="40" t="n">
        <f aca="false">Y37-Y39-Y51</f>
        <v>5776.34065392614</v>
      </c>
      <c r="Z52" s="40" t="n">
        <f aca="false">Z37-Z39-Z51</f>
        <v>8626.1287807202</v>
      </c>
      <c r="AA52" s="40" t="n">
        <f aca="false">AA37-AA39-AA51</f>
        <v>1313.49632624633</v>
      </c>
      <c r="AB52" s="40" t="n">
        <f aca="false">AB37-AB39-AB51</f>
        <v>8923.9901963172</v>
      </c>
      <c r="AC52" s="40" t="n">
        <f aca="false">AC37-AC39-AC51</f>
        <v>16458.3791276874</v>
      </c>
      <c r="AD52" s="40" t="n">
        <f aca="false">AD37-AD39-AD51</f>
        <v>23917.4241697438</v>
      </c>
      <c r="AE52" s="40" t="n">
        <f aca="false">AE37-AE39-AE51</f>
        <v>31301.8787613797</v>
      </c>
      <c r="AF52" s="40" t="n">
        <f aca="false">AF37-AF39-AF51</f>
        <v>38612.4888070993</v>
      </c>
      <c r="AG52" s="40" t="n">
        <f aca="false">AG37-AG39-AG51</f>
        <v>40849.9927523616</v>
      </c>
      <c r="AH52" s="40" t="n">
        <f aca="false">AH37-AH39-AH51</f>
        <v>53015.1216581713</v>
      </c>
      <c r="AI52" s="40" t="n">
        <f aca="false">AI37-AI39-AI51</f>
        <v>60108.599274923</v>
      </c>
      <c r="AJ52" s="40" t="n">
        <f aca="false">AJ37-AJ39-AJ51</f>
        <v>67131.142115507</v>
      </c>
      <c r="AK52" s="40" t="n">
        <f aca="false">AK37-AK39-AK51</f>
        <v>74083.4595276853</v>
      </c>
      <c r="AL52" s="40" t="n">
        <f aca="false">AL37-AL39-AL51</f>
        <v>80966.2537657418</v>
      </c>
      <c r="AN52" s="40" t="n">
        <f aca="false">SUM(C52:N52)</f>
        <v>-102916.177205463</v>
      </c>
      <c r="AO52" s="40" t="n">
        <f aca="false">SUM(O52:Z52)</f>
        <v>-57051.6159683529</v>
      </c>
      <c r="AP52" s="40" t="n">
        <f aca="false">SUM(AA52:AL52)</f>
        <v>496682.226482864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1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1</v>
      </c>
      <c r="Y53" s="13" t="n">
        <f aca="false">IF(Y52&gt;0,1,0)</f>
        <v>1</v>
      </c>
      <c r="Z53" s="13" t="n">
        <f aca="false">IF(Z52&gt;0,1,0)</f>
        <v>1</v>
      </c>
      <c r="AA53" s="13" t="n">
        <f aca="false">IF(AA52&gt;0,1,0)</f>
        <v>1</v>
      </c>
      <c r="AB53" s="13" t="n">
        <f aca="false">IF(AB52&gt;0,1,0)</f>
        <v>1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119.633333333333</v>
      </c>
      <c r="H55" s="15" t="n">
        <f aca="false">G27</f>
        <v>116.044333333333</v>
      </c>
      <c r="I55" s="15" t="n">
        <f aca="false">H27</f>
        <v>112.563003333333</v>
      </c>
      <c r="J55" s="15" t="n">
        <f aca="false">I27</f>
        <v>358.104039966667</v>
      </c>
      <c r="K55" s="15" t="n">
        <f aca="false">J27</f>
        <v>601.189666233667</v>
      </c>
      <c r="L55" s="15" t="n">
        <f aca="false">K27</f>
        <v>841.844436237997</v>
      </c>
      <c r="M55" s="15" t="n">
        <f aca="false">L27</f>
        <v>1080.09265854228</v>
      </c>
      <c r="N55" s="15" t="n">
        <f aca="false">M27</f>
        <v>1315.95839862353</v>
      </c>
      <c r="O55" s="15" t="n">
        <f aca="false">N27</f>
        <v>1549.46548130396</v>
      </c>
      <c r="P55" s="15" t="n">
        <f aca="false">O27</f>
        <v>2356.19304871314</v>
      </c>
      <c r="Q55" s="15" t="n">
        <f aca="false">P27</f>
        <v>3154.85334044823</v>
      </c>
      <c r="R55" s="15" t="n">
        <f aca="false">Q27</f>
        <v>3945.52702926597</v>
      </c>
      <c r="S55" s="15" t="n">
        <f aca="false">R27</f>
        <v>4728.29398119554</v>
      </c>
      <c r="T55" s="15" t="n">
        <f aca="false">S27</f>
        <v>5503.2332636058</v>
      </c>
      <c r="U55" s="15" t="n">
        <f aca="false">T27</f>
        <v>6270.42315319197</v>
      </c>
      <c r="V55" s="15" t="n">
        <f aca="false">U27</f>
        <v>7029.94114388227</v>
      </c>
      <c r="W55" s="15" t="n">
        <f aca="false">V27</f>
        <v>7781.86395466566</v>
      </c>
      <c r="X55" s="15" t="n">
        <f aca="false">W27</f>
        <v>8526.26753734123</v>
      </c>
      <c r="Y55" s="15" t="n">
        <f aca="false">X27</f>
        <v>9263.22708419004</v>
      </c>
      <c r="Z55" s="15" t="n">
        <f aca="false">Y27</f>
        <v>9992.81703557036</v>
      </c>
      <c r="AA55" s="15" t="n">
        <f aca="false">Z27</f>
        <v>10715.1110874369</v>
      </c>
      <c r="AB55" s="15" t="n">
        <f aca="false">AA27</f>
        <v>12663.5155321181</v>
      </c>
      <c r="AC55" s="15" t="n">
        <f aca="false">AB27</f>
        <v>14592.4359323524</v>
      </c>
      <c r="AD55" s="15" t="n">
        <f aca="false">AC27</f>
        <v>16502.0671285845</v>
      </c>
      <c r="AE55" s="15" t="n">
        <f aca="false">AD27</f>
        <v>18392.6020128542</v>
      </c>
      <c r="AF55" s="15" t="n">
        <f aca="false">AE27</f>
        <v>20264.2315482812</v>
      </c>
      <c r="AG55" s="15" t="n">
        <f aca="false">AF27</f>
        <v>22117.1447883539</v>
      </c>
      <c r="AH55" s="15" t="n">
        <f aca="false">AG27</f>
        <v>23951.528896026</v>
      </c>
      <c r="AI55" s="15" t="n">
        <f aca="false">AH27</f>
        <v>25767.5691626213</v>
      </c>
      <c r="AJ55" s="15" t="n">
        <f aca="false">AI27</f>
        <v>27565.4490265506</v>
      </c>
      <c r="AK55" s="15" t="n">
        <f aca="false">AJ27</f>
        <v>29345.3500918407</v>
      </c>
      <c r="AL55" s="15" t="n">
        <f aca="false">AK27</f>
        <v>31107.4521464778</v>
      </c>
      <c r="AN55" s="15" t="n">
        <f aca="false">SUM(C55:N55)</f>
        <v>4668.76320293747</v>
      </c>
      <c r="AO55" s="15" t="n">
        <f aca="false">SUM(O55:Z55)</f>
        <v>70102.1060533742</v>
      </c>
      <c r="AP55" s="15" t="n">
        <f aca="false">SUM(AA55:AL55)</f>
        <v>252984.457353497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2890.41398733333</v>
      </c>
      <c r="G56" s="15" t="n">
        <f aca="false">(F36+F39+F43+F44+F45+F47+F48+F49+F50)*Hypothèses!$D$15</f>
        <v>2889.75156771333</v>
      </c>
      <c r="H56" s="15" t="n">
        <f aca="false">(G36+G39+G43+G44+G45+G47+G48+G49+G50)*Hypothèses!$D$15</f>
        <v>2889.10902068193</v>
      </c>
      <c r="I56" s="15" t="n">
        <f aca="false">(H36+H39+H43+H44+H45+H47+H48+H49+H50)*Hypothèses!$D$15</f>
        <v>2888.48575006148</v>
      </c>
      <c r="J56" s="15" t="n">
        <f aca="false">(I36+I39+I43+I44+I45+I47+I48+I49+I50)*Hypothèses!$D$15</f>
        <v>2164.11220056086</v>
      </c>
      <c r="K56" s="15" t="n">
        <f aca="false">(J36+J39+J43+J44+J45+J47+J48+J49+J50)*Hypothèses!$D$15</f>
        <v>1207.63238655525</v>
      </c>
      <c r="L56" s="15" t="n">
        <f aca="false">(K36+K39+K43+K44+K45+K47+K48+K49+K50)*Hypothèses!$D$15</f>
        <v>1250.7173706897</v>
      </c>
      <c r="M56" s="15" t="n">
        <f aca="false">(L36+L39+L43+L44+L45+L47+L48+L49+L50)*Hypothèses!$D$15</f>
        <v>1293.3715049828</v>
      </c>
      <c r="N56" s="15" t="n">
        <f aca="false">(M36+M39+M43+M44+M45+M47+M48+M49+M50)*Hypothèses!$D$15</f>
        <v>1335.59909793297</v>
      </c>
      <c r="O56" s="15" t="n">
        <f aca="false">(N36+N39+N43+N44+N45+N47+N48+N49+N50)*Hypothèses!$D$15</f>
        <v>1377.40441495364</v>
      </c>
      <c r="P56" s="15" t="n">
        <f aca="false">(O36+O39+O43+O44+O45+O47+O48+O49+O50)*Hypothèses!$D$15</f>
        <v>2921.83473080411</v>
      </c>
      <c r="Q56" s="15" t="n">
        <f aca="false">(P36+P39+P43+P44+P45+P47+P48+P49+P50)*Hypothèses!$D$15</f>
        <v>3064.82074349607</v>
      </c>
      <c r="R56" s="15" t="n">
        <f aca="false">(Q36+Q39+Q43+Q44+Q45+Q47+Q48+Q49+Q50)*Hypothèses!$D$15</f>
        <v>3206.37689606111</v>
      </c>
      <c r="S56" s="15" t="n">
        <f aca="false">(R36+R39+R43+R44+R45+R47+R48+R49+R50)*Hypothèses!$D$15</f>
        <v>3346.5174871005</v>
      </c>
      <c r="T56" s="15" t="n">
        <f aca="false">(S36+S39+S43+S44+S45+S47+S48+S49+S50)*Hypothèses!$D$15</f>
        <v>3485.25667222949</v>
      </c>
      <c r="U56" s="15" t="n">
        <f aca="false">(T36+T39+T43+T44+T45+T47+T48+T49+T50)*Hypothèses!$D$15</f>
        <v>3622.6084655072</v>
      </c>
      <c r="V56" s="15" t="n">
        <f aca="false">(U36+U39+U43+U44+U45+U47+U48+U49+U50)*Hypothèses!$D$15</f>
        <v>4758.58674085212</v>
      </c>
      <c r="W56" s="15" t="n">
        <f aca="false">(V36+V39+V43+V44+V45+V47+V48+V49+V50)*Hypothèses!$D$15</f>
        <v>3893.2052334436</v>
      </c>
      <c r="X56" s="15" t="n">
        <f aca="false">(W36+W39+W43+W44+W45+W47+W48+W49+W50)*Hypothèses!$D$15</f>
        <v>4026.47754110917</v>
      </c>
      <c r="Y56" s="15" t="n">
        <f aca="false">(X36+X39+X43+X44+X45+X47+X48+X49+X50)*Hypothèses!$D$15</f>
        <v>4158.41712569807</v>
      </c>
      <c r="Z56" s="15" t="n">
        <f aca="false">(Y36+Y39+Y43+Y44+Y45+Y47+Y48+Y49+Y50)*Hypothèses!$D$15</f>
        <v>4289.03731444109</v>
      </c>
      <c r="AA56" s="15" t="n">
        <f aca="false">(Z36+Z39+Z43+Z44+Z45+Z47+Z48+Z49+Z50)*Hypothèses!$D$15</f>
        <v>4418.35130129668</v>
      </c>
      <c r="AB56" s="15" t="n">
        <f aca="false">(AA36+AA39+AA43+AA44+AA45+AA47+AA48+AA49+AA50)*Hypothèses!$D$15</f>
        <v>7767.17868828372</v>
      </c>
      <c r="AC56" s="15" t="n">
        <f aca="false">(AB36+AB39+AB43+AB44+AB45+AB47+AB48+AB49+AB50)*Hypothèses!$D$15</f>
        <v>8112.51780140088</v>
      </c>
      <c r="AD56" s="15" t="n">
        <f aca="false">(AC36+AC39+AC43+AC44+AC45+AC47+AC48+AC49+AC50)*Hypothèses!$D$15</f>
        <v>8454.40352338687</v>
      </c>
      <c r="AE56" s="15" t="n">
        <f aca="false">(AD36+AD39+AD43+AD44+AD45+AD47+AD48+AD49+AD50)*Hypothèses!$D$15</f>
        <v>8792.870388153</v>
      </c>
      <c r="AF56" s="15" t="n">
        <f aca="false">(AE36+AE39+AE43+AE44+AE45+AE47+AE48+AE49+AE50)*Hypothèses!$D$15</f>
        <v>9127.95258427147</v>
      </c>
      <c r="AG56" s="15" t="n">
        <f aca="false">(AF36+AF39+AF43+AF44+AF45+AF47+AF48+AF49+AF50)*Hypothèses!$D$15</f>
        <v>9459.68395842876</v>
      </c>
      <c r="AH56" s="15" t="n">
        <f aca="false">(AG36+AG39+AG43+AG44+AG45+AG47+AG48+AG49+AG50)*Hypothèses!$D$15</f>
        <v>10788.0980188445</v>
      </c>
      <c r="AI56" s="15" t="n">
        <f aca="false">(AH36+AH39+AH43+AH44+AH45+AH47+AH48+AH49+AH50)*Hypothèses!$D$15</f>
        <v>10113.227938656</v>
      </c>
      <c r="AJ56" s="15" t="n">
        <f aca="false">(AI36+AI39+AI43+AI44+AI45+AI47+AI48+AI49+AI50)*Hypothèses!$D$15</f>
        <v>10435.1065592695</v>
      </c>
      <c r="AK56" s="15" t="n">
        <f aca="false">(AJ36+AJ39+AJ43+AJ44+AJ45+AJ47+AJ48+AJ49+AJ50)*Hypothèses!$D$15</f>
        <v>10753.7663936768</v>
      </c>
      <c r="AL56" s="15" t="n">
        <f aca="false">(AK36+AK39+AK43+AK44+AK45+AK47+AK48+AK49+AK50)*Hypothèses!$D$15</f>
        <v>11069.23962974</v>
      </c>
      <c r="AN56" s="15" t="n">
        <f aca="false">SUM(C56:N56)</f>
        <v>25045.8595531783</v>
      </c>
      <c r="AO56" s="15" t="n">
        <f aca="false">SUM(O56:Z56)</f>
        <v>42150.5433656962</v>
      </c>
      <c r="AP56" s="15" t="n">
        <f aca="false">SUM(AA56:AL56)</f>
        <v>109292.396785408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-38679.6256033333</v>
      </c>
      <c r="G58" s="15" t="n">
        <f aca="false">F60</f>
        <v>-49663.7651179</v>
      </c>
      <c r="H58" s="15" t="n">
        <f aca="false">G60</f>
        <v>-60662.5804470297</v>
      </c>
      <c r="I58" s="15" t="n">
        <f aca="false">H60</f>
        <v>-71675.6313162855</v>
      </c>
      <c r="J58" s="15" t="n">
        <f aca="false">I60</f>
        <v>-77782.2975105956</v>
      </c>
      <c r="K58" s="15" t="n">
        <f aca="false">J60</f>
        <v>-78659.1369416294</v>
      </c>
      <c r="L58" s="15" t="n">
        <f aca="false">K60</f>
        <v>-79547.7978770195</v>
      </c>
      <c r="M58" s="15" t="n">
        <f aca="false">L60</f>
        <v>-79458.1621017223</v>
      </c>
      <c r="N58" s="15" t="n">
        <f aca="false">M60</f>
        <v>-78400.0125828448</v>
      </c>
      <c r="O58" s="15" t="n">
        <f aca="false">N60</f>
        <v>-76383.0344578228</v>
      </c>
      <c r="P58" s="15" t="n">
        <f aca="false">O60</f>
        <v>-92076.1799393842</v>
      </c>
      <c r="Q58" s="15" t="n">
        <f aca="false">P60</f>
        <v>-103089.860295019</v>
      </c>
      <c r="R58" s="15" t="n">
        <f aca="false">Q60</f>
        <v>-110856.870175986</v>
      </c>
      <c r="S58" s="15" t="n">
        <f aca="false">R60</f>
        <v>-115409.676287033</v>
      </c>
      <c r="T58" s="15" t="n">
        <f aca="false">S60</f>
        <v>-116780.420665858</v>
      </c>
      <c r="U58" s="15" t="n">
        <f aca="false">T60</f>
        <v>-115000.923929783</v>
      </c>
      <c r="V58" s="15" t="n">
        <f aca="false">U60</f>
        <v>-121602.688489959</v>
      </c>
      <c r="W58" s="15" t="n">
        <f aca="false">V60</f>
        <v>-119116.901733421</v>
      </c>
      <c r="X58" s="15" t="n">
        <f aca="false">W60</f>
        <v>-114574.439173338</v>
      </c>
      <c r="Y58" s="15" t="n">
        <f aca="false">X60</f>
        <v>-107005.867567744</v>
      </c>
      <c r="Z58" s="15" t="n">
        <f aca="false">Y60</f>
        <v>-96441.4480070951</v>
      </c>
      <c r="AA58" s="15" t="n">
        <f aca="false">Z60</f>
        <v>-82911.1389709416</v>
      </c>
      <c r="AB58" s="15" t="n">
        <f aca="false">AA60</f>
        <v>-75357.5220540386</v>
      </c>
      <c r="AC58" s="15" t="n">
        <f aca="false">AB60</f>
        <v>-56883.3571285268</v>
      </c>
      <c r="AD58" s="15" t="n">
        <f aca="false">AC60</f>
        <v>-30567.8496744924</v>
      </c>
      <c r="AE58" s="15" t="n">
        <f aca="false">AD60</f>
        <v>3510.58688277948</v>
      </c>
      <c r="AF58" s="15" t="n">
        <f aca="false">AE60</f>
        <v>45274.3232522564</v>
      </c>
      <c r="AG58" s="15" t="n">
        <f aca="false">AF60</f>
        <v>94646.5064358164</v>
      </c>
      <c r="AH58" s="15" t="n">
        <f aca="false">AG60</f>
        <v>146551.051965318</v>
      </c>
      <c r="AI58" s="15" t="n">
        <f aca="false">AH60</f>
        <v>211912.636217303</v>
      </c>
      <c r="AJ58" s="15" t="n">
        <f aca="false">AI60</f>
        <v>283656.688804546</v>
      </c>
      <c r="AK58" s="15" t="n">
        <f aca="false">AJ60</f>
        <v>362709.385043694</v>
      </c>
      <c r="AL58" s="15" t="n">
        <f aca="false">AK60</f>
        <v>448997.638498229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-10364.6256033333</v>
      </c>
      <c r="F59" s="15" t="n">
        <f aca="false">F31-F36-F39-F51-F55+F56+F57</f>
        <v>-10984.1395145667</v>
      </c>
      <c r="G59" s="15" t="n">
        <f aca="false">G31-G36-G39-G51-G55+G56+G57</f>
        <v>-10998.8153291297</v>
      </c>
      <c r="H59" s="15" t="n">
        <f aca="false">H31-H36-H39-H51-H55+H56+H57</f>
        <v>-11013.0508692558</v>
      </c>
      <c r="I59" s="15" t="n">
        <f aca="false">I31-I36-I39-I51-I55+I56+I57</f>
        <v>-6106.66619431019</v>
      </c>
      <c r="J59" s="15" t="n">
        <f aca="false">J31-J36-J39-J51-J55+J56+J57</f>
        <v>-876.839431033756</v>
      </c>
      <c r="K59" s="15" t="n">
        <f aca="false">K31-K36-K39-K51-K55+K56+K57</f>
        <v>-888.660935390085</v>
      </c>
      <c r="L59" s="15" t="n">
        <f aca="false">L31-L36-L39-L51-L55+L56+L57</f>
        <v>89.6357752971476</v>
      </c>
      <c r="M59" s="15" t="n">
        <f aca="false">M31-M36-M39-M51-M55+M56+M57</f>
        <v>1058.14951887751</v>
      </c>
      <c r="N59" s="15" t="n">
        <f aca="false">N31-N36-N39-N51-N55+N56+N57</f>
        <v>2016.97812502207</v>
      </c>
      <c r="O59" s="15" t="n">
        <f aca="false">O31-O36-O39-O51-O55+O56+O57</f>
        <v>-15693.1454815615</v>
      </c>
      <c r="P59" s="15" t="n">
        <f aca="false">P31-P36-P39-P51-P55+P56+P57</f>
        <v>-11013.6803556348</v>
      </c>
      <c r="Q59" s="15" t="n">
        <f aca="false">Q31-Q36-Q39-Q51-Q55+Q56+Q57</f>
        <v>-7767.0098809673</v>
      </c>
      <c r="R59" s="15" t="n">
        <f aca="false">R31-R36-R39-R51-R55+R56+R57</f>
        <v>-4552.80611104651</v>
      </c>
      <c r="S59" s="15" t="n">
        <f aca="false">S31-S36-S39-S51-S55+S56+S57</f>
        <v>-1370.74437882494</v>
      </c>
      <c r="T59" s="15" t="n">
        <f aca="false">T31-T36-T39-T51-T55+T56+T57</f>
        <v>1779.49673607442</v>
      </c>
      <c r="U59" s="15" t="n">
        <f aca="false">U31-U36-U39-U51-U55+U56+U57</f>
        <v>-6601.76456017523</v>
      </c>
      <c r="V59" s="15" t="n">
        <f aca="false">V31-V36-V39-V51-V55+V56+V57</f>
        <v>2485.78675653763</v>
      </c>
      <c r="W59" s="15" t="n">
        <f aca="false">W31-W36-W39-W51-W55+W56+W57</f>
        <v>4542.46256008338</v>
      </c>
      <c r="X59" s="15" t="n">
        <f aca="false">X31-X36-X39-X51-X55+X56+X57</f>
        <v>7568.57160559365</v>
      </c>
      <c r="Y59" s="15" t="n">
        <f aca="false">Y31-Y36-Y39-Y51-Y55+Y56+Y57</f>
        <v>10564.4195606488</v>
      </c>
      <c r="Z59" s="15" t="n">
        <f aca="false">Z31-Z36-Z39-Z51-Z55+Z56+Z57</f>
        <v>13530.3090361534</v>
      </c>
      <c r="AA59" s="15" t="n">
        <f aca="false">AA31-AA36-AA39-AA51-AA55+AA56+AA57</f>
        <v>7553.61691690301</v>
      </c>
      <c r="AB59" s="15" t="n">
        <f aca="false">AB31-AB36-AB39-AB51-AB55+AB56+AB57</f>
        <v>18474.1649255118</v>
      </c>
      <c r="AC59" s="15" t="n">
        <f aca="false">AC31-AC36-AC39-AC51-AC55+AC56+AC57</f>
        <v>26315.5074540344</v>
      </c>
      <c r="AD59" s="15" t="n">
        <f aca="false">AD31-AD36-AD39-AD51-AD55+AD56+AD57</f>
        <v>34078.4365572719</v>
      </c>
      <c r="AE59" s="15" t="n">
        <f aca="false">AE31-AE36-AE39-AE51-AE55+AE56+AE57</f>
        <v>41763.7363694769</v>
      </c>
      <c r="AF59" s="15" t="n">
        <f aca="false">AF31-AF36-AF39-AF51-AF55+AF56+AF57</f>
        <v>49372.1831835599</v>
      </c>
      <c r="AG59" s="15" t="n">
        <f aca="false">AG31-AG36-AG39-AG51-AG55+AG56+AG57</f>
        <v>51904.5455295021</v>
      </c>
      <c r="AH59" s="15" t="n">
        <f aca="false">AH31-AH36-AH39-AH51-AH55+AH56+AH57</f>
        <v>65361.5842519849</v>
      </c>
      <c r="AI59" s="15" t="n">
        <f aca="false">AI31-AI36-AI39-AI51-AI55+AI56+AI57</f>
        <v>71744.0525872428</v>
      </c>
      <c r="AJ59" s="15" t="n">
        <f aca="false">AJ31-AJ36-AJ39-AJ51-AJ55+AJ56+AJ57</f>
        <v>79052.6962391482</v>
      </c>
      <c r="AK59" s="15" t="n">
        <f aca="false">AK31-AK36-AK39-AK51-AK55+AK56+AK57</f>
        <v>86288.2534545345</v>
      </c>
      <c r="AL59" s="15" t="n">
        <f aca="false">AL31-AL36-AL39-AL51-AL55+AL56+AL57</f>
        <v>93451.4550977669</v>
      </c>
      <c r="AN59" s="15" t="n">
        <f aca="false">SUM(C59:N59)</f>
        <v>-76383.0344578227</v>
      </c>
      <c r="AO59" s="15" t="n">
        <f aca="false">SUM(O59:Z59)</f>
        <v>-6528.10451311888</v>
      </c>
      <c r="AP59" s="15" t="n">
        <f aca="false">SUM(AA59:AL59)</f>
        <v>625360.232566937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-38679.6256033333</v>
      </c>
      <c r="F60" s="40" t="n">
        <f aca="false">F58+F59</f>
        <v>-49663.7651179</v>
      </c>
      <c r="G60" s="40" t="n">
        <f aca="false">G58+G59</f>
        <v>-60662.5804470297</v>
      </c>
      <c r="H60" s="40" t="n">
        <f aca="false">H58+H59</f>
        <v>-71675.6313162855</v>
      </c>
      <c r="I60" s="40" t="n">
        <f aca="false">I58+I59</f>
        <v>-77782.2975105956</v>
      </c>
      <c r="J60" s="40" t="n">
        <f aca="false">J58+J59</f>
        <v>-78659.1369416294</v>
      </c>
      <c r="K60" s="40" t="n">
        <f aca="false">K58+K59</f>
        <v>-79547.7978770195</v>
      </c>
      <c r="L60" s="40" t="n">
        <f aca="false">L58+L59</f>
        <v>-79458.1621017223</v>
      </c>
      <c r="M60" s="40" t="n">
        <f aca="false">M58+M59</f>
        <v>-78400.0125828448</v>
      </c>
      <c r="N60" s="40" t="n">
        <f aca="false">N58+N59</f>
        <v>-76383.0344578228</v>
      </c>
      <c r="O60" s="40" t="n">
        <f aca="false">O58+O59</f>
        <v>-92076.1799393842</v>
      </c>
      <c r="P60" s="40" t="n">
        <f aca="false">P58+P59</f>
        <v>-103089.860295019</v>
      </c>
      <c r="Q60" s="40" t="n">
        <f aca="false">Q58+Q59</f>
        <v>-110856.870175986</v>
      </c>
      <c r="R60" s="40" t="n">
        <f aca="false">R58+R59</f>
        <v>-115409.676287033</v>
      </c>
      <c r="S60" s="40" t="n">
        <f aca="false">S58+S59</f>
        <v>-116780.420665858</v>
      </c>
      <c r="T60" s="40" t="n">
        <f aca="false">T58+T59</f>
        <v>-115000.923929783</v>
      </c>
      <c r="U60" s="40" t="n">
        <f aca="false">U58+U59</f>
        <v>-121602.688489959</v>
      </c>
      <c r="V60" s="40" t="n">
        <f aca="false">V58+V59</f>
        <v>-119116.901733421</v>
      </c>
      <c r="W60" s="40" t="n">
        <f aca="false">W58+W59</f>
        <v>-114574.439173338</v>
      </c>
      <c r="X60" s="40" t="n">
        <f aca="false">X58+X59</f>
        <v>-107005.867567744</v>
      </c>
      <c r="Y60" s="40" t="n">
        <f aca="false">Y58+Y59</f>
        <v>-96441.4480070951</v>
      </c>
      <c r="Z60" s="40" t="n">
        <f aca="false">Z58+Z59</f>
        <v>-82911.1389709416</v>
      </c>
      <c r="AA60" s="40" t="n">
        <f aca="false">AA58+AA59</f>
        <v>-75357.5220540386</v>
      </c>
      <c r="AB60" s="40" t="n">
        <f aca="false">AB58+AB59</f>
        <v>-56883.3571285268</v>
      </c>
      <c r="AC60" s="40" t="n">
        <f aca="false">AC58+AC59</f>
        <v>-30567.8496744924</v>
      </c>
      <c r="AD60" s="40" t="n">
        <f aca="false">AD58+AD59</f>
        <v>3510.58688277948</v>
      </c>
      <c r="AE60" s="40" t="n">
        <f aca="false">AE58+AE59</f>
        <v>45274.3232522564</v>
      </c>
      <c r="AF60" s="40" t="n">
        <f aca="false">AF58+AF59</f>
        <v>94646.5064358164</v>
      </c>
      <c r="AG60" s="40" t="n">
        <f aca="false">AG58+AG59</f>
        <v>146551.051965318</v>
      </c>
      <c r="AH60" s="40" t="n">
        <f aca="false">AH58+AH59</f>
        <v>211912.636217303</v>
      </c>
      <c r="AI60" s="40" t="n">
        <f aca="false">AI58+AI59</f>
        <v>283656.688804546</v>
      </c>
      <c r="AJ60" s="40" t="n">
        <f aca="false">AJ58+AJ59</f>
        <v>362709.385043694</v>
      </c>
      <c r="AK60" s="40" t="n">
        <f aca="false">AK58+AK59</f>
        <v>448997.638498229</v>
      </c>
      <c r="AL60" s="40" t="n">
        <f aca="false">AL58+AL59</f>
        <v>542449.093595996</v>
      </c>
      <c r="AN60" s="40" t="n">
        <f aca="false">N60</f>
        <v>-76383.0344578228</v>
      </c>
      <c r="AO60" s="40" t="n">
        <f aca="false">Z60</f>
        <v>-82911.1389709416</v>
      </c>
      <c r="AP60" s="40" t="n">
        <f aca="false">AL60</f>
        <v>542449.093595996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-38679.6256033333</v>
      </c>
      <c r="F62" s="40" t="n">
        <f aca="false">F60-F61</f>
        <v>-49663.7651179</v>
      </c>
      <c r="G62" s="40" t="n">
        <f aca="false">G60-G61</f>
        <v>-60662.5804470297</v>
      </c>
      <c r="H62" s="40" t="n">
        <f aca="false">H60-H61</f>
        <v>-71675.6313162855</v>
      </c>
      <c r="I62" s="40" t="n">
        <f aca="false">I60-I61</f>
        <v>-77782.2975105956</v>
      </c>
      <c r="J62" s="40" t="n">
        <f aca="false">J60-J61</f>
        <v>-78659.1369416294</v>
      </c>
      <c r="K62" s="40" t="n">
        <f aca="false">K60-K61</f>
        <v>-79547.7978770195</v>
      </c>
      <c r="L62" s="40" t="n">
        <f aca="false">L60-L61</f>
        <v>-79458.1621017223</v>
      </c>
      <c r="M62" s="40" t="n">
        <f aca="false">M60-M61</f>
        <v>-78400.0125828448</v>
      </c>
      <c r="N62" s="40" t="n">
        <f aca="false">N60-N61</f>
        <v>-76383.0344578228</v>
      </c>
      <c r="O62" s="40" t="n">
        <f aca="false">O60-O61</f>
        <v>-92076.1799393842</v>
      </c>
      <c r="P62" s="40" t="n">
        <f aca="false">P60-P61</f>
        <v>-103089.860295019</v>
      </c>
      <c r="Q62" s="40" t="n">
        <f aca="false">Q60-Q61</f>
        <v>-110856.870175986</v>
      </c>
      <c r="R62" s="40" t="n">
        <f aca="false">R60-R61</f>
        <v>-115409.676287033</v>
      </c>
      <c r="S62" s="40" t="n">
        <f aca="false">S60-S61</f>
        <v>-116780.420665858</v>
      </c>
      <c r="T62" s="40" t="n">
        <f aca="false">T60-T61</f>
        <v>-115000.923929783</v>
      </c>
      <c r="U62" s="40" t="n">
        <f aca="false">U60-U61</f>
        <v>-121602.688489959</v>
      </c>
      <c r="V62" s="40" t="n">
        <f aca="false">V60-V61</f>
        <v>-119116.901733421</v>
      </c>
      <c r="W62" s="40" t="n">
        <f aca="false">W60-W61</f>
        <v>-114574.439173338</v>
      </c>
      <c r="X62" s="40" t="n">
        <f aca="false">X60-X61</f>
        <v>-107005.867567744</v>
      </c>
      <c r="Y62" s="40" t="n">
        <f aca="false">Y60-Y61</f>
        <v>-96441.4480070951</v>
      </c>
      <c r="Z62" s="40" t="n">
        <f aca="false">Z60-Z61</f>
        <v>-82911.1389709416</v>
      </c>
      <c r="AA62" s="40" t="n">
        <f aca="false">AA60-AA61</f>
        <v>-75357.5220540386</v>
      </c>
      <c r="AB62" s="40" t="n">
        <f aca="false">AB60-AB61</f>
        <v>-56883.3571285268</v>
      </c>
      <c r="AC62" s="40" t="n">
        <f aca="false">AC60-AC61</f>
        <v>-30567.8496744924</v>
      </c>
      <c r="AD62" s="40" t="n">
        <f aca="false">AD60-AD61</f>
        <v>3510.58688277948</v>
      </c>
      <c r="AE62" s="40" t="n">
        <f aca="false">AE60-AE61</f>
        <v>45274.3232522564</v>
      </c>
      <c r="AF62" s="40" t="n">
        <f aca="false">AF60-AF61</f>
        <v>94646.5064358164</v>
      </c>
      <c r="AG62" s="40" t="n">
        <f aca="false">AG60-AG61</f>
        <v>146551.051965318</v>
      </c>
      <c r="AH62" s="40" t="n">
        <f aca="false">AH60-AH61</f>
        <v>211912.636217303</v>
      </c>
      <c r="AI62" s="40" t="n">
        <f aca="false">AI60-AI61</f>
        <v>283656.688804546</v>
      </c>
      <c r="AJ62" s="40" t="n">
        <f aca="false">AJ60-AJ61</f>
        <v>362709.385043694</v>
      </c>
      <c r="AK62" s="40" t="n">
        <f aca="false">AK60-AK61</f>
        <v>448997.638498229</v>
      </c>
      <c r="AL62" s="40" t="n">
        <f aca="false">AL60-AL61</f>
        <v>542449.093595996</v>
      </c>
      <c r="AN62" s="40" t="n">
        <f aca="false">N62</f>
        <v>-76383.0344578228</v>
      </c>
      <c r="AO62" s="40" t="n">
        <f aca="false">Z62</f>
        <v>-82911.1389709416</v>
      </c>
      <c r="AP62" s="40" t="n">
        <f aca="false">AL62</f>
        <v>542449.093595996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-38679.6256033333</v>
      </c>
      <c r="F63" s="15" t="n">
        <f aca="false">MIN(E63,F62)</f>
        <v>-49663.7651179</v>
      </c>
      <c r="G63" s="15" t="n">
        <f aca="false">MIN(F63,G62)</f>
        <v>-60662.5804470297</v>
      </c>
      <c r="H63" s="15" t="n">
        <f aca="false">MIN(G63,H62)</f>
        <v>-71675.6313162855</v>
      </c>
      <c r="I63" s="15" t="n">
        <f aca="false">MIN(H63,I62)</f>
        <v>-77782.2975105956</v>
      </c>
      <c r="J63" s="15" t="n">
        <f aca="false">MIN(I63,J62)</f>
        <v>-78659.1369416294</v>
      </c>
      <c r="K63" s="15" t="n">
        <f aca="false">MIN(J63,K62)</f>
        <v>-79547.7978770195</v>
      </c>
      <c r="L63" s="15" t="n">
        <f aca="false">MIN(K63,L62)</f>
        <v>-79547.7978770195</v>
      </c>
      <c r="M63" s="15" t="n">
        <f aca="false">MIN(L63,M62)</f>
        <v>-79547.7978770195</v>
      </c>
      <c r="N63" s="15" t="n">
        <f aca="false">MIN(M63,N62)</f>
        <v>-79547.7978770195</v>
      </c>
      <c r="O63" s="15" t="n">
        <f aca="false">MIN(N63,O62)</f>
        <v>-92076.1799393842</v>
      </c>
      <c r="P63" s="15" t="n">
        <f aca="false">MIN(O63,P62)</f>
        <v>-103089.860295019</v>
      </c>
      <c r="Q63" s="15" t="n">
        <f aca="false">MIN(P63,Q62)</f>
        <v>-110856.870175986</v>
      </c>
      <c r="R63" s="15" t="n">
        <f aca="false">MIN(Q63,R62)</f>
        <v>-115409.676287033</v>
      </c>
      <c r="S63" s="15" t="n">
        <f aca="false">MIN(R63,S62)</f>
        <v>-116780.420665858</v>
      </c>
      <c r="T63" s="15" t="n">
        <f aca="false">MIN(S63,T62)</f>
        <v>-116780.420665858</v>
      </c>
      <c r="U63" s="15" t="n">
        <f aca="false">MIN(T63,U62)</f>
        <v>-121602.688489959</v>
      </c>
      <c r="V63" s="15" t="n">
        <f aca="false">MIN(U63,V62)</f>
        <v>-121602.688489959</v>
      </c>
      <c r="W63" s="15" t="n">
        <f aca="false">MIN(V63,W62)</f>
        <v>-121602.688489959</v>
      </c>
      <c r="X63" s="15" t="n">
        <f aca="false">MIN(W63,X62)</f>
        <v>-121602.688489959</v>
      </c>
      <c r="Y63" s="15" t="n">
        <f aca="false">MIN(X63,Y62)</f>
        <v>-121602.688489959</v>
      </c>
      <c r="Z63" s="15" t="n">
        <f aca="false">MIN(Y63,Z62)</f>
        <v>-121602.688489959</v>
      </c>
      <c r="AA63" s="15" t="n">
        <f aca="false">MIN(Z63,AA62)</f>
        <v>-121602.688489959</v>
      </c>
      <c r="AB63" s="15" t="n">
        <f aca="false">MIN(AA63,AB62)</f>
        <v>-121602.688489959</v>
      </c>
      <c r="AC63" s="15" t="n">
        <f aca="false">MIN(AB63,AC62)</f>
        <v>-121602.688489959</v>
      </c>
      <c r="AD63" s="15" t="n">
        <f aca="false">MIN(AC63,AD62)</f>
        <v>-121602.688489959</v>
      </c>
      <c r="AE63" s="15" t="n">
        <f aca="false">MIN(AD63,AE62)</f>
        <v>-121602.688489959</v>
      </c>
      <c r="AF63" s="15" t="n">
        <f aca="false">MIN(AE63,AF62)</f>
        <v>-121602.688489959</v>
      </c>
      <c r="AG63" s="15" t="n">
        <f aca="false">MIN(AF63,AG62)</f>
        <v>-121602.688489959</v>
      </c>
      <c r="AH63" s="15" t="n">
        <f aca="false">MIN(AG63,AH62)</f>
        <v>-121602.688489959</v>
      </c>
      <c r="AI63" s="15" t="n">
        <f aca="false">MIN(AH63,AI62)</f>
        <v>-121602.688489959</v>
      </c>
      <c r="AJ63" s="15" t="n">
        <f aca="false">MIN(AI63,AJ62)</f>
        <v>-121602.688489959</v>
      </c>
      <c r="AK63" s="15" t="n">
        <f aca="false">MIN(AJ63,AK62)</f>
        <v>-121602.688489959</v>
      </c>
      <c r="AL63" s="15" t="n">
        <f aca="false">MIN(AK63,AL62)</f>
        <v>-121602.688489959</v>
      </c>
      <c r="AN63" s="15" t="n">
        <f aca="false">N63</f>
        <v>-79547.7978770195</v>
      </c>
      <c r="AO63" s="15" t="n">
        <f aca="false">Z63</f>
        <v>-121602.688489959</v>
      </c>
      <c r="AP63" s="15" t="n">
        <f aca="false">AL63</f>
        <v>-121602.688489959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1</v>
      </c>
      <c r="AE64" s="13" t="n">
        <f aca="false">IF(AND(AE9=1,AE62&gt;0),1,0)</f>
        <v>1</v>
      </c>
      <c r="AF64" s="13" t="n">
        <f aca="false">IF(AND(AF9=1,AF62&gt;0),1,0)</f>
        <v>1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7178</v>
      </c>
      <c r="G66" s="15" t="n">
        <f aca="false">G28*12</f>
        <v>6962.66</v>
      </c>
      <c r="H66" s="15" t="n">
        <f aca="false">H28*12</f>
        <v>6753.7802</v>
      </c>
      <c r="I66" s="15" t="n">
        <f aca="false">I28*12</f>
        <v>21486.242398</v>
      </c>
      <c r="J66" s="15" t="n">
        <f aca="false">J28*12</f>
        <v>36071.37997402</v>
      </c>
      <c r="K66" s="15" t="n">
        <f aca="false">K28*12</f>
        <v>50510.6661742798</v>
      </c>
      <c r="L66" s="15" t="n">
        <f aca="false">L28*12</f>
        <v>64805.559512537</v>
      </c>
      <c r="M66" s="15" t="n">
        <f aca="false">M28*12</f>
        <v>78957.5039174116</v>
      </c>
      <c r="N66" s="15" t="n">
        <f aca="false">N28*12</f>
        <v>92967.9288782375</v>
      </c>
      <c r="O66" s="15" t="n">
        <f aca="false">O28*12</f>
        <v>141371.582922788</v>
      </c>
      <c r="P66" s="15" t="n">
        <f aca="false">P28*12</f>
        <v>189291.200426894</v>
      </c>
      <c r="Q66" s="15" t="n">
        <f aca="false">Q28*12</f>
        <v>236731.621755958</v>
      </c>
      <c r="R66" s="15" t="n">
        <f aca="false">R28*12</f>
        <v>283697.638871732</v>
      </c>
      <c r="S66" s="15" t="n">
        <f aca="false">S28*12</f>
        <v>330193.995816348</v>
      </c>
      <c r="T66" s="15" t="n">
        <f aca="false">T28*12</f>
        <v>376225.389191518</v>
      </c>
      <c r="U66" s="15" t="n">
        <f aca="false">U28*12</f>
        <v>421796.468632936</v>
      </c>
      <c r="V66" s="15" t="n">
        <f aca="false">V28*12</f>
        <v>466911.83727994</v>
      </c>
      <c r="W66" s="15" t="n">
        <f aca="false">W28*12</f>
        <v>511576.052240474</v>
      </c>
      <c r="X66" s="15" t="n">
        <f aca="false">X28*12</f>
        <v>555793.625051403</v>
      </c>
      <c r="Y66" s="15" t="n">
        <f aca="false">Y28*12</f>
        <v>599569.022134222</v>
      </c>
      <c r="Z66" s="15" t="n">
        <f aca="false">Z28*12</f>
        <v>642906.665246213</v>
      </c>
      <c r="AA66" s="15" t="n">
        <f aca="false">AA28*12</f>
        <v>759810.931927084</v>
      </c>
      <c r="AB66" s="15" t="n">
        <f aca="false">AB28*12</f>
        <v>875546.155941146</v>
      </c>
      <c r="AC66" s="15" t="n">
        <f aca="false">AC28*12</f>
        <v>990124.027715068</v>
      </c>
      <c r="AD66" s="15" t="n">
        <f aca="false">AD28*12</f>
        <v>1103556.12077125</v>
      </c>
      <c r="AE66" s="15" t="n">
        <f aca="false">AE28*12</f>
        <v>1215853.89289687</v>
      </c>
      <c r="AF66" s="15" t="n">
        <f aca="false">AF28*12</f>
        <v>1327028.68730124</v>
      </c>
      <c r="AG66" s="15" t="n">
        <f aca="false">AG28*12</f>
        <v>1437091.73376156</v>
      </c>
      <c r="AH66" s="15" t="n">
        <f aca="false">AH28*12</f>
        <v>1546054.14975728</v>
      </c>
      <c r="AI66" s="15" t="n">
        <f aca="false">AI28*12</f>
        <v>1653926.94159304</v>
      </c>
      <c r="AJ66" s="15" t="n">
        <f aca="false">AJ28*12</f>
        <v>1760721.00551044</v>
      </c>
      <c r="AK66" s="15" t="n">
        <f aca="false">AK28*12</f>
        <v>1866447.12878867</v>
      </c>
      <c r="AL66" s="15" t="n">
        <f aca="false">AL28*12</f>
        <v>1971115.99083411</v>
      </c>
      <c r="AN66" s="15" t="n">
        <f aca="false">N66</f>
        <v>92967.9288782375</v>
      </c>
      <c r="AO66" s="15" t="n">
        <f aca="false">Z66</f>
        <v>642906.665246213</v>
      </c>
      <c r="AP66" s="15" t="n">
        <f aca="false">AL66</f>
        <v>1971115.99083411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11.040327</v>
      </c>
      <c r="F68" s="19" t="n">
        <f aca="false">IF(F18&gt;0,F36/F18,0)</f>
        <v>11.040327</v>
      </c>
      <c r="G68" s="19" t="n">
        <f aca="false">IF(G18&gt;0,G36/G18,0)</f>
        <v>11.040327</v>
      </c>
      <c r="H68" s="19" t="n">
        <f aca="false">IF(H18&gt;0,H36/H18,0)</f>
        <v>11.040327</v>
      </c>
      <c r="I68" s="19" t="n">
        <f aca="false">IF(I18&gt;0,I36/I18,0)</f>
        <v>11.040327</v>
      </c>
      <c r="J68" s="19" t="n">
        <f aca="false">IF(J18&gt;0,J36/J18,0)</f>
        <v>11.040327</v>
      </c>
      <c r="K68" s="19" t="n">
        <f aca="false">IF(K18&gt;0,K36/K18,0)</f>
        <v>11.040327</v>
      </c>
      <c r="L68" s="19" t="n">
        <f aca="false">IF(L18&gt;0,L36/L18,0)</f>
        <v>11.040327</v>
      </c>
      <c r="M68" s="19" t="n">
        <f aca="false">IF(M18&gt;0,M36/M18,0)</f>
        <v>11.040327</v>
      </c>
      <c r="N68" s="19" t="n">
        <f aca="false">IF(N18&gt;0,N36/N18,0)</f>
        <v>11.040327</v>
      </c>
      <c r="O68" s="19" t="n">
        <f aca="false">IF(O18&gt;0,O36/O18,0)</f>
        <v>11.040327</v>
      </c>
      <c r="P68" s="19" t="n">
        <f aca="false">IF(P18&gt;0,P36/P18,0)</f>
        <v>11.040327</v>
      </c>
      <c r="Q68" s="19" t="n">
        <f aca="false">IF(Q18&gt;0,Q36/Q18,0)</f>
        <v>11.040327</v>
      </c>
      <c r="R68" s="19" t="n">
        <f aca="false">IF(R18&gt;0,R36/R18,0)</f>
        <v>11.040327</v>
      </c>
      <c r="S68" s="19" t="n">
        <f aca="false">IF(S18&gt;0,S36/S18,0)</f>
        <v>11.040327</v>
      </c>
      <c r="T68" s="19" t="n">
        <f aca="false">IF(T18&gt;0,T36/T18,0)</f>
        <v>11.040327</v>
      </c>
      <c r="U68" s="19" t="n">
        <f aca="false">IF(U18&gt;0,U36/U18,0)</f>
        <v>11.040327</v>
      </c>
      <c r="V68" s="19" t="n">
        <f aca="false">IF(V18&gt;0,V36/V18,0)</f>
        <v>11.040327</v>
      </c>
      <c r="W68" s="19" t="n">
        <f aca="false">IF(W18&gt;0,W36/W18,0)</f>
        <v>11.040327</v>
      </c>
      <c r="X68" s="19" t="n">
        <f aca="false">IF(X18&gt;0,X36/X18,0)</f>
        <v>11.040327</v>
      </c>
      <c r="Y68" s="19" t="n">
        <f aca="false">IF(Y18&gt;0,Y36/Y18,0)</f>
        <v>11.040327</v>
      </c>
      <c r="Z68" s="19" t="n">
        <f aca="false">IF(Z18&gt;0,Z36/Z18,0)</f>
        <v>11.040327</v>
      </c>
      <c r="AA68" s="19" t="n">
        <f aca="false">IF(AA18&gt;0,AA36/AA18,0)</f>
        <v>11.040327</v>
      </c>
      <c r="AB68" s="19" t="n">
        <f aca="false">IF(AB18&gt;0,AB36/AB18,0)</f>
        <v>11.040327</v>
      </c>
      <c r="AC68" s="19" t="n">
        <f aca="false">IF(AC18&gt;0,AC36/AC18,0)</f>
        <v>11.040327</v>
      </c>
      <c r="AD68" s="19" t="n">
        <f aca="false">IF(AD18&gt;0,AD36/AD18,0)</f>
        <v>11.040327</v>
      </c>
      <c r="AE68" s="19" t="n">
        <f aca="false">IF(AE18&gt;0,AE36/AE18,0)</f>
        <v>11.040327</v>
      </c>
      <c r="AF68" s="19" t="n">
        <f aca="false">IF(AF18&gt;0,AF36/AF18,0)</f>
        <v>11.040327</v>
      </c>
      <c r="AG68" s="19" t="n">
        <f aca="false">IF(AG18&gt;0,AG36/AG18,0)</f>
        <v>11.040327</v>
      </c>
      <c r="AH68" s="19" t="n">
        <f aca="false">IF(AH18&gt;0,AH36/AH18,0)</f>
        <v>11.040327</v>
      </c>
      <c r="AI68" s="19" t="n">
        <f aca="false">IF(AI18&gt;0,AI36/AI18,0)</f>
        <v>11.040327</v>
      </c>
      <c r="AJ68" s="19" t="n">
        <f aca="false">IF(AJ18&gt;0,AJ36/AJ18,0)</f>
        <v>11.040327</v>
      </c>
      <c r="AK68" s="19" t="n">
        <f aca="false">IF(AK18&gt;0,AK36/AK18,0)</f>
        <v>11.040327</v>
      </c>
      <c r="AL68" s="19" t="n">
        <f aca="false">IF(AL18&gt;0,AL36/AL18,0)</f>
        <v>11.040327</v>
      </c>
      <c r="AN68" s="19" t="n">
        <f aca="false">N68</f>
        <v>11.040327</v>
      </c>
      <c r="AO68" s="19" t="n">
        <f aca="false">Z68</f>
        <v>11.040327</v>
      </c>
      <c r="AP68" s="19" t="n">
        <f aca="false">AL68</f>
        <v>11.040327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48.660773</v>
      </c>
      <c r="F69" s="19" t="n">
        <f aca="false">IF(F18&gt;0,F37/F18,0)</f>
        <v>48.660773</v>
      </c>
      <c r="G69" s="19" t="n">
        <f aca="false">IF(G18&gt;0,G37/G18,0)</f>
        <v>48.660773</v>
      </c>
      <c r="H69" s="19" t="n">
        <f aca="false">IF(H18&gt;0,H37/H18,0)</f>
        <v>48.660773</v>
      </c>
      <c r="I69" s="19" t="n">
        <f aca="false">IF(I18&gt;0,I37/I18,0)</f>
        <v>48.660773</v>
      </c>
      <c r="J69" s="19" t="n">
        <f aca="false">IF(J18&gt;0,J37/J18,0)</f>
        <v>48.660773</v>
      </c>
      <c r="K69" s="19" t="n">
        <f aca="false">IF(K18&gt;0,K37/K18,0)</f>
        <v>48.660773</v>
      </c>
      <c r="L69" s="19" t="n">
        <f aca="false">IF(L18&gt;0,L37/L18,0)</f>
        <v>48.660773</v>
      </c>
      <c r="M69" s="19" t="n">
        <f aca="false">IF(M18&gt;0,M37/M18,0)</f>
        <v>48.660773</v>
      </c>
      <c r="N69" s="19" t="n">
        <f aca="false">IF(N18&gt;0,N37/N18,0)</f>
        <v>48.660773</v>
      </c>
      <c r="O69" s="19" t="n">
        <f aca="false">IF(O18&gt;0,O37/O18,0)</f>
        <v>48.660773</v>
      </c>
      <c r="P69" s="19" t="n">
        <f aca="false">IF(P18&gt;0,P37/P18,0)</f>
        <v>48.660773</v>
      </c>
      <c r="Q69" s="19" t="n">
        <f aca="false">IF(Q18&gt;0,Q37/Q18,0)</f>
        <v>48.660773</v>
      </c>
      <c r="R69" s="19" t="n">
        <f aca="false">IF(R18&gt;0,R37/R18,0)</f>
        <v>48.660773</v>
      </c>
      <c r="S69" s="19" t="n">
        <f aca="false">IF(S18&gt;0,S37/S18,0)</f>
        <v>48.660773</v>
      </c>
      <c r="T69" s="19" t="n">
        <f aca="false">IF(T18&gt;0,T37/T18,0)</f>
        <v>48.660773</v>
      </c>
      <c r="U69" s="19" t="n">
        <f aca="false">IF(U18&gt;0,U37/U18,0)</f>
        <v>48.660773</v>
      </c>
      <c r="V69" s="19" t="n">
        <f aca="false">IF(V18&gt;0,V37/V18,0)</f>
        <v>48.660773</v>
      </c>
      <c r="W69" s="19" t="n">
        <f aca="false">IF(W18&gt;0,W37/W18,0)</f>
        <v>48.660773</v>
      </c>
      <c r="X69" s="19" t="n">
        <f aca="false">IF(X18&gt;0,X37/X18,0)</f>
        <v>48.660773</v>
      </c>
      <c r="Y69" s="19" t="n">
        <f aca="false">IF(Y18&gt;0,Y37/Y18,0)</f>
        <v>48.660773</v>
      </c>
      <c r="Z69" s="19" t="n">
        <f aca="false">IF(Z18&gt;0,Z37/Z18,0)</f>
        <v>48.660773</v>
      </c>
      <c r="AA69" s="19" t="n">
        <f aca="false">IF(AA18&gt;0,AA37/AA18,0)</f>
        <v>48.660773</v>
      </c>
      <c r="AB69" s="19" t="n">
        <f aca="false">IF(AB18&gt;0,AB37/AB18,0)</f>
        <v>48.660773</v>
      </c>
      <c r="AC69" s="19" t="n">
        <f aca="false">IF(AC18&gt;0,AC37/AC18,0)</f>
        <v>48.660773</v>
      </c>
      <c r="AD69" s="19" t="n">
        <f aca="false">IF(AD18&gt;0,AD37/AD18,0)</f>
        <v>48.660773</v>
      </c>
      <c r="AE69" s="19" t="n">
        <f aca="false">IF(AE18&gt;0,AE37/AE18,0)</f>
        <v>48.660773</v>
      </c>
      <c r="AF69" s="19" t="n">
        <f aca="false">IF(AF18&gt;0,AF37/AF18,0)</f>
        <v>48.660773</v>
      </c>
      <c r="AG69" s="19" t="n">
        <f aca="false">IF(AG18&gt;0,AG37/AG18,0)</f>
        <v>48.660773</v>
      </c>
      <c r="AH69" s="19" t="n">
        <f aca="false">IF(AH18&gt;0,AH37/AH18,0)</f>
        <v>48.660773</v>
      </c>
      <c r="AI69" s="19" t="n">
        <f aca="false">IF(AI18&gt;0,AI37/AI18,0)</f>
        <v>48.660773</v>
      </c>
      <c r="AJ69" s="19" t="n">
        <f aca="false">IF(AJ18&gt;0,AJ37/AJ18,0)</f>
        <v>48.660773</v>
      </c>
      <c r="AK69" s="19" t="n">
        <f aca="false">IF(AK18&gt;0,AK37/AK18,0)</f>
        <v>48.660773</v>
      </c>
      <c r="AL69" s="19" t="n">
        <f aca="false">IF(AL18&gt;0,AL37/AL18,0)</f>
        <v>48.660773</v>
      </c>
      <c r="AN69" s="19" t="n">
        <f aca="false">N69</f>
        <v>48.660773</v>
      </c>
      <c r="AO69" s="19" t="n">
        <f aca="false">Z69</f>
        <v>48.660773</v>
      </c>
      <c r="AP69" s="19" t="n">
        <f aca="false">AL69</f>
        <v>48.660773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0.789093616216216</v>
      </c>
      <c r="F70" s="17" t="n">
        <f aca="false">IF(F28&gt;0,F37/F28,0)</f>
        <v>0.789093616216216</v>
      </c>
      <c r="G70" s="17" t="n">
        <f aca="false">IF(G28&gt;0,G37/G28,0)</f>
        <v>0.789093616216216</v>
      </c>
      <c r="H70" s="17" t="n">
        <f aca="false">IF(H28&gt;0,H37/H28,0)</f>
        <v>0.789093616216216</v>
      </c>
      <c r="I70" s="17" t="n">
        <f aca="false">IF(I28&gt;0,I37/I28,0)</f>
        <v>0.789093616216216</v>
      </c>
      <c r="J70" s="17" t="n">
        <f aca="false">IF(J28&gt;0,J37/J28,0)</f>
        <v>0.789093616216216</v>
      </c>
      <c r="K70" s="17" t="n">
        <f aca="false">IF(K28&gt;0,K37/K28,0)</f>
        <v>0.789093616216216</v>
      </c>
      <c r="L70" s="17" t="n">
        <f aca="false">IF(L28&gt;0,L37/L28,0)</f>
        <v>0.789093616216216</v>
      </c>
      <c r="M70" s="17" t="n">
        <f aca="false">IF(M28&gt;0,M37/M28,0)</f>
        <v>0.789093616216216</v>
      </c>
      <c r="N70" s="17" t="n">
        <f aca="false">IF(N28&gt;0,N37/N28,0)</f>
        <v>0.789093616216216</v>
      </c>
      <c r="O70" s="17" t="n">
        <f aca="false">IF(O28&gt;0,O37/O28,0)</f>
        <v>0.789093616216216</v>
      </c>
      <c r="P70" s="17" t="n">
        <f aca="false">IF(P28&gt;0,P37/P28,0)</f>
        <v>0.789093616216216</v>
      </c>
      <c r="Q70" s="17" t="n">
        <f aca="false">IF(Q28&gt;0,Q37/Q28,0)</f>
        <v>0.789093616216216</v>
      </c>
      <c r="R70" s="17" t="n">
        <f aca="false">IF(R28&gt;0,R37/R28,0)</f>
        <v>0.789093616216216</v>
      </c>
      <c r="S70" s="17" t="n">
        <f aca="false">IF(S28&gt;0,S37/S28,0)</f>
        <v>0.789093616216216</v>
      </c>
      <c r="T70" s="17" t="n">
        <f aca="false">IF(T28&gt;0,T37/T28,0)</f>
        <v>0.789093616216216</v>
      </c>
      <c r="U70" s="17" t="n">
        <f aca="false">IF(U28&gt;0,U37/U28,0)</f>
        <v>0.789093616216216</v>
      </c>
      <c r="V70" s="17" t="n">
        <f aca="false">IF(V28&gt;0,V37/V28,0)</f>
        <v>0.789093616216216</v>
      </c>
      <c r="W70" s="17" t="n">
        <f aca="false">IF(W28&gt;0,W37/W28,0)</f>
        <v>0.789093616216216</v>
      </c>
      <c r="X70" s="17" t="n">
        <f aca="false">IF(X28&gt;0,X37/X28,0)</f>
        <v>0.789093616216216</v>
      </c>
      <c r="Y70" s="17" t="n">
        <f aca="false">IF(Y28&gt;0,Y37/Y28,0)</f>
        <v>0.789093616216216</v>
      </c>
      <c r="Z70" s="17" t="n">
        <f aca="false">IF(Z28&gt;0,Z37/Z28,0)</f>
        <v>0.789093616216216</v>
      </c>
      <c r="AA70" s="17" t="n">
        <f aca="false">IF(AA28&gt;0,AA37/AA28,0)</f>
        <v>0.789093616216216</v>
      </c>
      <c r="AB70" s="17" t="n">
        <f aca="false">IF(AB28&gt;0,AB37/AB28,0)</f>
        <v>0.789093616216216</v>
      </c>
      <c r="AC70" s="17" t="n">
        <f aca="false">IF(AC28&gt;0,AC37/AC28,0)</f>
        <v>0.789093616216216</v>
      </c>
      <c r="AD70" s="17" t="n">
        <f aca="false">IF(AD28&gt;0,AD37/AD28,0)</f>
        <v>0.789093616216216</v>
      </c>
      <c r="AE70" s="17" t="n">
        <f aca="false">IF(AE28&gt;0,AE37/AE28,0)</f>
        <v>0.789093616216216</v>
      </c>
      <c r="AF70" s="17" t="n">
        <f aca="false">IF(AF28&gt;0,AF37/AF28,0)</f>
        <v>0.789093616216216</v>
      </c>
      <c r="AG70" s="17" t="n">
        <f aca="false">IF(AG28&gt;0,AG37/AG28,0)</f>
        <v>0.789093616216216</v>
      </c>
      <c r="AH70" s="17" t="n">
        <f aca="false">IF(AH28&gt;0,AH37/AH28,0)</f>
        <v>0.789093616216216</v>
      </c>
      <c r="AI70" s="17" t="n">
        <f aca="false">IF(AI28&gt;0,AI37/AI28,0)</f>
        <v>0.789093616216216</v>
      </c>
      <c r="AJ70" s="17" t="n">
        <f aca="false">IF(AJ28&gt;0,AJ37/AJ28,0)</f>
        <v>0.789093616216216</v>
      </c>
      <c r="AK70" s="17" t="n">
        <f aca="false">IF(AK28&gt;0,AK37/AK28,0)</f>
        <v>0.789093616216216</v>
      </c>
      <c r="AL70" s="17" t="n">
        <f aca="false">IF(AL28&gt;0,AL37/AL28,0)</f>
        <v>0.789093616216216</v>
      </c>
      <c r="AN70" s="17" t="n">
        <f aca="false">N70</f>
        <v>0.789093616216216</v>
      </c>
      <c r="AO70" s="17" t="n">
        <f aca="false">Z70</f>
        <v>0.789093616216216</v>
      </c>
      <c r="AP70" s="17" t="n">
        <f aca="false">AL70</f>
        <v>0.789093616216216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3.08256508789945</v>
      </c>
      <c r="F72" s="38" t="n">
        <f aca="false">IF(F69&gt;0,Hypothèses!$D$23*$E$4/F69,0)</f>
        <v>3.08256508789945</v>
      </c>
      <c r="G72" s="38" t="n">
        <f aca="false">IF(G69&gt;0,Hypothèses!$D$23*$E$4/G69,0)</f>
        <v>3.08256508789945</v>
      </c>
      <c r="H72" s="38" t="n">
        <f aca="false">IF(H69&gt;0,Hypothèses!$D$23*$E$4/H69,0)</f>
        <v>3.08256508789945</v>
      </c>
      <c r="I72" s="38" t="n">
        <f aca="false">IF(I69&gt;0,Hypothèses!$D$23*$E$4/I69,0)</f>
        <v>3.08256508789945</v>
      </c>
      <c r="J72" s="38" t="n">
        <f aca="false">IF(J69&gt;0,Hypothèses!$D$23*$E$4/J69,0)</f>
        <v>3.08256508789945</v>
      </c>
      <c r="K72" s="38" t="n">
        <f aca="false">IF(K69&gt;0,Hypothèses!$D$23*$E$4/K69,0)</f>
        <v>3.08256508789945</v>
      </c>
      <c r="L72" s="38" t="n">
        <f aca="false">IF(L69&gt;0,Hypothèses!$D$23*$E$4/L69,0)</f>
        <v>3.08256508789945</v>
      </c>
      <c r="M72" s="38" t="n">
        <f aca="false">IF(M69&gt;0,Hypothèses!$D$23*$E$4/M69,0)</f>
        <v>3.08256508789945</v>
      </c>
      <c r="N72" s="38" t="n">
        <f aca="false">IF(N69&gt;0,Hypothèses!$D$23*$E$4/N69,0)</f>
        <v>3.08256508789945</v>
      </c>
      <c r="O72" s="38" t="n">
        <f aca="false">IF(O69&gt;0,Hypothèses!$D$23*$E$4/O69,0)</f>
        <v>3.08256508789945</v>
      </c>
      <c r="P72" s="38" t="n">
        <f aca="false">IF(P69&gt;0,Hypothèses!$D$23*$E$4/P69,0)</f>
        <v>3.08256508789945</v>
      </c>
      <c r="Q72" s="38" t="n">
        <f aca="false">IF(Q69&gt;0,Hypothèses!$D$23*$E$4/Q69,0)</f>
        <v>3.08256508789945</v>
      </c>
      <c r="R72" s="38" t="n">
        <f aca="false">IF(R69&gt;0,Hypothèses!$D$23*$E$4/R69,0)</f>
        <v>3.08256508789945</v>
      </c>
      <c r="S72" s="38" t="n">
        <f aca="false">IF(S69&gt;0,Hypothèses!$D$23*$E$4/S69,0)</f>
        <v>3.08256508789945</v>
      </c>
      <c r="T72" s="38" t="n">
        <f aca="false">IF(T69&gt;0,Hypothèses!$D$23*$E$4/T69,0)</f>
        <v>3.08256508789945</v>
      </c>
      <c r="U72" s="38" t="n">
        <f aca="false">IF(U69&gt;0,Hypothèses!$D$23*$E$4/U69,0)</f>
        <v>3.08256508789945</v>
      </c>
      <c r="V72" s="38" t="n">
        <f aca="false">IF(V69&gt;0,Hypothèses!$D$23*$E$4/V69,0)</f>
        <v>3.08256508789945</v>
      </c>
      <c r="W72" s="38" t="n">
        <f aca="false">IF(W69&gt;0,Hypothèses!$D$23*$E$4/W69,0)</f>
        <v>3.08256508789945</v>
      </c>
      <c r="X72" s="38" t="n">
        <f aca="false">IF(X69&gt;0,Hypothèses!$D$23*$E$4/X69,0)</f>
        <v>3.08256508789945</v>
      </c>
      <c r="Y72" s="38" t="n">
        <f aca="false">IF(Y69&gt;0,Hypothèses!$D$23*$E$4/Y69,0)</f>
        <v>3.08256508789945</v>
      </c>
      <c r="Z72" s="38" t="n">
        <f aca="false">IF(Z69&gt;0,Hypothèses!$D$23*$E$4/Z69,0)</f>
        <v>3.08256508789945</v>
      </c>
      <c r="AA72" s="38" t="n">
        <f aca="false">IF(AA69&gt;0,Hypothèses!$D$23*$E$4/AA69,0)</f>
        <v>3.08256508789945</v>
      </c>
      <c r="AB72" s="38" t="n">
        <f aca="false">IF(AB69&gt;0,Hypothèses!$D$23*$E$4/AB69,0)</f>
        <v>3.08256508789945</v>
      </c>
      <c r="AC72" s="38" t="n">
        <f aca="false">IF(AC69&gt;0,Hypothèses!$D$23*$E$4/AC69,0)</f>
        <v>3.08256508789945</v>
      </c>
      <c r="AD72" s="38" t="n">
        <f aca="false">IF(AD69&gt;0,Hypothèses!$D$23*$E$4/AD69,0)</f>
        <v>3.08256508789945</v>
      </c>
      <c r="AE72" s="38" t="n">
        <f aca="false">IF(AE69&gt;0,Hypothèses!$D$23*$E$4/AE69,0)</f>
        <v>3.08256508789945</v>
      </c>
      <c r="AF72" s="38" t="n">
        <f aca="false">IF(AF69&gt;0,Hypothèses!$D$23*$E$4/AF69,0)</f>
        <v>3.08256508789945</v>
      </c>
      <c r="AG72" s="38" t="n">
        <f aca="false">IF(AG69&gt;0,Hypothèses!$D$23*$E$4/AG69,0)</f>
        <v>3.08256508789945</v>
      </c>
      <c r="AH72" s="38" t="n">
        <f aca="false">IF(AH69&gt;0,Hypothèses!$D$23*$E$4/AH69,0)</f>
        <v>3.08256508789945</v>
      </c>
      <c r="AI72" s="38" t="n">
        <f aca="false">IF(AI69&gt;0,Hypothèses!$D$23*$E$4/AI69,0)</f>
        <v>3.08256508789945</v>
      </c>
      <c r="AJ72" s="38" t="n">
        <f aca="false">IF(AJ69&gt;0,Hypothèses!$D$23*$E$4/AJ69,0)</f>
        <v>3.08256508789945</v>
      </c>
      <c r="AK72" s="38" t="n">
        <f aca="false">IF(AK69&gt;0,Hypothèses!$D$23*$E$4/AK69,0)</f>
        <v>3.08256508789945</v>
      </c>
      <c r="AL72" s="38" t="n">
        <f aca="false">IF(AL69&gt;0,Hypothèses!$D$23*$E$4/AL69,0)</f>
        <v>3.08256508789945</v>
      </c>
      <c r="AN72" s="38" t="n">
        <f aca="false">N72</f>
        <v>3.08256508789945</v>
      </c>
      <c r="AO72" s="38" t="n">
        <f aca="false">Z72</f>
        <v>3.08256508789945</v>
      </c>
      <c r="AP72" s="38" t="n">
        <f aca="false">AL72</f>
        <v>3.08256508789945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1622.02576666667</v>
      </c>
      <c r="F73" s="15" t="n">
        <f aca="false">IF(Hypothèses!$D$26*$D$4&gt;0,F69/(Hypothèses!$D$26*$D$4),0)</f>
        <v>1622.02576666667</v>
      </c>
      <c r="G73" s="15" t="n">
        <f aca="false">IF(Hypothèses!$D$26*$D$4&gt;0,G69/(Hypothèses!$D$26*$D$4),0)</f>
        <v>1622.02576666667</v>
      </c>
      <c r="H73" s="15" t="n">
        <f aca="false">IF(Hypothèses!$D$26*$D$4&gt;0,H69/(Hypothèses!$D$26*$D$4),0)</f>
        <v>1622.02576666667</v>
      </c>
      <c r="I73" s="15" t="n">
        <f aca="false">IF(Hypothèses!$D$26*$D$4&gt;0,I69/(Hypothèses!$D$26*$D$4),0)</f>
        <v>1622.02576666667</v>
      </c>
      <c r="J73" s="15" t="n">
        <f aca="false">IF(Hypothèses!$D$26*$D$4&gt;0,J69/(Hypothèses!$D$26*$D$4),0)</f>
        <v>1622.02576666667</v>
      </c>
      <c r="K73" s="15" t="n">
        <f aca="false">IF(Hypothèses!$D$26*$D$4&gt;0,K69/(Hypothèses!$D$26*$D$4),0)</f>
        <v>1622.02576666667</v>
      </c>
      <c r="L73" s="15" t="n">
        <f aca="false">IF(Hypothèses!$D$26*$D$4&gt;0,L69/(Hypothèses!$D$26*$D$4),0)</f>
        <v>1622.02576666667</v>
      </c>
      <c r="M73" s="15" t="n">
        <f aca="false">IF(Hypothèses!$D$26*$D$4&gt;0,M69/(Hypothèses!$D$26*$D$4),0)</f>
        <v>1622.02576666667</v>
      </c>
      <c r="N73" s="15" t="n">
        <f aca="false">IF(Hypothèses!$D$26*$D$4&gt;0,N69/(Hypothèses!$D$26*$D$4),0)</f>
        <v>1622.02576666667</v>
      </c>
      <c r="O73" s="15" t="n">
        <f aca="false">IF(Hypothèses!$D$26*$D$4&gt;0,O69/(Hypothèses!$D$26*$D$4),0)</f>
        <v>1622.02576666667</v>
      </c>
      <c r="P73" s="15" t="n">
        <f aca="false">IF(Hypothèses!$D$26*$D$4&gt;0,P69/(Hypothèses!$D$26*$D$4),0)</f>
        <v>1622.02576666667</v>
      </c>
      <c r="Q73" s="15" t="n">
        <f aca="false">IF(Hypothèses!$D$26*$D$4&gt;0,Q69/(Hypothèses!$D$26*$D$4),0)</f>
        <v>1622.02576666667</v>
      </c>
      <c r="R73" s="15" t="n">
        <f aca="false">IF(Hypothèses!$D$26*$D$4&gt;0,R69/(Hypothèses!$D$26*$D$4),0)</f>
        <v>1622.02576666667</v>
      </c>
      <c r="S73" s="15" t="n">
        <f aca="false">IF(Hypothèses!$D$26*$D$4&gt;0,S69/(Hypothèses!$D$26*$D$4),0)</f>
        <v>1622.02576666667</v>
      </c>
      <c r="T73" s="15" t="n">
        <f aca="false">IF(Hypothèses!$D$26*$D$4&gt;0,T69/(Hypothèses!$D$26*$D$4),0)</f>
        <v>1622.02576666667</v>
      </c>
      <c r="U73" s="15" t="n">
        <f aca="false">IF(Hypothèses!$D$26*$D$4&gt;0,U69/(Hypothèses!$D$26*$D$4),0)</f>
        <v>1622.02576666667</v>
      </c>
      <c r="V73" s="15" t="n">
        <f aca="false">IF(Hypothèses!$D$26*$D$4&gt;0,V69/(Hypothèses!$D$26*$D$4),0)</f>
        <v>1622.02576666667</v>
      </c>
      <c r="W73" s="15" t="n">
        <f aca="false">IF(Hypothèses!$D$26*$D$4&gt;0,W69/(Hypothèses!$D$26*$D$4),0)</f>
        <v>1622.02576666667</v>
      </c>
      <c r="X73" s="15" t="n">
        <f aca="false">IF(Hypothèses!$D$26*$D$4&gt;0,X69/(Hypothèses!$D$26*$D$4),0)</f>
        <v>1622.02576666667</v>
      </c>
      <c r="Y73" s="15" t="n">
        <f aca="false">IF(Hypothèses!$D$26*$D$4&gt;0,Y69/(Hypothèses!$D$26*$D$4),0)</f>
        <v>1622.02576666667</v>
      </c>
      <c r="Z73" s="15" t="n">
        <f aca="false">IF(Hypothèses!$D$26*$D$4&gt;0,Z69/(Hypothèses!$D$26*$D$4),0)</f>
        <v>1622.02576666667</v>
      </c>
      <c r="AA73" s="15" t="n">
        <f aca="false">IF(Hypothèses!$D$26*$D$4&gt;0,AA69/(Hypothèses!$D$26*$D$4),0)</f>
        <v>1622.02576666667</v>
      </c>
      <c r="AB73" s="15" t="n">
        <f aca="false">IF(Hypothèses!$D$26*$D$4&gt;0,AB69/(Hypothèses!$D$26*$D$4),0)</f>
        <v>1622.02576666667</v>
      </c>
      <c r="AC73" s="15" t="n">
        <f aca="false">IF(Hypothèses!$D$26*$D$4&gt;0,AC69/(Hypothèses!$D$26*$D$4),0)</f>
        <v>1622.02576666667</v>
      </c>
      <c r="AD73" s="15" t="n">
        <f aca="false">IF(Hypothèses!$D$26*$D$4&gt;0,AD69/(Hypothèses!$D$26*$D$4),0)</f>
        <v>1622.02576666667</v>
      </c>
      <c r="AE73" s="15" t="n">
        <f aca="false">IF(Hypothèses!$D$26*$D$4&gt;0,AE69/(Hypothèses!$D$26*$D$4),0)</f>
        <v>1622.02576666667</v>
      </c>
      <c r="AF73" s="15" t="n">
        <f aca="false">IF(Hypothèses!$D$26*$D$4&gt;0,AF69/(Hypothèses!$D$26*$D$4),0)</f>
        <v>1622.02576666667</v>
      </c>
      <c r="AG73" s="15" t="n">
        <f aca="false">IF(Hypothèses!$D$26*$D$4&gt;0,AG69/(Hypothèses!$D$26*$D$4),0)</f>
        <v>1622.02576666667</v>
      </c>
      <c r="AH73" s="15" t="n">
        <f aca="false">IF(Hypothèses!$D$26*$D$4&gt;0,AH69/(Hypothèses!$D$26*$D$4),0)</f>
        <v>1622.02576666667</v>
      </c>
      <c r="AI73" s="15" t="n">
        <f aca="false">IF(Hypothèses!$D$26*$D$4&gt;0,AI69/(Hypothèses!$D$26*$D$4),0)</f>
        <v>1622.02576666667</v>
      </c>
      <c r="AJ73" s="15" t="n">
        <f aca="false">IF(Hypothèses!$D$26*$D$4&gt;0,AJ69/(Hypothèses!$D$26*$D$4),0)</f>
        <v>1622.02576666667</v>
      </c>
      <c r="AK73" s="15" t="n">
        <f aca="false">IF(Hypothèses!$D$26*$D$4&gt;0,AK69/(Hypothèses!$D$26*$D$4),0)</f>
        <v>1622.02576666667</v>
      </c>
      <c r="AL73" s="15" t="n">
        <f aca="false">IF(Hypothèses!$D$26*$D$4&gt;0,AL69/(Hypothèses!$D$26*$D$4),0)</f>
        <v>1622.02576666667</v>
      </c>
      <c r="AN73" s="15" t="n">
        <f aca="false">N73</f>
        <v>1622.02576666667</v>
      </c>
      <c r="AO73" s="15" t="n">
        <f aca="false">Z73</f>
        <v>1622.02576666667</v>
      </c>
      <c r="AP73" s="15" t="n">
        <f aca="false">AL73</f>
        <v>1622.02576666667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10.8135051111111</v>
      </c>
      <c r="F74" s="41" t="n">
        <f aca="false">IF(Hypothèses!$D$23*$E$4&gt;0,F73/(Hypothèses!$D$23*$E$4),0)</f>
        <v>10.8135051111111</v>
      </c>
      <c r="G74" s="41" t="n">
        <f aca="false">IF(Hypothèses!$D$23*$E$4&gt;0,G73/(Hypothèses!$D$23*$E$4),0)</f>
        <v>10.8135051111111</v>
      </c>
      <c r="H74" s="41" t="n">
        <f aca="false">IF(Hypothèses!$D$23*$E$4&gt;0,H73/(Hypothèses!$D$23*$E$4),0)</f>
        <v>10.8135051111111</v>
      </c>
      <c r="I74" s="41" t="n">
        <f aca="false">IF(Hypothèses!$D$23*$E$4&gt;0,I73/(Hypothèses!$D$23*$E$4),0)</f>
        <v>10.8135051111111</v>
      </c>
      <c r="J74" s="41" t="n">
        <f aca="false">IF(Hypothèses!$D$23*$E$4&gt;0,J73/(Hypothèses!$D$23*$E$4),0)</f>
        <v>10.8135051111111</v>
      </c>
      <c r="K74" s="41" t="n">
        <f aca="false">IF(Hypothèses!$D$23*$E$4&gt;0,K73/(Hypothèses!$D$23*$E$4),0)</f>
        <v>10.8135051111111</v>
      </c>
      <c r="L74" s="41" t="n">
        <f aca="false">IF(Hypothèses!$D$23*$E$4&gt;0,L73/(Hypothèses!$D$23*$E$4),0)</f>
        <v>10.8135051111111</v>
      </c>
      <c r="M74" s="41" t="n">
        <f aca="false">IF(Hypothèses!$D$23*$E$4&gt;0,M73/(Hypothèses!$D$23*$E$4),0)</f>
        <v>10.8135051111111</v>
      </c>
      <c r="N74" s="41" t="n">
        <f aca="false">IF(Hypothèses!$D$23*$E$4&gt;0,N73/(Hypothèses!$D$23*$E$4),0)</f>
        <v>10.8135051111111</v>
      </c>
      <c r="O74" s="41" t="n">
        <f aca="false">IF(Hypothèses!$D$23*$E$4&gt;0,O73/(Hypothèses!$D$23*$E$4),0)</f>
        <v>10.8135051111111</v>
      </c>
      <c r="P74" s="41" t="n">
        <f aca="false">IF(Hypothèses!$D$23*$E$4&gt;0,P73/(Hypothèses!$D$23*$E$4),0)</f>
        <v>10.8135051111111</v>
      </c>
      <c r="Q74" s="41" t="n">
        <f aca="false">IF(Hypothèses!$D$23*$E$4&gt;0,Q73/(Hypothèses!$D$23*$E$4),0)</f>
        <v>10.8135051111111</v>
      </c>
      <c r="R74" s="41" t="n">
        <f aca="false">IF(Hypothèses!$D$23*$E$4&gt;0,R73/(Hypothèses!$D$23*$E$4),0)</f>
        <v>10.8135051111111</v>
      </c>
      <c r="S74" s="41" t="n">
        <f aca="false">IF(Hypothèses!$D$23*$E$4&gt;0,S73/(Hypothèses!$D$23*$E$4),0)</f>
        <v>10.8135051111111</v>
      </c>
      <c r="T74" s="41" t="n">
        <f aca="false">IF(Hypothèses!$D$23*$E$4&gt;0,T73/(Hypothèses!$D$23*$E$4),0)</f>
        <v>10.8135051111111</v>
      </c>
      <c r="U74" s="41" t="n">
        <f aca="false">IF(Hypothèses!$D$23*$E$4&gt;0,U73/(Hypothèses!$D$23*$E$4),0)</f>
        <v>10.8135051111111</v>
      </c>
      <c r="V74" s="41" t="n">
        <f aca="false">IF(Hypothèses!$D$23*$E$4&gt;0,V73/(Hypothèses!$D$23*$E$4),0)</f>
        <v>10.8135051111111</v>
      </c>
      <c r="W74" s="41" t="n">
        <f aca="false">IF(Hypothèses!$D$23*$E$4&gt;0,W73/(Hypothèses!$D$23*$E$4),0)</f>
        <v>10.8135051111111</v>
      </c>
      <c r="X74" s="41" t="n">
        <f aca="false">IF(Hypothèses!$D$23*$E$4&gt;0,X73/(Hypothèses!$D$23*$E$4),0)</f>
        <v>10.8135051111111</v>
      </c>
      <c r="Y74" s="41" t="n">
        <f aca="false">IF(Hypothèses!$D$23*$E$4&gt;0,Y73/(Hypothèses!$D$23*$E$4),0)</f>
        <v>10.8135051111111</v>
      </c>
      <c r="Z74" s="41" t="n">
        <f aca="false">IF(Hypothèses!$D$23*$E$4&gt;0,Z73/(Hypothèses!$D$23*$E$4),0)</f>
        <v>10.8135051111111</v>
      </c>
      <c r="AA74" s="41" t="n">
        <f aca="false">IF(Hypothèses!$D$23*$E$4&gt;0,AA73/(Hypothèses!$D$23*$E$4),0)</f>
        <v>10.8135051111111</v>
      </c>
      <c r="AB74" s="41" t="n">
        <f aca="false">IF(Hypothèses!$D$23*$E$4&gt;0,AB73/(Hypothèses!$D$23*$E$4),0)</f>
        <v>10.8135051111111</v>
      </c>
      <c r="AC74" s="41" t="n">
        <f aca="false">IF(Hypothèses!$D$23*$E$4&gt;0,AC73/(Hypothèses!$D$23*$E$4),0)</f>
        <v>10.8135051111111</v>
      </c>
      <c r="AD74" s="41" t="n">
        <f aca="false">IF(Hypothèses!$D$23*$E$4&gt;0,AD73/(Hypothèses!$D$23*$E$4),0)</f>
        <v>10.8135051111111</v>
      </c>
      <c r="AE74" s="41" t="n">
        <f aca="false">IF(Hypothèses!$D$23*$E$4&gt;0,AE73/(Hypothèses!$D$23*$E$4),0)</f>
        <v>10.8135051111111</v>
      </c>
      <c r="AF74" s="41" t="n">
        <f aca="false">IF(Hypothèses!$D$23*$E$4&gt;0,AF73/(Hypothèses!$D$23*$E$4),0)</f>
        <v>10.8135051111111</v>
      </c>
      <c r="AG74" s="41" t="n">
        <f aca="false">IF(Hypothèses!$D$23*$E$4&gt;0,AG73/(Hypothèses!$D$23*$E$4),0)</f>
        <v>10.8135051111111</v>
      </c>
      <c r="AH74" s="41" t="n">
        <f aca="false">IF(Hypothèses!$D$23*$E$4&gt;0,AH73/(Hypothèses!$D$23*$E$4),0)</f>
        <v>10.8135051111111</v>
      </c>
      <c r="AI74" s="41" t="n">
        <f aca="false">IF(Hypothèses!$D$23*$E$4&gt;0,AI73/(Hypothèses!$D$23*$E$4),0)</f>
        <v>10.8135051111111</v>
      </c>
      <c r="AJ74" s="41" t="n">
        <f aca="false">IF(Hypothèses!$D$23*$E$4&gt;0,AJ73/(Hypothèses!$D$23*$E$4),0)</f>
        <v>10.8135051111111</v>
      </c>
      <c r="AK74" s="41" t="n">
        <f aca="false">IF(Hypothèses!$D$23*$E$4&gt;0,AK73/(Hypothèses!$D$23*$E$4),0)</f>
        <v>10.8135051111111</v>
      </c>
      <c r="AL74" s="41" t="n">
        <f aca="false">IF(Hypothèses!$D$23*$E$4&gt;0,AL73/(Hypothèses!$D$23*$E$4),0)</f>
        <v>10.8135051111111</v>
      </c>
      <c r="AN74" s="41" t="n">
        <f aca="false">N74</f>
        <v>10.8135051111111</v>
      </c>
      <c r="AO74" s="41" t="n">
        <f aca="false">Z74</f>
        <v>10.8135051111111</v>
      </c>
      <c r="AP74" s="41" t="n">
        <f aca="false">AL74</f>
        <v>10.8135051111111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505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0.8</v>
      </c>
      <c r="D4" s="34" t="n">
        <v>1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29.0354627</v>
      </c>
      <c r="K13" s="38" t="n">
        <f aca="false">J18</f>
        <v>48.745108073</v>
      </c>
      <c r="L13" s="38" t="n">
        <f aca="false">K18</f>
        <v>68.25765699227</v>
      </c>
      <c r="M13" s="38" t="n">
        <f aca="false">L18</f>
        <v>87.5750804223473</v>
      </c>
      <c r="N13" s="38" t="n">
        <f aca="false">M18</f>
        <v>106.699329618124</v>
      </c>
      <c r="O13" s="38" t="n">
        <f aca="false">N18</f>
        <v>125.632336321943</v>
      </c>
      <c r="P13" s="38" t="n">
        <f aca="false">O18</f>
        <v>191.04267962539</v>
      </c>
      <c r="Q13" s="38" t="n">
        <f aca="false">P18</f>
        <v>255.798919495803</v>
      </c>
      <c r="R13" s="38" t="n">
        <f aca="false">Q18</f>
        <v>319.907596967511</v>
      </c>
      <c r="S13" s="38" t="n">
        <f aca="false">R18</f>
        <v>383.375187664503</v>
      </c>
      <c r="T13" s="38" t="n">
        <f aca="false">S18</f>
        <v>446.208102454524</v>
      </c>
      <c r="U13" s="38" t="n">
        <f aca="false">T18</f>
        <v>508.412688096646</v>
      </c>
      <c r="V13" s="38" t="n">
        <f aca="false">U18</f>
        <v>569.995227882346</v>
      </c>
      <c r="W13" s="38" t="n">
        <f aca="false">V18</f>
        <v>630.961942270189</v>
      </c>
      <c r="X13" s="38" t="n">
        <f aca="false">W18</f>
        <v>691.318989514154</v>
      </c>
      <c r="Y13" s="38" t="n">
        <f aca="false">X18</f>
        <v>751.072466285679</v>
      </c>
      <c r="Z13" s="38" t="n">
        <f aca="false">Y18</f>
        <v>810.228408289489</v>
      </c>
      <c r="AA13" s="38" t="n">
        <f aca="false">Z18</f>
        <v>868.792790873261</v>
      </c>
      <c r="AB13" s="38" t="n">
        <f aca="false">AA18</f>
        <v>1026.77152963119</v>
      </c>
      <c r="AC13" s="38" t="n">
        <f aca="false">AB18</f>
        <v>1183.17048100155</v>
      </c>
      <c r="AD13" s="38" t="n">
        <f aca="false">AC18</f>
        <v>1338.0054428582</v>
      </c>
      <c r="AE13" s="38" t="n">
        <f aca="false">AD18</f>
        <v>1491.29205509629</v>
      </c>
      <c r="AF13" s="38" t="n">
        <f aca="false">AE18</f>
        <v>1643.04580121199</v>
      </c>
      <c r="AG13" s="38" t="n">
        <f aca="false">AF18</f>
        <v>1793.28200986654</v>
      </c>
      <c r="AH13" s="38" t="n">
        <f aca="false">AG18</f>
        <v>1942.01585643454</v>
      </c>
      <c r="AI13" s="38" t="n">
        <f aca="false">AH18</f>
        <v>2089.26236453686</v>
      </c>
      <c r="AJ13" s="38" t="n">
        <f aca="false">AI18</f>
        <v>2235.03640755816</v>
      </c>
      <c r="AK13" s="38" t="n">
        <f aca="false">AJ18</f>
        <v>2379.35271014924</v>
      </c>
      <c r="AL13" s="38" t="n">
        <f aca="false">AK18</f>
        <v>2522.22584971442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0.580709254</v>
      </c>
      <c r="K16" s="38" t="n">
        <f aca="false">K9*K13*Hypothèses!$D$24</f>
        <v>0.97490216146</v>
      </c>
      <c r="L16" s="38" t="n">
        <f aca="false">L9*L13*Hypothèses!$D$24</f>
        <v>1.3651531398454</v>
      </c>
      <c r="M16" s="38" t="n">
        <f aca="false">M9*M13*Hypothèses!$D$24</f>
        <v>1.75150160844695</v>
      </c>
      <c r="N16" s="38" t="n">
        <f aca="false">N9*N13*Hypothèses!$D$24</f>
        <v>2.13398659236248</v>
      </c>
      <c r="O16" s="38" t="n">
        <f aca="false">O9*O13*Hypothèses!$D$24</f>
        <v>2.51264672643885</v>
      </c>
      <c r="P16" s="38" t="n">
        <f aca="false">P9*P13*Hypothèses!$D$24</f>
        <v>3.8208535925078</v>
      </c>
      <c r="Q16" s="38" t="n">
        <f aca="false">Q9*Q13*Hypothèses!$D$24</f>
        <v>5.11597838991605</v>
      </c>
      <c r="R16" s="38" t="n">
        <f aca="false">R9*R13*Hypothèses!$D$24</f>
        <v>6.39815193935023</v>
      </c>
      <c r="S16" s="38" t="n">
        <f aca="false">S9*S13*Hypothèses!$D$24</f>
        <v>7.66750375329006</v>
      </c>
      <c r="T16" s="38" t="n">
        <f aca="false">T9*T13*Hypothèses!$D$24</f>
        <v>8.92416204909049</v>
      </c>
      <c r="U16" s="38" t="n">
        <f aca="false">U9*U13*Hypothèses!$D$24</f>
        <v>10.1682537619329</v>
      </c>
      <c r="V16" s="38" t="n">
        <f aca="false">V9*V13*Hypothèses!$D$24</f>
        <v>11.3999045576469</v>
      </c>
      <c r="W16" s="38" t="n">
        <f aca="false">W9*W13*Hypothèses!$D$24</f>
        <v>12.6192388454038</v>
      </c>
      <c r="X16" s="38" t="n">
        <f aca="false">X9*X13*Hypothèses!$D$24</f>
        <v>13.8263797902831</v>
      </c>
      <c r="Y16" s="38" t="n">
        <f aca="false">Y9*Y13*Hypothèses!$D$24</f>
        <v>15.0214493257136</v>
      </c>
      <c r="Z16" s="38" t="n">
        <f aca="false">Z9*Z13*Hypothèses!$D$24</f>
        <v>16.2045681657898</v>
      </c>
      <c r="AA16" s="38" t="n">
        <f aca="false">AA9*AA13*Hypothèses!$D$24</f>
        <v>17.3758558174652</v>
      </c>
      <c r="AB16" s="38" t="n">
        <f aca="false">AB9*AB13*Hypothèses!$D$24</f>
        <v>20.5354305926239</v>
      </c>
      <c r="AC16" s="38" t="n">
        <f aca="false">AC9*AC13*Hypothèses!$D$24</f>
        <v>23.663409620031</v>
      </c>
      <c r="AD16" s="38" t="n">
        <f aca="false">AD9*AD13*Hypothèses!$D$24</f>
        <v>26.760108857164</v>
      </c>
      <c r="AE16" s="38" t="n">
        <f aca="false">AE9*AE13*Hypothèses!$D$24</f>
        <v>29.8258411019257</v>
      </c>
      <c r="AF16" s="38" t="n">
        <f aca="false">AF9*AF13*Hypothèses!$D$24</f>
        <v>32.8609160242398</v>
      </c>
      <c r="AG16" s="38" t="n">
        <f aca="false">AG9*AG13*Hypothèses!$D$24</f>
        <v>35.8656401973307</v>
      </c>
      <c r="AH16" s="38" t="n">
        <f aca="false">AH9*AH13*Hypothèses!$D$24</f>
        <v>38.8403171286907</v>
      </c>
      <c r="AI16" s="38" t="n">
        <f aca="false">AI9*AI13*Hypothèses!$D$24</f>
        <v>41.7852472907372</v>
      </c>
      <c r="AJ16" s="38" t="n">
        <f aca="false">AJ9*AJ13*Hypothèses!$D$24</f>
        <v>44.7007281511631</v>
      </c>
      <c r="AK16" s="38" t="n">
        <f aca="false">AK9*AK13*Hypothèses!$D$24</f>
        <v>47.5870542029848</v>
      </c>
      <c r="AL16" s="38" t="n">
        <f aca="false">AL9*AL13*Hypothèses!$D$24</f>
        <v>50.4445169942883</v>
      </c>
      <c r="AN16" s="38" t="n">
        <f aca="false">SUM(C16:N16)</f>
        <v>6.98878735611482</v>
      </c>
      <c r="AO16" s="38" t="n">
        <f aca="false">SUM(O16:Z16)</f>
        <v>113.679090897364</v>
      </c>
      <c r="AP16" s="38" t="n">
        <f aca="false">SUM(AA16:AL16)</f>
        <v>410.245065978645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0.871063881</v>
      </c>
      <c r="K17" s="38" t="n">
        <f aca="false">K13*Hypothèses!$D$26*$D$4</f>
        <v>1.46235324219</v>
      </c>
      <c r="L17" s="38" t="n">
        <f aca="false">L13*Hypothèses!$D$26*$D$4</f>
        <v>2.0477297097681</v>
      </c>
      <c r="M17" s="38" t="n">
        <f aca="false">M13*Hypothèses!$D$26*$D$4</f>
        <v>2.62725241267042</v>
      </c>
      <c r="N17" s="38" t="n">
        <f aca="false">N13*Hypothèses!$D$26*$D$4</f>
        <v>3.20097988854371</v>
      </c>
      <c r="O17" s="38" t="n">
        <f aca="false">O13*Hypothèses!$D$26*$D$4</f>
        <v>3.76897008965828</v>
      </c>
      <c r="P17" s="38" t="n">
        <f aca="false">P13*Hypothèses!$D$26*$D$4</f>
        <v>5.73128038876169</v>
      </c>
      <c r="Q17" s="38" t="n">
        <f aca="false">Q13*Hypothèses!$D$26*$D$4</f>
        <v>7.67396758487408</v>
      </c>
      <c r="R17" s="38" t="n">
        <f aca="false">R13*Hypothèses!$D$26*$D$4</f>
        <v>9.59722790902534</v>
      </c>
      <c r="S17" s="38" t="n">
        <f aca="false">S13*Hypothèses!$D$26*$D$4</f>
        <v>11.5012556299351</v>
      </c>
      <c r="T17" s="38" t="n">
        <f aca="false">T13*Hypothèses!$D$26*$D$4</f>
        <v>13.3862430736357</v>
      </c>
      <c r="U17" s="38" t="n">
        <f aca="false">U13*Hypothèses!$D$26*$D$4</f>
        <v>15.2523806428994</v>
      </c>
      <c r="V17" s="38" t="n">
        <f aca="false">V13*Hypothèses!$D$26*$D$4</f>
        <v>17.0998568364704</v>
      </c>
      <c r="W17" s="38" t="n">
        <f aca="false">W13*Hypothèses!$D$26*$D$4</f>
        <v>18.9288582681057</v>
      </c>
      <c r="X17" s="38" t="n">
        <f aca="false">X13*Hypothèses!$D$26*$D$4</f>
        <v>20.7395696854246</v>
      </c>
      <c r="Y17" s="38" t="n">
        <f aca="false">Y13*Hypothèses!$D$26*$D$4</f>
        <v>22.5321739885704</v>
      </c>
      <c r="Z17" s="38" t="n">
        <f aca="false">Z13*Hypothèses!$D$26*$D$4</f>
        <v>24.3068522486847</v>
      </c>
      <c r="AA17" s="38" t="n">
        <f aca="false">AA13*Hypothèses!$D$26*$D$4</f>
        <v>26.0637837261978</v>
      </c>
      <c r="AB17" s="38" t="n">
        <f aca="false">AB13*Hypothèses!$D$26*$D$4</f>
        <v>30.8031458889358</v>
      </c>
      <c r="AC17" s="38" t="n">
        <f aca="false">AC13*Hypothèses!$D$26*$D$4</f>
        <v>35.4951144300465</v>
      </c>
      <c r="AD17" s="38" t="n">
        <f aca="false">AD13*Hypothèses!$D$26*$D$4</f>
        <v>40.140163285746</v>
      </c>
      <c r="AE17" s="38" t="n">
        <f aca="false">AE13*Hypothèses!$D$26*$D$4</f>
        <v>44.7387616528886</v>
      </c>
      <c r="AF17" s="38" t="n">
        <f aca="false">AF13*Hypothèses!$D$26*$D$4</f>
        <v>49.2913740363597</v>
      </c>
      <c r="AG17" s="38" t="n">
        <f aca="false">AG13*Hypothèses!$D$26*$D$4</f>
        <v>53.7984602959961</v>
      </c>
      <c r="AH17" s="38" t="n">
        <f aca="false">AH13*Hypothèses!$D$26*$D$4</f>
        <v>58.2604756930361</v>
      </c>
      <c r="AI17" s="38" t="n">
        <f aca="false">AI13*Hypothèses!$D$26*$D$4</f>
        <v>62.6778709361058</v>
      </c>
      <c r="AJ17" s="38" t="n">
        <f aca="false">AJ13*Hypothèses!$D$26*$D$4</f>
        <v>67.0510922267447</v>
      </c>
      <c r="AK17" s="38" t="n">
        <f aca="false">AK13*Hypothèses!$D$26*$D$4</f>
        <v>71.3805813044773</v>
      </c>
      <c r="AL17" s="38" t="n">
        <f aca="false">AL13*Hypothèses!$D$26*$D$4</f>
        <v>75.6667754914325</v>
      </c>
      <c r="AN17" s="38" t="n">
        <f aca="false">SUM(C17:N17)</f>
        <v>11.3564510341722</v>
      </c>
      <c r="AO17" s="38" t="n">
        <f aca="false">SUM(O17:Z17)</f>
        <v>170.518636346045</v>
      </c>
      <c r="AP17" s="38" t="n">
        <f aca="false">SUM(AA17:AL17)</f>
        <v>615.367598967967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29.0354627</v>
      </c>
      <c r="J18" s="39" t="n">
        <f aca="false">J13+J14+J15+J16-J17</f>
        <v>48.745108073</v>
      </c>
      <c r="K18" s="39" t="n">
        <f aca="false">K13+K14+K15+K16-K17</f>
        <v>68.25765699227</v>
      </c>
      <c r="L18" s="39" t="n">
        <f aca="false">L13+L14+L15+L16-L17</f>
        <v>87.5750804223473</v>
      </c>
      <c r="M18" s="39" t="n">
        <f aca="false">M13+M14+M15+M16-M17</f>
        <v>106.699329618124</v>
      </c>
      <c r="N18" s="39" t="n">
        <f aca="false">N13+N14+N15+N16-N17</f>
        <v>125.632336321943</v>
      </c>
      <c r="O18" s="39" t="n">
        <f aca="false">O13+O14+O15+O16-O17</f>
        <v>191.04267962539</v>
      </c>
      <c r="P18" s="39" t="n">
        <f aca="false">P13+P14+P15+P16-P17</f>
        <v>255.798919495803</v>
      </c>
      <c r="Q18" s="39" t="n">
        <f aca="false">Q13+Q14+Q15+Q16-Q17</f>
        <v>319.907596967511</v>
      </c>
      <c r="R18" s="39" t="n">
        <f aca="false">R13+R14+R15+R16-R17</f>
        <v>383.375187664503</v>
      </c>
      <c r="S18" s="39" t="n">
        <f aca="false">S13+S14+S15+S16-S17</f>
        <v>446.208102454524</v>
      </c>
      <c r="T18" s="39" t="n">
        <f aca="false">T13+T14+T15+T16-T17</f>
        <v>508.412688096646</v>
      </c>
      <c r="U18" s="39" t="n">
        <f aca="false">U13+U14+U15+U16-U17</f>
        <v>569.995227882346</v>
      </c>
      <c r="V18" s="39" t="n">
        <f aca="false">V13+V14+V15+V16-V17</f>
        <v>630.961942270189</v>
      </c>
      <c r="W18" s="39" t="n">
        <f aca="false">W13+W14+W15+W16-W17</f>
        <v>691.318989514154</v>
      </c>
      <c r="X18" s="39" t="n">
        <f aca="false">X13+X14+X15+X16-X17</f>
        <v>751.072466285679</v>
      </c>
      <c r="Y18" s="39" t="n">
        <f aca="false">Y13+Y14+Y15+Y16-Y17</f>
        <v>810.228408289489</v>
      </c>
      <c r="Z18" s="39" t="n">
        <f aca="false">Z13+Z14+Z15+Z16-Z17</f>
        <v>868.792790873261</v>
      </c>
      <c r="AA18" s="39" t="n">
        <f aca="false">AA13+AA14+AA15+AA16-AA17</f>
        <v>1026.77152963119</v>
      </c>
      <c r="AB18" s="39" t="n">
        <f aca="false">AB13+AB14+AB15+AB16-AB17</f>
        <v>1183.17048100155</v>
      </c>
      <c r="AC18" s="39" t="n">
        <f aca="false">AC13+AC14+AC15+AC16-AC17</f>
        <v>1338.0054428582</v>
      </c>
      <c r="AD18" s="39" t="n">
        <f aca="false">AD13+AD14+AD15+AD16-AD17</f>
        <v>1491.29205509629</v>
      </c>
      <c r="AE18" s="39" t="n">
        <f aca="false">AE13+AE14+AE15+AE16-AE17</f>
        <v>1643.04580121199</v>
      </c>
      <c r="AF18" s="39" t="n">
        <f aca="false">AF13+AF14+AF15+AF16-AF17</f>
        <v>1793.28200986654</v>
      </c>
      <c r="AG18" s="39" t="n">
        <f aca="false">AG13+AG14+AG15+AG16-AG17</f>
        <v>1942.01585643454</v>
      </c>
      <c r="AH18" s="39" t="n">
        <f aca="false">AH13+AH14+AH15+AH16-AH17</f>
        <v>2089.26236453686</v>
      </c>
      <c r="AI18" s="39" t="n">
        <f aca="false">AI13+AI14+AI15+AI16-AI17</f>
        <v>2235.03640755816</v>
      </c>
      <c r="AJ18" s="39" t="n">
        <f aca="false">AJ13+AJ14+AJ15+AJ16-AJ17</f>
        <v>2379.35271014924</v>
      </c>
      <c r="AK18" s="39" t="n">
        <f aca="false">AK13+AK14+AK15+AK16-AK17</f>
        <v>2522.22584971442</v>
      </c>
      <c r="AL18" s="39" t="n">
        <f aca="false">AL13+AL14+AL15+AL16-AL17</f>
        <v>2663.67025788394</v>
      </c>
      <c r="AN18" s="39" t="n">
        <f aca="false">N18</f>
        <v>125.632336321943</v>
      </c>
      <c r="AO18" s="39" t="n">
        <f aca="false">Z18</f>
        <v>868.792790873261</v>
      </c>
      <c r="AP18" s="39" t="n">
        <f aca="false">AL18</f>
        <v>2663.67025788394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7.258865675</v>
      </c>
      <c r="J19" s="38" t="n">
        <f aca="false">J18*Hypothèses!$D$16</f>
        <v>12.18627701825</v>
      </c>
      <c r="K19" s="38" t="n">
        <f aca="false">K18*Hypothèses!$D$16</f>
        <v>17.0644142480675</v>
      </c>
      <c r="L19" s="38" t="n">
        <f aca="false">L18*Hypothèses!$D$16</f>
        <v>21.8937701055868</v>
      </c>
      <c r="M19" s="38" t="n">
        <f aca="false">M18*Hypothèses!$D$16</f>
        <v>26.674832404531</v>
      </c>
      <c r="N19" s="38" t="n">
        <f aca="false">N18*Hypothèses!$D$16</f>
        <v>31.4080840804856</v>
      </c>
      <c r="O19" s="38" t="n">
        <f aca="false">O18*Hypothèses!$D$16</f>
        <v>47.7606699063475</v>
      </c>
      <c r="P19" s="38" t="n">
        <f aca="false">P18*Hypothèses!$D$16</f>
        <v>63.9497298739506</v>
      </c>
      <c r="Q19" s="38" t="n">
        <f aca="false">Q18*Hypothèses!$D$16</f>
        <v>79.9768992418778</v>
      </c>
      <c r="R19" s="38" t="n">
        <f aca="false">R18*Hypothèses!$D$16</f>
        <v>95.8437969161257</v>
      </c>
      <c r="S19" s="38" t="n">
        <f aca="false">S18*Hypothèses!$D$16</f>
        <v>111.552025613631</v>
      </c>
      <c r="T19" s="38" t="n">
        <f aca="false">T18*Hypothèses!$D$16</f>
        <v>127.103172024161</v>
      </c>
      <c r="U19" s="38" t="n">
        <f aca="false">U18*Hypothèses!$D$16</f>
        <v>142.498806970587</v>
      </c>
      <c r="V19" s="38" t="n">
        <f aca="false">V18*Hypothèses!$D$16</f>
        <v>157.740485567547</v>
      </c>
      <c r="W19" s="38" t="n">
        <f aca="false">W18*Hypothèses!$D$16</f>
        <v>172.829747378538</v>
      </c>
      <c r="X19" s="38" t="n">
        <f aca="false">X18*Hypothèses!$D$16</f>
        <v>187.76811657142</v>
      </c>
      <c r="Y19" s="38" t="n">
        <f aca="false">Y18*Hypothèses!$D$16</f>
        <v>202.557102072372</v>
      </c>
      <c r="Z19" s="38" t="n">
        <f aca="false">Z18*Hypothèses!$D$16</f>
        <v>217.198197718315</v>
      </c>
      <c r="AA19" s="38" t="n">
        <f aca="false">AA18*Hypothèses!$D$16</f>
        <v>256.692882407799</v>
      </c>
      <c r="AB19" s="38" t="n">
        <f aca="false">AB18*Hypothèses!$D$16</f>
        <v>295.792620250387</v>
      </c>
      <c r="AC19" s="38" t="n">
        <f aca="false">AC18*Hypothèses!$D$16</f>
        <v>334.50136071455</v>
      </c>
      <c r="AD19" s="38" t="n">
        <f aca="false">AD18*Hypothèses!$D$16</f>
        <v>372.823013774071</v>
      </c>
      <c r="AE19" s="38" t="n">
        <f aca="false">AE18*Hypothèses!$D$16</f>
        <v>410.761450302997</v>
      </c>
      <c r="AF19" s="38" t="n">
        <f aca="false">AF18*Hypothèses!$D$16</f>
        <v>448.320502466634</v>
      </c>
      <c r="AG19" s="38" t="n">
        <f aca="false">AG18*Hypothèses!$D$16</f>
        <v>485.503964108634</v>
      </c>
      <c r="AH19" s="38" t="n">
        <f aca="false">AH18*Hypothèses!$D$16</f>
        <v>522.315591134215</v>
      </c>
      <c r="AI19" s="38" t="n">
        <f aca="false">AI18*Hypothèses!$D$16</f>
        <v>558.759101889539</v>
      </c>
      <c r="AJ19" s="38" t="n">
        <f aca="false">AJ18*Hypothèses!$D$16</f>
        <v>594.838177537311</v>
      </c>
      <c r="AK19" s="38" t="n">
        <f aca="false">AK18*Hypothèses!$D$16</f>
        <v>630.556462428604</v>
      </c>
      <c r="AL19" s="38" t="n">
        <f aca="false">AL18*Hypothèses!$D$16</f>
        <v>665.917564470985</v>
      </c>
      <c r="AN19" s="38" t="n">
        <f aca="false">N19</f>
        <v>31.4080840804856</v>
      </c>
      <c r="AO19" s="38" t="n">
        <f aca="false">Z19</f>
        <v>217.198197718315</v>
      </c>
      <c r="AP19" s="38" t="n">
        <f aca="false">AL19</f>
        <v>665.917564470985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17.42127762</v>
      </c>
      <c r="J20" s="38" t="n">
        <f aca="false">J18*Hypothèses!$D$17</f>
        <v>29.2470648438</v>
      </c>
      <c r="K20" s="38" t="n">
        <f aca="false">K18*Hypothèses!$D$17</f>
        <v>40.954594195362</v>
      </c>
      <c r="L20" s="38" t="n">
        <f aca="false">L18*Hypothèses!$D$17</f>
        <v>52.5450482534084</v>
      </c>
      <c r="M20" s="38" t="n">
        <f aca="false">M18*Hypothèses!$D$17</f>
        <v>64.0195977708743</v>
      </c>
      <c r="N20" s="38" t="n">
        <f aca="false">N18*Hypothèses!$D$17</f>
        <v>75.3794017931655</v>
      </c>
      <c r="O20" s="38" t="n">
        <f aca="false">O18*Hypothèses!$D$17</f>
        <v>114.625607775234</v>
      </c>
      <c r="P20" s="38" t="n">
        <f aca="false">P18*Hypothèses!$D$17</f>
        <v>153.479351697482</v>
      </c>
      <c r="Q20" s="38" t="n">
        <f aca="false">Q18*Hypothèses!$D$17</f>
        <v>191.944558180507</v>
      </c>
      <c r="R20" s="38" t="n">
        <f aca="false">R18*Hypothèses!$D$17</f>
        <v>230.025112598702</v>
      </c>
      <c r="S20" s="38" t="n">
        <f aca="false">S18*Hypothèses!$D$17</f>
        <v>267.724861472715</v>
      </c>
      <c r="T20" s="38" t="n">
        <f aca="false">T18*Hypothèses!$D$17</f>
        <v>305.047612857988</v>
      </c>
      <c r="U20" s="38" t="n">
        <f aca="false">U18*Hypothèses!$D$17</f>
        <v>341.997136729408</v>
      </c>
      <c r="V20" s="38" t="n">
        <f aca="false">V18*Hypothèses!$D$17</f>
        <v>378.577165362113</v>
      </c>
      <c r="W20" s="38" t="n">
        <f aca="false">W18*Hypothèses!$D$17</f>
        <v>414.791393708492</v>
      </c>
      <c r="X20" s="38" t="n">
        <f aca="false">X18*Hypothèses!$D$17</f>
        <v>450.643479771407</v>
      </c>
      <c r="Y20" s="38" t="n">
        <f aca="false">Y18*Hypothèses!$D$17</f>
        <v>486.137044973693</v>
      </c>
      <c r="Z20" s="38" t="n">
        <f aca="false">Z18*Hypothèses!$D$17</f>
        <v>521.275674523956</v>
      </c>
      <c r="AA20" s="38" t="n">
        <f aca="false">AA18*Hypothèses!$D$17</f>
        <v>616.062917778717</v>
      </c>
      <c r="AB20" s="38" t="n">
        <f aca="false">AB18*Hypothèses!$D$17</f>
        <v>709.90228860093</v>
      </c>
      <c r="AC20" s="38" t="n">
        <f aca="false">AC18*Hypothèses!$D$17</f>
        <v>802.80326571492</v>
      </c>
      <c r="AD20" s="38" t="n">
        <f aca="false">AD18*Hypothèses!$D$17</f>
        <v>894.775233057771</v>
      </c>
      <c r="AE20" s="38" t="n">
        <f aca="false">AE18*Hypothèses!$D$17</f>
        <v>985.827480727194</v>
      </c>
      <c r="AF20" s="38" t="n">
        <f aca="false">AF18*Hypothèses!$D$17</f>
        <v>1075.96920591992</v>
      </c>
      <c r="AG20" s="38" t="n">
        <f aca="false">AG18*Hypothèses!$D$17</f>
        <v>1165.20951386072</v>
      </c>
      <c r="AH20" s="38" t="n">
        <f aca="false">AH18*Hypothèses!$D$17</f>
        <v>1253.55741872212</v>
      </c>
      <c r="AI20" s="38" t="n">
        <f aca="false">AI18*Hypothèses!$D$17</f>
        <v>1341.02184453489</v>
      </c>
      <c r="AJ20" s="38" t="n">
        <f aca="false">AJ18*Hypothèses!$D$17</f>
        <v>1427.61162608955</v>
      </c>
      <c r="AK20" s="38" t="n">
        <f aca="false">AK18*Hypothèses!$D$17</f>
        <v>1513.33550982865</v>
      </c>
      <c r="AL20" s="38" t="n">
        <f aca="false">AL18*Hypothèses!$D$17</f>
        <v>1598.20215473036</v>
      </c>
      <c r="AN20" s="38" t="n">
        <f aca="false">N20</f>
        <v>75.3794017931655</v>
      </c>
      <c r="AO20" s="38" t="n">
        <f aca="false">Z20</f>
        <v>521.275674523956</v>
      </c>
      <c r="AP20" s="38" t="n">
        <f aca="false">AL20</f>
        <v>1598.20215473036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4.355319405</v>
      </c>
      <c r="J21" s="38" t="n">
        <f aca="false">J18*Hypothèses!$D$18</f>
        <v>7.31176621095</v>
      </c>
      <c r="K21" s="38" t="n">
        <f aca="false">K18*Hypothèses!$D$18</f>
        <v>10.2386485488405</v>
      </c>
      <c r="L21" s="38" t="n">
        <f aca="false">L18*Hypothèses!$D$18</f>
        <v>13.1362620633521</v>
      </c>
      <c r="M21" s="38" t="n">
        <f aca="false">M18*Hypothèses!$D$18</f>
        <v>16.0048994427186</v>
      </c>
      <c r="N21" s="38" t="n">
        <f aca="false">N18*Hypothèses!$D$18</f>
        <v>18.8448504482914</v>
      </c>
      <c r="O21" s="38" t="n">
        <f aca="false">O18*Hypothèses!$D$18</f>
        <v>28.6564019438085</v>
      </c>
      <c r="P21" s="38" t="n">
        <f aca="false">P18*Hypothèses!$D$18</f>
        <v>38.3698379243704</v>
      </c>
      <c r="Q21" s="38" t="n">
        <f aca="false">Q18*Hypothèses!$D$18</f>
        <v>47.9861395451267</v>
      </c>
      <c r="R21" s="38" t="n">
        <f aca="false">R18*Hypothèses!$D$18</f>
        <v>57.5062781496754</v>
      </c>
      <c r="S21" s="38" t="n">
        <f aca="false">S18*Hypothèses!$D$18</f>
        <v>66.9312153681787</v>
      </c>
      <c r="T21" s="38" t="n">
        <f aca="false">T18*Hypothèses!$D$18</f>
        <v>76.2619032144969</v>
      </c>
      <c r="U21" s="38" t="n">
        <f aca="false">U18*Hypothèses!$D$18</f>
        <v>85.4992841823519</v>
      </c>
      <c r="V21" s="38" t="n">
        <f aca="false">V18*Hypothèses!$D$18</f>
        <v>94.6442913405284</v>
      </c>
      <c r="W21" s="38" t="n">
        <f aca="false">W18*Hypothèses!$D$18</f>
        <v>103.697848427123</v>
      </c>
      <c r="X21" s="38" t="n">
        <f aca="false">X18*Hypothèses!$D$18</f>
        <v>112.660869942852</v>
      </c>
      <c r="Y21" s="38" t="n">
        <f aca="false">Y18*Hypothèses!$D$18</f>
        <v>121.534261243423</v>
      </c>
      <c r="Z21" s="38" t="n">
        <f aca="false">Z18*Hypothèses!$D$18</f>
        <v>130.318918630989</v>
      </c>
      <c r="AA21" s="38" t="n">
        <f aca="false">AA18*Hypothèses!$D$18</f>
        <v>154.015729444679</v>
      </c>
      <c r="AB21" s="38" t="n">
        <f aca="false">AB18*Hypothèses!$D$18</f>
        <v>177.475572150232</v>
      </c>
      <c r="AC21" s="38" t="n">
        <f aca="false">AC18*Hypothèses!$D$18</f>
        <v>200.70081642873</v>
      </c>
      <c r="AD21" s="38" t="n">
        <f aca="false">AD18*Hypothèses!$D$18</f>
        <v>223.693808264443</v>
      </c>
      <c r="AE21" s="38" t="n">
        <f aca="false">AE18*Hypothèses!$D$18</f>
        <v>246.456870181798</v>
      </c>
      <c r="AF21" s="38" t="n">
        <f aca="false">AF18*Hypothèses!$D$18</f>
        <v>268.99230147998</v>
      </c>
      <c r="AG21" s="38" t="n">
        <f aca="false">AG18*Hypothèses!$D$18</f>
        <v>291.302378465181</v>
      </c>
      <c r="AH21" s="38" t="n">
        <f aca="false">AH18*Hypothèses!$D$18</f>
        <v>313.389354680529</v>
      </c>
      <c r="AI21" s="38" t="n">
        <f aca="false">AI18*Hypothèses!$D$18</f>
        <v>335.255461133724</v>
      </c>
      <c r="AJ21" s="38" t="n">
        <f aca="false">AJ18*Hypothèses!$D$18</f>
        <v>356.902906522386</v>
      </c>
      <c r="AK21" s="38" t="n">
        <f aca="false">AK18*Hypothèses!$D$18</f>
        <v>378.333877457162</v>
      </c>
      <c r="AL21" s="38" t="n">
        <f aca="false">AL18*Hypothèses!$D$18</f>
        <v>399.550538682591</v>
      </c>
      <c r="AN21" s="38" t="n">
        <f aca="false">N21</f>
        <v>18.8448504482914</v>
      </c>
      <c r="AO21" s="38" t="n">
        <f aca="false">Z21</f>
        <v>130.318918630989</v>
      </c>
      <c r="AP21" s="38" t="n">
        <f aca="false">AL21</f>
        <v>399.550538682591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58</v>
      </c>
      <c r="F23" s="15" t="n">
        <f aca="false">F19*Hypothèses!$D$12*$C$4</f>
        <v>56.26</v>
      </c>
      <c r="G23" s="15" t="n">
        <f aca="false">G19*Hypothèses!$D$12*$C$4</f>
        <v>54.5722</v>
      </c>
      <c r="H23" s="15" t="n">
        <f aca="false">H19*Hypothèses!$D$12*$C$4</f>
        <v>52.935034</v>
      </c>
      <c r="I23" s="15" t="n">
        <f aca="false">I19*Hypothèses!$D$12*$C$4</f>
        <v>168.40568366</v>
      </c>
      <c r="J23" s="15" t="n">
        <f aca="false">J19*Hypothèses!$D$12*$C$4</f>
        <v>282.7216268234</v>
      </c>
      <c r="K23" s="15" t="n">
        <f aca="false">K19*Hypothèses!$D$12*$C$4</f>
        <v>395.894410555166</v>
      </c>
      <c r="L23" s="15" t="n">
        <f aca="false">L19*Hypothèses!$D$12*$C$4</f>
        <v>507.935466449614</v>
      </c>
      <c r="M23" s="15" t="n">
        <f aca="false">M19*Hypothèses!$D$12*$C$4</f>
        <v>618.856111785118</v>
      </c>
      <c r="N23" s="15" t="n">
        <f aca="false">N19*Hypothèses!$D$12*$C$4</f>
        <v>728.667550667267</v>
      </c>
      <c r="O23" s="15" t="n">
        <f aca="false">O19*Hypothèses!$D$12*$C$4</f>
        <v>1108.04754182726</v>
      </c>
      <c r="P23" s="15" t="n">
        <f aca="false">P19*Hypothèses!$D$12*$C$4</f>
        <v>1483.63373307565</v>
      </c>
      <c r="Q23" s="15" t="n">
        <f aca="false">Q19*Hypothèses!$D$12*$C$4</f>
        <v>1855.46406241157</v>
      </c>
      <c r="R23" s="15" t="n">
        <f aca="false">R19*Hypothèses!$D$12*$C$4</f>
        <v>2223.57608845412</v>
      </c>
      <c r="S23" s="15" t="n">
        <f aca="false">S19*Hypothèses!$D$12*$C$4</f>
        <v>2588.00699423624</v>
      </c>
      <c r="T23" s="15" t="n">
        <f aca="false">T19*Hypothèses!$D$12*$C$4</f>
        <v>2948.79359096055</v>
      </c>
      <c r="U23" s="15" t="n">
        <f aca="false">U19*Hypothèses!$D$12*$C$4</f>
        <v>3305.97232171761</v>
      </c>
      <c r="V23" s="15" t="n">
        <f aca="false">V19*Hypothèses!$D$12*$C$4</f>
        <v>3659.5792651671</v>
      </c>
      <c r="W23" s="15" t="n">
        <f aca="false">W19*Hypothèses!$D$12*$C$4</f>
        <v>4009.65013918209</v>
      </c>
      <c r="X23" s="15" t="n">
        <f aca="false">X19*Hypothèses!$D$12*$C$4</f>
        <v>4356.22030445694</v>
      </c>
      <c r="Y23" s="15" t="n">
        <f aca="false">Y19*Hypothèses!$D$12*$C$4</f>
        <v>4699.32476807904</v>
      </c>
      <c r="Z23" s="15" t="n">
        <f aca="false">Z19*Hypothèses!$D$12*$C$4</f>
        <v>5038.99818706491</v>
      </c>
      <c r="AA23" s="15" t="n">
        <f aca="false">AA19*Hypothèses!$D$12*$C$4</f>
        <v>5955.27487186093</v>
      </c>
      <c r="AB23" s="15" t="n">
        <f aca="false">AB19*Hypothèses!$D$12*$C$4</f>
        <v>6862.38878980899</v>
      </c>
      <c r="AC23" s="15" t="n">
        <f aca="false">AC19*Hypothèses!$D$12*$C$4</f>
        <v>7760.43156857756</v>
      </c>
      <c r="AD23" s="15" t="n">
        <f aca="false">AD19*Hypothèses!$D$12*$C$4</f>
        <v>8649.49391955845</v>
      </c>
      <c r="AE23" s="15" t="n">
        <f aca="false">AE19*Hypothèses!$D$12*$C$4</f>
        <v>9529.66564702954</v>
      </c>
      <c r="AF23" s="15" t="n">
        <f aca="false">AF19*Hypothèses!$D$12*$C$4</f>
        <v>10401.0356572259</v>
      </c>
      <c r="AG23" s="15" t="n">
        <f aca="false">AG19*Hypothèses!$D$12*$C$4</f>
        <v>11263.6919673203</v>
      </c>
      <c r="AH23" s="15" t="n">
        <f aca="false">AH19*Hypothèses!$D$12*$C$4</f>
        <v>12117.7217143138</v>
      </c>
      <c r="AI23" s="15" t="n">
        <f aca="false">AI19*Hypothèses!$D$12*$C$4</f>
        <v>12963.2111638373</v>
      </c>
      <c r="AJ23" s="15" t="n">
        <f aca="false">AJ19*Hypothèses!$D$12*$C$4</f>
        <v>13800.2457188656</v>
      </c>
      <c r="AK23" s="15" t="n">
        <f aca="false">AK19*Hypothèses!$D$12*$C$4</f>
        <v>14628.9099283436</v>
      </c>
      <c r="AL23" s="15" t="n">
        <f aca="false">AL19*Hypothèses!$D$12*$C$4</f>
        <v>15449.2874957268</v>
      </c>
      <c r="AN23" s="15" t="n">
        <f aca="false">SUM(C23:N23)</f>
        <v>2924.24808394057</v>
      </c>
      <c r="AO23" s="15" t="n">
        <f aca="false">SUM(O23:Z23)</f>
        <v>37277.2669966331</v>
      </c>
      <c r="AP23" s="15" t="n">
        <f aca="false">SUM(AA23:AL23)</f>
        <v>129381.358442469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379.2</v>
      </c>
      <c r="F24" s="15" t="n">
        <f aca="false">F20*Hypothèses!$D$13*$C$4</f>
        <v>367.824</v>
      </c>
      <c r="G24" s="15" t="n">
        <f aca="false">G20*Hypothèses!$D$13*$C$4</f>
        <v>356.78928</v>
      </c>
      <c r="H24" s="15" t="n">
        <f aca="false">H20*Hypothèses!$D$13*$C$4</f>
        <v>346.0856016</v>
      </c>
      <c r="I24" s="15" t="n">
        <f aca="false">I20*Hypothèses!$D$13*$C$4</f>
        <v>1101.024745584</v>
      </c>
      <c r="J24" s="15" t="n">
        <f aca="false">J20*Hypothèses!$D$13*$C$4</f>
        <v>1848.41449812816</v>
      </c>
      <c r="K24" s="15" t="n">
        <f aca="false">K20*Hypothèses!$D$13*$C$4</f>
        <v>2588.33035314688</v>
      </c>
      <c r="L24" s="15" t="n">
        <f aca="false">L20*Hypothèses!$D$13*$C$4</f>
        <v>3320.84704961541</v>
      </c>
      <c r="M24" s="15" t="n">
        <f aca="false">M20*Hypothèses!$D$13*$C$4</f>
        <v>4046.03857911926</v>
      </c>
      <c r="N24" s="15" t="n">
        <f aca="false">N20*Hypothèses!$D$13*$C$4</f>
        <v>4763.97819332806</v>
      </c>
      <c r="O24" s="15" t="n">
        <f aca="false">O20*Hypothèses!$D$13*$C$4</f>
        <v>7244.33841139478</v>
      </c>
      <c r="P24" s="15" t="n">
        <f aca="false">P20*Hypothèses!$D$13*$C$4</f>
        <v>9699.89502728083</v>
      </c>
      <c r="Q24" s="15" t="n">
        <f aca="false">Q20*Hypothèses!$D$13*$C$4</f>
        <v>12130.896077008</v>
      </c>
      <c r="R24" s="15" t="n">
        <f aca="false">R20*Hypothèses!$D$13*$C$4</f>
        <v>14537.5871162379</v>
      </c>
      <c r="S24" s="15" t="n">
        <f aca="false">S20*Hypothèses!$D$13*$C$4</f>
        <v>16920.2112450756</v>
      </c>
      <c r="T24" s="15" t="n">
        <f aca="false">T20*Hypothèses!$D$13*$C$4</f>
        <v>19279.0091326248</v>
      </c>
      <c r="U24" s="15" t="n">
        <f aca="false">U20*Hypothèses!$D$13*$C$4</f>
        <v>21614.2190412986</v>
      </c>
      <c r="V24" s="15" t="n">
        <f aca="false">V20*Hypothèses!$D$13*$C$4</f>
        <v>23926.0768508856</v>
      </c>
      <c r="W24" s="15" t="n">
        <f aca="false">W20*Hypothèses!$D$13*$C$4</f>
        <v>26214.8160823767</v>
      </c>
      <c r="X24" s="15" t="n">
        <f aca="false">X20*Hypothèses!$D$13*$C$4</f>
        <v>28480.6679215529</v>
      </c>
      <c r="Y24" s="15" t="n">
        <f aca="false">Y20*Hypothèses!$D$13*$C$4</f>
        <v>30723.8612423374</v>
      </c>
      <c r="Z24" s="15" t="n">
        <f aca="false">Z20*Hypothèses!$D$13*$C$4</f>
        <v>32944.622629914</v>
      </c>
      <c r="AA24" s="15" t="n">
        <f aca="false">AA20*Hypothèses!$D$13*$C$4</f>
        <v>38935.1764036149</v>
      </c>
      <c r="AB24" s="15" t="n">
        <f aca="false">AB20*Hypothèses!$D$13*$C$4</f>
        <v>44865.8246395788</v>
      </c>
      <c r="AC24" s="15" t="n">
        <f aca="false">AC20*Hypothèses!$D$13*$C$4</f>
        <v>50737.166393183</v>
      </c>
      <c r="AD24" s="15" t="n">
        <f aca="false">AD20*Hypothèses!$D$13*$C$4</f>
        <v>56549.7947292511</v>
      </c>
      <c r="AE24" s="15" t="n">
        <f aca="false">AE20*Hypothèses!$D$13*$C$4</f>
        <v>62304.2967819586</v>
      </c>
      <c r="AF24" s="15" t="n">
        <f aca="false">AF20*Hypothèses!$D$13*$C$4</f>
        <v>68001.253814139</v>
      </c>
      <c r="AG24" s="15" t="n">
        <f aca="false">AG20*Hypothèses!$D$13*$C$4</f>
        <v>73641.2412759977</v>
      </c>
      <c r="AH24" s="15" t="n">
        <f aca="false">AH20*Hypothèses!$D$13*$C$4</f>
        <v>79224.8288632377</v>
      </c>
      <c r="AI24" s="15" t="n">
        <f aca="false">AI20*Hypothèses!$D$13*$C$4</f>
        <v>84752.5805746053</v>
      </c>
      <c r="AJ24" s="15" t="n">
        <f aca="false">AJ20*Hypothèses!$D$13*$C$4</f>
        <v>90225.0547688593</v>
      </c>
      <c r="AK24" s="15" t="n">
        <f aca="false">AK20*Hypothèses!$D$13*$C$4</f>
        <v>95642.8042211707</v>
      </c>
      <c r="AL24" s="15" t="n">
        <f aca="false">AL20*Hypothèses!$D$13*$C$4</f>
        <v>101006.376178959</v>
      </c>
      <c r="AN24" s="15" t="n">
        <f aca="false">SUM(C24:N24)</f>
        <v>19118.5323005218</v>
      </c>
      <c r="AO24" s="15" t="n">
        <f aca="false">SUM(O24:Z24)</f>
        <v>243716.200777987</v>
      </c>
      <c r="AP24" s="15" t="n">
        <f aca="false">SUM(AA24:AL24)</f>
        <v>845886.398644555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154.8</v>
      </c>
      <c r="F25" s="15" t="n">
        <f aca="false">F21*Hypothèses!$D$14*$C$4</f>
        <v>150.156</v>
      </c>
      <c r="G25" s="15" t="n">
        <f aca="false">G21*Hypothèses!$D$14*$C$4</f>
        <v>145.65132</v>
      </c>
      <c r="H25" s="15" t="n">
        <f aca="false">H21*Hypothèses!$D$14*$C$4</f>
        <v>141.2817804</v>
      </c>
      <c r="I25" s="15" t="n">
        <f aca="false">I21*Hypothèses!$D$14*$C$4</f>
        <v>449.468962596</v>
      </c>
      <c r="J25" s="15" t="n">
        <f aca="false">J21*Hypothèses!$D$14*$C$4</f>
        <v>754.57427297004</v>
      </c>
      <c r="K25" s="15" t="n">
        <f aca="false">K21*Hypothèses!$D$14*$C$4</f>
        <v>1056.62853024034</v>
      </c>
      <c r="L25" s="15" t="n">
        <f aca="false">L21*Hypothèses!$D$14*$C$4</f>
        <v>1355.66224493794</v>
      </c>
      <c r="M25" s="15" t="n">
        <f aca="false">M21*Hypothèses!$D$14*$C$4</f>
        <v>1651.70562248856</v>
      </c>
      <c r="N25" s="15" t="n">
        <f aca="false">N21*Hypothèses!$D$14*$C$4</f>
        <v>1944.78856626367</v>
      </c>
      <c r="O25" s="15" t="n">
        <f aca="false">O21*Hypothèses!$D$14*$C$4</f>
        <v>2957.34068060103</v>
      </c>
      <c r="P25" s="15" t="n">
        <f aca="false">P21*Hypothèses!$D$14*$C$4</f>
        <v>3959.76727379502</v>
      </c>
      <c r="Q25" s="15" t="n">
        <f aca="false">Q21*Hypothèses!$D$14*$C$4</f>
        <v>4952.16960105707</v>
      </c>
      <c r="R25" s="15" t="n">
        <f aca="false">R21*Hypothèses!$D$14*$C$4</f>
        <v>5934.6479050465</v>
      </c>
      <c r="S25" s="15" t="n">
        <f aca="false">S21*Hypothèses!$D$14*$C$4</f>
        <v>6907.30142599604</v>
      </c>
      <c r="T25" s="15" t="n">
        <f aca="false">T21*Hypothèses!$D$14*$C$4</f>
        <v>7870.22841173608</v>
      </c>
      <c r="U25" s="15" t="n">
        <f aca="false">U21*Hypothèses!$D$14*$C$4</f>
        <v>8823.52612761871</v>
      </c>
      <c r="V25" s="15" t="n">
        <f aca="false">V21*Hypothèses!$D$14*$C$4</f>
        <v>9767.29086634253</v>
      </c>
      <c r="W25" s="15" t="n">
        <f aca="false">W21*Hypothèses!$D$14*$C$4</f>
        <v>10701.6179576791</v>
      </c>
      <c r="X25" s="15" t="n">
        <f aca="false">X21*Hypothèses!$D$14*$C$4</f>
        <v>11626.6017781023</v>
      </c>
      <c r="Y25" s="15" t="n">
        <f aca="false">Y21*Hypothèses!$D$14*$C$4</f>
        <v>12542.3357603213</v>
      </c>
      <c r="Z25" s="15" t="n">
        <f aca="false">Z21*Hypothèses!$D$14*$C$4</f>
        <v>13448.9124027181</v>
      </c>
      <c r="AA25" s="15" t="n">
        <f aca="false">AA21*Hypothèses!$D$14*$C$4</f>
        <v>15894.4232786909</v>
      </c>
      <c r="AB25" s="15" t="n">
        <f aca="false">AB21*Hypothèses!$D$14*$C$4</f>
        <v>18315.479045904</v>
      </c>
      <c r="AC25" s="15" t="n">
        <f aca="false">AC21*Hypothèses!$D$14*$C$4</f>
        <v>20712.3242554449</v>
      </c>
      <c r="AD25" s="15" t="n">
        <f aca="false">AD21*Hypothèses!$D$14*$C$4</f>
        <v>23085.2010128905</v>
      </c>
      <c r="AE25" s="15" t="n">
        <f aca="false">AE21*Hypothèses!$D$14*$C$4</f>
        <v>25434.3490027616</v>
      </c>
      <c r="AF25" s="15" t="n">
        <f aca="false">AF21*Hypothèses!$D$14*$C$4</f>
        <v>27760.005512734</v>
      </c>
      <c r="AG25" s="15" t="n">
        <f aca="false">AG21*Hypothèses!$D$14*$C$4</f>
        <v>30062.4054576066</v>
      </c>
      <c r="AH25" s="15" t="n">
        <f aca="false">AH21*Hypothèses!$D$14*$C$4</f>
        <v>32341.7814030306</v>
      </c>
      <c r="AI25" s="15" t="n">
        <f aca="false">AI21*Hypothèses!$D$14*$C$4</f>
        <v>34598.3635890003</v>
      </c>
      <c r="AJ25" s="15" t="n">
        <f aca="false">AJ21*Hypothèses!$D$14*$C$4</f>
        <v>36832.3799531103</v>
      </c>
      <c r="AK25" s="15" t="n">
        <f aca="false">AK21*Hypothèses!$D$14*$C$4</f>
        <v>39044.0561535792</v>
      </c>
      <c r="AL25" s="15" t="n">
        <f aca="false">AL21*Hypothèses!$D$14*$C$4</f>
        <v>41233.6155920434</v>
      </c>
      <c r="AN25" s="15" t="n">
        <f aca="false">SUM(C25:N25)</f>
        <v>7804.71729989654</v>
      </c>
      <c r="AO25" s="15" t="n">
        <f aca="false">SUM(O25:Z25)</f>
        <v>99491.7401910138</v>
      </c>
      <c r="AP25" s="15" t="n">
        <f aca="false">SUM(AA25:AL25)</f>
        <v>345314.384256796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592</v>
      </c>
      <c r="F26" s="40" t="n">
        <f aca="false">F23+F24+F25</f>
        <v>574.24</v>
      </c>
      <c r="G26" s="40" t="n">
        <f aca="false">G23+G24+G25</f>
        <v>557.0128</v>
      </c>
      <c r="H26" s="40" t="n">
        <f aca="false">H23+H24+H25</f>
        <v>540.302416</v>
      </c>
      <c r="I26" s="40" t="n">
        <f aca="false">I23+I24+I25</f>
        <v>1718.89939184</v>
      </c>
      <c r="J26" s="40" t="n">
        <f aca="false">J23+J24+J25</f>
        <v>2885.7103979216</v>
      </c>
      <c r="K26" s="40" t="n">
        <f aca="false">K23+K24+K25</f>
        <v>4040.85329394238</v>
      </c>
      <c r="L26" s="40" t="n">
        <f aca="false">L23+L24+L25</f>
        <v>5184.44476100296</v>
      </c>
      <c r="M26" s="40" t="n">
        <f aca="false">M23+M24+M25</f>
        <v>6316.60031339293</v>
      </c>
      <c r="N26" s="40" t="n">
        <f aca="false">N23+N24+N25</f>
        <v>7437.434310259</v>
      </c>
      <c r="O26" s="40" t="n">
        <f aca="false">O23+O24+O25</f>
        <v>11309.7266338231</v>
      </c>
      <c r="P26" s="40" t="n">
        <f aca="false">P23+P24+P25</f>
        <v>15143.2960341515</v>
      </c>
      <c r="Q26" s="40" t="n">
        <f aca="false">Q23+Q24+Q25</f>
        <v>18938.5297404767</v>
      </c>
      <c r="R26" s="40" t="n">
        <f aca="false">R23+R24+R25</f>
        <v>22695.8111097386</v>
      </c>
      <c r="S26" s="40" t="n">
        <f aca="false">S23+S24+S25</f>
        <v>26415.5196653079</v>
      </c>
      <c r="T26" s="40" t="n">
        <f aca="false">T23+T24+T25</f>
        <v>30098.0311353214</v>
      </c>
      <c r="U26" s="40" t="n">
        <f aca="false">U23+U24+U25</f>
        <v>33743.7174906349</v>
      </c>
      <c r="V26" s="40" t="n">
        <f aca="false">V23+V24+V25</f>
        <v>37352.9469823952</v>
      </c>
      <c r="W26" s="40" t="n">
        <f aca="false">W23+W24+W25</f>
        <v>40926.0841792379</v>
      </c>
      <c r="X26" s="40" t="n">
        <f aca="false">X23+X24+X25</f>
        <v>44463.4900041122</v>
      </c>
      <c r="Y26" s="40" t="n">
        <f aca="false">Y23+Y24+Y25</f>
        <v>47965.5217707377</v>
      </c>
      <c r="Z26" s="40" t="n">
        <f aca="false">Z23+Z24+Z25</f>
        <v>51432.533219697</v>
      </c>
      <c r="AA26" s="40" t="n">
        <f aca="false">AA23+AA24+AA25</f>
        <v>60784.8745541667</v>
      </c>
      <c r="AB26" s="40" t="n">
        <f aca="false">AB23+AB24+AB25</f>
        <v>70043.6924752917</v>
      </c>
      <c r="AC26" s="40" t="n">
        <f aca="false">AC23+AC24+AC25</f>
        <v>79209.9222172055</v>
      </c>
      <c r="AD26" s="40" t="n">
        <f aca="false">AD23+AD24+AD25</f>
        <v>88284.4896617001</v>
      </c>
      <c r="AE26" s="40" t="n">
        <f aca="false">AE23+AE24+AE25</f>
        <v>97268.3114317498</v>
      </c>
      <c r="AF26" s="40" t="n">
        <f aca="false">AF23+AF24+AF25</f>
        <v>106162.294984099</v>
      </c>
      <c r="AG26" s="40" t="n">
        <f aca="false">AG23+AG24+AG25</f>
        <v>114967.338700925</v>
      </c>
      <c r="AH26" s="40" t="n">
        <f aca="false">AH23+AH24+AH25</f>
        <v>123684.331980582</v>
      </c>
      <c r="AI26" s="40" t="n">
        <f aca="false">AI23+AI24+AI25</f>
        <v>132314.155327443</v>
      </c>
      <c r="AJ26" s="40" t="n">
        <f aca="false">AJ23+AJ24+AJ25</f>
        <v>140857.680440835</v>
      </c>
      <c r="AK26" s="40" t="n">
        <f aca="false">AK23+AK24+AK25</f>
        <v>149315.770303093</v>
      </c>
      <c r="AL26" s="40" t="n">
        <f aca="false">AL23+AL24+AL25</f>
        <v>157689.279266729</v>
      </c>
      <c r="AN26" s="40" t="n">
        <f aca="false">SUM(C26:N26)</f>
        <v>29847.4976843589</v>
      </c>
      <c r="AO26" s="40" t="n">
        <f aca="false">SUM(O26:Z26)</f>
        <v>380485.207965634</v>
      </c>
      <c r="AP26" s="40" t="n">
        <f aca="false">SUM(AA26:AL26)</f>
        <v>1320582.14134382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98.6666666666667</v>
      </c>
      <c r="F27" s="15" t="n">
        <f aca="false">F26*Hypothèses!$D$15/(1+Hypothèses!$D$15)</f>
        <v>95.7066666666667</v>
      </c>
      <c r="G27" s="15" t="n">
        <f aca="false">G26*Hypothèses!$D$15/(1+Hypothèses!$D$15)</f>
        <v>92.8354666666667</v>
      </c>
      <c r="H27" s="15" t="n">
        <f aca="false">H26*Hypothèses!$D$15/(1+Hypothèses!$D$15)</f>
        <v>90.0504026666667</v>
      </c>
      <c r="I27" s="15" t="n">
        <f aca="false">I26*Hypothèses!$D$15/(1+Hypothèses!$D$15)</f>
        <v>286.483231973333</v>
      </c>
      <c r="J27" s="15" t="n">
        <f aca="false">J26*Hypothèses!$D$15/(1+Hypothèses!$D$15)</f>
        <v>480.951732986933</v>
      </c>
      <c r="K27" s="15" t="n">
        <f aca="false">K26*Hypothèses!$D$15/(1+Hypothèses!$D$15)</f>
        <v>673.475548990397</v>
      </c>
      <c r="L27" s="15" t="n">
        <f aca="false">L26*Hypothèses!$D$15/(1+Hypothèses!$D$15)</f>
        <v>864.074126833827</v>
      </c>
      <c r="M27" s="15" t="n">
        <f aca="false">M26*Hypothèses!$D$15/(1+Hypothèses!$D$15)</f>
        <v>1052.76671889882</v>
      </c>
      <c r="N27" s="15" t="n">
        <f aca="false">N26*Hypothèses!$D$15/(1+Hypothèses!$D$15)</f>
        <v>1239.57238504317</v>
      </c>
      <c r="O27" s="15" t="n">
        <f aca="false">O26*Hypothèses!$D$15/(1+Hypothèses!$D$15)</f>
        <v>1884.95443897051</v>
      </c>
      <c r="P27" s="15" t="n">
        <f aca="false">P26*Hypothèses!$D$15/(1+Hypothèses!$D$15)</f>
        <v>2523.88267235859</v>
      </c>
      <c r="Q27" s="15" t="n">
        <f aca="false">Q26*Hypothèses!$D$15/(1+Hypothèses!$D$15)</f>
        <v>3156.42162341278</v>
      </c>
      <c r="R27" s="15" t="n">
        <f aca="false">R26*Hypothèses!$D$15/(1+Hypothèses!$D$15)</f>
        <v>3782.63518495643</v>
      </c>
      <c r="S27" s="15" t="n">
        <f aca="false">S26*Hypothèses!$D$15/(1+Hypothèses!$D$15)</f>
        <v>4402.58661088464</v>
      </c>
      <c r="T27" s="15" t="n">
        <f aca="false">T26*Hypothèses!$D$15/(1+Hypothèses!$D$15)</f>
        <v>5016.33852255357</v>
      </c>
      <c r="U27" s="15" t="n">
        <f aca="false">U26*Hypothèses!$D$15/(1+Hypothèses!$D$15)</f>
        <v>5623.95291510581</v>
      </c>
      <c r="V27" s="15" t="n">
        <f aca="false">V26*Hypothèses!$D$15/(1+Hypothèses!$D$15)</f>
        <v>6225.49116373253</v>
      </c>
      <c r="W27" s="15" t="n">
        <f aca="false">W26*Hypothèses!$D$15/(1+Hypothèses!$D$15)</f>
        <v>6821.01402987299</v>
      </c>
      <c r="X27" s="15" t="n">
        <f aca="false">X26*Hypothèses!$D$15/(1+Hypothèses!$D$15)</f>
        <v>7410.58166735203</v>
      </c>
      <c r="Y27" s="15" t="n">
        <f aca="false">Y26*Hypothèses!$D$15/(1+Hypothèses!$D$15)</f>
        <v>7994.25362845629</v>
      </c>
      <c r="Z27" s="15" t="n">
        <f aca="false">Z26*Hypothèses!$D$15/(1+Hypothèses!$D$15)</f>
        <v>8572.08886994951</v>
      </c>
      <c r="AA27" s="15" t="n">
        <f aca="false">AA26*Hypothèses!$D$15/(1+Hypothèses!$D$15)</f>
        <v>10130.8124256945</v>
      </c>
      <c r="AB27" s="15" t="n">
        <f aca="false">AB26*Hypothèses!$D$15/(1+Hypothèses!$D$15)</f>
        <v>11673.948745882</v>
      </c>
      <c r="AC27" s="15" t="n">
        <f aca="false">AC26*Hypothèses!$D$15/(1+Hypothèses!$D$15)</f>
        <v>13201.6537028676</v>
      </c>
      <c r="AD27" s="15" t="n">
        <f aca="false">AD26*Hypothèses!$D$15/(1+Hypothèses!$D$15)</f>
        <v>14714.0816102834</v>
      </c>
      <c r="AE27" s="15" t="n">
        <f aca="false">AE26*Hypothèses!$D$15/(1+Hypothèses!$D$15)</f>
        <v>16211.385238625</v>
      </c>
      <c r="AF27" s="15" t="n">
        <f aca="false">AF26*Hypothèses!$D$15/(1+Hypothèses!$D$15)</f>
        <v>17693.7158306832</v>
      </c>
      <c r="AG27" s="15" t="n">
        <f aca="false">AG26*Hypothèses!$D$15/(1+Hypothèses!$D$15)</f>
        <v>19161.2231168208</v>
      </c>
      <c r="AH27" s="15" t="n">
        <f aca="false">AH26*Hypothèses!$D$15/(1+Hypothèses!$D$15)</f>
        <v>20614.055330097</v>
      </c>
      <c r="AI27" s="15" t="n">
        <f aca="false">AI26*Hypothèses!$D$15/(1+Hypothèses!$D$15)</f>
        <v>22052.3592212405</v>
      </c>
      <c r="AJ27" s="15" t="n">
        <f aca="false">AJ26*Hypothèses!$D$15/(1+Hypothèses!$D$15)</f>
        <v>23476.2800734725</v>
      </c>
      <c r="AK27" s="15" t="n">
        <f aca="false">AK26*Hypothèses!$D$15/(1+Hypothèses!$D$15)</f>
        <v>24885.9617171822</v>
      </c>
      <c r="AL27" s="15" t="n">
        <f aca="false">AL26*Hypothèses!$D$15/(1+Hypothèses!$D$15)</f>
        <v>26281.5465444549</v>
      </c>
      <c r="AN27" s="15" t="n">
        <f aca="false">SUM(C27:N27)</f>
        <v>4974.58294739315</v>
      </c>
      <c r="AO27" s="15" t="n">
        <f aca="false">SUM(O27:Z27)</f>
        <v>63414.2013276057</v>
      </c>
      <c r="AP27" s="15" t="n">
        <f aca="false">SUM(AA27:AL27)</f>
        <v>220097.023557303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493.333333333333</v>
      </c>
      <c r="F28" s="40" t="n">
        <f aca="false">F26-F27</f>
        <v>478.533333333333</v>
      </c>
      <c r="G28" s="40" t="n">
        <f aca="false">G26-G27</f>
        <v>464.177333333333</v>
      </c>
      <c r="H28" s="40" t="n">
        <f aca="false">H26-H27</f>
        <v>450.252013333333</v>
      </c>
      <c r="I28" s="40" t="n">
        <f aca="false">I26-I27</f>
        <v>1432.41615986667</v>
      </c>
      <c r="J28" s="40" t="n">
        <f aca="false">J26-J27</f>
        <v>2404.75866493467</v>
      </c>
      <c r="K28" s="40" t="n">
        <f aca="false">K26-K27</f>
        <v>3367.37774495199</v>
      </c>
      <c r="L28" s="40" t="n">
        <f aca="false">L26-L27</f>
        <v>4320.37063416913</v>
      </c>
      <c r="M28" s="40" t="n">
        <f aca="false">M26-M27</f>
        <v>5263.83359449411</v>
      </c>
      <c r="N28" s="40" t="n">
        <f aca="false">N26-N27</f>
        <v>6197.86192521583</v>
      </c>
      <c r="O28" s="40" t="n">
        <f aca="false">O26-O27</f>
        <v>9424.77219485256</v>
      </c>
      <c r="P28" s="40" t="n">
        <f aca="false">P26-P27</f>
        <v>12619.4133617929</v>
      </c>
      <c r="Q28" s="40" t="n">
        <f aca="false">Q26-Q27</f>
        <v>15782.1081170639</v>
      </c>
      <c r="R28" s="40" t="n">
        <f aca="false">R26-R27</f>
        <v>18913.1759247821</v>
      </c>
      <c r="S28" s="40" t="n">
        <f aca="false">S26-S27</f>
        <v>22012.9330544232</v>
      </c>
      <c r="T28" s="40" t="n">
        <f aca="false">T26-T27</f>
        <v>25081.6926127679</v>
      </c>
      <c r="U28" s="40" t="n">
        <f aca="false">U26-U27</f>
        <v>28119.7645755291</v>
      </c>
      <c r="V28" s="40" t="n">
        <f aca="false">V26-V27</f>
        <v>31127.4558186627</v>
      </c>
      <c r="W28" s="40" t="n">
        <f aca="false">W26-W27</f>
        <v>34105.0701493649</v>
      </c>
      <c r="X28" s="40" t="n">
        <f aca="false">X26-X27</f>
        <v>37052.9083367602</v>
      </c>
      <c r="Y28" s="40" t="n">
        <f aca="false">Y26-Y27</f>
        <v>39971.2681422815</v>
      </c>
      <c r="Z28" s="40" t="n">
        <f aca="false">Z26-Z27</f>
        <v>42860.4443497475</v>
      </c>
      <c r="AA28" s="40" t="n">
        <f aca="false">AA26-AA27</f>
        <v>50654.0621284723</v>
      </c>
      <c r="AB28" s="40" t="n">
        <f aca="false">AB26-AB27</f>
        <v>58369.7437294098</v>
      </c>
      <c r="AC28" s="40" t="n">
        <f aca="false">AC26-AC27</f>
        <v>66008.2685143379</v>
      </c>
      <c r="AD28" s="40" t="n">
        <f aca="false">AD26-AD27</f>
        <v>73570.4080514167</v>
      </c>
      <c r="AE28" s="40" t="n">
        <f aca="false">AE26-AE27</f>
        <v>81056.9261931248</v>
      </c>
      <c r="AF28" s="40" t="n">
        <f aca="false">AF26-AF27</f>
        <v>88468.5791534158</v>
      </c>
      <c r="AG28" s="40" t="n">
        <f aca="false">AG26-AG27</f>
        <v>95806.1155841038</v>
      </c>
      <c r="AH28" s="40" t="n">
        <f aca="false">AH26-AH27</f>
        <v>103070.276650485</v>
      </c>
      <c r="AI28" s="40" t="n">
        <f aca="false">AI26-AI27</f>
        <v>110261.796106202</v>
      </c>
      <c r="AJ28" s="40" t="n">
        <f aca="false">AJ26-AJ27</f>
        <v>117381.400367363</v>
      </c>
      <c r="AK28" s="40" t="n">
        <f aca="false">AK26-AK27</f>
        <v>124429.808585911</v>
      </c>
      <c r="AL28" s="40" t="n">
        <f aca="false">AL26-AL27</f>
        <v>131407.732722274</v>
      </c>
      <c r="AN28" s="40" t="n">
        <f aca="false">SUM(C28:N28)</f>
        <v>24872.9147369657</v>
      </c>
      <c r="AO28" s="40" t="n">
        <f aca="false">SUM(O28:Z28)</f>
        <v>317071.006638028</v>
      </c>
      <c r="AP28" s="40" t="n">
        <f aca="false">SUM(AA28:AL28)</f>
        <v>1100485.11778652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5.92</v>
      </c>
      <c r="F29" s="15" t="n">
        <f aca="false">F26*Hypothèses!$D$27</f>
        <v>5.7424</v>
      </c>
      <c r="G29" s="15" t="n">
        <f aca="false">G26*Hypothèses!$D$27</f>
        <v>5.570128</v>
      </c>
      <c r="H29" s="15" t="n">
        <f aca="false">H26*Hypothèses!$D$27</f>
        <v>5.40302416</v>
      </c>
      <c r="I29" s="15" t="n">
        <f aca="false">I26*Hypothèses!$D$27</f>
        <v>17.1889939184</v>
      </c>
      <c r="J29" s="15" t="n">
        <f aca="false">J26*Hypothèses!$D$27</f>
        <v>28.857103979216</v>
      </c>
      <c r="K29" s="15" t="n">
        <f aca="false">K26*Hypothèses!$D$27</f>
        <v>40.4085329394238</v>
      </c>
      <c r="L29" s="15" t="n">
        <f aca="false">L26*Hypothèses!$D$27</f>
        <v>51.8444476100296</v>
      </c>
      <c r="M29" s="15" t="n">
        <f aca="false">M26*Hypothèses!$D$27</f>
        <v>63.1660031339293</v>
      </c>
      <c r="N29" s="15" t="n">
        <f aca="false">N26*Hypothèses!$D$27</f>
        <v>74.37434310259</v>
      </c>
      <c r="O29" s="15" t="n">
        <f aca="false">O26*Hypothèses!$D$27</f>
        <v>113.097266338231</v>
      </c>
      <c r="P29" s="15" t="n">
        <f aca="false">P26*Hypothèses!$D$27</f>
        <v>151.432960341515</v>
      </c>
      <c r="Q29" s="15" t="n">
        <f aca="false">Q26*Hypothèses!$D$27</f>
        <v>189.385297404767</v>
      </c>
      <c r="R29" s="15" t="n">
        <f aca="false">R26*Hypothèses!$D$27</f>
        <v>226.958111097386</v>
      </c>
      <c r="S29" s="15" t="n">
        <f aca="false">S26*Hypothèses!$D$27</f>
        <v>264.155196653079</v>
      </c>
      <c r="T29" s="15" t="n">
        <f aca="false">T26*Hypothèses!$D$27</f>
        <v>300.980311353214</v>
      </c>
      <c r="U29" s="15" t="n">
        <f aca="false">U26*Hypothèses!$D$27</f>
        <v>337.437174906349</v>
      </c>
      <c r="V29" s="15" t="n">
        <f aca="false">V26*Hypothèses!$D$27</f>
        <v>373.529469823952</v>
      </c>
      <c r="W29" s="15" t="n">
        <f aca="false">W26*Hypothèses!$D$27</f>
        <v>409.260841792379</v>
      </c>
      <c r="X29" s="15" t="n">
        <f aca="false">X26*Hypothèses!$D$27</f>
        <v>444.634900041122</v>
      </c>
      <c r="Y29" s="15" t="n">
        <f aca="false">Y26*Hypothèses!$D$27</f>
        <v>479.655217707377</v>
      </c>
      <c r="Z29" s="15" t="n">
        <f aca="false">Z26*Hypothèses!$D$27</f>
        <v>514.32533219697</v>
      </c>
      <c r="AA29" s="15" t="n">
        <f aca="false">AA26*Hypothèses!$D$27</f>
        <v>607.848745541667</v>
      </c>
      <c r="AB29" s="15" t="n">
        <f aca="false">AB26*Hypothèses!$D$27</f>
        <v>700.436924752917</v>
      </c>
      <c r="AC29" s="15" t="n">
        <f aca="false">AC26*Hypothèses!$D$27</f>
        <v>792.099222172055</v>
      </c>
      <c r="AD29" s="15" t="n">
        <f aca="false">AD26*Hypothèses!$D$27</f>
        <v>882.844896617001</v>
      </c>
      <c r="AE29" s="15" t="n">
        <f aca="false">AE26*Hypothèses!$D$27</f>
        <v>972.683114317498</v>
      </c>
      <c r="AF29" s="15" t="n">
        <f aca="false">AF26*Hypothèses!$D$27</f>
        <v>1061.62294984099</v>
      </c>
      <c r="AG29" s="15" t="n">
        <f aca="false">AG26*Hypothèses!$D$27</f>
        <v>1149.67338700925</v>
      </c>
      <c r="AH29" s="15" t="n">
        <f aca="false">AH26*Hypothèses!$D$27</f>
        <v>1236.84331980582</v>
      </c>
      <c r="AI29" s="15" t="n">
        <f aca="false">AI26*Hypothèses!$D$27</f>
        <v>1323.14155327443</v>
      </c>
      <c r="AJ29" s="15" t="n">
        <f aca="false">AJ26*Hypothèses!$D$27</f>
        <v>1408.57680440835</v>
      </c>
      <c r="AK29" s="15" t="n">
        <f aca="false">AK26*Hypothèses!$D$27</f>
        <v>1493.15770303093</v>
      </c>
      <c r="AL29" s="15" t="n">
        <f aca="false">AL26*Hypothèses!$D$27</f>
        <v>1576.89279266729</v>
      </c>
      <c r="AN29" s="15" t="n">
        <f aca="false">SUM(C29:N29)</f>
        <v>298.474976843589</v>
      </c>
      <c r="AO29" s="15" t="n">
        <f aca="false">SUM(O29:Z29)</f>
        <v>3804.85207965634</v>
      </c>
      <c r="AP29" s="15" t="n">
        <f aca="false">SUM(AA29:AL29)</f>
        <v>13205.8214134382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11.2912</v>
      </c>
      <c r="F30" s="15" t="n">
        <f aca="false">(F26-F29)*Hypothèses!$D$28+F18*Hypothèses!$D$29</f>
        <v>10.952464</v>
      </c>
      <c r="G30" s="15" t="n">
        <f aca="false">(G26-G29)*Hypothèses!$D$28+G18*Hypothèses!$D$29</f>
        <v>10.62389008</v>
      </c>
      <c r="H30" s="15" t="n">
        <f aca="false">(H26-H29)*Hypothèses!$D$28+H18*Hypothèses!$D$29</f>
        <v>10.3051733776</v>
      </c>
      <c r="I30" s="15" t="n">
        <f aca="false">(I26-I29)*Hypothèses!$D$28+I18*Hypothèses!$D$29</f>
        <v>32.784521643824</v>
      </c>
      <c r="J30" s="15" t="n">
        <f aca="false">(J26-J29)*Hypothèses!$D$28+J18*Hypothèses!$D$29</f>
        <v>55.0390764273858</v>
      </c>
      <c r="K30" s="15" t="n">
        <f aca="false">(K26-K29)*Hypothèses!$D$28+K18*Hypothèses!$D$29</f>
        <v>77.0710856631119</v>
      </c>
      <c r="L30" s="15" t="n">
        <f aca="false">(L26-L29)*Hypothèses!$D$28+L18*Hypothèses!$D$29</f>
        <v>98.8827748064808</v>
      </c>
      <c r="M30" s="15" t="n">
        <f aca="false">(M26-M29)*Hypothèses!$D$28+M18*Hypothèses!$D$29</f>
        <v>120.476347058416</v>
      </c>
      <c r="N30" s="15" t="n">
        <f aca="false">(N26-N29)*Hypothèses!$D$28+N18*Hypothèses!$D$29</f>
        <v>141.853983587832</v>
      </c>
      <c r="O30" s="15" t="n">
        <f aca="false">(O26-O29)*Hypothèses!$D$28+O18*Hypothèses!$D$29</f>
        <v>215.71011041862</v>
      </c>
      <c r="P30" s="15" t="n">
        <f aca="false">(P26-P29)*Hypothèses!$D$28+P18*Hypothèses!$D$29</f>
        <v>288.827675981101</v>
      </c>
      <c r="Q30" s="15" t="n">
        <f aca="false">(Q26-Q29)*Hypothèses!$D$28+Q18*Hypothèses!$D$29</f>
        <v>361.214065887956</v>
      </c>
      <c r="R30" s="15" t="n">
        <f aca="false">(R26-R29)*Hypothèses!$D$28+R18*Hypothèses!$D$29</f>
        <v>432.876591895743</v>
      </c>
      <c r="S30" s="15" t="n">
        <f aca="false">(S26-S29)*Hypothèses!$D$28+S18*Hypothèses!$D$29</f>
        <v>503.822492643453</v>
      </c>
      <c r="T30" s="15" t="n">
        <f aca="false">(T26-T29)*Hypothèses!$D$28+T18*Hypothèses!$D$29</f>
        <v>574.058934383685</v>
      </c>
      <c r="U30" s="15" t="n">
        <f aca="false">(U26-U29)*Hypothèses!$D$28+U18*Hypothèses!$D$29</f>
        <v>643.593011706514</v>
      </c>
      <c r="V30" s="15" t="n">
        <f aca="false">(V26-V29)*Hypothèses!$D$28+V18*Hypothèses!$D$29</f>
        <v>712.431748256116</v>
      </c>
      <c r="W30" s="15" t="n">
        <f aca="false">(W26-W29)*Hypothèses!$D$28+W18*Hypothèses!$D$29</f>
        <v>780.582097440221</v>
      </c>
      <c r="X30" s="15" t="n">
        <f aca="false">(X26-X29)*Hypothèses!$D$28+X18*Hypothèses!$D$29</f>
        <v>848.050943132486</v>
      </c>
      <c r="Y30" s="15" t="n">
        <f aca="false">(Y26-Y29)*Hypothèses!$D$28+Y18*Hypothèses!$D$29</f>
        <v>914.845100367828</v>
      </c>
      <c r="Z30" s="15" t="n">
        <f aca="false">(Z26-Z29)*Hypothèses!$D$28+Z18*Hypothèses!$D$29</f>
        <v>980.971316030816</v>
      </c>
      <c r="AA30" s="15" t="n">
        <f aca="false">(AA26-AA29)*Hypothèses!$D$28+AA18*Hypothèses!$D$29</f>
        <v>1159.34826953717</v>
      </c>
      <c r="AB30" s="15" t="n">
        <f aca="false">(AB26-AB29)*Hypothèses!$D$28+AB18*Hypothèses!$D$29</f>
        <v>1335.94145350847</v>
      </c>
      <c r="AC30" s="15" t="n">
        <f aca="false">(AC26-AC29)*Hypothèses!$D$28+AC18*Hypothèses!$D$29</f>
        <v>1510.76870564005</v>
      </c>
      <c r="AD30" s="15" t="n">
        <f aca="false">(AD26-AD29)*Hypothèses!$D$28+AD18*Hypothèses!$D$29</f>
        <v>1683.84768525032</v>
      </c>
      <c r="AE30" s="15" t="n">
        <f aca="false">(AE26-AE29)*Hypothèses!$D$28+AE18*Hypothèses!$D$29</f>
        <v>1855.19587506448</v>
      </c>
      <c r="AF30" s="15" t="n">
        <f aca="false">(AF26-AF29)*Hypothèses!$D$28+AF18*Hypothèses!$D$29</f>
        <v>2024.8305829805</v>
      </c>
      <c r="AG30" s="15" t="n">
        <f aca="false">(AG26-AG29)*Hypothèses!$D$28+AG18*Hypothèses!$D$29</f>
        <v>2192.76894381736</v>
      </c>
      <c r="AH30" s="15" t="n">
        <f aca="false">(AH26-AH29)*Hypothèses!$D$28+AH18*Hypothèses!$D$29</f>
        <v>2359.02792104586</v>
      </c>
      <c r="AI30" s="15" t="n">
        <f aca="false">(AI26-AI29)*Hypothèses!$D$28+AI18*Hypothèses!$D$29</f>
        <v>2523.62430850207</v>
      </c>
      <c r="AJ30" s="15" t="n">
        <f aca="false">(AJ26-AJ29)*Hypothèses!$D$28+AJ18*Hypothèses!$D$29</f>
        <v>2686.57473208371</v>
      </c>
      <c r="AK30" s="15" t="n">
        <f aca="false">(AK26-AK29)*Hypothèses!$D$28+AK18*Hypothèses!$D$29</f>
        <v>2847.89565142954</v>
      </c>
      <c r="AL30" s="15" t="n">
        <f aca="false">(AL26-AL29)*Hypothèses!$D$28+AL18*Hypothèses!$D$29</f>
        <v>3007.60336158191</v>
      </c>
      <c r="AN30" s="15" t="n">
        <f aca="false">SUM(C30:N30)</f>
        <v>569.28051664465</v>
      </c>
      <c r="AO30" s="15" t="n">
        <f aca="false">SUM(O30:Z30)</f>
        <v>7256.98408814454</v>
      </c>
      <c r="AP30" s="15" t="n">
        <f aca="false">SUM(AA30:AL30)</f>
        <v>25187.4274904415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574.7888</v>
      </c>
      <c r="F31" s="40" t="n">
        <f aca="false">F26-F29-F30</f>
        <v>557.545136</v>
      </c>
      <c r="G31" s="40" t="n">
        <f aca="false">G26-G29-G30</f>
        <v>540.81878192</v>
      </c>
      <c r="H31" s="40" t="n">
        <f aca="false">H26-H29-H30</f>
        <v>524.5942184624</v>
      </c>
      <c r="I31" s="40" t="n">
        <f aca="false">I26-I29-I30</f>
        <v>1668.92587627778</v>
      </c>
      <c r="J31" s="40" t="n">
        <f aca="false">J26-J29-J30</f>
        <v>2801.814217515</v>
      </c>
      <c r="K31" s="40" t="n">
        <f aca="false">K26-K29-K30</f>
        <v>3923.37367533985</v>
      </c>
      <c r="L31" s="40" t="n">
        <f aca="false">L26-L29-L30</f>
        <v>5033.71753858645</v>
      </c>
      <c r="M31" s="40" t="n">
        <f aca="false">M26-M29-M30</f>
        <v>6132.95796320058</v>
      </c>
      <c r="N31" s="40" t="n">
        <f aca="false">N26-N29-N30</f>
        <v>7221.20598356858</v>
      </c>
      <c r="O31" s="40" t="n">
        <f aca="false">O26-O29-O30</f>
        <v>10980.9192570662</v>
      </c>
      <c r="P31" s="40" t="n">
        <f aca="false">P26-P29-P30</f>
        <v>14703.0353978289</v>
      </c>
      <c r="Q31" s="40" t="n">
        <f aca="false">Q26-Q29-Q30</f>
        <v>18387.9303771839</v>
      </c>
      <c r="R31" s="40" t="n">
        <f aca="false">R26-R29-R30</f>
        <v>22035.9764067454</v>
      </c>
      <c r="S31" s="40" t="n">
        <f aca="false">S26-S29-S30</f>
        <v>25647.5419760113</v>
      </c>
      <c r="T31" s="40" t="n">
        <f aca="false">T26-T29-T30</f>
        <v>29222.9918895845</v>
      </c>
      <c r="U31" s="40" t="n">
        <f aca="false">U26-U29-U30</f>
        <v>32762.687304022</v>
      </c>
      <c r="V31" s="40" t="n">
        <f aca="false">V26-V29-V30</f>
        <v>36266.9857643151</v>
      </c>
      <c r="W31" s="40" t="n">
        <f aca="false">W26-W29-W30</f>
        <v>39736.2412400053</v>
      </c>
      <c r="X31" s="40" t="n">
        <f aca="false">X26-X29-X30</f>
        <v>43170.8041609386</v>
      </c>
      <c r="Y31" s="40" t="n">
        <f aca="false">Y26-Y29-Y30</f>
        <v>46571.0214526625</v>
      </c>
      <c r="Z31" s="40" t="n">
        <f aca="false">Z26-Z29-Z30</f>
        <v>49937.2365714692</v>
      </c>
      <c r="AA31" s="40" t="n">
        <f aca="false">AA26-AA29-AA30</f>
        <v>59017.6775390879</v>
      </c>
      <c r="AB31" s="40" t="n">
        <f aca="false">AB26-AB29-AB30</f>
        <v>68007.3140970304</v>
      </c>
      <c r="AC31" s="40" t="n">
        <f aca="false">AC26-AC29-AC30</f>
        <v>76907.0542893934</v>
      </c>
      <c r="AD31" s="40" t="n">
        <f aca="false">AD26-AD29-AD30</f>
        <v>85717.7970798328</v>
      </c>
      <c r="AE31" s="40" t="n">
        <f aca="false">AE26-AE29-AE30</f>
        <v>94440.4324423678</v>
      </c>
      <c r="AF31" s="40" t="n">
        <f aca="false">AF26-AF29-AF30</f>
        <v>103075.841451277</v>
      </c>
      <c r="AG31" s="40" t="n">
        <f aca="false">AG26-AG29-AG30</f>
        <v>111624.896370098</v>
      </c>
      <c r="AH31" s="40" t="n">
        <f aca="false">AH26-AH29-AH30</f>
        <v>120088.46073973</v>
      </c>
      <c r="AI31" s="40" t="n">
        <f aca="false">AI26-AI29-AI30</f>
        <v>128467.389465666</v>
      </c>
      <c r="AJ31" s="40" t="n">
        <f aca="false">AJ26-AJ29-AJ30</f>
        <v>136762.528904343</v>
      </c>
      <c r="AK31" s="40" t="n">
        <f aca="false">AK26-AK29-AK30</f>
        <v>144974.716948633</v>
      </c>
      <c r="AL31" s="40" t="n">
        <f aca="false">AL26-AL29-AL30</f>
        <v>153104.78311248</v>
      </c>
      <c r="AN31" s="40" t="n">
        <f aca="false">SUM(C31:N31)</f>
        <v>28979.7421908706</v>
      </c>
      <c r="AO31" s="40" t="n">
        <f aca="false">SUM(O31:Z31)</f>
        <v>369423.371797833</v>
      </c>
      <c r="AP31" s="40" t="n">
        <f aca="false">SUM(AA31:AL31)</f>
        <v>1282188.89243994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95.157</v>
      </c>
      <c r="G33" s="15" t="n">
        <f aca="false">(G19*Hypothèses!$D$31+G20*Hypothèses!$D$32+G21*Hypothèses!$D$33)*Hypothèses!$D$34*$F$4</f>
        <v>92.30229</v>
      </c>
      <c r="H33" s="15" t="n">
        <f aca="false">(H19*Hypothèses!$D$31+H20*Hypothèses!$D$32+H21*Hypothèses!$D$33)*Hypothèses!$D$34*$F$4</f>
        <v>89.5332213</v>
      </c>
      <c r="I33" s="15" t="n">
        <f aca="false">(I19*Hypothèses!$D$31+I20*Hypothèses!$D$32+I21*Hypothèses!$D$33)*Hypothèses!$D$34*$F$4</f>
        <v>284.837889087</v>
      </c>
      <c r="J33" s="15" t="n">
        <f aca="false">(J19*Hypothèses!$D$31+J20*Hypothèses!$D$32+J21*Hypothèses!$D$33)*Hypothèses!$D$34*$F$4</f>
        <v>478.18951019613</v>
      </c>
      <c r="K33" s="15" t="n">
        <f aca="false">(K19*Hypothèses!$D$31+K20*Hypothèses!$D$32+K21*Hypothèses!$D$33)*Hypothèses!$D$34*$F$4</f>
        <v>669.607615094169</v>
      </c>
      <c r="L33" s="15" t="n">
        <f aca="false">(L19*Hypothèses!$D$31+L20*Hypothèses!$D$32+L21*Hypothèses!$D$33)*Hypothèses!$D$34*$F$4</f>
        <v>859.111538943227</v>
      </c>
      <c r="M33" s="15" t="n">
        <f aca="false">(M19*Hypothèses!$D$31+M20*Hypothèses!$D$32+M21*Hypothèses!$D$33)*Hypothèses!$D$34*$F$4</f>
        <v>1046.72042355379</v>
      </c>
      <c r="N33" s="15" t="n">
        <f aca="false">(N19*Hypothèses!$D$31+N20*Hypothèses!$D$32+N21*Hypothèses!$D$33)*Hypothèses!$D$34*$F$4</f>
        <v>1232.45321931826</v>
      </c>
      <c r="O33" s="15" t="n">
        <f aca="false">(O19*Hypothèses!$D$31+O20*Hypothèses!$D$32+O21*Hypothèses!$D$33)*Hypothèses!$D$34*$F$4</f>
        <v>1874.12868712507</v>
      </c>
      <c r="P33" s="15" t="n">
        <f aca="false">(P19*Hypothèses!$D$31+P20*Hypothèses!$D$32+P21*Hypothèses!$D$33)*Hypothèses!$D$34*$F$4</f>
        <v>2509.38740025382</v>
      </c>
      <c r="Q33" s="15" t="n">
        <f aca="false">(Q19*Hypothèses!$D$31+Q20*Hypothèses!$D$32+Q21*Hypothèses!$D$33)*Hypothèses!$D$34*$F$4</f>
        <v>3138.29352625128</v>
      </c>
      <c r="R33" s="15" t="n">
        <f aca="false">(R19*Hypothèses!$D$31+R20*Hypothèses!$D$32+R21*Hypothèses!$D$33)*Hypothèses!$D$34*$F$4</f>
        <v>3760.91059098877</v>
      </c>
      <c r="S33" s="15" t="n">
        <f aca="false">(S19*Hypothèses!$D$31+S20*Hypothèses!$D$32+S21*Hypothèses!$D$33)*Hypothèses!$D$34*$F$4</f>
        <v>4377.30148507889</v>
      </c>
      <c r="T33" s="15" t="n">
        <f aca="false">(T19*Hypothèses!$D$31+T20*Hypothèses!$D$32+T21*Hypothèses!$D$33)*Hypothèses!$D$34*$F$4</f>
        <v>4987.52847022809</v>
      </c>
      <c r="U33" s="15" t="n">
        <f aca="false">(U19*Hypothèses!$D$31+U20*Hypothèses!$D$32+U21*Hypothèses!$D$33)*Hypothèses!$D$34*$F$4</f>
        <v>5591.65318552581</v>
      </c>
      <c r="V33" s="15" t="n">
        <f aca="false">(V19*Hypothèses!$D$31+V20*Hypothèses!$D$32+V21*Hypothèses!$D$33)*Hypothèses!$D$34*$F$4</f>
        <v>6189.73665367056</v>
      </c>
      <c r="W33" s="15" t="n">
        <f aca="false">(W19*Hypothèses!$D$31+W20*Hypothèses!$D$32+W21*Hypothèses!$D$33)*Hypothèses!$D$34*$F$4</f>
        <v>6781.83928713385</v>
      </c>
      <c r="X33" s="15" t="n">
        <f aca="false">(X19*Hypothèses!$D$31+X20*Hypothèses!$D$32+X21*Hypothèses!$D$33)*Hypothèses!$D$34*$F$4</f>
        <v>7368.02089426251</v>
      </c>
      <c r="Y33" s="15" t="n">
        <f aca="false">(Y19*Hypothèses!$D$31+Y20*Hypothèses!$D$32+Y21*Hypothèses!$D$33)*Hypothèses!$D$34*$F$4</f>
        <v>7948.34068531989</v>
      </c>
      <c r="Z33" s="15" t="n">
        <f aca="false">(Z19*Hypothèses!$D$31+Z20*Hypothèses!$D$32+Z21*Hypothèses!$D$33)*Hypothèses!$D$34*$F$4</f>
        <v>8522.85727846668</v>
      </c>
      <c r="AA33" s="15" t="n">
        <f aca="false">(AA19*Hypothèses!$D$31+AA20*Hypothèses!$D$32+AA21*Hypothèses!$D$33)*Hypothèses!$D$34*$F$4</f>
        <v>10072.628705682</v>
      </c>
      <c r="AB33" s="15" t="n">
        <f aca="false">(AB19*Hypothèses!$D$31+AB20*Hypothèses!$D$32+AB21*Hypothèses!$D$33)*Hypothèses!$D$34*$F$4</f>
        <v>11606.9024186252</v>
      </c>
      <c r="AC33" s="15" t="n">
        <f aca="false">(AC19*Hypothèses!$D$31+AC20*Hypothèses!$D$32+AC21*Hypothèses!$D$33)*Hypothèses!$D$34*$F$4</f>
        <v>13125.8333944389</v>
      </c>
      <c r="AD33" s="15" t="n">
        <f aca="false">(AD19*Hypothèses!$D$31+AD20*Hypothèses!$D$32+AD21*Hypothèses!$D$33)*Hypothèses!$D$34*$F$4</f>
        <v>14629.5750604946</v>
      </c>
      <c r="AE33" s="15" t="n">
        <f aca="false">(AE19*Hypothèses!$D$31+AE20*Hypothèses!$D$32+AE21*Hypothèses!$D$33)*Hypothèses!$D$34*$F$4</f>
        <v>16118.2793098896</v>
      </c>
      <c r="AF33" s="15" t="n">
        <f aca="false">(AF19*Hypothèses!$D$31+AF20*Hypothèses!$D$32+AF21*Hypothèses!$D$33)*Hypothèses!$D$34*$F$4</f>
        <v>17592.0965167907</v>
      </c>
      <c r="AG33" s="15" t="n">
        <f aca="false">(AG19*Hypothèses!$D$31+AG20*Hypothèses!$D$32+AG21*Hypothèses!$D$33)*Hypothèses!$D$34*$F$4</f>
        <v>19051.1755516228</v>
      </c>
      <c r="AH33" s="15" t="n">
        <f aca="false">(AH19*Hypothèses!$D$31+AH20*Hypothèses!$D$32+AH21*Hypothèses!$D$33)*Hypothèses!$D$34*$F$4</f>
        <v>20495.6637961066</v>
      </c>
      <c r="AI33" s="15" t="n">
        <f aca="false">(AI19*Hypothèses!$D$31+AI20*Hypothèses!$D$32+AI21*Hypothèses!$D$33)*Hypothèses!$D$34*$F$4</f>
        <v>21925.7071581455</v>
      </c>
      <c r="AJ33" s="15" t="n">
        <f aca="false">(AJ19*Hypothèses!$D$31+AJ20*Hypothèses!$D$32+AJ21*Hypothèses!$D$33)*Hypothèses!$D$34*$F$4</f>
        <v>23341.4500865641</v>
      </c>
      <c r="AK33" s="15" t="n">
        <f aca="false">(AK19*Hypothèses!$D$31+AK20*Hypothèses!$D$32+AK21*Hypothèses!$D$33)*Hypothèses!$D$34*$F$4</f>
        <v>24743.0355856984</v>
      </c>
      <c r="AL33" s="15" t="n">
        <f aca="false">(AL19*Hypothèses!$D$31+AL20*Hypothèses!$D$32+AL21*Hypothèses!$D$33)*Hypothèses!$D$34*$F$4</f>
        <v>26130.6052298414</v>
      </c>
      <c r="AN33" s="15" t="n">
        <f aca="false">SUM(C33:N33)</f>
        <v>4946.01270749258</v>
      </c>
      <c r="AO33" s="15" t="n">
        <f aca="false">SUM(O33:Z33)</f>
        <v>63049.9981443052</v>
      </c>
      <c r="AP33" s="15" t="n">
        <f aca="false">SUM(AA33:AL33)</f>
        <v>218832.9528139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43.55319405</v>
      </c>
      <c r="J34" s="15" t="n">
        <f aca="false">J18*Hypothèses!$D$35</f>
        <v>73.1176621095</v>
      </c>
      <c r="K34" s="15" t="n">
        <f aca="false">K18*Hypothèses!$D$35</f>
        <v>102.386485488405</v>
      </c>
      <c r="L34" s="15" t="n">
        <f aca="false">L18*Hypothèses!$D$35</f>
        <v>131.362620633521</v>
      </c>
      <c r="M34" s="15" t="n">
        <f aca="false">M18*Hypothèses!$D$35</f>
        <v>160.048994427186</v>
      </c>
      <c r="N34" s="15" t="n">
        <f aca="false">N18*Hypothèses!$D$35</f>
        <v>188.448504482914</v>
      </c>
      <c r="O34" s="15" t="n">
        <f aca="false">O18*Hypothèses!$D$35</f>
        <v>286.564019438085</v>
      </c>
      <c r="P34" s="15" t="n">
        <f aca="false">P18*Hypothèses!$D$35</f>
        <v>383.698379243704</v>
      </c>
      <c r="Q34" s="15" t="n">
        <f aca="false">Q18*Hypothèses!$D$35</f>
        <v>479.861395451267</v>
      </c>
      <c r="R34" s="15" t="n">
        <f aca="false">R18*Hypothèses!$D$35</f>
        <v>575.062781496754</v>
      </c>
      <c r="S34" s="15" t="n">
        <f aca="false">S18*Hypothèses!$D$35</f>
        <v>669.312153681787</v>
      </c>
      <c r="T34" s="15" t="n">
        <f aca="false">T18*Hypothèses!$D$35</f>
        <v>762.619032144969</v>
      </c>
      <c r="U34" s="15" t="n">
        <f aca="false">U18*Hypothèses!$D$35</f>
        <v>854.992841823519</v>
      </c>
      <c r="V34" s="15" t="n">
        <f aca="false">V18*Hypothèses!$D$35</f>
        <v>946.442913405284</v>
      </c>
      <c r="W34" s="15" t="n">
        <f aca="false">W18*Hypothèses!$D$35</f>
        <v>1036.97848427123</v>
      </c>
      <c r="X34" s="15" t="n">
        <f aca="false">X18*Hypothèses!$D$35</f>
        <v>1126.60869942852</v>
      </c>
      <c r="Y34" s="15" t="n">
        <f aca="false">Y18*Hypothèses!$D$35</f>
        <v>1215.34261243423</v>
      </c>
      <c r="Z34" s="15" t="n">
        <f aca="false">Z18*Hypothèses!$D$35</f>
        <v>1303.18918630989</v>
      </c>
      <c r="AA34" s="15" t="n">
        <f aca="false">AA18*Hypothèses!$D$35</f>
        <v>1540.15729444679</v>
      </c>
      <c r="AB34" s="15" t="n">
        <f aca="false">AB18*Hypothèses!$D$35</f>
        <v>1774.75572150232</v>
      </c>
      <c r="AC34" s="15" t="n">
        <f aca="false">AC18*Hypothèses!$D$35</f>
        <v>2007.0081642873</v>
      </c>
      <c r="AD34" s="15" t="n">
        <f aca="false">AD18*Hypothèses!$D$35</f>
        <v>2236.93808264443</v>
      </c>
      <c r="AE34" s="15" t="n">
        <f aca="false">AE18*Hypothèses!$D$35</f>
        <v>2464.56870181798</v>
      </c>
      <c r="AF34" s="15" t="n">
        <f aca="false">AF18*Hypothèses!$D$35</f>
        <v>2689.9230147998</v>
      </c>
      <c r="AG34" s="15" t="n">
        <f aca="false">AG18*Hypothèses!$D$35</f>
        <v>2913.02378465181</v>
      </c>
      <c r="AH34" s="15" t="n">
        <f aca="false">AH18*Hypothèses!$D$35</f>
        <v>3133.89354680529</v>
      </c>
      <c r="AI34" s="15" t="n">
        <f aca="false">AI18*Hypothèses!$D$35</f>
        <v>3352.55461133724</v>
      </c>
      <c r="AJ34" s="15" t="n">
        <f aca="false">AJ18*Hypothèses!$D$35</f>
        <v>3569.02906522386</v>
      </c>
      <c r="AK34" s="15" t="n">
        <f aca="false">AK18*Hypothèses!$D$35</f>
        <v>3783.33877457162</v>
      </c>
      <c r="AL34" s="15" t="n">
        <f aca="false">AL18*Hypothèses!$D$35</f>
        <v>3995.50538682591</v>
      </c>
      <c r="AN34" s="15" t="n">
        <f aca="false">SUM(C34:N34)</f>
        <v>756.271056191526</v>
      </c>
      <c r="AO34" s="15" t="n">
        <f aca="false">SUM(O34:Z34)</f>
        <v>9640.67249912924</v>
      </c>
      <c r="AP34" s="15" t="n">
        <f aca="false">SUM(AA34:AL34)</f>
        <v>33460.6961489144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87.1063881</v>
      </c>
      <c r="J35" s="15" t="n">
        <f aca="false">J18*Hypothèses!$D$36</f>
        <v>146.235324219</v>
      </c>
      <c r="K35" s="15" t="n">
        <f aca="false">K18*Hypothèses!$D$36</f>
        <v>204.77297097681</v>
      </c>
      <c r="L35" s="15" t="n">
        <f aca="false">L18*Hypothèses!$D$36</f>
        <v>262.725241267042</v>
      </c>
      <c r="M35" s="15" t="n">
        <f aca="false">M18*Hypothèses!$D$36</f>
        <v>320.097988854371</v>
      </c>
      <c r="N35" s="15" t="n">
        <f aca="false">N18*Hypothèses!$D$36</f>
        <v>376.897008965828</v>
      </c>
      <c r="O35" s="15" t="n">
        <f aca="false">O18*Hypothèses!$D$36</f>
        <v>573.128038876169</v>
      </c>
      <c r="P35" s="15" t="n">
        <f aca="false">P18*Hypothèses!$D$36</f>
        <v>767.396758487408</v>
      </c>
      <c r="Q35" s="15" t="n">
        <f aca="false">Q18*Hypothèses!$D$36</f>
        <v>959.722790902534</v>
      </c>
      <c r="R35" s="15" t="n">
        <f aca="false">R18*Hypothèses!$D$36</f>
        <v>1150.12556299351</v>
      </c>
      <c r="S35" s="15" t="n">
        <f aca="false">S18*Hypothèses!$D$36</f>
        <v>1338.62430736357</v>
      </c>
      <c r="T35" s="15" t="n">
        <f aca="false">T18*Hypothèses!$D$36</f>
        <v>1525.23806428994</v>
      </c>
      <c r="U35" s="15" t="n">
        <f aca="false">U18*Hypothèses!$D$36</f>
        <v>1709.98568364704</v>
      </c>
      <c r="V35" s="15" t="n">
        <f aca="false">V18*Hypothèses!$D$36</f>
        <v>1892.88582681057</v>
      </c>
      <c r="W35" s="15" t="n">
        <f aca="false">W18*Hypothèses!$D$36</f>
        <v>2073.95696854246</v>
      </c>
      <c r="X35" s="15" t="n">
        <f aca="false">X18*Hypothèses!$D$36</f>
        <v>2253.21739885704</v>
      </c>
      <c r="Y35" s="15" t="n">
        <f aca="false">Y18*Hypothèses!$D$36</f>
        <v>2430.68522486847</v>
      </c>
      <c r="Z35" s="15" t="n">
        <f aca="false">Z18*Hypothèses!$D$36</f>
        <v>2606.37837261978</v>
      </c>
      <c r="AA35" s="15" t="n">
        <f aca="false">AA18*Hypothèses!$D$36</f>
        <v>3080.31458889358</v>
      </c>
      <c r="AB35" s="15" t="n">
        <f aca="false">AB18*Hypothèses!$D$36</f>
        <v>3549.51144300465</v>
      </c>
      <c r="AC35" s="15" t="n">
        <f aca="false">AC18*Hypothèses!$D$36</f>
        <v>4014.0163285746</v>
      </c>
      <c r="AD35" s="15" t="n">
        <f aca="false">AD18*Hypothèses!$D$36</f>
        <v>4473.87616528886</v>
      </c>
      <c r="AE35" s="15" t="n">
        <f aca="false">AE18*Hypothèses!$D$36</f>
        <v>4929.13740363597</v>
      </c>
      <c r="AF35" s="15" t="n">
        <f aca="false">AF18*Hypothèses!$D$36</f>
        <v>5379.84602959961</v>
      </c>
      <c r="AG35" s="15" t="n">
        <f aca="false">AG18*Hypothèses!$D$36</f>
        <v>5826.04756930361</v>
      </c>
      <c r="AH35" s="15" t="n">
        <f aca="false">AH18*Hypothèses!$D$36</f>
        <v>6267.78709361058</v>
      </c>
      <c r="AI35" s="15" t="n">
        <f aca="false">AI18*Hypothèses!$D$36</f>
        <v>6705.10922267447</v>
      </c>
      <c r="AJ35" s="15" t="n">
        <f aca="false">AJ18*Hypothèses!$D$36</f>
        <v>7138.05813044773</v>
      </c>
      <c r="AK35" s="15" t="n">
        <f aca="false">AK18*Hypothèses!$D$36</f>
        <v>7566.67754914325</v>
      </c>
      <c r="AL35" s="15" t="n">
        <f aca="false">AL18*Hypothèses!$D$36</f>
        <v>7991.01077365182</v>
      </c>
      <c r="AN35" s="15" t="n">
        <f aca="false">SUM(C35:N35)</f>
        <v>1512.54211238305</v>
      </c>
      <c r="AO35" s="15" t="n">
        <f aca="false">SUM(O35:Z35)</f>
        <v>19281.3449982585</v>
      </c>
      <c r="AP35" s="15" t="n">
        <f aca="false">SUM(AA35:AL35)</f>
        <v>66921.3922978287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138.807</v>
      </c>
      <c r="G36" s="40" t="n">
        <f aca="false">G33+G34+G35</f>
        <v>134.64279</v>
      </c>
      <c r="H36" s="40" t="n">
        <f aca="false">H33+H34+H35</f>
        <v>130.6035063</v>
      </c>
      <c r="I36" s="40" t="n">
        <f aca="false">I33+I34+I35</f>
        <v>415.497471237</v>
      </c>
      <c r="J36" s="40" t="n">
        <f aca="false">J33+J34+J35</f>
        <v>697.54249652463</v>
      </c>
      <c r="K36" s="40" t="n">
        <f aca="false">K33+K34+K35</f>
        <v>976.767071559384</v>
      </c>
      <c r="L36" s="40" t="n">
        <f aca="false">L33+L34+L35</f>
        <v>1253.19940084379</v>
      </c>
      <c r="M36" s="40" t="n">
        <f aca="false">M33+M34+M35</f>
        <v>1526.86740683535</v>
      </c>
      <c r="N36" s="40" t="n">
        <f aca="false">N33+N34+N35</f>
        <v>1797.798732767</v>
      </c>
      <c r="O36" s="40" t="n">
        <f aca="false">O33+O34+O35</f>
        <v>2733.82074543933</v>
      </c>
      <c r="P36" s="40" t="n">
        <f aca="false">P33+P34+P35</f>
        <v>3660.48253798494</v>
      </c>
      <c r="Q36" s="40" t="n">
        <f aca="false">Q33+Q34+Q35</f>
        <v>4577.87771260508</v>
      </c>
      <c r="R36" s="40" t="n">
        <f aca="false">R33+R34+R35</f>
        <v>5486.09893547903</v>
      </c>
      <c r="S36" s="40" t="n">
        <f aca="false">S33+S34+S35</f>
        <v>6385.23794612425</v>
      </c>
      <c r="T36" s="40" t="n">
        <f aca="false">T33+T34+T35</f>
        <v>7275.385566663</v>
      </c>
      <c r="U36" s="40" t="n">
        <f aca="false">U33+U34+U35</f>
        <v>8156.63171099637</v>
      </c>
      <c r="V36" s="40" t="n">
        <f aca="false">V33+V34+V35</f>
        <v>9029.06539388641</v>
      </c>
      <c r="W36" s="40" t="n">
        <f aca="false">W33+W34+W35</f>
        <v>9892.77473994754</v>
      </c>
      <c r="X36" s="40" t="n">
        <f aca="false">X33+X34+X35</f>
        <v>10747.8469925481</v>
      </c>
      <c r="Y36" s="40" t="n">
        <f aca="false">Y33+Y34+Y35</f>
        <v>11594.3685226226</v>
      </c>
      <c r="Z36" s="40" t="n">
        <f aca="false">Z33+Z34+Z35</f>
        <v>12432.4248373964</v>
      </c>
      <c r="AA36" s="40" t="n">
        <f aca="false">AA33+AA34+AA35</f>
        <v>14693.1005890224</v>
      </c>
      <c r="AB36" s="40" t="n">
        <f aca="false">AB33+AB34+AB35</f>
        <v>16931.1695831322</v>
      </c>
      <c r="AC36" s="40" t="n">
        <f aca="false">AC33+AC34+AC35</f>
        <v>19146.8578873009</v>
      </c>
      <c r="AD36" s="40" t="n">
        <f aca="false">AD33+AD34+AD35</f>
        <v>21340.3893084278</v>
      </c>
      <c r="AE36" s="40" t="n">
        <f aca="false">AE33+AE34+AE35</f>
        <v>23511.9854153436</v>
      </c>
      <c r="AF36" s="40" t="n">
        <f aca="false">AF33+AF34+AF35</f>
        <v>25661.8655611901</v>
      </c>
      <c r="AG36" s="40" t="n">
        <f aca="false">AG33+AG34+AG35</f>
        <v>27790.2469055782</v>
      </c>
      <c r="AH36" s="40" t="n">
        <f aca="false">AH33+AH34+AH35</f>
        <v>29897.3444365225</v>
      </c>
      <c r="AI36" s="40" t="n">
        <f aca="false">AI33+AI34+AI35</f>
        <v>31983.3709921572</v>
      </c>
      <c r="AJ36" s="40" t="n">
        <f aca="false">AJ33+AJ34+AJ35</f>
        <v>34048.5372822357</v>
      </c>
      <c r="AK36" s="40" t="n">
        <f aca="false">AK33+AK34+AK35</f>
        <v>36093.0519094133</v>
      </c>
      <c r="AL36" s="40" t="n">
        <f aca="false">AL33+AL34+AL35</f>
        <v>38117.1213903192</v>
      </c>
      <c r="AN36" s="40" t="n">
        <f aca="false">SUM(C36:N36)</f>
        <v>7214.82587606715</v>
      </c>
      <c r="AO36" s="40" t="n">
        <f aca="false">SUM(O36:Z36)</f>
        <v>91972.0156416929</v>
      </c>
      <c r="AP36" s="40" t="n">
        <f aca="false">SUM(AA36:AL36)</f>
        <v>319215.041260643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334.0088</v>
      </c>
      <c r="F37" s="40" t="n">
        <f aca="false">F28-F36-F30-F29/(1+Hypothèses!$D$15)</f>
        <v>323.988536</v>
      </c>
      <c r="G37" s="40" t="n">
        <f aca="false">G28-G36-G30-G29/(1+Hypothèses!$D$15)</f>
        <v>314.26887992</v>
      </c>
      <c r="H37" s="40" t="n">
        <f aca="false">H28-H36-H30-H29/(1+Hypothèses!$D$15)</f>
        <v>304.8408135224</v>
      </c>
      <c r="I37" s="40" t="n">
        <f aca="false">I28-I36-I30-I29/(1+Hypothèses!$D$15)</f>
        <v>969.810005387176</v>
      </c>
      <c r="J37" s="40" t="n">
        <f aca="false">J28-J36-J30-J29/(1+Hypothèses!$D$15)</f>
        <v>1628.1295053333</v>
      </c>
      <c r="K37" s="40" t="n">
        <f aca="false">K28-K36-K30-K29/(1+Hypothèses!$D$15)</f>
        <v>2279.86581027997</v>
      </c>
      <c r="L37" s="40" t="n">
        <f aca="false">L28-L36-L30-L29/(1+Hypothèses!$D$15)</f>
        <v>2925.08475217717</v>
      </c>
      <c r="M37" s="40" t="n">
        <f aca="false">M28-M36-M30-M29/(1+Hypothèses!$D$15)</f>
        <v>3563.8515046554</v>
      </c>
      <c r="N37" s="40" t="n">
        <f aca="false">N28-N36-N30-N29/(1+Hypothèses!$D$15)</f>
        <v>4196.23058960885</v>
      </c>
      <c r="O37" s="40" t="n">
        <f aca="false">O28-O36-O30-O29/(1+Hypothèses!$D$15)</f>
        <v>6380.99361704609</v>
      </c>
      <c r="P37" s="40" t="n">
        <f aca="false">P28-P36-P30-P29/(1+Hypothèses!$D$15)</f>
        <v>8543.90901420896</v>
      </c>
      <c r="Q37" s="40" t="n">
        <f aca="false">Q28-Q36-Q30-Q29/(1+Hypothèses!$D$15)</f>
        <v>10685.1952574002</v>
      </c>
      <c r="R37" s="40" t="n">
        <f aca="false">R28-R36-R30-R29/(1+Hypothèses!$D$15)</f>
        <v>12805.0686381595</v>
      </c>
      <c r="S37" s="40" t="n">
        <f aca="false">S28-S36-S30-S29/(1+Hypothèses!$D$15)</f>
        <v>14903.7432851113</v>
      </c>
      <c r="T37" s="40" t="n">
        <f aca="false">T28-T36-T30-T29/(1+Hypothèses!$D$15)</f>
        <v>16981.4311855935</v>
      </c>
      <c r="U37" s="40" t="n">
        <f aca="false">U28-U36-U30-U29/(1+Hypothèses!$D$15)</f>
        <v>19038.3422070709</v>
      </c>
      <c r="V37" s="40" t="n">
        <f aca="false">V28-V36-V30-V29/(1+Hypothèses!$D$15)</f>
        <v>21074.6841183335</v>
      </c>
      <c r="W37" s="40" t="n">
        <f aca="false">W28-W36-W30-W29/(1+Hypothèses!$D$15)</f>
        <v>23090.6626104835</v>
      </c>
      <c r="X37" s="40" t="n">
        <f aca="false">X28-X36-X30-X29/(1+Hypothèses!$D$15)</f>
        <v>25086.481317712</v>
      </c>
      <c r="Y37" s="40" t="n">
        <f aca="false">Y28-Y36-Y30-Y29/(1+Hypothèses!$D$15)</f>
        <v>27062.3418378682</v>
      </c>
      <c r="Z37" s="40" t="n">
        <f aca="false">Z28-Z36-Z30-Z29/(1+Hypothèses!$D$15)</f>
        <v>29018.4437528229</v>
      </c>
      <c r="AA37" s="40" t="n">
        <f aca="false">AA28-AA36-AA30-AA29/(1+Hypothèses!$D$15)</f>
        <v>34295.072648628</v>
      </c>
      <c r="AB37" s="40" t="n">
        <f aca="false">AB28-AB36-AB30-AB29/(1+Hypothèses!$D$15)</f>
        <v>39518.935255475</v>
      </c>
      <c r="AC37" s="40" t="n">
        <f aca="false">AC28-AC36-AC30-AC29/(1+Hypothèses!$D$15)</f>
        <v>44690.5592362536</v>
      </c>
      <c r="AD37" s="40" t="n">
        <f aca="false">AD28-AD36-AD30-AD29/(1+Hypothèses!$D$15)</f>
        <v>49810.4669772244</v>
      </c>
      <c r="AE37" s="40" t="n">
        <f aca="false">AE28-AE36-AE30-AE29/(1+Hypothèses!$D$15)</f>
        <v>54879.1756407855</v>
      </c>
      <c r="AF37" s="40" t="n">
        <f aca="false">AF28-AF36-AF30-AF29/(1+Hypothèses!$D$15)</f>
        <v>59897.197217711</v>
      </c>
      <c r="AG37" s="40" t="n">
        <f aca="false">AG28-AG36-AG30-AG29/(1+Hypothèses!$D$15)</f>
        <v>64865.0385788672</v>
      </c>
      <c r="AH37" s="40" t="n">
        <f aca="false">AH28-AH36-AH30-AH29/(1+Hypothèses!$D$15)</f>
        <v>69783.2015264119</v>
      </c>
      <c r="AI37" s="40" t="n">
        <f aca="false">AI28-AI36-AI30-AI29/(1+Hypothèses!$D$15)</f>
        <v>74652.1828444811</v>
      </c>
      <c r="AJ37" s="40" t="n">
        <f aca="false">AJ28-AJ36-AJ30-AJ29/(1+Hypothèses!$D$15)</f>
        <v>79472.4743493696</v>
      </c>
      <c r="AK37" s="40" t="n">
        <f aca="false">AK28-AK36-AK30-AK29/(1+Hypothèses!$D$15)</f>
        <v>84244.5629392092</v>
      </c>
      <c r="AL37" s="40" t="n">
        <f aca="false">AL28-AL36-AL30-AL29/(1+Hypothèses!$D$15)</f>
        <v>88968.9306431505</v>
      </c>
      <c r="AN37" s="40" t="n">
        <f aca="false">SUM(C37:N37)</f>
        <v>16840.0791968843</v>
      </c>
      <c r="AO37" s="40" t="n">
        <f aca="false">SUM(O37:Z37)</f>
        <v>214671.296841811</v>
      </c>
      <c r="AP37" s="40" t="n">
        <f aca="false">SUM(AA37:AL37)</f>
        <v>745077.797857567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-14007.6578666667</v>
      </c>
      <c r="F52" s="40" t="n">
        <f aca="false">F37-F39-F51</f>
        <v>-14017.6781306667</v>
      </c>
      <c r="G52" s="40" t="n">
        <f aca="false">G37-G39-G51</f>
        <v>-14027.3977867467</v>
      </c>
      <c r="H52" s="40" t="n">
        <f aca="false">H37-H39-H51</f>
        <v>-14036.8258531443</v>
      </c>
      <c r="I52" s="40" t="n">
        <f aca="false">I37-I39-I51</f>
        <v>-9680.18999461283</v>
      </c>
      <c r="J52" s="40" t="n">
        <f aca="false">J37-J39-J51</f>
        <v>-4021.8704946667</v>
      </c>
      <c r="K52" s="40" t="n">
        <f aca="false">K37-K39-K51</f>
        <v>-3370.13418972003</v>
      </c>
      <c r="L52" s="40" t="n">
        <f aca="false">L37-L39-L51</f>
        <v>-2724.91524782283</v>
      </c>
      <c r="M52" s="40" t="n">
        <f aca="false">M37-M39-M51</f>
        <v>-2086.1484953446</v>
      </c>
      <c r="N52" s="40" t="n">
        <f aca="false">N37-N39-N51</f>
        <v>-1453.76941039116</v>
      </c>
      <c r="O52" s="40" t="n">
        <f aca="false">O37-O39-O51</f>
        <v>-20769.0063829539</v>
      </c>
      <c r="P52" s="40" t="n">
        <f aca="false">P37-P39-P51</f>
        <v>-18606.090985791</v>
      </c>
      <c r="Q52" s="40" t="n">
        <f aca="false">Q37-Q39-Q51</f>
        <v>-16464.8047425998</v>
      </c>
      <c r="R52" s="40" t="n">
        <f aca="false">R37-R39-R51</f>
        <v>-14344.9313618405</v>
      </c>
      <c r="S52" s="40" t="n">
        <f aca="false">S37-S39-S51</f>
        <v>-12246.2567148887</v>
      </c>
      <c r="T52" s="40" t="n">
        <f aca="false">T37-T39-T51</f>
        <v>-10168.5688144065</v>
      </c>
      <c r="U52" s="40" t="n">
        <f aca="false">U37-U39-U51</f>
        <v>-19611.6577929291</v>
      </c>
      <c r="V52" s="40" t="n">
        <f aca="false">V37-V39-V51</f>
        <v>-12575.3158816665</v>
      </c>
      <c r="W52" s="40" t="n">
        <f aca="false">W37-W39-W51</f>
        <v>-10559.3373895165</v>
      </c>
      <c r="X52" s="40" t="n">
        <f aca="false">X37-X39-X51</f>
        <v>-8563.51868228799</v>
      </c>
      <c r="Y52" s="40" t="n">
        <f aca="false">Y37-Y39-Y51</f>
        <v>-6587.65816213178</v>
      </c>
      <c r="Z52" s="40" t="n">
        <f aca="false">Z37-Z39-Z51</f>
        <v>-4631.55624717713</v>
      </c>
      <c r="AA52" s="40" t="n">
        <f aca="false">AA37-AA39-AA51</f>
        <v>-14354.927351372</v>
      </c>
      <c r="AB52" s="40" t="n">
        <f aca="false">AB37-AB39-AB51</f>
        <v>-9131.06474452497</v>
      </c>
      <c r="AC52" s="40" t="n">
        <f aca="false">AC37-AC39-AC51</f>
        <v>-3959.4407637464</v>
      </c>
      <c r="AD52" s="40" t="n">
        <f aca="false">AD37-AD39-AD51</f>
        <v>1160.46697722442</v>
      </c>
      <c r="AE52" s="40" t="n">
        <f aca="false">AE37-AE39-AE51</f>
        <v>6229.17564078551</v>
      </c>
      <c r="AF52" s="40" t="n">
        <f aca="false">AF37-AF39-AF51</f>
        <v>11247.197217711</v>
      </c>
      <c r="AG52" s="40" t="n">
        <f aca="false">AG37-AG39-AG51</f>
        <v>11215.0385788672</v>
      </c>
      <c r="AH52" s="40" t="n">
        <f aca="false">AH37-AH39-AH51</f>
        <v>21133.2015264119</v>
      </c>
      <c r="AI52" s="40" t="n">
        <f aca="false">AI37-AI39-AI51</f>
        <v>26002.1828444811</v>
      </c>
      <c r="AJ52" s="40" t="n">
        <f aca="false">AJ37-AJ39-AJ51</f>
        <v>30822.4743493696</v>
      </c>
      <c r="AK52" s="40" t="n">
        <f aca="false">AK37-AK39-AK51</f>
        <v>35594.5629392092</v>
      </c>
      <c r="AL52" s="40" t="n">
        <f aca="false">AL37-AL39-AL51</f>
        <v>40318.9306431505</v>
      </c>
      <c r="AN52" s="40" t="n">
        <f aca="false">SUM(C52:N52)</f>
        <v>-110609.920803116</v>
      </c>
      <c r="AO52" s="40" t="n">
        <f aca="false">SUM(O52:Z52)</f>
        <v>-155128.703158189</v>
      </c>
      <c r="AP52" s="40" t="n">
        <f aca="false">SUM(AA52:AL52)</f>
        <v>156277.797857567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0</v>
      </c>
      <c r="Z53" s="13" t="n">
        <f aca="false">IF(Z52&gt;0,1,0)</f>
        <v>0</v>
      </c>
      <c r="AA53" s="13" t="n">
        <f aca="false">IF(AA52&gt;0,1,0)</f>
        <v>0</v>
      </c>
      <c r="AB53" s="13" t="n">
        <f aca="false">IF(AB52&gt;0,1,0)</f>
        <v>0</v>
      </c>
      <c r="AC53" s="13" t="n">
        <f aca="false">IF(AC52&gt;0,1,0)</f>
        <v>0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98.6666666666667</v>
      </c>
      <c r="G55" s="15" t="n">
        <f aca="false">F27</f>
        <v>95.7066666666667</v>
      </c>
      <c r="H55" s="15" t="n">
        <f aca="false">G27</f>
        <v>92.8354666666667</v>
      </c>
      <c r="I55" s="15" t="n">
        <f aca="false">H27</f>
        <v>90.0504026666667</v>
      </c>
      <c r="J55" s="15" t="n">
        <f aca="false">I27</f>
        <v>286.483231973333</v>
      </c>
      <c r="K55" s="15" t="n">
        <f aca="false">J27</f>
        <v>480.951732986933</v>
      </c>
      <c r="L55" s="15" t="n">
        <f aca="false">K27</f>
        <v>673.475548990397</v>
      </c>
      <c r="M55" s="15" t="n">
        <f aca="false">L27</f>
        <v>864.074126833827</v>
      </c>
      <c r="N55" s="15" t="n">
        <f aca="false">M27</f>
        <v>1052.76671889882</v>
      </c>
      <c r="O55" s="15" t="n">
        <f aca="false">N27</f>
        <v>1239.57238504317</v>
      </c>
      <c r="P55" s="15" t="n">
        <f aca="false">O27</f>
        <v>1884.95443897051</v>
      </c>
      <c r="Q55" s="15" t="n">
        <f aca="false">P27</f>
        <v>2523.88267235859</v>
      </c>
      <c r="R55" s="15" t="n">
        <f aca="false">Q27</f>
        <v>3156.42162341278</v>
      </c>
      <c r="S55" s="15" t="n">
        <f aca="false">R27</f>
        <v>3782.63518495643</v>
      </c>
      <c r="T55" s="15" t="n">
        <f aca="false">S27</f>
        <v>4402.58661088464</v>
      </c>
      <c r="U55" s="15" t="n">
        <f aca="false">T27</f>
        <v>5016.33852255357</v>
      </c>
      <c r="V55" s="15" t="n">
        <f aca="false">U27</f>
        <v>5623.95291510581</v>
      </c>
      <c r="W55" s="15" t="n">
        <f aca="false">V27</f>
        <v>6225.49116373253</v>
      </c>
      <c r="X55" s="15" t="n">
        <f aca="false">W27</f>
        <v>6821.01402987299</v>
      </c>
      <c r="Y55" s="15" t="n">
        <f aca="false">X27</f>
        <v>7410.58166735203</v>
      </c>
      <c r="Z55" s="15" t="n">
        <f aca="false">Y27</f>
        <v>7994.25362845629</v>
      </c>
      <c r="AA55" s="15" t="n">
        <f aca="false">Z27</f>
        <v>8572.08886994951</v>
      </c>
      <c r="AB55" s="15" t="n">
        <f aca="false">AA27</f>
        <v>10130.8124256945</v>
      </c>
      <c r="AC55" s="15" t="n">
        <f aca="false">AB27</f>
        <v>11673.948745882</v>
      </c>
      <c r="AD55" s="15" t="n">
        <f aca="false">AC27</f>
        <v>13201.6537028676</v>
      </c>
      <c r="AE55" s="15" t="n">
        <f aca="false">AD27</f>
        <v>14714.0816102834</v>
      </c>
      <c r="AF55" s="15" t="n">
        <f aca="false">AE27</f>
        <v>16211.385238625</v>
      </c>
      <c r="AG55" s="15" t="n">
        <f aca="false">AF27</f>
        <v>17693.7158306832</v>
      </c>
      <c r="AH55" s="15" t="n">
        <f aca="false">AG27</f>
        <v>19161.2231168208</v>
      </c>
      <c r="AI55" s="15" t="n">
        <f aca="false">AH27</f>
        <v>20614.055330097</v>
      </c>
      <c r="AJ55" s="15" t="n">
        <f aca="false">AI27</f>
        <v>22052.3592212405</v>
      </c>
      <c r="AK55" s="15" t="n">
        <f aca="false">AJ27</f>
        <v>23476.2800734725</v>
      </c>
      <c r="AL55" s="15" t="n">
        <f aca="false">AK27</f>
        <v>24885.9617171822</v>
      </c>
      <c r="AN55" s="15" t="n">
        <f aca="false">SUM(C55:N55)</f>
        <v>3735.01056234998</v>
      </c>
      <c r="AO55" s="15" t="n">
        <f aca="false">SUM(O55:Z55)</f>
        <v>56081.6848426993</v>
      </c>
      <c r="AP55" s="15" t="n">
        <f aca="false">SUM(AA55:AL55)</f>
        <v>202387.565882798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2896.09473333333</v>
      </c>
      <c r="H56" s="15" t="n">
        <f aca="false">(G36+G39+G43+G44+G45+G47+G48+G49+G50)*Hypothèses!$D$15</f>
        <v>2895.26189133333</v>
      </c>
      <c r="I56" s="15" t="n">
        <f aca="false">(H36+H39+H43+H44+H45+H47+H48+H49+H50)*Hypothèses!$D$15</f>
        <v>2894.45403459333</v>
      </c>
      <c r="J56" s="15" t="n">
        <f aca="false">(I36+I39+I43+I44+I45+I47+I48+I49+I50)*Hypothèses!$D$15</f>
        <v>2183.0994942474</v>
      </c>
      <c r="K56" s="15" t="n">
        <f aca="false">(J36+J39+J43+J44+J45+J47+J48+J49+J50)*Hypothèses!$D$15</f>
        <v>1239.50849930493</v>
      </c>
      <c r="L56" s="15" t="n">
        <f aca="false">(K36+K39+K43+K44+K45+K47+K48+K49+K50)*Hypothèses!$D$15</f>
        <v>1295.35341431188</v>
      </c>
      <c r="M56" s="15" t="n">
        <f aca="false">(L36+L39+L43+L44+L45+L47+L48+L49+L50)*Hypothèses!$D$15</f>
        <v>1350.63988016876</v>
      </c>
      <c r="N56" s="15" t="n">
        <f aca="false">(M36+M39+M43+M44+M45+M47+M48+M49+M50)*Hypothèses!$D$15</f>
        <v>1405.37348136707</v>
      </c>
      <c r="O56" s="15" t="n">
        <f aca="false">(N36+N39+N43+N44+N45+N47+N48+N49+N50)*Hypothèses!$D$15</f>
        <v>1459.5597465534</v>
      </c>
      <c r="P56" s="15" t="n">
        <f aca="false">(O36+O39+O43+O44+O45+O47+O48+O49+O50)*Hypothèses!$D$15</f>
        <v>3046.76414908787</v>
      </c>
      <c r="Q56" s="15" t="n">
        <f aca="false">(P36+P39+P43+P44+P45+P47+P48+P49+P50)*Hypothèses!$D$15</f>
        <v>3232.09650759699</v>
      </c>
      <c r="R56" s="15" t="n">
        <f aca="false">(Q36+Q39+Q43+Q44+Q45+Q47+Q48+Q49+Q50)*Hypothèses!$D$15</f>
        <v>3415.57554252102</v>
      </c>
      <c r="S56" s="15" t="n">
        <f aca="false">(R36+R39+R43+R44+R45+R47+R48+R49+R50)*Hypothèses!$D$15</f>
        <v>3597.21978709581</v>
      </c>
      <c r="T56" s="15" t="n">
        <f aca="false">(S36+S39+S43+S44+S45+S47+S48+S49+S50)*Hypothèses!$D$15</f>
        <v>3777.04758922485</v>
      </c>
      <c r="U56" s="15" t="n">
        <f aca="false">(T36+T39+T43+T44+T45+T47+T48+T49+T50)*Hypothèses!$D$15</f>
        <v>3955.0771133326</v>
      </c>
      <c r="V56" s="15" t="n">
        <f aca="false">(U36+U39+U43+U44+U45+U47+U48+U49+U50)*Hypothèses!$D$15</f>
        <v>5131.32634219927</v>
      </c>
      <c r="W56" s="15" t="n">
        <f aca="false">(V36+V39+V43+V44+V45+V47+V48+V49+V50)*Hypothèses!$D$15</f>
        <v>4305.81307877728</v>
      </c>
      <c r="X56" s="15" t="n">
        <f aca="false">(W36+W39+W43+W44+W45+W47+W48+W49+W50)*Hypothèses!$D$15</f>
        <v>4478.55494798951</v>
      </c>
      <c r="Y56" s="15" t="n">
        <f aca="false">(X36+X39+X43+X44+X45+X47+X48+X49+X50)*Hypothèses!$D$15</f>
        <v>4649.56939850961</v>
      </c>
      <c r="Z56" s="15" t="n">
        <f aca="false">(Y36+Y39+Y43+Y44+Y45+Y47+Y48+Y49+Y50)*Hypothèses!$D$15</f>
        <v>4818.87370452452</v>
      </c>
      <c r="AA56" s="15" t="n">
        <f aca="false">(Z36+Z39+Z43+Z44+Z45+Z47+Z48+Z49+Z50)*Hypothèses!$D$15</f>
        <v>4986.48496747927</v>
      </c>
      <c r="AB56" s="15" t="n">
        <f aca="false">(AA36+AA39+AA43+AA44+AA45+AA47+AA48+AA49+AA50)*Hypothèses!$D$15</f>
        <v>8438.62011780448</v>
      </c>
      <c r="AC56" s="15" t="n">
        <f aca="false">(AB36+AB39+AB43+AB44+AB45+AB47+AB48+AB49+AB50)*Hypothèses!$D$15</f>
        <v>8886.23391662643</v>
      </c>
      <c r="AD56" s="15" t="n">
        <f aca="false">(AC36+AC39+AC43+AC44+AC45+AC47+AC48+AC49+AC50)*Hypothèses!$D$15</f>
        <v>9329.37157746017</v>
      </c>
      <c r="AE56" s="15" t="n">
        <f aca="false">(AD36+AD39+AD43+AD44+AD45+AD47+AD48+AD49+AD50)*Hypothèses!$D$15</f>
        <v>9768.07786168557</v>
      </c>
      <c r="AF56" s="15" t="n">
        <f aca="false">(AE36+AE39+AE43+AE44+AE45+AE47+AE48+AE49+AE50)*Hypothèses!$D$15</f>
        <v>10202.3970830687</v>
      </c>
      <c r="AG56" s="15" t="n">
        <f aca="false">(AF36+AF39+AF43+AF44+AF45+AF47+AF48+AF49+AF50)*Hypothèses!$D$15</f>
        <v>10632.373112238</v>
      </c>
      <c r="AH56" s="15" t="n">
        <f aca="false">(AG36+AG39+AG43+AG44+AG45+AG47+AG48+AG49+AG50)*Hypothèses!$D$15</f>
        <v>12058.0493811156</v>
      </c>
      <c r="AI56" s="15" t="n">
        <f aca="false">(AH36+AH39+AH43+AH44+AH45+AH47+AH48+AH49+AH50)*Hypothèses!$D$15</f>
        <v>11479.4688873045</v>
      </c>
      <c r="AJ56" s="15" t="n">
        <f aca="false">(AI36+AI39+AI43+AI44+AI45+AI47+AI48+AI49+AI50)*Hypothèses!$D$15</f>
        <v>11896.6741984314</v>
      </c>
      <c r="AK56" s="15" t="n">
        <f aca="false">(AJ36+AJ39+AJ43+AJ44+AJ45+AJ47+AJ48+AJ49+AJ50)*Hypothèses!$D$15</f>
        <v>12309.7074564471</v>
      </c>
      <c r="AL56" s="15" t="n">
        <f aca="false">(AK36+AK39+AK43+AK44+AK45+AK47+AK48+AK49+AK50)*Hypothèses!$D$15</f>
        <v>12718.6103818827</v>
      </c>
      <c r="AN56" s="15" t="n">
        <f aca="false">SUM(C56:N56)</f>
        <v>25293.40542866</v>
      </c>
      <c r="AO56" s="15" t="n">
        <f aca="false">SUM(O56:Z56)</f>
        <v>45867.4779074127</v>
      </c>
      <c r="AP56" s="15" t="n">
        <f aca="false">SUM(AA56:AL56)</f>
        <v>122706.068941544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-38856.6445333333</v>
      </c>
      <c r="G58" s="15" t="n">
        <f aca="false">F60</f>
        <v>-49981.2863973333</v>
      </c>
      <c r="H58" s="15" t="n">
        <f aca="false">G60</f>
        <v>-61116.3890054133</v>
      </c>
      <c r="I58" s="15" t="n">
        <f aca="false">H60</f>
        <v>-72261.6385352509</v>
      </c>
      <c r="J58" s="15" t="n">
        <f aca="false">I60</f>
        <v>-78853.8064982835</v>
      </c>
      <c r="K58" s="15" t="n">
        <f aca="false">J60</f>
        <v>-80502.9185150191</v>
      </c>
      <c r="L58" s="15" t="n">
        <f aca="false">K60</f>
        <v>-82447.7551449206</v>
      </c>
      <c r="M58" s="15" t="n">
        <f aca="false">L60</f>
        <v>-83695.3591418565</v>
      </c>
      <c r="N58" s="15" t="n">
        <f aca="false">M60</f>
        <v>-84252.7028321563</v>
      </c>
      <c r="O58" s="15" t="n">
        <f aca="false">N60</f>
        <v>-84126.6888188865</v>
      </c>
      <c r="P58" s="15" t="n">
        <f aca="false">O60</f>
        <v>-102809.602945749</v>
      </c>
      <c r="Q58" s="15" t="n">
        <f aca="false">P60</f>
        <v>-117755.240375788</v>
      </c>
      <c r="R58" s="15" t="n">
        <f aca="false">Q60</f>
        <v>-130386.973875971</v>
      </c>
      <c r="S58" s="15" t="n">
        <f aca="false">R60</f>
        <v>-140727.942485596</v>
      </c>
      <c r="T58" s="15" t="n">
        <f aca="false">S60</f>
        <v>-148801.05385357</v>
      </c>
      <c r="U58" s="15" t="n">
        <f aca="false">T60</f>
        <v>-154628.986552308</v>
      </c>
      <c r="V58" s="15" t="n">
        <f aca="false">U60</f>
        <v>-169734.192368503</v>
      </c>
      <c r="W58" s="15" t="n">
        <f aca="false">V60</f>
        <v>-176638.898570981</v>
      </c>
      <c r="X58" s="15" t="n">
        <f aca="false">W60</f>
        <v>-182365.110155879</v>
      </c>
      <c r="Y58" s="15" t="n">
        <f aca="false">X60</f>
        <v>-185934.612069372</v>
      </c>
      <c r="Z58" s="15" t="n">
        <f aca="false">Y60</f>
        <v>-187368.971408174</v>
      </c>
      <c r="AA58" s="15" t="n">
        <f aca="false">Z60</f>
        <v>-186689.539598033</v>
      </c>
      <c r="AB58" s="15" t="n">
        <f aca="false">AA60</f>
        <v>-194600.566550438</v>
      </c>
      <c r="AC58" s="15" t="n">
        <f aca="false">AB60</f>
        <v>-193866.614344429</v>
      </c>
      <c r="AD58" s="15" t="n">
        <f aca="false">AC60</f>
        <v>-187544.132771592</v>
      </c>
      <c r="AE58" s="15" t="n">
        <f aca="false">AD60</f>
        <v>-175689.007125595</v>
      </c>
      <c r="AF58" s="15" t="n">
        <f aca="false">AE60</f>
        <v>-158356.563847168</v>
      </c>
      <c r="AG58" s="15" t="n">
        <f aca="false">AF60</f>
        <v>-135601.576112637</v>
      </c>
      <c r="AH58" s="15" t="n">
        <f aca="false">AG60</f>
        <v>-112478.269366563</v>
      </c>
      <c r="AI58" s="15" t="n">
        <f aca="false">AH60</f>
        <v>-78040.32679906</v>
      </c>
      <c r="AJ58" s="15" t="n">
        <f aca="false">AI60</f>
        <v>-39340.8947683433</v>
      </c>
      <c r="AK58" s="15" t="n">
        <f aca="false">AJ60</f>
        <v>4567.41183095508</v>
      </c>
      <c r="AL58" s="15" t="n">
        <f aca="false">AK60</f>
        <v>53632.5042531493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-10541.6445333333</v>
      </c>
      <c r="F59" s="15" t="n">
        <f aca="false">F31-F36-F39-F51-F55+F56+F57</f>
        <v>-11124.641864</v>
      </c>
      <c r="G59" s="15" t="n">
        <f aca="false">G31-G36-G39-G51-G55+G56+G57</f>
        <v>-11135.10260808</v>
      </c>
      <c r="H59" s="15" t="n">
        <f aca="false">H31-H36-H39-H51-H55+H56+H57</f>
        <v>-11145.2495298376</v>
      </c>
      <c r="I59" s="15" t="n">
        <f aca="false">I31-I36-I39-I51-I55+I56+I57</f>
        <v>-6592.16796303256</v>
      </c>
      <c r="J59" s="15" t="n">
        <f aca="false">J31-J36-J39-J51-J55+J56+J57</f>
        <v>-1649.11201673556</v>
      </c>
      <c r="K59" s="15" t="n">
        <f aca="false">K31-K36-K39-K51-K55+K56+K57</f>
        <v>-1944.83662990154</v>
      </c>
      <c r="L59" s="15" t="n">
        <f aca="false">L31-L36-L39-L51-L55+L56+L57</f>
        <v>-1247.60399693586</v>
      </c>
      <c r="M59" s="15" t="n">
        <f aca="false">M31-M36-M39-M51-M55+M56+M57</f>
        <v>-557.343690299836</v>
      </c>
      <c r="N59" s="15" t="n">
        <f aca="false">N31-N36-N39-N51-N55+N56+N57</f>
        <v>126.01401326983</v>
      </c>
      <c r="O59" s="15" t="n">
        <f aca="false">O31-O36-O39-O51-O55+O56+O57</f>
        <v>-18682.9141268629</v>
      </c>
      <c r="P59" s="15" t="n">
        <f aca="false">P31-P36-P39-P51-P55+P56+P57</f>
        <v>-14945.6374300387</v>
      </c>
      <c r="Q59" s="15" t="n">
        <f aca="false">Q31-Q36-Q39-Q51-Q55+Q56+Q57</f>
        <v>-12631.7335001827</v>
      </c>
      <c r="R59" s="15" t="n">
        <f aca="false">R31-R36-R39-R51-R55+R56+R57</f>
        <v>-10340.9686096254</v>
      </c>
      <c r="S59" s="15" t="n">
        <f aca="false">S31-S36-S39-S51-S55+S56+S57</f>
        <v>-8073.11136797355</v>
      </c>
      <c r="T59" s="15" t="n">
        <f aca="false">T31-T36-T39-T51-T55+T56+T57</f>
        <v>-5827.93269873827</v>
      </c>
      <c r="U59" s="15" t="n">
        <f aca="false">U31-U36-U39-U51-U55+U56+U57</f>
        <v>-15105.2058161953</v>
      </c>
      <c r="V59" s="15" t="n">
        <f aca="false">V31-V36-V39-V51-V55+V56+V57</f>
        <v>-6904.70620247782</v>
      </c>
      <c r="W59" s="15" t="n">
        <f aca="false">W31-W36-W39-W51-W55+W56+W57</f>
        <v>-5726.21158489749</v>
      </c>
      <c r="X59" s="15" t="n">
        <f aca="false">X31-X36-X39-X51-X55+X56+X57</f>
        <v>-3569.50191349295</v>
      </c>
      <c r="Y59" s="15" t="n">
        <f aca="false">Y31-Y36-Y39-Y51-Y55+Y56+Y57</f>
        <v>-1434.35933880247</v>
      </c>
      <c r="Z59" s="15" t="n">
        <f aca="false">Z31-Z36-Z39-Z51-Z55+Z56+Z57</f>
        <v>679.431810141113</v>
      </c>
      <c r="AA59" s="15" t="n">
        <f aca="false">AA31-AA36-AA39-AA51-AA55+AA56+AA57</f>
        <v>-7911.02695240476</v>
      </c>
      <c r="AB59" s="15" t="n">
        <f aca="false">AB31-AB36-AB39-AB51-AB55+AB56+AB57</f>
        <v>733.952206008205</v>
      </c>
      <c r="AC59" s="15" t="n">
        <f aca="false">AC31-AC36-AC39-AC51-AC55+AC56+AC57</f>
        <v>6322.481572837</v>
      </c>
      <c r="AD59" s="15" t="n">
        <f aca="false">AD31-AD36-AD39-AD51-AD55+AD56+AD57</f>
        <v>11855.1256459975</v>
      </c>
      <c r="AE59" s="15" t="n">
        <f aca="false">AE31-AE36-AE39-AE51-AE55+AE56+AE57</f>
        <v>17332.4432784265</v>
      </c>
      <c r="AF59" s="15" t="n">
        <f aca="false">AF31-AF36-AF39-AF51-AF55+AF56+AF57</f>
        <v>22754.987734531</v>
      </c>
      <c r="AG59" s="15" t="n">
        <f aca="false">AG31-AG36-AG39-AG51-AG55+AG56+AG57</f>
        <v>23123.3067460746</v>
      </c>
      <c r="AH59" s="15" t="n">
        <f aca="false">AH31-AH36-AH39-AH51-AH55+AH56+AH57</f>
        <v>34437.9425675028</v>
      </c>
      <c r="AI59" s="15" t="n">
        <f aca="false">AI31-AI36-AI39-AI51-AI55+AI56+AI57</f>
        <v>38699.4320307167</v>
      </c>
      <c r="AJ59" s="15" t="n">
        <f aca="false">AJ31-AJ36-AJ39-AJ51-AJ55+AJ56+AJ57</f>
        <v>43908.3065992984</v>
      </c>
      <c r="AK59" s="15" t="n">
        <f aca="false">AK31-AK36-AK39-AK51-AK55+AK56+AK57</f>
        <v>49065.0924221943</v>
      </c>
      <c r="AL59" s="15" t="n">
        <f aca="false">AL31-AL36-AL39-AL51-AL55+AL56+AL57</f>
        <v>54170.3103868612</v>
      </c>
      <c r="AN59" s="15" t="n">
        <f aca="false">SUM(C59:N59)</f>
        <v>-84126.6888188865</v>
      </c>
      <c r="AO59" s="15" t="n">
        <f aca="false">SUM(O59:Z59)</f>
        <v>-102562.850779146</v>
      </c>
      <c r="AP59" s="15" t="n">
        <f aca="false">SUM(AA59:AL59)</f>
        <v>294492.354238043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-38856.6445333333</v>
      </c>
      <c r="F60" s="40" t="n">
        <f aca="false">F58+F59</f>
        <v>-49981.2863973333</v>
      </c>
      <c r="G60" s="40" t="n">
        <f aca="false">G58+G59</f>
        <v>-61116.3890054133</v>
      </c>
      <c r="H60" s="40" t="n">
        <f aca="false">H58+H59</f>
        <v>-72261.6385352509</v>
      </c>
      <c r="I60" s="40" t="n">
        <f aca="false">I58+I59</f>
        <v>-78853.8064982835</v>
      </c>
      <c r="J60" s="40" t="n">
        <f aca="false">J58+J59</f>
        <v>-80502.9185150191</v>
      </c>
      <c r="K60" s="40" t="n">
        <f aca="false">K58+K59</f>
        <v>-82447.7551449206</v>
      </c>
      <c r="L60" s="40" t="n">
        <f aca="false">L58+L59</f>
        <v>-83695.3591418565</v>
      </c>
      <c r="M60" s="40" t="n">
        <f aca="false">M58+M59</f>
        <v>-84252.7028321563</v>
      </c>
      <c r="N60" s="40" t="n">
        <f aca="false">N58+N59</f>
        <v>-84126.6888188865</v>
      </c>
      <c r="O60" s="40" t="n">
        <f aca="false">O58+O59</f>
        <v>-102809.602945749</v>
      </c>
      <c r="P60" s="40" t="n">
        <f aca="false">P58+P59</f>
        <v>-117755.240375788</v>
      </c>
      <c r="Q60" s="40" t="n">
        <f aca="false">Q58+Q59</f>
        <v>-130386.973875971</v>
      </c>
      <c r="R60" s="40" t="n">
        <f aca="false">R58+R59</f>
        <v>-140727.942485596</v>
      </c>
      <c r="S60" s="40" t="n">
        <f aca="false">S58+S59</f>
        <v>-148801.05385357</v>
      </c>
      <c r="T60" s="40" t="n">
        <f aca="false">T58+T59</f>
        <v>-154628.986552308</v>
      </c>
      <c r="U60" s="40" t="n">
        <f aca="false">U58+U59</f>
        <v>-169734.192368503</v>
      </c>
      <c r="V60" s="40" t="n">
        <f aca="false">V58+V59</f>
        <v>-176638.898570981</v>
      </c>
      <c r="W60" s="40" t="n">
        <f aca="false">W58+W59</f>
        <v>-182365.110155879</v>
      </c>
      <c r="X60" s="40" t="n">
        <f aca="false">X58+X59</f>
        <v>-185934.612069372</v>
      </c>
      <c r="Y60" s="40" t="n">
        <f aca="false">Y58+Y59</f>
        <v>-187368.971408174</v>
      </c>
      <c r="Z60" s="40" t="n">
        <f aca="false">Z58+Z59</f>
        <v>-186689.539598033</v>
      </c>
      <c r="AA60" s="40" t="n">
        <f aca="false">AA58+AA59</f>
        <v>-194600.566550438</v>
      </c>
      <c r="AB60" s="40" t="n">
        <f aca="false">AB58+AB59</f>
        <v>-193866.614344429</v>
      </c>
      <c r="AC60" s="40" t="n">
        <f aca="false">AC58+AC59</f>
        <v>-187544.132771592</v>
      </c>
      <c r="AD60" s="40" t="n">
        <f aca="false">AD58+AD59</f>
        <v>-175689.007125595</v>
      </c>
      <c r="AE60" s="40" t="n">
        <f aca="false">AE58+AE59</f>
        <v>-158356.563847168</v>
      </c>
      <c r="AF60" s="40" t="n">
        <f aca="false">AF58+AF59</f>
        <v>-135601.576112637</v>
      </c>
      <c r="AG60" s="40" t="n">
        <f aca="false">AG58+AG59</f>
        <v>-112478.269366563</v>
      </c>
      <c r="AH60" s="40" t="n">
        <f aca="false">AH58+AH59</f>
        <v>-78040.32679906</v>
      </c>
      <c r="AI60" s="40" t="n">
        <f aca="false">AI58+AI59</f>
        <v>-39340.8947683433</v>
      </c>
      <c r="AJ60" s="40" t="n">
        <f aca="false">AJ58+AJ59</f>
        <v>4567.41183095508</v>
      </c>
      <c r="AK60" s="40" t="n">
        <f aca="false">AK58+AK59</f>
        <v>53632.5042531493</v>
      </c>
      <c r="AL60" s="40" t="n">
        <f aca="false">AL58+AL59</f>
        <v>107802.814640011</v>
      </c>
      <c r="AN60" s="40" t="n">
        <f aca="false">N60</f>
        <v>-84126.6888188865</v>
      </c>
      <c r="AO60" s="40" t="n">
        <f aca="false">Z60</f>
        <v>-186689.539598033</v>
      </c>
      <c r="AP60" s="40" t="n">
        <f aca="false">AL60</f>
        <v>107802.814640011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-38856.6445333333</v>
      </c>
      <c r="F62" s="40" t="n">
        <f aca="false">F60-F61</f>
        <v>-49981.2863973333</v>
      </c>
      <c r="G62" s="40" t="n">
        <f aca="false">G60-G61</f>
        <v>-61116.3890054133</v>
      </c>
      <c r="H62" s="40" t="n">
        <f aca="false">H60-H61</f>
        <v>-72261.6385352509</v>
      </c>
      <c r="I62" s="40" t="n">
        <f aca="false">I60-I61</f>
        <v>-78853.8064982835</v>
      </c>
      <c r="J62" s="40" t="n">
        <f aca="false">J60-J61</f>
        <v>-80502.9185150191</v>
      </c>
      <c r="K62" s="40" t="n">
        <f aca="false">K60-K61</f>
        <v>-82447.7551449206</v>
      </c>
      <c r="L62" s="40" t="n">
        <f aca="false">L60-L61</f>
        <v>-83695.3591418565</v>
      </c>
      <c r="M62" s="40" t="n">
        <f aca="false">M60-M61</f>
        <v>-84252.7028321563</v>
      </c>
      <c r="N62" s="40" t="n">
        <f aca="false">N60-N61</f>
        <v>-84126.6888188865</v>
      </c>
      <c r="O62" s="40" t="n">
        <f aca="false">O60-O61</f>
        <v>-102809.602945749</v>
      </c>
      <c r="P62" s="40" t="n">
        <f aca="false">P60-P61</f>
        <v>-117755.240375788</v>
      </c>
      <c r="Q62" s="40" t="n">
        <f aca="false">Q60-Q61</f>
        <v>-130386.973875971</v>
      </c>
      <c r="R62" s="40" t="n">
        <f aca="false">R60-R61</f>
        <v>-140727.942485596</v>
      </c>
      <c r="S62" s="40" t="n">
        <f aca="false">S60-S61</f>
        <v>-148801.05385357</v>
      </c>
      <c r="T62" s="40" t="n">
        <f aca="false">T60-T61</f>
        <v>-154628.986552308</v>
      </c>
      <c r="U62" s="40" t="n">
        <f aca="false">U60-U61</f>
        <v>-169734.192368503</v>
      </c>
      <c r="V62" s="40" t="n">
        <f aca="false">V60-V61</f>
        <v>-176638.898570981</v>
      </c>
      <c r="W62" s="40" t="n">
        <f aca="false">W60-W61</f>
        <v>-182365.110155879</v>
      </c>
      <c r="X62" s="40" t="n">
        <f aca="false">X60-X61</f>
        <v>-185934.612069372</v>
      </c>
      <c r="Y62" s="40" t="n">
        <f aca="false">Y60-Y61</f>
        <v>-187368.971408174</v>
      </c>
      <c r="Z62" s="40" t="n">
        <f aca="false">Z60-Z61</f>
        <v>-186689.539598033</v>
      </c>
      <c r="AA62" s="40" t="n">
        <f aca="false">AA60-AA61</f>
        <v>-194600.566550438</v>
      </c>
      <c r="AB62" s="40" t="n">
        <f aca="false">AB60-AB61</f>
        <v>-193866.614344429</v>
      </c>
      <c r="AC62" s="40" t="n">
        <f aca="false">AC60-AC61</f>
        <v>-187544.132771592</v>
      </c>
      <c r="AD62" s="40" t="n">
        <f aca="false">AD60-AD61</f>
        <v>-175689.007125595</v>
      </c>
      <c r="AE62" s="40" t="n">
        <f aca="false">AE60-AE61</f>
        <v>-158356.563847168</v>
      </c>
      <c r="AF62" s="40" t="n">
        <f aca="false">AF60-AF61</f>
        <v>-135601.576112637</v>
      </c>
      <c r="AG62" s="40" t="n">
        <f aca="false">AG60-AG61</f>
        <v>-112478.269366563</v>
      </c>
      <c r="AH62" s="40" t="n">
        <f aca="false">AH60-AH61</f>
        <v>-78040.32679906</v>
      </c>
      <c r="AI62" s="40" t="n">
        <f aca="false">AI60-AI61</f>
        <v>-39340.8947683433</v>
      </c>
      <c r="AJ62" s="40" t="n">
        <f aca="false">AJ60-AJ61</f>
        <v>4567.41183095508</v>
      </c>
      <c r="AK62" s="40" t="n">
        <f aca="false">AK60-AK61</f>
        <v>53632.5042531493</v>
      </c>
      <c r="AL62" s="40" t="n">
        <f aca="false">AL60-AL61</f>
        <v>107802.814640011</v>
      </c>
      <c r="AN62" s="40" t="n">
        <f aca="false">N62</f>
        <v>-84126.6888188865</v>
      </c>
      <c r="AO62" s="40" t="n">
        <f aca="false">Z62</f>
        <v>-186689.539598033</v>
      </c>
      <c r="AP62" s="40" t="n">
        <f aca="false">AL62</f>
        <v>107802.814640011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-38856.6445333333</v>
      </c>
      <c r="F63" s="15" t="n">
        <f aca="false">MIN(E63,F62)</f>
        <v>-49981.2863973333</v>
      </c>
      <c r="G63" s="15" t="n">
        <f aca="false">MIN(F63,G62)</f>
        <v>-61116.3890054133</v>
      </c>
      <c r="H63" s="15" t="n">
        <f aca="false">MIN(G63,H62)</f>
        <v>-72261.6385352509</v>
      </c>
      <c r="I63" s="15" t="n">
        <f aca="false">MIN(H63,I62)</f>
        <v>-78853.8064982835</v>
      </c>
      <c r="J63" s="15" t="n">
        <f aca="false">MIN(I63,J62)</f>
        <v>-80502.9185150191</v>
      </c>
      <c r="K63" s="15" t="n">
        <f aca="false">MIN(J63,K62)</f>
        <v>-82447.7551449206</v>
      </c>
      <c r="L63" s="15" t="n">
        <f aca="false">MIN(K63,L62)</f>
        <v>-83695.3591418565</v>
      </c>
      <c r="M63" s="15" t="n">
        <f aca="false">MIN(L63,M62)</f>
        <v>-84252.7028321563</v>
      </c>
      <c r="N63" s="15" t="n">
        <f aca="false">MIN(M63,N62)</f>
        <v>-84252.7028321563</v>
      </c>
      <c r="O63" s="15" t="n">
        <f aca="false">MIN(N63,O62)</f>
        <v>-102809.602945749</v>
      </c>
      <c r="P63" s="15" t="n">
        <f aca="false">MIN(O63,P62)</f>
        <v>-117755.240375788</v>
      </c>
      <c r="Q63" s="15" t="n">
        <f aca="false">MIN(P63,Q62)</f>
        <v>-130386.973875971</v>
      </c>
      <c r="R63" s="15" t="n">
        <f aca="false">MIN(Q63,R62)</f>
        <v>-140727.942485596</v>
      </c>
      <c r="S63" s="15" t="n">
        <f aca="false">MIN(R63,S62)</f>
        <v>-148801.05385357</v>
      </c>
      <c r="T63" s="15" t="n">
        <f aca="false">MIN(S63,T62)</f>
        <v>-154628.986552308</v>
      </c>
      <c r="U63" s="15" t="n">
        <f aca="false">MIN(T63,U62)</f>
        <v>-169734.192368503</v>
      </c>
      <c r="V63" s="15" t="n">
        <f aca="false">MIN(U63,V62)</f>
        <v>-176638.898570981</v>
      </c>
      <c r="W63" s="15" t="n">
        <f aca="false">MIN(V63,W62)</f>
        <v>-182365.110155879</v>
      </c>
      <c r="X63" s="15" t="n">
        <f aca="false">MIN(W63,X62)</f>
        <v>-185934.612069372</v>
      </c>
      <c r="Y63" s="15" t="n">
        <f aca="false">MIN(X63,Y62)</f>
        <v>-187368.971408174</v>
      </c>
      <c r="Z63" s="15" t="n">
        <f aca="false">MIN(Y63,Z62)</f>
        <v>-187368.971408174</v>
      </c>
      <c r="AA63" s="15" t="n">
        <f aca="false">MIN(Z63,AA62)</f>
        <v>-194600.566550438</v>
      </c>
      <c r="AB63" s="15" t="n">
        <f aca="false">MIN(AA63,AB62)</f>
        <v>-194600.566550438</v>
      </c>
      <c r="AC63" s="15" t="n">
        <f aca="false">MIN(AB63,AC62)</f>
        <v>-194600.566550438</v>
      </c>
      <c r="AD63" s="15" t="n">
        <f aca="false">MIN(AC63,AD62)</f>
        <v>-194600.566550438</v>
      </c>
      <c r="AE63" s="15" t="n">
        <f aca="false">MIN(AD63,AE62)</f>
        <v>-194600.566550438</v>
      </c>
      <c r="AF63" s="15" t="n">
        <f aca="false">MIN(AE63,AF62)</f>
        <v>-194600.566550438</v>
      </c>
      <c r="AG63" s="15" t="n">
        <f aca="false">MIN(AF63,AG62)</f>
        <v>-194600.566550438</v>
      </c>
      <c r="AH63" s="15" t="n">
        <f aca="false">MIN(AG63,AH62)</f>
        <v>-194600.566550438</v>
      </c>
      <c r="AI63" s="15" t="n">
        <f aca="false">MIN(AH63,AI62)</f>
        <v>-194600.566550438</v>
      </c>
      <c r="AJ63" s="15" t="n">
        <f aca="false">MIN(AI63,AJ62)</f>
        <v>-194600.566550438</v>
      </c>
      <c r="AK63" s="15" t="n">
        <f aca="false">MIN(AJ63,AK62)</f>
        <v>-194600.566550438</v>
      </c>
      <c r="AL63" s="15" t="n">
        <f aca="false">MIN(AK63,AL62)</f>
        <v>-194600.566550438</v>
      </c>
      <c r="AN63" s="15" t="n">
        <f aca="false">N63</f>
        <v>-84252.7028321563</v>
      </c>
      <c r="AO63" s="15" t="n">
        <f aca="false">Z63</f>
        <v>-187368.971408174</v>
      </c>
      <c r="AP63" s="15" t="n">
        <f aca="false">AL63</f>
        <v>-194600.566550438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0</v>
      </c>
      <c r="AG64" s="13" t="n">
        <f aca="false">IF(AND(AG9=1,AG62&gt;0),1,0)</f>
        <v>0</v>
      </c>
      <c r="AH64" s="13" t="n">
        <f aca="false">IF(AND(AH9=1,AH62&gt;0),1,0)</f>
        <v>0</v>
      </c>
      <c r="AI64" s="13" t="n">
        <f aca="false">IF(AND(AI9=1,AI62&gt;0),1,0)</f>
        <v>0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5920</v>
      </c>
      <c r="F66" s="15" t="n">
        <f aca="false">F28*12</f>
        <v>5742.4</v>
      </c>
      <c r="G66" s="15" t="n">
        <f aca="false">G28*12</f>
        <v>5570.128</v>
      </c>
      <c r="H66" s="15" t="n">
        <f aca="false">H28*12</f>
        <v>5403.02416</v>
      </c>
      <c r="I66" s="15" t="n">
        <f aca="false">I28*12</f>
        <v>17188.9939184</v>
      </c>
      <c r="J66" s="15" t="n">
        <f aca="false">J28*12</f>
        <v>28857.103979216</v>
      </c>
      <c r="K66" s="15" t="n">
        <f aca="false">K28*12</f>
        <v>40408.5329394238</v>
      </c>
      <c r="L66" s="15" t="n">
        <f aca="false">L28*12</f>
        <v>51844.4476100296</v>
      </c>
      <c r="M66" s="15" t="n">
        <f aca="false">M28*12</f>
        <v>63166.0031339293</v>
      </c>
      <c r="N66" s="15" t="n">
        <f aca="false">N28*12</f>
        <v>74374.34310259</v>
      </c>
      <c r="O66" s="15" t="n">
        <f aca="false">O28*12</f>
        <v>113097.266338231</v>
      </c>
      <c r="P66" s="15" t="n">
        <f aca="false">P28*12</f>
        <v>151432.960341515</v>
      </c>
      <c r="Q66" s="15" t="n">
        <f aca="false">Q28*12</f>
        <v>189385.297404767</v>
      </c>
      <c r="R66" s="15" t="n">
        <f aca="false">R28*12</f>
        <v>226958.111097386</v>
      </c>
      <c r="S66" s="15" t="n">
        <f aca="false">S28*12</f>
        <v>264155.196653079</v>
      </c>
      <c r="T66" s="15" t="n">
        <f aca="false">T28*12</f>
        <v>300980.311353214</v>
      </c>
      <c r="U66" s="15" t="n">
        <f aca="false">U28*12</f>
        <v>337437.174906349</v>
      </c>
      <c r="V66" s="15" t="n">
        <f aca="false">V28*12</f>
        <v>373529.469823952</v>
      </c>
      <c r="W66" s="15" t="n">
        <f aca="false">W28*12</f>
        <v>409260.841792379</v>
      </c>
      <c r="X66" s="15" t="n">
        <f aca="false">X28*12</f>
        <v>444634.900041122</v>
      </c>
      <c r="Y66" s="15" t="n">
        <f aca="false">Y28*12</f>
        <v>479655.217707377</v>
      </c>
      <c r="Z66" s="15" t="n">
        <f aca="false">Z28*12</f>
        <v>514325.33219697</v>
      </c>
      <c r="AA66" s="15" t="n">
        <f aca="false">AA28*12</f>
        <v>607848.745541667</v>
      </c>
      <c r="AB66" s="15" t="n">
        <f aca="false">AB28*12</f>
        <v>700436.924752917</v>
      </c>
      <c r="AC66" s="15" t="n">
        <f aca="false">AC28*12</f>
        <v>792099.222172055</v>
      </c>
      <c r="AD66" s="15" t="n">
        <f aca="false">AD28*12</f>
        <v>882844.896617001</v>
      </c>
      <c r="AE66" s="15" t="n">
        <f aca="false">AE28*12</f>
        <v>972683.114317498</v>
      </c>
      <c r="AF66" s="15" t="n">
        <f aca="false">AF28*12</f>
        <v>1061622.94984099</v>
      </c>
      <c r="AG66" s="15" t="n">
        <f aca="false">AG28*12</f>
        <v>1149673.38700925</v>
      </c>
      <c r="AH66" s="15" t="n">
        <f aca="false">AH28*12</f>
        <v>1236843.31980582</v>
      </c>
      <c r="AI66" s="15" t="n">
        <f aca="false">AI28*12</f>
        <v>1323141.55327443</v>
      </c>
      <c r="AJ66" s="15" t="n">
        <f aca="false">AJ28*12</f>
        <v>1408576.80440835</v>
      </c>
      <c r="AK66" s="15" t="n">
        <f aca="false">AK28*12</f>
        <v>1493157.70303093</v>
      </c>
      <c r="AL66" s="15" t="n">
        <f aca="false">AL28*12</f>
        <v>1576892.79266729</v>
      </c>
      <c r="AN66" s="15" t="n">
        <f aca="false">N66</f>
        <v>74374.34310259</v>
      </c>
      <c r="AO66" s="15" t="n">
        <f aca="false">Z66</f>
        <v>514325.33219697</v>
      </c>
      <c r="AP66" s="15" t="n">
        <f aca="false">AL66</f>
        <v>1576892.79266729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49.3333333333333</v>
      </c>
      <c r="F67" s="19" t="n">
        <f aca="false">IF(F18&gt;0,F28/F18,0)</f>
        <v>49.3333333333333</v>
      </c>
      <c r="G67" s="19" t="n">
        <f aca="false">IF(G18&gt;0,G28/G18,0)</f>
        <v>49.3333333333333</v>
      </c>
      <c r="H67" s="19" t="n">
        <f aca="false">IF(H18&gt;0,H28/H18,0)</f>
        <v>49.3333333333333</v>
      </c>
      <c r="I67" s="19" t="n">
        <f aca="false">IF(I18&gt;0,I28/I18,0)</f>
        <v>49.3333333333333</v>
      </c>
      <c r="J67" s="19" t="n">
        <f aca="false">IF(J18&gt;0,J28/J18,0)</f>
        <v>49.3333333333333</v>
      </c>
      <c r="K67" s="19" t="n">
        <f aca="false">IF(K18&gt;0,K28/K18,0)</f>
        <v>49.3333333333333</v>
      </c>
      <c r="L67" s="19" t="n">
        <f aca="false">IF(L18&gt;0,L28/L18,0)</f>
        <v>49.3333333333333</v>
      </c>
      <c r="M67" s="19" t="n">
        <f aca="false">IF(M18&gt;0,M28/M18,0)</f>
        <v>49.3333333333333</v>
      </c>
      <c r="N67" s="19" t="n">
        <f aca="false">IF(N18&gt;0,N28/N18,0)</f>
        <v>49.3333333333333</v>
      </c>
      <c r="O67" s="19" t="n">
        <f aca="false">IF(O18&gt;0,O28/O18,0)</f>
        <v>49.3333333333333</v>
      </c>
      <c r="P67" s="19" t="n">
        <f aca="false">IF(P18&gt;0,P28/P18,0)</f>
        <v>49.3333333333333</v>
      </c>
      <c r="Q67" s="19" t="n">
        <f aca="false">IF(Q18&gt;0,Q28/Q18,0)</f>
        <v>49.3333333333333</v>
      </c>
      <c r="R67" s="19" t="n">
        <f aca="false">IF(R18&gt;0,R28/R18,0)</f>
        <v>49.3333333333333</v>
      </c>
      <c r="S67" s="19" t="n">
        <f aca="false">IF(S18&gt;0,S28/S18,0)</f>
        <v>49.3333333333333</v>
      </c>
      <c r="T67" s="19" t="n">
        <f aca="false">IF(T18&gt;0,T28/T18,0)</f>
        <v>49.3333333333333</v>
      </c>
      <c r="U67" s="19" t="n">
        <f aca="false">IF(U18&gt;0,U28/U18,0)</f>
        <v>49.3333333333333</v>
      </c>
      <c r="V67" s="19" t="n">
        <f aca="false">IF(V18&gt;0,V28/V18,0)</f>
        <v>49.3333333333333</v>
      </c>
      <c r="W67" s="19" t="n">
        <f aca="false">IF(W18&gt;0,W28/W18,0)</f>
        <v>49.3333333333333</v>
      </c>
      <c r="X67" s="19" t="n">
        <f aca="false">IF(X18&gt;0,X28/X18,0)</f>
        <v>49.3333333333333</v>
      </c>
      <c r="Y67" s="19" t="n">
        <f aca="false">IF(Y18&gt;0,Y28/Y18,0)</f>
        <v>49.3333333333333</v>
      </c>
      <c r="Z67" s="19" t="n">
        <f aca="false">IF(Z18&gt;0,Z28/Z18,0)</f>
        <v>49.3333333333333</v>
      </c>
      <c r="AA67" s="19" t="n">
        <f aca="false">IF(AA18&gt;0,AA28/AA18,0)</f>
        <v>49.3333333333333</v>
      </c>
      <c r="AB67" s="19" t="n">
        <f aca="false">IF(AB18&gt;0,AB28/AB18,0)</f>
        <v>49.3333333333333</v>
      </c>
      <c r="AC67" s="19" t="n">
        <f aca="false">IF(AC18&gt;0,AC28/AC18,0)</f>
        <v>49.3333333333333</v>
      </c>
      <c r="AD67" s="19" t="n">
        <f aca="false">IF(AD18&gt;0,AD28/AD18,0)</f>
        <v>49.3333333333333</v>
      </c>
      <c r="AE67" s="19" t="n">
        <f aca="false">IF(AE18&gt;0,AE28/AE18,0)</f>
        <v>49.3333333333333</v>
      </c>
      <c r="AF67" s="19" t="n">
        <f aca="false">IF(AF18&gt;0,AF28/AF18,0)</f>
        <v>49.3333333333333</v>
      </c>
      <c r="AG67" s="19" t="n">
        <f aca="false">IF(AG18&gt;0,AG28/AG18,0)</f>
        <v>49.3333333333333</v>
      </c>
      <c r="AH67" s="19" t="n">
        <f aca="false">IF(AH18&gt;0,AH28/AH18,0)</f>
        <v>49.3333333333333</v>
      </c>
      <c r="AI67" s="19" t="n">
        <f aca="false">IF(AI18&gt;0,AI28/AI18,0)</f>
        <v>49.3333333333333</v>
      </c>
      <c r="AJ67" s="19" t="n">
        <f aca="false">IF(AJ18&gt;0,AJ28/AJ18,0)</f>
        <v>49.3333333333333</v>
      </c>
      <c r="AK67" s="19" t="n">
        <f aca="false">IF(AK18&gt;0,AK28/AK18,0)</f>
        <v>49.3333333333333</v>
      </c>
      <c r="AL67" s="19" t="n">
        <f aca="false">IF(AL18&gt;0,AL28/AL18,0)</f>
        <v>49.3333333333333</v>
      </c>
      <c r="AN67" s="19" t="n">
        <f aca="false">N67</f>
        <v>49.3333333333333</v>
      </c>
      <c r="AO67" s="19" t="n">
        <f aca="false">Z67</f>
        <v>49.3333333333333</v>
      </c>
      <c r="AP67" s="19" t="n">
        <f aca="false">AL67</f>
        <v>49.3333333333333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33.40088</v>
      </c>
      <c r="F69" s="19" t="n">
        <f aca="false">IF(F18&gt;0,F37/F18,0)</f>
        <v>33.40088</v>
      </c>
      <c r="G69" s="19" t="n">
        <f aca="false">IF(G18&gt;0,G37/G18,0)</f>
        <v>33.40088</v>
      </c>
      <c r="H69" s="19" t="n">
        <f aca="false">IF(H18&gt;0,H37/H18,0)</f>
        <v>33.40088</v>
      </c>
      <c r="I69" s="19" t="n">
        <f aca="false">IF(I18&gt;0,I37/I18,0)</f>
        <v>33.40088</v>
      </c>
      <c r="J69" s="19" t="n">
        <f aca="false">IF(J18&gt;0,J37/J18,0)</f>
        <v>33.40088</v>
      </c>
      <c r="K69" s="19" t="n">
        <f aca="false">IF(K18&gt;0,K37/K18,0)</f>
        <v>33.40088</v>
      </c>
      <c r="L69" s="19" t="n">
        <f aca="false">IF(L18&gt;0,L37/L18,0)</f>
        <v>33.40088</v>
      </c>
      <c r="M69" s="19" t="n">
        <f aca="false">IF(M18&gt;0,M37/M18,0)</f>
        <v>33.40088</v>
      </c>
      <c r="N69" s="19" t="n">
        <f aca="false">IF(N18&gt;0,N37/N18,0)</f>
        <v>33.40088</v>
      </c>
      <c r="O69" s="19" t="n">
        <f aca="false">IF(O18&gt;0,O37/O18,0)</f>
        <v>33.40088</v>
      </c>
      <c r="P69" s="19" t="n">
        <f aca="false">IF(P18&gt;0,P37/P18,0)</f>
        <v>33.40088</v>
      </c>
      <c r="Q69" s="19" t="n">
        <f aca="false">IF(Q18&gt;0,Q37/Q18,0)</f>
        <v>33.40088</v>
      </c>
      <c r="R69" s="19" t="n">
        <f aca="false">IF(R18&gt;0,R37/R18,0)</f>
        <v>33.40088</v>
      </c>
      <c r="S69" s="19" t="n">
        <f aca="false">IF(S18&gt;0,S37/S18,0)</f>
        <v>33.40088</v>
      </c>
      <c r="T69" s="19" t="n">
        <f aca="false">IF(T18&gt;0,T37/T18,0)</f>
        <v>33.40088</v>
      </c>
      <c r="U69" s="19" t="n">
        <f aca="false">IF(U18&gt;0,U37/U18,0)</f>
        <v>33.40088</v>
      </c>
      <c r="V69" s="19" t="n">
        <f aca="false">IF(V18&gt;0,V37/V18,0)</f>
        <v>33.40088</v>
      </c>
      <c r="W69" s="19" t="n">
        <f aca="false">IF(W18&gt;0,W37/W18,0)</f>
        <v>33.40088</v>
      </c>
      <c r="X69" s="19" t="n">
        <f aca="false">IF(X18&gt;0,X37/X18,0)</f>
        <v>33.40088</v>
      </c>
      <c r="Y69" s="19" t="n">
        <f aca="false">IF(Y18&gt;0,Y37/Y18,0)</f>
        <v>33.40088</v>
      </c>
      <c r="Z69" s="19" t="n">
        <f aca="false">IF(Z18&gt;0,Z37/Z18,0)</f>
        <v>33.40088</v>
      </c>
      <c r="AA69" s="19" t="n">
        <f aca="false">IF(AA18&gt;0,AA37/AA18,0)</f>
        <v>33.40088</v>
      </c>
      <c r="AB69" s="19" t="n">
        <f aca="false">IF(AB18&gt;0,AB37/AB18,0)</f>
        <v>33.40088</v>
      </c>
      <c r="AC69" s="19" t="n">
        <f aca="false">IF(AC18&gt;0,AC37/AC18,0)</f>
        <v>33.40088</v>
      </c>
      <c r="AD69" s="19" t="n">
        <f aca="false">IF(AD18&gt;0,AD37/AD18,0)</f>
        <v>33.40088</v>
      </c>
      <c r="AE69" s="19" t="n">
        <f aca="false">IF(AE18&gt;0,AE37/AE18,0)</f>
        <v>33.40088</v>
      </c>
      <c r="AF69" s="19" t="n">
        <f aca="false">IF(AF18&gt;0,AF37/AF18,0)</f>
        <v>33.40088</v>
      </c>
      <c r="AG69" s="19" t="n">
        <f aca="false">IF(AG18&gt;0,AG37/AG18,0)</f>
        <v>33.40088</v>
      </c>
      <c r="AH69" s="19" t="n">
        <f aca="false">IF(AH18&gt;0,AH37/AH18,0)</f>
        <v>33.40088</v>
      </c>
      <c r="AI69" s="19" t="n">
        <f aca="false">IF(AI18&gt;0,AI37/AI18,0)</f>
        <v>33.40088</v>
      </c>
      <c r="AJ69" s="19" t="n">
        <f aca="false">IF(AJ18&gt;0,AJ37/AJ18,0)</f>
        <v>33.40088</v>
      </c>
      <c r="AK69" s="19" t="n">
        <f aca="false">IF(AK18&gt;0,AK37/AK18,0)</f>
        <v>33.40088</v>
      </c>
      <c r="AL69" s="19" t="n">
        <f aca="false">IF(AL18&gt;0,AL37/AL18,0)</f>
        <v>33.40088</v>
      </c>
      <c r="AN69" s="19" t="n">
        <f aca="false">N69</f>
        <v>33.40088</v>
      </c>
      <c r="AO69" s="19" t="n">
        <f aca="false">Z69</f>
        <v>33.40088</v>
      </c>
      <c r="AP69" s="19" t="n">
        <f aca="false">AL69</f>
        <v>33.40088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0.677044864864865</v>
      </c>
      <c r="F70" s="17" t="n">
        <f aca="false">IF(F28&gt;0,F37/F28,0)</f>
        <v>0.677044864864865</v>
      </c>
      <c r="G70" s="17" t="n">
        <f aca="false">IF(G28&gt;0,G37/G28,0)</f>
        <v>0.677044864864865</v>
      </c>
      <c r="H70" s="17" t="n">
        <f aca="false">IF(H28&gt;0,H37/H28,0)</f>
        <v>0.677044864864865</v>
      </c>
      <c r="I70" s="17" t="n">
        <f aca="false">IF(I28&gt;0,I37/I28,0)</f>
        <v>0.677044864864865</v>
      </c>
      <c r="J70" s="17" t="n">
        <f aca="false">IF(J28&gt;0,J37/J28,0)</f>
        <v>0.677044864864865</v>
      </c>
      <c r="K70" s="17" t="n">
        <f aca="false">IF(K28&gt;0,K37/K28,0)</f>
        <v>0.677044864864865</v>
      </c>
      <c r="L70" s="17" t="n">
        <f aca="false">IF(L28&gt;0,L37/L28,0)</f>
        <v>0.677044864864865</v>
      </c>
      <c r="M70" s="17" t="n">
        <f aca="false">IF(M28&gt;0,M37/M28,0)</f>
        <v>0.677044864864865</v>
      </c>
      <c r="N70" s="17" t="n">
        <f aca="false">IF(N28&gt;0,N37/N28,0)</f>
        <v>0.677044864864865</v>
      </c>
      <c r="O70" s="17" t="n">
        <f aca="false">IF(O28&gt;0,O37/O28,0)</f>
        <v>0.677044864864865</v>
      </c>
      <c r="P70" s="17" t="n">
        <f aca="false">IF(P28&gt;0,P37/P28,0)</f>
        <v>0.677044864864865</v>
      </c>
      <c r="Q70" s="17" t="n">
        <f aca="false">IF(Q28&gt;0,Q37/Q28,0)</f>
        <v>0.677044864864865</v>
      </c>
      <c r="R70" s="17" t="n">
        <f aca="false">IF(R28&gt;0,R37/R28,0)</f>
        <v>0.677044864864865</v>
      </c>
      <c r="S70" s="17" t="n">
        <f aca="false">IF(S28&gt;0,S37/S28,0)</f>
        <v>0.677044864864865</v>
      </c>
      <c r="T70" s="17" t="n">
        <f aca="false">IF(T28&gt;0,T37/T28,0)</f>
        <v>0.677044864864865</v>
      </c>
      <c r="U70" s="17" t="n">
        <f aca="false">IF(U28&gt;0,U37/U28,0)</f>
        <v>0.677044864864865</v>
      </c>
      <c r="V70" s="17" t="n">
        <f aca="false">IF(V28&gt;0,V37/V28,0)</f>
        <v>0.677044864864865</v>
      </c>
      <c r="W70" s="17" t="n">
        <f aca="false">IF(W28&gt;0,W37/W28,0)</f>
        <v>0.677044864864865</v>
      </c>
      <c r="X70" s="17" t="n">
        <f aca="false">IF(X28&gt;0,X37/X28,0)</f>
        <v>0.677044864864865</v>
      </c>
      <c r="Y70" s="17" t="n">
        <f aca="false">IF(Y28&gt;0,Y37/Y28,0)</f>
        <v>0.677044864864865</v>
      </c>
      <c r="Z70" s="17" t="n">
        <f aca="false">IF(Z28&gt;0,Z37/Z28,0)</f>
        <v>0.677044864864865</v>
      </c>
      <c r="AA70" s="17" t="n">
        <f aca="false">IF(AA28&gt;0,AA37/AA28,0)</f>
        <v>0.677044864864865</v>
      </c>
      <c r="AB70" s="17" t="n">
        <f aca="false">IF(AB28&gt;0,AB37/AB28,0)</f>
        <v>0.677044864864865</v>
      </c>
      <c r="AC70" s="17" t="n">
        <f aca="false">IF(AC28&gt;0,AC37/AC28,0)</f>
        <v>0.677044864864865</v>
      </c>
      <c r="AD70" s="17" t="n">
        <f aca="false">IF(AD28&gt;0,AD37/AD28,0)</f>
        <v>0.677044864864865</v>
      </c>
      <c r="AE70" s="17" t="n">
        <f aca="false">IF(AE28&gt;0,AE37/AE28,0)</f>
        <v>0.677044864864865</v>
      </c>
      <c r="AF70" s="17" t="n">
        <f aca="false">IF(AF28&gt;0,AF37/AF28,0)</f>
        <v>0.677044864864865</v>
      </c>
      <c r="AG70" s="17" t="n">
        <f aca="false">IF(AG28&gt;0,AG37/AG28,0)</f>
        <v>0.677044864864865</v>
      </c>
      <c r="AH70" s="17" t="n">
        <f aca="false">IF(AH28&gt;0,AH37/AH28,0)</f>
        <v>0.677044864864865</v>
      </c>
      <c r="AI70" s="17" t="n">
        <f aca="false">IF(AI28&gt;0,AI37/AI28,0)</f>
        <v>0.677044864864865</v>
      </c>
      <c r="AJ70" s="17" t="n">
        <f aca="false">IF(AJ28&gt;0,AJ37/AJ28,0)</f>
        <v>0.677044864864865</v>
      </c>
      <c r="AK70" s="17" t="n">
        <f aca="false">IF(AK28&gt;0,AK37/AK28,0)</f>
        <v>0.677044864864865</v>
      </c>
      <c r="AL70" s="17" t="n">
        <f aca="false">IF(AL28&gt;0,AL37/AL28,0)</f>
        <v>0.677044864864865</v>
      </c>
      <c r="AN70" s="17" t="n">
        <f aca="false">N70</f>
        <v>0.677044864864865</v>
      </c>
      <c r="AO70" s="17" t="n">
        <f aca="false">Z70</f>
        <v>0.677044864864865</v>
      </c>
      <c r="AP70" s="17" t="n">
        <f aca="false">AL70</f>
        <v>0.677044864864865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4.49089964096754</v>
      </c>
      <c r="F72" s="38" t="n">
        <f aca="false">IF(F69&gt;0,Hypothèses!$D$23*$E$4/F69,0)</f>
        <v>4.49089964096754</v>
      </c>
      <c r="G72" s="38" t="n">
        <f aca="false">IF(G69&gt;0,Hypothèses!$D$23*$E$4/G69,0)</f>
        <v>4.49089964096754</v>
      </c>
      <c r="H72" s="38" t="n">
        <f aca="false">IF(H69&gt;0,Hypothèses!$D$23*$E$4/H69,0)</f>
        <v>4.49089964096754</v>
      </c>
      <c r="I72" s="38" t="n">
        <f aca="false">IF(I69&gt;0,Hypothèses!$D$23*$E$4/I69,0)</f>
        <v>4.49089964096755</v>
      </c>
      <c r="J72" s="38" t="n">
        <f aca="false">IF(J69&gt;0,Hypothèses!$D$23*$E$4/J69,0)</f>
        <v>4.49089964096754</v>
      </c>
      <c r="K72" s="38" t="n">
        <f aca="false">IF(K69&gt;0,Hypothèses!$D$23*$E$4/K69,0)</f>
        <v>4.49089964096754</v>
      </c>
      <c r="L72" s="38" t="n">
        <f aca="false">IF(L69&gt;0,Hypothèses!$D$23*$E$4/L69,0)</f>
        <v>4.49089964096755</v>
      </c>
      <c r="M72" s="38" t="n">
        <f aca="false">IF(M69&gt;0,Hypothèses!$D$23*$E$4/M69,0)</f>
        <v>4.49089964096754</v>
      </c>
      <c r="N72" s="38" t="n">
        <f aca="false">IF(N69&gt;0,Hypothèses!$D$23*$E$4/N69,0)</f>
        <v>4.49089964096755</v>
      </c>
      <c r="O72" s="38" t="n">
        <f aca="false">IF(O69&gt;0,Hypothèses!$D$23*$E$4/O69,0)</f>
        <v>4.49089964096754</v>
      </c>
      <c r="P72" s="38" t="n">
        <f aca="false">IF(P69&gt;0,Hypothèses!$D$23*$E$4/P69,0)</f>
        <v>4.49089964096754</v>
      </c>
      <c r="Q72" s="38" t="n">
        <f aca="false">IF(Q69&gt;0,Hypothèses!$D$23*$E$4/Q69,0)</f>
        <v>4.49089964096754</v>
      </c>
      <c r="R72" s="38" t="n">
        <f aca="false">IF(R69&gt;0,Hypothèses!$D$23*$E$4/R69,0)</f>
        <v>4.49089964096754</v>
      </c>
      <c r="S72" s="38" t="n">
        <f aca="false">IF(S69&gt;0,Hypothèses!$D$23*$E$4/S69,0)</f>
        <v>4.49089964096754</v>
      </c>
      <c r="T72" s="38" t="n">
        <f aca="false">IF(T69&gt;0,Hypothèses!$D$23*$E$4/T69,0)</f>
        <v>4.49089964096754</v>
      </c>
      <c r="U72" s="38" t="n">
        <f aca="false">IF(U69&gt;0,Hypothèses!$D$23*$E$4/U69,0)</f>
        <v>4.49089964096755</v>
      </c>
      <c r="V72" s="38" t="n">
        <f aca="false">IF(V69&gt;0,Hypothèses!$D$23*$E$4/V69,0)</f>
        <v>4.49089964096754</v>
      </c>
      <c r="W72" s="38" t="n">
        <f aca="false">IF(W69&gt;0,Hypothèses!$D$23*$E$4/W69,0)</f>
        <v>4.49089964096754</v>
      </c>
      <c r="X72" s="38" t="n">
        <f aca="false">IF(X69&gt;0,Hypothèses!$D$23*$E$4/X69,0)</f>
        <v>4.49089964096754</v>
      </c>
      <c r="Y72" s="38" t="n">
        <f aca="false">IF(Y69&gt;0,Hypothèses!$D$23*$E$4/Y69,0)</f>
        <v>4.49089964096754</v>
      </c>
      <c r="Z72" s="38" t="n">
        <f aca="false">IF(Z69&gt;0,Hypothèses!$D$23*$E$4/Z69,0)</f>
        <v>4.49089964096754</v>
      </c>
      <c r="AA72" s="38" t="n">
        <f aca="false">IF(AA69&gt;0,Hypothèses!$D$23*$E$4/AA69,0)</f>
        <v>4.49089964096754</v>
      </c>
      <c r="AB72" s="38" t="n">
        <f aca="false">IF(AB69&gt;0,Hypothèses!$D$23*$E$4/AB69,0)</f>
        <v>4.49089964096754</v>
      </c>
      <c r="AC72" s="38" t="n">
        <f aca="false">IF(AC69&gt;0,Hypothèses!$D$23*$E$4/AC69,0)</f>
        <v>4.49089964096755</v>
      </c>
      <c r="AD72" s="38" t="n">
        <f aca="false">IF(AD69&gt;0,Hypothèses!$D$23*$E$4/AD69,0)</f>
        <v>4.49089964096754</v>
      </c>
      <c r="AE72" s="38" t="n">
        <f aca="false">IF(AE69&gt;0,Hypothèses!$D$23*$E$4/AE69,0)</f>
        <v>4.49089964096754</v>
      </c>
      <c r="AF72" s="38" t="n">
        <f aca="false">IF(AF69&gt;0,Hypothèses!$D$23*$E$4/AF69,0)</f>
        <v>4.49089964096755</v>
      </c>
      <c r="AG72" s="38" t="n">
        <f aca="false">IF(AG69&gt;0,Hypothèses!$D$23*$E$4/AG69,0)</f>
        <v>4.49089964096754</v>
      </c>
      <c r="AH72" s="38" t="n">
        <f aca="false">IF(AH69&gt;0,Hypothèses!$D$23*$E$4/AH69,0)</f>
        <v>4.49089964096755</v>
      </c>
      <c r="AI72" s="38" t="n">
        <f aca="false">IF(AI69&gt;0,Hypothèses!$D$23*$E$4/AI69,0)</f>
        <v>4.49089964096754</v>
      </c>
      <c r="AJ72" s="38" t="n">
        <f aca="false">IF(AJ69&gt;0,Hypothèses!$D$23*$E$4/AJ69,0)</f>
        <v>4.49089964096755</v>
      </c>
      <c r="AK72" s="38" t="n">
        <f aca="false">IF(AK69&gt;0,Hypothèses!$D$23*$E$4/AK69,0)</f>
        <v>4.49089964096755</v>
      </c>
      <c r="AL72" s="38" t="n">
        <f aca="false">IF(AL69&gt;0,Hypothèses!$D$23*$E$4/AL69,0)</f>
        <v>4.49089964096754</v>
      </c>
      <c r="AN72" s="38" t="n">
        <f aca="false">N72</f>
        <v>4.49089964096755</v>
      </c>
      <c r="AO72" s="38" t="n">
        <f aca="false">Z72</f>
        <v>4.49089964096754</v>
      </c>
      <c r="AP72" s="38" t="n">
        <f aca="false">AL72</f>
        <v>4.49089964096754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1113.36266666667</v>
      </c>
      <c r="F73" s="15" t="n">
        <f aca="false">IF(Hypothèses!$D$26*$D$4&gt;0,F69/(Hypothèses!$D$26*$D$4),0)</f>
        <v>1113.36266666667</v>
      </c>
      <c r="G73" s="15" t="n">
        <f aca="false">IF(Hypothèses!$D$26*$D$4&gt;0,G69/(Hypothèses!$D$26*$D$4),0)</f>
        <v>1113.36266666667</v>
      </c>
      <c r="H73" s="15" t="n">
        <f aca="false">IF(Hypothèses!$D$26*$D$4&gt;0,H69/(Hypothèses!$D$26*$D$4),0)</f>
        <v>1113.36266666667</v>
      </c>
      <c r="I73" s="15" t="n">
        <f aca="false">IF(Hypothèses!$D$26*$D$4&gt;0,I69/(Hypothèses!$D$26*$D$4),0)</f>
        <v>1113.36266666667</v>
      </c>
      <c r="J73" s="15" t="n">
        <f aca="false">IF(Hypothèses!$D$26*$D$4&gt;0,J69/(Hypothèses!$D$26*$D$4),0)</f>
        <v>1113.36266666667</v>
      </c>
      <c r="K73" s="15" t="n">
        <f aca="false">IF(Hypothèses!$D$26*$D$4&gt;0,K69/(Hypothèses!$D$26*$D$4),0)</f>
        <v>1113.36266666667</v>
      </c>
      <c r="L73" s="15" t="n">
        <f aca="false">IF(Hypothèses!$D$26*$D$4&gt;0,L69/(Hypothèses!$D$26*$D$4),0)</f>
        <v>1113.36266666667</v>
      </c>
      <c r="M73" s="15" t="n">
        <f aca="false">IF(Hypothèses!$D$26*$D$4&gt;0,M69/(Hypothèses!$D$26*$D$4),0)</f>
        <v>1113.36266666667</v>
      </c>
      <c r="N73" s="15" t="n">
        <f aca="false">IF(Hypothèses!$D$26*$D$4&gt;0,N69/(Hypothèses!$D$26*$D$4),0)</f>
        <v>1113.36266666667</v>
      </c>
      <c r="O73" s="15" t="n">
        <f aca="false">IF(Hypothèses!$D$26*$D$4&gt;0,O69/(Hypothèses!$D$26*$D$4),0)</f>
        <v>1113.36266666667</v>
      </c>
      <c r="P73" s="15" t="n">
        <f aca="false">IF(Hypothèses!$D$26*$D$4&gt;0,P69/(Hypothèses!$D$26*$D$4),0)</f>
        <v>1113.36266666667</v>
      </c>
      <c r="Q73" s="15" t="n">
        <f aca="false">IF(Hypothèses!$D$26*$D$4&gt;0,Q69/(Hypothèses!$D$26*$D$4),0)</f>
        <v>1113.36266666667</v>
      </c>
      <c r="R73" s="15" t="n">
        <f aca="false">IF(Hypothèses!$D$26*$D$4&gt;0,R69/(Hypothèses!$D$26*$D$4),0)</f>
        <v>1113.36266666667</v>
      </c>
      <c r="S73" s="15" t="n">
        <f aca="false">IF(Hypothèses!$D$26*$D$4&gt;0,S69/(Hypothèses!$D$26*$D$4),0)</f>
        <v>1113.36266666667</v>
      </c>
      <c r="T73" s="15" t="n">
        <f aca="false">IF(Hypothèses!$D$26*$D$4&gt;0,T69/(Hypothèses!$D$26*$D$4),0)</f>
        <v>1113.36266666667</v>
      </c>
      <c r="U73" s="15" t="n">
        <f aca="false">IF(Hypothèses!$D$26*$D$4&gt;0,U69/(Hypothèses!$D$26*$D$4),0)</f>
        <v>1113.36266666667</v>
      </c>
      <c r="V73" s="15" t="n">
        <f aca="false">IF(Hypothèses!$D$26*$D$4&gt;0,V69/(Hypothèses!$D$26*$D$4),0)</f>
        <v>1113.36266666667</v>
      </c>
      <c r="W73" s="15" t="n">
        <f aca="false">IF(Hypothèses!$D$26*$D$4&gt;0,W69/(Hypothèses!$D$26*$D$4),0)</f>
        <v>1113.36266666667</v>
      </c>
      <c r="X73" s="15" t="n">
        <f aca="false">IF(Hypothèses!$D$26*$D$4&gt;0,X69/(Hypothèses!$D$26*$D$4),0)</f>
        <v>1113.36266666667</v>
      </c>
      <c r="Y73" s="15" t="n">
        <f aca="false">IF(Hypothèses!$D$26*$D$4&gt;0,Y69/(Hypothèses!$D$26*$D$4),0)</f>
        <v>1113.36266666667</v>
      </c>
      <c r="Z73" s="15" t="n">
        <f aca="false">IF(Hypothèses!$D$26*$D$4&gt;0,Z69/(Hypothèses!$D$26*$D$4),0)</f>
        <v>1113.36266666667</v>
      </c>
      <c r="AA73" s="15" t="n">
        <f aca="false">IF(Hypothèses!$D$26*$D$4&gt;0,AA69/(Hypothèses!$D$26*$D$4),0)</f>
        <v>1113.36266666667</v>
      </c>
      <c r="AB73" s="15" t="n">
        <f aca="false">IF(Hypothèses!$D$26*$D$4&gt;0,AB69/(Hypothèses!$D$26*$D$4),0)</f>
        <v>1113.36266666667</v>
      </c>
      <c r="AC73" s="15" t="n">
        <f aca="false">IF(Hypothèses!$D$26*$D$4&gt;0,AC69/(Hypothèses!$D$26*$D$4),0)</f>
        <v>1113.36266666667</v>
      </c>
      <c r="AD73" s="15" t="n">
        <f aca="false">IF(Hypothèses!$D$26*$D$4&gt;0,AD69/(Hypothèses!$D$26*$D$4),0)</f>
        <v>1113.36266666667</v>
      </c>
      <c r="AE73" s="15" t="n">
        <f aca="false">IF(Hypothèses!$D$26*$D$4&gt;0,AE69/(Hypothèses!$D$26*$D$4),0)</f>
        <v>1113.36266666667</v>
      </c>
      <c r="AF73" s="15" t="n">
        <f aca="false">IF(Hypothèses!$D$26*$D$4&gt;0,AF69/(Hypothèses!$D$26*$D$4),0)</f>
        <v>1113.36266666667</v>
      </c>
      <c r="AG73" s="15" t="n">
        <f aca="false">IF(Hypothèses!$D$26*$D$4&gt;0,AG69/(Hypothèses!$D$26*$D$4),0)</f>
        <v>1113.36266666667</v>
      </c>
      <c r="AH73" s="15" t="n">
        <f aca="false">IF(Hypothèses!$D$26*$D$4&gt;0,AH69/(Hypothèses!$D$26*$D$4),0)</f>
        <v>1113.36266666667</v>
      </c>
      <c r="AI73" s="15" t="n">
        <f aca="false">IF(Hypothèses!$D$26*$D$4&gt;0,AI69/(Hypothèses!$D$26*$D$4),0)</f>
        <v>1113.36266666667</v>
      </c>
      <c r="AJ73" s="15" t="n">
        <f aca="false">IF(Hypothèses!$D$26*$D$4&gt;0,AJ69/(Hypothèses!$D$26*$D$4),0)</f>
        <v>1113.36266666667</v>
      </c>
      <c r="AK73" s="15" t="n">
        <f aca="false">IF(Hypothèses!$D$26*$D$4&gt;0,AK69/(Hypothèses!$D$26*$D$4),0)</f>
        <v>1113.36266666667</v>
      </c>
      <c r="AL73" s="15" t="n">
        <f aca="false">IF(Hypothèses!$D$26*$D$4&gt;0,AL69/(Hypothèses!$D$26*$D$4),0)</f>
        <v>1113.36266666667</v>
      </c>
      <c r="AN73" s="15" t="n">
        <f aca="false">N73</f>
        <v>1113.36266666667</v>
      </c>
      <c r="AO73" s="15" t="n">
        <f aca="false">Z73</f>
        <v>1113.36266666667</v>
      </c>
      <c r="AP73" s="15" t="n">
        <f aca="false">AL73</f>
        <v>1113.36266666667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7.42241777777778</v>
      </c>
      <c r="F74" s="41" t="n">
        <f aca="false">IF(Hypothèses!$D$23*$E$4&gt;0,F73/(Hypothèses!$D$23*$E$4),0)</f>
        <v>7.42241777777778</v>
      </c>
      <c r="G74" s="41" t="n">
        <f aca="false">IF(Hypothèses!$D$23*$E$4&gt;0,G73/(Hypothèses!$D$23*$E$4),0)</f>
        <v>7.42241777777778</v>
      </c>
      <c r="H74" s="41" t="n">
        <f aca="false">IF(Hypothèses!$D$23*$E$4&gt;0,H73/(Hypothèses!$D$23*$E$4),0)</f>
        <v>7.42241777777778</v>
      </c>
      <c r="I74" s="41" t="n">
        <f aca="false">IF(Hypothèses!$D$23*$E$4&gt;0,I73/(Hypothèses!$D$23*$E$4),0)</f>
        <v>7.42241777777778</v>
      </c>
      <c r="J74" s="41" t="n">
        <f aca="false">IF(Hypothèses!$D$23*$E$4&gt;0,J73/(Hypothèses!$D$23*$E$4),0)</f>
        <v>7.42241777777778</v>
      </c>
      <c r="K74" s="41" t="n">
        <f aca="false">IF(Hypothèses!$D$23*$E$4&gt;0,K73/(Hypothèses!$D$23*$E$4),0)</f>
        <v>7.42241777777778</v>
      </c>
      <c r="L74" s="41" t="n">
        <f aca="false">IF(Hypothèses!$D$23*$E$4&gt;0,L73/(Hypothèses!$D$23*$E$4),0)</f>
        <v>7.42241777777778</v>
      </c>
      <c r="M74" s="41" t="n">
        <f aca="false">IF(Hypothèses!$D$23*$E$4&gt;0,M73/(Hypothèses!$D$23*$E$4),0)</f>
        <v>7.42241777777778</v>
      </c>
      <c r="N74" s="41" t="n">
        <f aca="false">IF(Hypothèses!$D$23*$E$4&gt;0,N73/(Hypothèses!$D$23*$E$4),0)</f>
        <v>7.42241777777778</v>
      </c>
      <c r="O74" s="41" t="n">
        <f aca="false">IF(Hypothèses!$D$23*$E$4&gt;0,O73/(Hypothèses!$D$23*$E$4),0)</f>
        <v>7.42241777777778</v>
      </c>
      <c r="P74" s="41" t="n">
        <f aca="false">IF(Hypothèses!$D$23*$E$4&gt;0,P73/(Hypothèses!$D$23*$E$4),0)</f>
        <v>7.42241777777778</v>
      </c>
      <c r="Q74" s="41" t="n">
        <f aca="false">IF(Hypothèses!$D$23*$E$4&gt;0,Q73/(Hypothèses!$D$23*$E$4),0)</f>
        <v>7.42241777777778</v>
      </c>
      <c r="R74" s="41" t="n">
        <f aca="false">IF(Hypothèses!$D$23*$E$4&gt;0,R73/(Hypothèses!$D$23*$E$4),0)</f>
        <v>7.42241777777778</v>
      </c>
      <c r="S74" s="41" t="n">
        <f aca="false">IF(Hypothèses!$D$23*$E$4&gt;0,S73/(Hypothèses!$D$23*$E$4),0)</f>
        <v>7.42241777777778</v>
      </c>
      <c r="T74" s="41" t="n">
        <f aca="false">IF(Hypothèses!$D$23*$E$4&gt;0,T73/(Hypothèses!$D$23*$E$4),0)</f>
        <v>7.42241777777778</v>
      </c>
      <c r="U74" s="41" t="n">
        <f aca="false">IF(Hypothèses!$D$23*$E$4&gt;0,U73/(Hypothèses!$D$23*$E$4),0)</f>
        <v>7.42241777777778</v>
      </c>
      <c r="V74" s="41" t="n">
        <f aca="false">IF(Hypothèses!$D$23*$E$4&gt;0,V73/(Hypothèses!$D$23*$E$4),0)</f>
        <v>7.42241777777778</v>
      </c>
      <c r="W74" s="41" t="n">
        <f aca="false">IF(Hypothèses!$D$23*$E$4&gt;0,W73/(Hypothèses!$D$23*$E$4),0)</f>
        <v>7.42241777777778</v>
      </c>
      <c r="X74" s="41" t="n">
        <f aca="false">IF(Hypothèses!$D$23*$E$4&gt;0,X73/(Hypothèses!$D$23*$E$4),0)</f>
        <v>7.42241777777778</v>
      </c>
      <c r="Y74" s="41" t="n">
        <f aca="false">IF(Hypothèses!$D$23*$E$4&gt;0,Y73/(Hypothèses!$D$23*$E$4),0)</f>
        <v>7.42241777777778</v>
      </c>
      <c r="Z74" s="41" t="n">
        <f aca="false">IF(Hypothèses!$D$23*$E$4&gt;0,Z73/(Hypothèses!$D$23*$E$4),0)</f>
        <v>7.42241777777778</v>
      </c>
      <c r="AA74" s="41" t="n">
        <f aca="false">IF(Hypothèses!$D$23*$E$4&gt;0,AA73/(Hypothèses!$D$23*$E$4),0)</f>
        <v>7.42241777777778</v>
      </c>
      <c r="AB74" s="41" t="n">
        <f aca="false">IF(Hypothèses!$D$23*$E$4&gt;0,AB73/(Hypothèses!$D$23*$E$4),0)</f>
        <v>7.42241777777778</v>
      </c>
      <c r="AC74" s="41" t="n">
        <f aca="false">IF(Hypothèses!$D$23*$E$4&gt;0,AC73/(Hypothèses!$D$23*$E$4),0)</f>
        <v>7.42241777777778</v>
      </c>
      <c r="AD74" s="41" t="n">
        <f aca="false">IF(Hypothèses!$D$23*$E$4&gt;0,AD73/(Hypothèses!$D$23*$E$4),0)</f>
        <v>7.42241777777778</v>
      </c>
      <c r="AE74" s="41" t="n">
        <f aca="false">IF(Hypothèses!$D$23*$E$4&gt;0,AE73/(Hypothèses!$D$23*$E$4),0)</f>
        <v>7.42241777777778</v>
      </c>
      <c r="AF74" s="41" t="n">
        <f aca="false">IF(Hypothèses!$D$23*$E$4&gt;0,AF73/(Hypothèses!$D$23*$E$4),0)</f>
        <v>7.42241777777778</v>
      </c>
      <c r="AG74" s="41" t="n">
        <f aca="false">IF(Hypothèses!$D$23*$E$4&gt;0,AG73/(Hypothèses!$D$23*$E$4),0)</f>
        <v>7.42241777777778</v>
      </c>
      <c r="AH74" s="41" t="n">
        <f aca="false">IF(Hypothèses!$D$23*$E$4&gt;0,AH73/(Hypothèses!$D$23*$E$4),0)</f>
        <v>7.42241777777778</v>
      </c>
      <c r="AI74" s="41" t="n">
        <f aca="false">IF(Hypothèses!$D$23*$E$4&gt;0,AI73/(Hypothèses!$D$23*$E$4),0)</f>
        <v>7.42241777777778</v>
      </c>
      <c r="AJ74" s="41" t="n">
        <f aca="false">IF(Hypothèses!$D$23*$E$4&gt;0,AJ73/(Hypothèses!$D$23*$E$4),0)</f>
        <v>7.42241777777778</v>
      </c>
      <c r="AK74" s="41" t="n">
        <f aca="false">IF(Hypothèses!$D$23*$E$4&gt;0,AK73/(Hypothèses!$D$23*$E$4),0)</f>
        <v>7.42241777777778</v>
      </c>
      <c r="AL74" s="41" t="n">
        <f aca="false">IF(Hypothèses!$D$23*$E$4&gt;0,AL73/(Hypothèses!$D$23*$E$4),0)</f>
        <v>7.42241777777778</v>
      </c>
      <c r="AN74" s="41" t="n">
        <f aca="false">N74</f>
        <v>7.42241777777778</v>
      </c>
      <c r="AO74" s="41" t="n">
        <f aca="false">Z74</f>
        <v>7.42241777777778</v>
      </c>
      <c r="AP74" s="41" t="n">
        <f aca="false">AL74</f>
        <v>7.42241777777778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506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1.2</v>
      </c>
      <c r="D4" s="34" t="n">
        <v>1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29.0354627</v>
      </c>
      <c r="K13" s="38" t="n">
        <f aca="false">J18</f>
        <v>48.745108073</v>
      </c>
      <c r="L13" s="38" t="n">
        <f aca="false">K18</f>
        <v>68.25765699227</v>
      </c>
      <c r="M13" s="38" t="n">
        <f aca="false">L18</f>
        <v>87.5750804223473</v>
      </c>
      <c r="N13" s="38" t="n">
        <f aca="false">M18</f>
        <v>106.699329618124</v>
      </c>
      <c r="O13" s="38" t="n">
        <f aca="false">N18</f>
        <v>125.632336321943</v>
      </c>
      <c r="P13" s="38" t="n">
        <f aca="false">O18</f>
        <v>191.04267962539</v>
      </c>
      <c r="Q13" s="38" t="n">
        <f aca="false">P18</f>
        <v>255.798919495803</v>
      </c>
      <c r="R13" s="38" t="n">
        <f aca="false">Q18</f>
        <v>319.907596967511</v>
      </c>
      <c r="S13" s="38" t="n">
        <f aca="false">R18</f>
        <v>383.375187664503</v>
      </c>
      <c r="T13" s="38" t="n">
        <f aca="false">S18</f>
        <v>446.208102454524</v>
      </c>
      <c r="U13" s="38" t="n">
        <f aca="false">T18</f>
        <v>508.412688096646</v>
      </c>
      <c r="V13" s="38" t="n">
        <f aca="false">U18</f>
        <v>569.995227882346</v>
      </c>
      <c r="W13" s="38" t="n">
        <f aca="false">V18</f>
        <v>630.961942270189</v>
      </c>
      <c r="X13" s="38" t="n">
        <f aca="false">W18</f>
        <v>691.318989514154</v>
      </c>
      <c r="Y13" s="38" t="n">
        <f aca="false">X18</f>
        <v>751.072466285679</v>
      </c>
      <c r="Z13" s="38" t="n">
        <f aca="false">Y18</f>
        <v>810.228408289489</v>
      </c>
      <c r="AA13" s="38" t="n">
        <f aca="false">Z18</f>
        <v>868.792790873261</v>
      </c>
      <c r="AB13" s="38" t="n">
        <f aca="false">AA18</f>
        <v>1026.77152963119</v>
      </c>
      <c r="AC13" s="38" t="n">
        <f aca="false">AB18</f>
        <v>1183.17048100155</v>
      </c>
      <c r="AD13" s="38" t="n">
        <f aca="false">AC18</f>
        <v>1338.0054428582</v>
      </c>
      <c r="AE13" s="38" t="n">
        <f aca="false">AD18</f>
        <v>1491.29205509629</v>
      </c>
      <c r="AF13" s="38" t="n">
        <f aca="false">AE18</f>
        <v>1643.04580121199</v>
      </c>
      <c r="AG13" s="38" t="n">
        <f aca="false">AF18</f>
        <v>1793.28200986654</v>
      </c>
      <c r="AH13" s="38" t="n">
        <f aca="false">AG18</f>
        <v>1942.01585643454</v>
      </c>
      <c r="AI13" s="38" t="n">
        <f aca="false">AH18</f>
        <v>2089.26236453686</v>
      </c>
      <c r="AJ13" s="38" t="n">
        <f aca="false">AI18</f>
        <v>2235.03640755816</v>
      </c>
      <c r="AK13" s="38" t="n">
        <f aca="false">AJ18</f>
        <v>2379.35271014924</v>
      </c>
      <c r="AL13" s="38" t="n">
        <f aca="false">AK18</f>
        <v>2522.22584971442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0.580709254</v>
      </c>
      <c r="K16" s="38" t="n">
        <f aca="false">K9*K13*Hypothèses!$D$24</f>
        <v>0.97490216146</v>
      </c>
      <c r="L16" s="38" t="n">
        <f aca="false">L9*L13*Hypothèses!$D$24</f>
        <v>1.3651531398454</v>
      </c>
      <c r="M16" s="38" t="n">
        <f aca="false">M9*M13*Hypothèses!$D$24</f>
        <v>1.75150160844695</v>
      </c>
      <c r="N16" s="38" t="n">
        <f aca="false">N9*N13*Hypothèses!$D$24</f>
        <v>2.13398659236248</v>
      </c>
      <c r="O16" s="38" t="n">
        <f aca="false">O9*O13*Hypothèses!$D$24</f>
        <v>2.51264672643885</v>
      </c>
      <c r="P16" s="38" t="n">
        <f aca="false">P9*P13*Hypothèses!$D$24</f>
        <v>3.8208535925078</v>
      </c>
      <c r="Q16" s="38" t="n">
        <f aca="false">Q9*Q13*Hypothèses!$D$24</f>
        <v>5.11597838991605</v>
      </c>
      <c r="R16" s="38" t="n">
        <f aca="false">R9*R13*Hypothèses!$D$24</f>
        <v>6.39815193935023</v>
      </c>
      <c r="S16" s="38" t="n">
        <f aca="false">S9*S13*Hypothèses!$D$24</f>
        <v>7.66750375329006</v>
      </c>
      <c r="T16" s="38" t="n">
        <f aca="false">T9*T13*Hypothèses!$D$24</f>
        <v>8.92416204909049</v>
      </c>
      <c r="U16" s="38" t="n">
        <f aca="false">U9*U13*Hypothèses!$D$24</f>
        <v>10.1682537619329</v>
      </c>
      <c r="V16" s="38" t="n">
        <f aca="false">V9*V13*Hypothèses!$D$24</f>
        <v>11.3999045576469</v>
      </c>
      <c r="W16" s="38" t="n">
        <f aca="false">W9*W13*Hypothèses!$D$24</f>
        <v>12.6192388454038</v>
      </c>
      <c r="X16" s="38" t="n">
        <f aca="false">X9*X13*Hypothèses!$D$24</f>
        <v>13.8263797902831</v>
      </c>
      <c r="Y16" s="38" t="n">
        <f aca="false">Y9*Y13*Hypothèses!$D$24</f>
        <v>15.0214493257136</v>
      </c>
      <c r="Z16" s="38" t="n">
        <f aca="false">Z9*Z13*Hypothèses!$D$24</f>
        <v>16.2045681657898</v>
      </c>
      <c r="AA16" s="38" t="n">
        <f aca="false">AA9*AA13*Hypothèses!$D$24</f>
        <v>17.3758558174652</v>
      </c>
      <c r="AB16" s="38" t="n">
        <f aca="false">AB9*AB13*Hypothèses!$D$24</f>
        <v>20.5354305926239</v>
      </c>
      <c r="AC16" s="38" t="n">
        <f aca="false">AC9*AC13*Hypothèses!$D$24</f>
        <v>23.663409620031</v>
      </c>
      <c r="AD16" s="38" t="n">
        <f aca="false">AD9*AD13*Hypothèses!$D$24</f>
        <v>26.760108857164</v>
      </c>
      <c r="AE16" s="38" t="n">
        <f aca="false">AE9*AE13*Hypothèses!$D$24</f>
        <v>29.8258411019257</v>
      </c>
      <c r="AF16" s="38" t="n">
        <f aca="false">AF9*AF13*Hypothèses!$D$24</f>
        <v>32.8609160242398</v>
      </c>
      <c r="AG16" s="38" t="n">
        <f aca="false">AG9*AG13*Hypothèses!$D$24</f>
        <v>35.8656401973307</v>
      </c>
      <c r="AH16" s="38" t="n">
        <f aca="false">AH9*AH13*Hypothèses!$D$24</f>
        <v>38.8403171286907</v>
      </c>
      <c r="AI16" s="38" t="n">
        <f aca="false">AI9*AI13*Hypothèses!$D$24</f>
        <v>41.7852472907372</v>
      </c>
      <c r="AJ16" s="38" t="n">
        <f aca="false">AJ9*AJ13*Hypothèses!$D$24</f>
        <v>44.7007281511631</v>
      </c>
      <c r="AK16" s="38" t="n">
        <f aca="false">AK9*AK13*Hypothèses!$D$24</f>
        <v>47.5870542029848</v>
      </c>
      <c r="AL16" s="38" t="n">
        <f aca="false">AL9*AL13*Hypothèses!$D$24</f>
        <v>50.4445169942883</v>
      </c>
      <c r="AN16" s="38" t="n">
        <f aca="false">SUM(C16:N16)</f>
        <v>6.98878735611482</v>
      </c>
      <c r="AO16" s="38" t="n">
        <f aca="false">SUM(O16:Z16)</f>
        <v>113.679090897364</v>
      </c>
      <c r="AP16" s="38" t="n">
        <f aca="false">SUM(AA16:AL16)</f>
        <v>410.245065978645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0.871063881</v>
      </c>
      <c r="K17" s="38" t="n">
        <f aca="false">K13*Hypothèses!$D$26*$D$4</f>
        <v>1.46235324219</v>
      </c>
      <c r="L17" s="38" t="n">
        <f aca="false">L13*Hypothèses!$D$26*$D$4</f>
        <v>2.0477297097681</v>
      </c>
      <c r="M17" s="38" t="n">
        <f aca="false">M13*Hypothèses!$D$26*$D$4</f>
        <v>2.62725241267042</v>
      </c>
      <c r="N17" s="38" t="n">
        <f aca="false">N13*Hypothèses!$D$26*$D$4</f>
        <v>3.20097988854371</v>
      </c>
      <c r="O17" s="38" t="n">
        <f aca="false">O13*Hypothèses!$D$26*$D$4</f>
        <v>3.76897008965828</v>
      </c>
      <c r="P17" s="38" t="n">
        <f aca="false">P13*Hypothèses!$D$26*$D$4</f>
        <v>5.73128038876169</v>
      </c>
      <c r="Q17" s="38" t="n">
        <f aca="false">Q13*Hypothèses!$D$26*$D$4</f>
        <v>7.67396758487408</v>
      </c>
      <c r="R17" s="38" t="n">
        <f aca="false">R13*Hypothèses!$D$26*$D$4</f>
        <v>9.59722790902534</v>
      </c>
      <c r="S17" s="38" t="n">
        <f aca="false">S13*Hypothèses!$D$26*$D$4</f>
        <v>11.5012556299351</v>
      </c>
      <c r="T17" s="38" t="n">
        <f aca="false">T13*Hypothèses!$D$26*$D$4</f>
        <v>13.3862430736357</v>
      </c>
      <c r="U17" s="38" t="n">
        <f aca="false">U13*Hypothèses!$D$26*$D$4</f>
        <v>15.2523806428994</v>
      </c>
      <c r="V17" s="38" t="n">
        <f aca="false">V13*Hypothèses!$D$26*$D$4</f>
        <v>17.0998568364704</v>
      </c>
      <c r="W17" s="38" t="n">
        <f aca="false">W13*Hypothèses!$D$26*$D$4</f>
        <v>18.9288582681057</v>
      </c>
      <c r="X17" s="38" t="n">
        <f aca="false">X13*Hypothèses!$D$26*$D$4</f>
        <v>20.7395696854246</v>
      </c>
      <c r="Y17" s="38" t="n">
        <f aca="false">Y13*Hypothèses!$D$26*$D$4</f>
        <v>22.5321739885704</v>
      </c>
      <c r="Z17" s="38" t="n">
        <f aca="false">Z13*Hypothèses!$D$26*$D$4</f>
        <v>24.3068522486847</v>
      </c>
      <c r="AA17" s="38" t="n">
        <f aca="false">AA13*Hypothèses!$D$26*$D$4</f>
        <v>26.0637837261978</v>
      </c>
      <c r="AB17" s="38" t="n">
        <f aca="false">AB13*Hypothèses!$D$26*$D$4</f>
        <v>30.8031458889358</v>
      </c>
      <c r="AC17" s="38" t="n">
        <f aca="false">AC13*Hypothèses!$D$26*$D$4</f>
        <v>35.4951144300465</v>
      </c>
      <c r="AD17" s="38" t="n">
        <f aca="false">AD13*Hypothèses!$D$26*$D$4</f>
        <v>40.140163285746</v>
      </c>
      <c r="AE17" s="38" t="n">
        <f aca="false">AE13*Hypothèses!$D$26*$D$4</f>
        <v>44.7387616528886</v>
      </c>
      <c r="AF17" s="38" t="n">
        <f aca="false">AF13*Hypothèses!$D$26*$D$4</f>
        <v>49.2913740363597</v>
      </c>
      <c r="AG17" s="38" t="n">
        <f aca="false">AG13*Hypothèses!$D$26*$D$4</f>
        <v>53.7984602959961</v>
      </c>
      <c r="AH17" s="38" t="n">
        <f aca="false">AH13*Hypothèses!$D$26*$D$4</f>
        <v>58.2604756930361</v>
      </c>
      <c r="AI17" s="38" t="n">
        <f aca="false">AI13*Hypothèses!$D$26*$D$4</f>
        <v>62.6778709361058</v>
      </c>
      <c r="AJ17" s="38" t="n">
        <f aca="false">AJ13*Hypothèses!$D$26*$D$4</f>
        <v>67.0510922267447</v>
      </c>
      <c r="AK17" s="38" t="n">
        <f aca="false">AK13*Hypothèses!$D$26*$D$4</f>
        <v>71.3805813044773</v>
      </c>
      <c r="AL17" s="38" t="n">
        <f aca="false">AL13*Hypothèses!$D$26*$D$4</f>
        <v>75.6667754914325</v>
      </c>
      <c r="AN17" s="38" t="n">
        <f aca="false">SUM(C17:N17)</f>
        <v>11.3564510341722</v>
      </c>
      <c r="AO17" s="38" t="n">
        <f aca="false">SUM(O17:Z17)</f>
        <v>170.518636346045</v>
      </c>
      <c r="AP17" s="38" t="n">
        <f aca="false">SUM(AA17:AL17)</f>
        <v>615.367598967967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29.0354627</v>
      </c>
      <c r="J18" s="39" t="n">
        <f aca="false">J13+J14+J15+J16-J17</f>
        <v>48.745108073</v>
      </c>
      <c r="K18" s="39" t="n">
        <f aca="false">K13+K14+K15+K16-K17</f>
        <v>68.25765699227</v>
      </c>
      <c r="L18" s="39" t="n">
        <f aca="false">L13+L14+L15+L16-L17</f>
        <v>87.5750804223473</v>
      </c>
      <c r="M18" s="39" t="n">
        <f aca="false">M13+M14+M15+M16-M17</f>
        <v>106.699329618124</v>
      </c>
      <c r="N18" s="39" t="n">
        <f aca="false">N13+N14+N15+N16-N17</f>
        <v>125.632336321943</v>
      </c>
      <c r="O18" s="39" t="n">
        <f aca="false">O13+O14+O15+O16-O17</f>
        <v>191.04267962539</v>
      </c>
      <c r="P18" s="39" t="n">
        <f aca="false">P13+P14+P15+P16-P17</f>
        <v>255.798919495803</v>
      </c>
      <c r="Q18" s="39" t="n">
        <f aca="false">Q13+Q14+Q15+Q16-Q17</f>
        <v>319.907596967511</v>
      </c>
      <c r="R18" s="39" t="n">
        <f aca="false">R13+R14+R15+R16-R17</f>
        <v>383.375187664503</v>
      </c>
      <c r="S18" s="39" t="n">
        <f aca="false">S13+S14+S15+S16-S17</f>
        <v>446.208102454524</v>
      </c>
      <c r="T18" s="39" t="n">
        <f aca="false">T13+T14+T15+T16-T17</f>
        <v>508.412688096646</v>
      </c>
      <c r="U18" s="39" t="n">
        <f aca="false">U13+U14+U15+U16-U17</f>
        <v>569.995227882346</v>
      </c>
      <c r="V18" s="39" t="n">
        <f aca="false">V13+V14+V15+V16-V17</f>
        <v>630.961942270189</v>
      </c>
      <c r="W18" s="39" t="n">
        <f aca="false">W13+W14+W15+W16-W17</f>
        <v>691.318989514154</v>
      </c>
      <c r="X18" s="39" t="n">
        <f aca="false">X13+X14+X15+X16-X17</f>
        <v>751.072466285679</v>
      </c>
      <c r="Y18" s="39" t="n">
        <f aca="false">Y13+Y14+Y15+Y16-Y17</f>
        <v>810.228408289489</v>
      </c>
      <c r="Z18" s="39" t="n">
        <f aca="false">Z13+Z14+Z15+Z16-Z17</f>
        <v>868.792790873261</v>
      </c>
      <c r="AA18" s="39" t="n">
        <f aca="false">AA13+AA14+AA15+AA16-AA17</f>
        <v>1026.77152963119</v>
      </c>
      <c r="AB18" s="39" t="n">
        <f aca="false">AB13+AB14+AB15+AB16-AB17</f>
        <v>1183.17048100155</v>
      </c>
      <c r="AC18" s="39" t="n">
        <f aca="false">AC13+AC14+AC15+AC16-AC17</f>
        <v>1338.0054428582</v>
      </c>
      <c r="AD18" s="39" t="n">
        <f aca="false">AD13+AD14+AD15+AD16-AD17</f>
        <v>1491.29205509629</v>
      </c>
      <c r="AE18" s="39" t="n">
        <f aca="false">AE13+AE14+AE15+AE16-AE17</f>
        <v>1643.04580121199</v>
      </c>
      <c r="AF18" s="39" t="n">
        <f aca="false">AF13+AF14+AF15+AF16-AF17</f>
        <v>1793.28200986654</v>
      </c>
      <c r="AG18" s="39" t="n">
        <f aca="false">AG13+AG14+AG15+AG16-AG17</f>
        <v>1942.01585643454</v>
      </c>
      <c r="AH18" s="39" t="n">
        <f aca="false">AH13+AH14+AH15+AH16-AH17</f>
        <v>2089.26236453686</v>
      </c>
      <c r="AI18" s="39" t="n">
        <f aca="false">AI13+AI14+AI15+AI16-AI17</f>
        <v>2235.03640755816</v>
      </c>
      <c r="AJ18" s="39" t="n">
        <f aca="false">AJ13+AJ14+AJ15+AJ16-AJ17</f>
        <v>2379.35271014924</v>
      </c>
      <c r="AK18" s="39" t="n">
        <f aca="false">AK13+AK14+AK15+AK16-AK17</f>
        <v>2522.22584971442</v>
      </c>
      <c r="AL18" s="39" t="n">
        <f aca="false">AL13+AL14+AL15+AL16-AL17</f>
        <v>2663.67025788394</v>
      </c>
      <c r="AN18" s="39" t="n">
        <f aca="false">N18</f>
        <v>125.632336321943</v>
      </c>
      <c r="AO18" s="39" t="n">
        <f aca="false">Z18</f>
        <v>868.792790873261</v>
      </c>
      <c r="AP18" s="39" t="n">
        <f aca="false">AL18</f>
        <v>2663.67025788394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7.258865675</v>
      </c>
      <c r="J19" s="38" t="n">
        <f aca="false">J18*Hypothèses!$D$16</f>
        <v>12.18627701825</v>
      </c>
      <c r="K19" s="38" t="n">
        <f aca="false">K18*Hypothèses!$D$16</f>
        <v>17.0644142480675</v>
      </c>
      <c r="L19" s="38" t="n">
        <f aca="false">L18*Hypothèses!$D$16</f>
        <v>21.8937701055868</v>
      </c>
      <c r="M19" s="38" t="n">
        <f aca="false">M18*Hypothèses!$D$16</f>
        <v>26.674832404531</v>
      </c>
      <c r="N19" s="38" t="n">
        <f aca="false">N18*Hypothèses!$D$16</f>
        <v>31.4080840804856</v>
      </c>
      <c r="O19" s="38" t="n">
        <f aca="false">O18*Hypothèses!$D$16</f>
        <v>47.7606699063475</v>
      </c>
      <c r="P19" s="38" t="n">
        <f aca="false">P18*Hypothèses!$D$16</f>
        <v>63.9497298739506</v>
      </c>
      <c r="Q19" s="38" t="n">
        <f aca="false">Q18*Hypothèses!$D$16</f>
        <v>79.9768992418778</v>
      </c>
      <c r="R19" s="38" t="n">
        <f aca="false">R18*Hypothèses!$D$16</f>
        <v>95.8437969161257</v>
      </c>
      <c r="S19" s="38" t="n">
        <f aca="false">S18*Hypothèses!$D$16</f>
        <v>111.552025613631</v>
      </c>
      <c r="T19" s="38" t="n">
        <f aca="false">T18*Hypothèses!$D$16</f>
        <v>127.103172024161</v>
      </c>
      <c r="U19" s="38" t="n">
        <f aca="false">U18*Hypothèses!$D$16</f>
        <v>142.498806970587</v>
      </c>
      <c r="V19" s="38" t="n">
        <f aca="false">V18*Hypothèses!$D$16</f>
        <v>157.740485567547</v>
      </c>
      <c r="W19" s="38" t="n">
        <f aca="false">W18*Hypothèses!$D$16</f>
        <v>172.829747378538</v>
      </c>
      <c r="X19" s="38" t="n">
        <f aca="false">X18*Hypothèses!$D$16</f>
        <v>187.76811657142</v>
      </c>
      <c r="Y19" s="38" t="n">
        <f aca="false">Y18*Hypothèses!$D$16</f>
        <v>202.557102072372</v>
      </c>
      <c r="Z19" s="38" t="n">
        <f aca="false">Z18*Hypothèses!$D$16</f>
        <v>217.198197718315</v>
      </c>
      <c r="AA19" s="38" t="n">
        <f aca="false">AA18*Hypothèses!$D$16</f>
        <v>256.692882407799</v>
      </c>
      <c r="AB19" s="38" t="n">
        <f aca="false">AB18*Hypothèses!$D$16</f>
        <v>295.792620250387</v>
      </c>
      <c r="AC19" s="38" t="n">
        <f aca="false">AC18*Hypothèses!$D$16</f>
        <v>334.50136071455</v>
      </c>
      <c r="AD19" s="38" t="n">
        <f aca="false">AD18*Hypothèses!$D$16</f>
        <v>372.823013774071</v>
      </c>
      <c r="AE19" s="38" t="n">
        <f aca="false">AE18*Hypothèses!$D$16</f>
        <v>410.761450302997</v>
      </c>
      <c r="AF19" s="38" t="n">
        <f aca="false">AF18*Hypothèses!$D$16</f>
        <v>448.320502466634</v>
      </c>
      <c r="AG19" s="38" t="n">
        <f aca="false">AG18*Hypothèses!$D$16</f>
        <v>485.503964108634</v>
      </c>
      <c r="AH19" s="38" t="n">
        <f aca="false">AH18*Hypothèses!$D$16</f>
        <v>522.315591134215</v>
      </c>
      <c r="AI19" s="38" t="n">
        <f aca="false">AI18*Hypothèses!$D$16</f>
        <v>558.759101889539</v>
      </c>
      <c r="AJ19" s="38" t="n">
        <f aca="false">AJ18*Hypothèses!$D$16</f>
        <v>594.838177537311</v>
      </c>
      <c r="AK19" s="38" t="n">
        <f aca="false">AK18*Hypothèses!$D$16</f>
        <v>630.556462428604</v>
      </c>
      <c r="AL19" s="38" t="n">
        <f aca="false">AL18*Hypothèses!$D$16</f>
        <v>665.917564470985</v>
      </c>
      <c r="AN19" s="38" t="n">
        <f aca="false">N19</f>
        <v>31.4080840804856</v>
      </c>
      <c r="AO19" s="38" t="n">
        <f aca="false">Z19</f>
        <v>217.198197718315</v>
      </c>
      <c r="AP19" s="38" t="n">
        <f aca="false">AL19</f>
        <v>665.917564470985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17.42127762</v>
      </c>
      <c r="J20" s="38" t="n">
        <f aca="false">J18*Hypothèses!$D$17</f>
        <v>29.2470648438</v>
      </c>
      <c r="K20" s="38" t="n">
        <f aca="false">K18*Hypothèses!$D$17</f>
        <v>40.954594195362</v>
      </c>
      <c r="L20" s="38" t="n">
        <f aca="false">L18*Hypothèses!$D$17</f>
        <v>52.5450482534084</v>
      </c>
      <c r="M20" s="38" t="n">
        <f aca="false">M18*Hypothèses!$D$17</f>
        <v>64.0195977708743</v>
      </c>
      <c r="N20" s="38" t="n">
        <f aca="false">N18*Hypothèses!$D$17</f>
        <v>75.3794017931655</v>
      </c>
      <c r="O20" s="38" t="n">
        <f aca="false">O18*Hypothèses!$D$17</f>
        <v>114.625607775234</v>
      </c>
      <c r="P20" s="38" t="n">
        <f aca="false">P18*Hypothèses!$D$17</f>
        <v>153.479351697482</v>
      </c>
      <c r="Q20" s="38" t="n">
        <f aca="false">Q18*Hypothèses!$D$17</f>
        <v>191.944558180507</v>
      </c>
      <c r="R20" s="38" t="n">
        <f aca="false">R18*Hypothèses!$D$17</f>
        <v>230.025112598702</v>
      </c>
      <c r="S20" s="38" t="n">
        <f aca="false">S18*Hypothèses!$D$17</f>
        <v>267.724861472715</v>
      </c>
      <c r="T20" s="38" t="n">
        <f aca="false">T18*Hypothèses!$D$17</f>
        <v>305.047612857988</v>
      </c>
      <c r="U20" s="38" t="n">
        <f aca="false">U18*Hypothèses!$D$17</f>
        <v>341.997136729408</v>
      </c>
      <c r="V20" s="38" t="n">
        <f aca="false">V18*Hypothèses!$D$17</f>
        <v>378.577165362113</v>
      </c>
      <c r="W20" s="38" t="n">
        <f aca="false">W18*Hypothèses!$D$17</f>
        <v>414.791393708492</v>
      </c>
      <c r="X20" s="38" t="n">
        <f aca="false">X18*Hypothèses!$D$17</f>
        <v>450.643479771407</v>
      </c>
      <c r="Y20" s="38" t="n">
        <f aca="false">Y18*Hypothèses!$D$17</f>
        <v>486.137044973693</v>
      </c>
      <c r="Z20" s="38" t="n">
        <f aca="false">Z18*Hypothèses!$D$17</f>
        <v>521.275674523956</v>
      </c>
      <c r="AA20" s="38" t="n">
        <f aca="false">AA18*Hypothèses!$D$17</f>
        <v>616.062917778717</v>
      </c>
      <c r="AB20" s="38" t="n">
        <f aca="false">AB18*Hypothèses!$D$17</f>
        <v>709.90228860093</v>
      </c>
      <c r="AC20" s="38" t="n">
        <f aca="false">AC18*Hypothèses!$D$17</f>
        <v>802.80326571492</v>
      </c>
      <c r="AD20" s="38" t="n">
        <f aca="false">AD18*Hypothèses!$D$17</f>
        <v>894.775233057771</v>
      </c>
      <c r="AE20" s="38" t="n">
        <f aca="false">AE18*Hypothèses!$D$17</f>
        <v>985.827480727194</v>
      </c>
      <c r="AF20" s="38" t="n">
        <f aca="false">AF18*Hypothèses!$D$17</f>
        <v>1075.96920591992</v>
      </c>
      <c r="AG20" s="38" t="n">
        <f aca="false">AG18*Hypothèses!$D$17</f>
        <v>1165.20951386072</v>
      </c>
      <c r="AH20" s="38" t="n">
        <f aca="false">AH18*Hypothèses!$D$17</f>
        <v>1253.55741872212</v>
      </c>
      <c r="AI20" s="38" t="n">
        <f aca="false">AI18*Hypothèses!$D$17</f>
        <v>1341.02184453489</v>
      </c>
      <c r="AJ20" s="38" t="n">
        <f aca="false">AJ18*Hypothèses!$D$17</f>
        <v>1427.61162608955</v>
      </c>
      <c r="AK20" s="38" t="n">
        <f aca="false">AK18*Hypothèses!$D$17</f>
        <v>1513.33550982865</v>
      </c>
      <c r="AL20" s="38" t="n">
        <f aca="false">AL18*Hypothèses!$D$17</f>
        <v>1598.20215473036</v>
      </c>
      <c r="AN20" s="38" t="n">
        <f aca="false">N20</f>
        <v>75.3794017931655</v>
      </c>
      <c r="AO20" s="38" t="n">
        <f aca="false">Z20</f>
        <v>521.275674523956</v>
      </c>
      <c r="AP20" s="38" t="n">
        <f aca="false">AL20</f>
        <v>1598.20215473036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4.355319405</v>
      </c>
      <c r="J21" s="38" t="n">
        <f aca="false">J18*Hypothèses!$D$18</f>
        <v>7.31176621095</v>
      </c>
      <c r="K21" s="38" t="n">
        <f aca="false">K18*Hypothèses!$D$18</f>
        <v>10.2386485488405</v>
      </c>
      <c r="L21" s="38" t="n">
        <f aca="false">L18*Hypothèses!$D$18</f>
        <v>13.1362620633521</v>
      </c>
      <c r="M21" s="38" t="n">
        <f aca="false">M18*Hypothèses!$D$18</f>
        <v>16.0048994427186</v>
      </c>
      <c r="N21" s="38" t="n">
        <f aca="false">N18*Hypothèses!$D$18</f>
        <v>18.8448504482914</v>
      </c>
      <c r="O21" s="38" t="n">
        <f aca="false">O18*Hypothèses!$D$18</f>
        <v>28.6564019438085</v>
      </c>
      <c r="P21" s="38" t="n">
        <f aca="false">P18*Hypothèses!$D$18</f>
        <v>38.3698379243704</v>
      </c>
      <c r="Q21" s="38" t="n">
        <f aca="false">Q18*Hypothèses!$D$18</f>
        <v>47.9861395451267</v>
      </c>
      <c r="R21" s="38" t="n">
        <f aca="false">R18*Hypothèses!$D$18</f>
        <v>57.5062781496754</v>
      </c>
      <c r="S21" s="38" t="n">
        <f aca="false">S18*Hypothèses!$D$18</f>
        <v>66.9312153681787</v>
      </c>
      <c r="T21" s="38" t="n">
        <f aca="false">T18*Hypothèses!$D$18</f>
        <v>76.2619032144969</v>
      </c>
      <c r="U21" s="38" t="n">
        <f aca="false">U18*Hypothèses!$D$18</f>
        <v>85.4992841823519</v>
      </c>
      <c r="V21" s="38" t="n">
        <f aca="false">V18*Hypothèses!$D$18</f>
        <v>94.6442913405284</v>
      </c>
      <c r="W21" s="38" t="n">
        <f aca="false">W18*Hypothèses!$D$18</f>
        <v>103.697848427123</v>
      </c>
      <c r="X21" s="38" t="n">
        <f aca="false">X18*Hypothèses!$D$18</f>
        <v>112.660869942852</v>
      </c>
      <c r="Y21" s="38" t="n">
        <f aca="false">Y18*Hypothèses!$D$18</f>
        <v>121.534261243423</v>
      </c>
      <c r="Z21" s="38" t="n">
        <f aca="false">Z18*Hypothèses!$D$18</f>
        <v>130.318918630989</v>
      </c>
      <c r="AA21" s="38" t="n">
        <f aca="false">AA18*Hypothèses!$D$18</f>
        <v>154.015729444679</v>
      </c>
      <c r="AB21" s="38" t="n">
        <f aca="false">AB18*Hypothèses!$D$18</f>
        <v>177.475572150232</v>
      </c>
      <c r="AC21" s="38" t="n">
        <f aca="false">AC18*Hypothèses!$D$18</f>
        <v>200.70081642873</v>
      </c>
      <c r="AD21" s="38" t="n">
        <f aca="false">AD18*Hypothèses!$D$18</f>
        <v>223.693808264443</v>
      </c>
      <c r="AE21" s="38" t="n">
        <f aca="false">AE18*Hypothèses!$D$18</f>
        <v>246.456870181798</v>
      </c>
      <c r="AF21" s="38" t="n">
        <f aca="false">AF18*Hypothèses!$D$18</f>
        <v>268.99230147998</v>
      </c>
      <c r="AG21" s="38" t="n">
        <f aca="false">AG18*Hypothèses!$D$18</f>
        <v>291.302378465181</v>
      </c>
      <c r="AH21" s="38" t="n">
        <f aca="false">AH18*Hypothèses!$D$18</f>
        <v>313.389354680529</v>
      </c>
      <c r="AI21" s="38" t="n">
        <f aca="false">AI18*Hypothèses!$D$18</f>
        <v>335.255461133724</v>
      </c>
      <c r="AJ21" s="38" t="n">
        <f aca="false">AJ18*Hypothèses!$D$18</f>
        <v>356.902906522386</v>
      </c>
      <c r="AK21" s="38" t="n">
        <f aca="false">AK18*Hypothèses!$D$18</f>
        <v>378.333877457162</v>
      </c>
      <c r="AL21" s="38" t="n">
        <f aca="false">AL18*Hypothèses!$D$18</f>
        <v>399.550538682591</v>
      </c>
      <c r="AN21" s="38" t="n">
        <f aca="false">N21</f>
        <v>18.8448504482914</v>
      </c>
      <c r="AO21" s="38" t="n">
        <f aca="false">Z21</f>
        <v>130.318918630989</v>
      </c>
      <c r="AP21" s="38" t="n">
        <f aca="false">AL21</f>
        <v>399.550538682591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87</v>
      </c>
      <c r="F23" s="15" t="n">
        <f aca="false">F19*Hypothèses!$D$12*$C$4</f>
        <v>84.39</v>
      </c>
      <c r="G23" s="15" t="n">
        <f aca="false">G19*Hypothèses!$D$12*$C$4</f>
        <v>81.8583</v>
      </c>
      <c r="H23" s="15" t="n">
        <f aca="false">H19*Hypothèses!$D$12*$C$4</f>
        <v>79.402551</v>
      </c>
      <c r="I23" s="15" t="n">
        <f aca="false">I19*Hypothèses!$D$12*$C$4</f>
        <v>252.60852549</v>
      </c>
      <c r="J23" s="15" t="n">
        <f aca="false">J19*Hypothèses!$D$12*$C$4</f>
        <v>424.0824402351</v>
      </c>
      <c r="K23" s="15" t="n">
        <f aca="false">K19*Hypothèses!$D$12*$C$4</f>
        <v>593.841615832749</v>
      </c>
      <c r="L23" s="15" t="n">
        <f aca="false">L19*Hypothèses!$D$12*$C$4</f>
        <v>761.903199674421</v>
      </c>
      <c r="M23" s="15" t="n">
        <f aca="false">M19*Hypothèses!$D$12*$C$4</f>
        <v>928.284167677677</v>
      </c>
      <c r="N23" s="15" t="n">
        <f aca="false">N19*Hypothèses!$D$12*$C$4</f>
        <v>1093.0013260009</v>
      </c>
      <c r="O23" s="15" t="n">
        <f aca="false">O19*Hypothèses!$D$12*$C$4</f>
        <v>1662.07131274089</v>
      </c>
      <c r="P23" s="15" t="n">
        <f aca="false">P19*Hypothèses!$D$12*$C$4</f>
        <v>2225.45059961348</v>
      </c>
      <c r="Q23" s="15" t="n">
        <f aca="false">Q19*Hypothèses!$D$12*$C$4</f>
        <v>2783.19609361735</v>
      </c>
      <c r="R23" s="15" t="n">
        <f aca="false">R19*Hypothèses!$D$12*$C$4</f>
        <v>3335.36413268117</v>
      </c>
      <c r="S23" s="15" t="n">
        <f aca="false">S19*Hypothèses!$D$12*$C$4</f>
        <v>3882.01049135436</v>
      </c>
      <c r="T23" s="15" t="n">
        <f aca="false">T19*Hypothèses!$D$12*$C$4</f>
        <v>4423.19038644082</v>
      </c>
      <c r="U23" s="15" t="n">
        <f aca="false">U19*Hypothèses!$D$12*$C$4</f>
        <v>4958.95848257641</v>
      </c>
      <c r="V23" s="15" t="n">
        <f aca="false">V19*Hypothèses!$D$12*$C$4</f>
        <v>5489.36889775064</v>
      </c>
      <c r="W23" s="15" t="n">
        <f aca="false">W19*Hypothèses!$D$12*$C$4</f>
        <v>6014.47520877314</v>
      </c>
      <c r="X23" s="15" t="n">
        <f aca="false">X19*Hypothèses!$D$12*$C$4</f>
        <v>6534.33045668541</v>
      </c>
      <c r="Y23" s="15" t="n">
        <f aca="false">Y19*Hypothèses!$D$12*$C$4</f>
        <v>7048.98715211855</v>
      </c>
      <c r="Z23" s="15" t="n">
        <f aca="false">Z19*Hypothèses!$D$12*$C$4</f>
        <v>7558.49728059737</v>
      </c>
      <c r="AA23" s="15" t="n">
        <f aca="false">AA19*Hypothèses!$D$12*$C$4</f>
        <v>8932.91230779139</v>
      </c>
      <c r="AB23" s="15" t="n">
        <f aca="false">AB19*Hypothèses!$D$12*$C$4</f>
        <v>10293.5831847135</v>
      </c>
      <c r="AC23" s="15" t="n">
        <f aca="false">AC19*Hypothèses!$D$12*$C$4</f>
        <v>11640.6473528663</v>
      </c>
      <c r="AD23" s="15" t="n">
        <f aca="false">AD19*Hypothèses!$D$12*$C$4</f>
        <v>12974.2408793377</v>
      </c>
      <c r="AE23" s="15" t="n">
        <f aca="false">AE19*Hypothèses!$D$12*$C$4</f>
        <v>14294.4984705443</v>
      </c>
      <c r="AF23" s="15" t="n">
        <f aca="false">AF19*Hypothèses!$D$12*$C$4</f>
        <v>15601.5534858389</v>
      </c>
      <c r="AG23" s="15" t="n">
        <f aca="false">AG19*Hypothèses!$D$12*$C$4</f>
        <v>16895.5379509805</v>
      </c>
      <c r="AH23" s="15" t="n">
        <f aca="false">AH19*Hypothèses!$D$12*$C$4</f>
        <v>18176.5825714707</v>
      </c>
      <c r="AI23" s="15" t="n">
        <f aca="false">AI19*Hypothèses!$D$12*$C$4</f>
        <v>19444.816745756</v>
      </c>
      <c r="AJ23" s="15" t="n">
        <f aca="false">AJ19*Hypothèses!$D$12*$C$4</f>
        <v>20700.3685782984</v>
      </c>
      <c r="AK23" s="15" t="n">
        <f aca="false">AK19*Hypothèses!$D$12*$C$4</f>
        <v>21943.3648925154</v>
      </c>
      <c r="AL23" s="15" t="n">
        <f aca="false">AL19*Hypothèses!$D$12*$C$4</f>
        <v>23173.9312435903</v>
      </c>
      <c r="AN23" s="15" t="n">
        <f aca="false">SUM(C23:N23)</f>
        <v>4386.37212591085</v>
      </c>
      <c r="AO23" s="15" t="n">
        <f aca="false">SUM(O23:Z23)</f>
        <v>55915.9004949496</v>
      </c>
      <c r="AP23" s="15" t="n">
        <f aca="false">SUM(AA23:AL23)</f>
        <v>194072.037663703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568.8</v>
      </c>
      <c r="F24" s="15" t="n">
        <f aca="false">F20*Hypothèses!$D$13*$C$4</f>
        <v>551.736</v>
      </c>
      <c r="G24" s="15" t="n">
        <f aca="false">G20*Hypothèses!$D$13*$C$4</f>
        <v>535.18392</v>
      </c>
      <c r="H24" s="15" t="n">
        <f aca="false">H20*Hypothèses!$D$13*$C$4</f>
        <v>519.1284024</v>
      </c>
      <c r="I24" s="15" t="n">
        <f aca="false">I20*Hypothèses!$D$13*$C$4</f>
        <v>1651.537118376</v>
      </c>
      <c r="J24" s="15" t="n">
        <f aca="false">J20*Hypothèses!$D$13*$C$4</f>
        <v>2772.62174719224</v>
      </c>
      <c r="K24" s="15" t="n">
        <f aca="false">K20*Hypothèses!$D$13*$C$4</f>
        <v>3882.49552972032</v>
      </c>
      <c r="L24" s="15" t="n">
        <f aca="false">L20*Hypothèses!$D$13*$C$4</f>
        <v>4981.27057442311</v>
      </c>
      <c r="M24" s="15" t="n">
        <f aca="false">M20*Hypothèses!$D$13*$C$4</f>
        <v>6069.05786867888</v>
      </c>
      <c r="N24" s="15" t="n">
        <f aca="false">N20*Hypothèses!$D$13*$C$4</f>
        <v>7145.96728999209</v>
      </c>
      <c r="O24" s="15" t="n">
        <f aca="false">O20*Hypothèses!$D$13*$C$4</f>
        <v>10866.5076170922</v>
      </c>
      <c r="P24" s="15" t="n">
        <f aca="false">P20*Hypothèses!$D$13*$C$4</f>
        <v>14549.8425409212</v>
      </c>
      <c r="Q24" s="15" t="n">
        <f aca="false">Q20*Hypothèses!$D$13*$C$4</f>
        <v>18196.344115512</v>
      </c>
      <c r="R24" s="15" t="n">
        <f aca="false">R20*Hypothèses!$D$13*$C$4</f>
        <v>21806.3806743569</v>
      </c>
      <c r="S24" s="15" t="n">
        <f aca="false">S20*Hypothèses!$D$13*$C$4</f>
        <v>25380.3168676134</v>
      </c>
      <c r="T24" s="15" t="n">
        <f aca="false">T20*Hypothèses!$D$13*$C$4</f>
        <v>28918.5136989372</v>
      </c>
      <c r="U24" s="15" t="n">
        <f aca="false">U20*Hypothèses!$D$13*$C$4</f>
        <v>32421.3285619478</v>
      </c>
      <c r="V24" s="15" t="n">
        <f aca="false">V20*Hypothèses!$D$13*$C$4</f>
        <v>35889.1152763284</v>
      </c>
      <c r="W24" s="15" t="n">
        <f aca="false">W20*Hypothèses!$D$13*$C$4</f>
        <v>39322.2241235651</v>
      </c>
      <c r="X24" s="15" t="n">
        <f aca="false">X20*Hypothèses!$D$13*$C$4</f>
        <v>42721.0018823294</v>
      </c>
      <c r="Y24" s="15" t="n">
        <f aca="false">Y20*Hypothèses!$D$13*$C$4</f>
        <v>46085.7918635061</v>
      </c>
      <c r="Z24" s="15" t="n">
        <f aca="false">Z20*Hypothèses!$D$13*$C$4</f>
        <v>49416.9339448711</v>
      </c>
      <c r="AA24" s="15" t="n">
        <f aca="false">AA20*Hypothèses!$D$13*$C$4</f>
        <v>58402.7646054223</v>
      </c>
      <c r="AB24" s="15" t="n">
        <f aca="false">AB20*Hypothèses!$D$13*$C$4</f>
        <v>67298.7369593681</v>
      </c>
      <c r="AC24" s="15" t="n">
        <f aca="false">AC20*Hypothèses!$D$13*$C$4</f>
        <v>76105.7495897744</v>
      </c>
      <c r="AD24" s="15" t="n">
        <f aca="false">AD20*Hypothèses!$D$13*$C$4</f>
        <v>84824.6920938767</v>
      </c>
      <c r="AE24" s="15" t="n">
        <f aca="false">AE20*Hypothèses!$D$13*$C$4</f>
        <v>93456.4451729379</v>
      </c>
      <c r="AF24" s="15" t="n">
        <f aca="false">AF20*Hypothèses!$D$13*$C$4</f>
        <v>102001.880721209</v>
      </c>
      <c r="AG24" s="15" t="n">
        <f aca="false">AG20*Hypothèses!$D$13*$C$4</f>
        <v>110461.861913996</v>
      </c>
      <c r="AH24" s="15" t="n">
        <f aca="false">AH20*Hypothèses!$D$13*$C$4</f>
        <v>118837.243294857</v>
      </c>
      <c r="AI24" s="15" t="n">
        <f aca="false">AI20*Hypothèses!$D$13*$C$4</f>
        <v>127128.870861908</v>
      </c>
      <c r="AJ24" s="15" t="n">
        <f aca="false">AJ20*Hypothèses!$D$13*$C$4</f>
        <v>135337.582153289</v>
      </c>
      <c r="AK24" s="15" t="n">
        <f aca="false">AK20*Hypothèses!$D$13*$C$4</f>
        <v>143464.206331756</v>
      </c>
      <c r="AL24" s="15" t="n">
        <f aca="false">AL20*Hypothèses!$D$13*$C$4</f>
        <v>151509.564268438</v>
      </c>
      <c r="AN24" s="15" t="n">
        <f aca="false">SUM(C24:N24)</f>
        <v>28677.7984507826</v>
      </c>
      <c r="AO24" s="15" t="n">
        <f aca="false">SUM(O24:Z24)</f>
        <v>365574.301166981</v>
      </c>
      <c r="AP24" s="15" t="n">
        <f aca="false">SUM(AA24:AL24)</f>
        <v>1268829.59796683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232.2</v>
      </c>
      <c r="F25" s="15" t="n">
        <f aca="false">F21*Hypothèses!$D$14*$C$4</f>
        <v>225.234</v>
      </c>
      <c r="G25" s="15" t="n">
        <f aca="false">G21*Hypothèses!$D$14*$C$4</f>
        <v>218.47698</v>
      </c>
      <c r="H25" s="15" t="n">
        <f aca="false">H21*Hypothèses!$D$14*$C$4</f>
        <v>211.9226706</v>
      </c>
      <c r="I25" s="15" t="n">
        <f aca="false">I21*Hypothèses!$D$14*$C$4</f>
        <v>674.203443894</v>
      </c>
      <c r="J25" s="15" t="n">
        <f aca="false">J21*Hypothèses!$D$14*$C$4</f>
        <v>1131.86140945506</v>
      </c>
      <c r="K25" s="15" t="n">
        <f aca="false">K21*Hypothèses!$D$14*$C$4</f>
        <v>1584.94279536051</v>
      </c>
      <c r="L25" s="15" t="n">
        <f aca="false">L21*Hypothèses!$D$14*$C$4</f>
        <v>2033.4933674069</v>
      </c>
      <c r="M25" s="15" t="n">
        <f aca="false">M21*Hypothèses!$D$14*$C$4</f>
        <v>2477.55843373283</v>
      </c>
      <c r="N25" s="15" t="n">
        <f aca="false">N21*Hypothèses!$D$14*$C$4</f>
        <v>2917.18284939551</v>
      </c>
      <c r="O25" s="15" t="n">
        <f aca="false">O21*Hypothèses!$D$14*$C$4</f>
        <v>4436.01102090155</v>
      </c>
      <c r="P25" s="15" t="n">
        <f aca="false">P21*Hypothèses!$D$14*$C$4</f>
        <v>5939.65091069254</v>
      </c>
      <c r="Q25" s="15" t="n">
        <f aca="false">Q21*Hypothèses!$D$14*$C$4</f>
        <v>7428.25440158561</v>
      </c>
      <c r="R25" s="15" t="n">
        <f aca="false">R21*Hypothèses!$D$14*$C$4</f>
        <v>8901.97185756975</v>
      </c>
      <c r="S25" s="15" t="n">
        <f aca="false">S21*Hypothèses!$D$14*$C$4</f>
        <v>10360.9521389941</v>
      </c>
      <c r="T25" s="15" t="n">
        <f aca="false">T21*Hypothèses!$D$14*$C$4</f>
        <v>11805.3426176041</v>
      </c>
      <c r="U25" s="15" t="n">
        <f aca="false">U21*Hypothèses!$D$14*$C$4</f>
        <v>13235.2891914281</v>
      </c>
      <c r="V25" s="15" t="n">
        <f aca="false">V21*Hypothèses!$D$14*$C$4</f>
        <v>14650.9362995138</v>
      </c>
      <c r="W25" s="15" t="n">
        <f aca="false">W21*Hypothèses!$D$14*$C$4</f>
        <v>16052.4269365187</v>
      </c>
      <c r="X25" s="15" t="n">
        <f aca="false">X21*Hypothèses!$D$14*$C$4</f>
        <v>17439.9026671535</v>
      </c>
      <c r="Y25" s="15" t="n">
        <f aca="false">Y21*Hypothèses!$D$14*$C$4</f>
        <v>18813.5036404819</v>
      </c>
      <c r="Z25" s="15" t="n">
        <f aca="false">Z21*Hypothèses!$D$14*$C$4</f>
        <v>20173.3686040771</v>
      </c>
      <c r="AA25" s="15" t="n">
        <f aca="false">AA21*Hypothèses!$D$14*$C$4</f>
        <v>23841.6349180363</v>
      </c>
      <c r="AB25" s="15" t="n">
        <f aca="false">AB21*Hypothèses!$D$14*$C$4</f>
        <v>27473.218568856</v>
      </c>
      <c r="AC25" s="15" t="n">
        <f aca="false">AC21*Hypothèses!$D$14*$C$4</f>
        <v>31068.4863831674</v>
      </c>
      <c r="AD25" s="15" t="n">
        <f aca="false">AD21*Hypothèses!$D$14*$C$4</f>
        <v>34627.8015193357</v>
      </c>
      <c r="AE25" s="15" t="n">
        <f aca="false">AE21*Hypothèses!$D$14*$C$4</f>
        <v>38151.5235041424</v>
      </c>
      <c r="AF25" s="15" t="n">
        <f aca="false">AF21*Hypothèses!$D$14*$C$4</f>
        <v>41640.008269101</v>
      </c>
      <c r="AG25" s="15" t="n">
        <f aca="false">AG21*Hypothèses!$D$14*$C$4</f>
        <v>45093.60818641</v>
      </c>
      <c r="AH25" s="15" t="n">
        <f aca="false">AH21*Hypothèses!$D$14*$C$4</f>
        <v>48512.6721045459</v>
      </c>
      <c r="AI25" s="15" t="n">
        <f aca="false">AI21*Hypothèses!$D$14*$C$4</f>
        <v>51897.5453835004</v>
      </c>
      <c r="AJ25" s="15" t="n">
        <f aca="false">AJ21*Hypothèses!$D$14*$C$4</f>
        <v>55248.5699296654</v>
      </c>
      <c r="AK25" s="15" t="n">
        <f aca="false">AK21*Hypothèses!$D$14*$C$4</f>
        <v>58566.0842303687</v>
      </c>
      <c r="AL25" s="15" t="n">
        <f aca="false">AL21*Hypothèses!$D$14*$C$4</f>
        <v>61850.423388065</v>
      </c>
      <c r="AN25" s="15" t="n">
        <f aca="false">SUM(C25:N25)</f>
        <v>11707.0759498448</v>
      </c>
      <c r="AO25" s="15" t="n">
        <f aca="false">SUM(O25:Z25)</f>
        <v>149237.610286521</v>
      </c>
      <c r="AP25" s="15" t="n">
        <f aca="false">SUM(AA25:AL25)</f>
        <v>517971.576385194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888</v>
      </c>
      <c r="F26" s="40" t="n">
        <f aca="false">F23+F24+F25</f>
        <v>861.36</v>
      </c>
      <c r="G26" s="40" t="n">
        <f aca="false">G23+G24+G25</f>
        <v>835.5192</v>
      </c>
      <c r="H26" s="40" t="n">
        <f aca="false">H23+H24+H25</f>
        <v>810.453624</v>
      </c>
      <c r="I26" s="40" t="n">
        <f aca="false">I23+I24+I25</f>
        <v>2578.34908776</v>
      </c>
      <c r="J26" s="40" t="n">
        <f aca="false">J23+J24+J25</f>
        <v>4328.5655968824</v>
      </c>
      <c r="K26" s="40" t="n">
        <f aca="false">K23+K24+K25</f>
        <v>6061.27994091358</v>
      </c>
      <c r="L26" s="40" t="n">
        <f aca="false">L23+L24+L25</f>
        <v>7776.66714150444</v>
      </c>
      <c r="M26" s="40" t="n">
        <f aca="false">M23+M24+M25</f>
        <v>9474.90047008939</v>
      </c>
      <c r="N26" s="40" t="n">
        <f aca="false">N23+N24+N25</f>
        <v>11156.1514653885</v>
      </c>
      <c r="O26" s="40" t="n">
        <f aca="false">O23+O24+O25</f>
        <v>16964.5899507346</v>
      </c>
      <c r="P26" s="40" t="n">
        <f aca="false">P23+P24+P25</f>
        <v>22714.9440512273</v>
      </c>
      <c r="Q26" s="40" t="n">
        <f aca="false">Q23+Q24+Q25</f>
        <v>28407.794610715</v>
      </c>
      <c r="R26" s="40" t="n">
        <f aca="false">R23+R24+R25</f>
        <v>34043.7166646079</v>
      </c>
      <c r="S26" s="40" t="n">
        <f aca="false">S23+S24+S25</f>
        <v>39623.2794979618</v>
      </c>
      <c r="T26" s="40" t="n">
        <f aca="false">T23+T24+T25</f>
        <v>45147.0467029821</v>
      </c>
      <c r="U26" s="40" t="n">
        <f aca="false">U23+U24+U25</f>
        <v>50615.5762359523</v>
      </c>
      <c r="V26" s="40" t="n">
        <f aca="false">V23+V24+V25</f>
        <v>56029.4204735928</v>
      </c>
      <c r="W26" s="40" t="n">
        <f aca="false">W23+W24+W25</f>
        <v>61389.1262688569</v>
      </c>
      <c r="X26" s="40" t="n">
        <f aca="false">X23+X24+X25</f>
        <v>66695.2350061683</v>
      </c>
      <c r="Y26" s="40" t="n">
        <f aca="false">Y23+Y24+Y25</f>
        <v>71948.2826561066</v>
      </c>
      <c r="Z26" s="40" t="n">
        <f aca="false">Z23+Z24+Z25</f>
        <v>77148.7998295455</v>
      </c>
      <c r="AA26" s="40" t="n">
        <f aca="false">AA23+AA24+AA25</f>
        <v>91177.3118312501</v>
      </c>
      <c r="AB26" s="40" t="n">
        <f aca="false">AB23+AB24+AB25</f>
        <v>105065.538712938</v>
      </c>
      <c r="AC26" s="40" t="n">
        <f aca="false">AC23+AC24+AC25</f>
        <v>118814.883325808</v>
      </c>
      <c r="AD26" s="40" t="n">
        <f aca="false">AD23+AD24+AD25</f>
        <v>132426.73449255</v>
      </c>
      <c r="AE26" s="40" t="n">
        <f aca="false">AE23+AE24+AE25</f>
        <v>145902.467147625</v>
      </c>
      <c r="AF26" s="40" t="n">
        <f aca="false">AF23+AF24+AF25</f>
        <v>159243.442476148</v>
      </c>
      <c r="AG26" s="40" t="n">
        <f aca="false">AG23+AG24+AG25</f>
        <v>172451.008051387</v>
      </c>
      <c r="AH26" s="40" t="n">
        <f aca="false">AH23+AH24+AH25</f>
        <v>185526.497970873</v>
      </c>
      <c r="AI26" s="40" t="n">
        <f aca="false">AI23+AI24+AI25</f>
        <v>198471.232991164</v>
      </c>
      <c r="AJ26" s="40" t="n">
        <f aca="false">AJ23+AJ24+AJ25</f>
        <v>211286.520661253</v>
      </c>
      <c r="AK26" s="40" t="n">
        <f aca="false">AK23+AK24+AK25</f>
        <v>223973.65545464</v>
      </c>
      <c r="AL26" s="40" t="n">
        <f aca="false">AL23+AL24+AL25</f>
        <v>236533.918900094</v>
      </c>
      <c r="AN26" s="40" t="n">
        <f aca="false">SUM(C26:N26)</f>
        <v>44771.2465265383</v>
      </c>
      <c r="AO26" s="40" t="n">
        <f aca="false">SUM(O26:Z26)</f>
        <v>570727.811948451</v>
      </c>
      <c r="AP26" s="40" t="n">
        <f aca="false">SUM(AA26:AL26)</f>
        <v>1980873.21201573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148</v>
      </c>
      <c r="F27" s="15" t="n">
        <f aca="false">F26*Hypothèses!$D$15/(1+Hypothèses!$D$15)</f>
        <v>143.56</v>
      </c>
      <c r="G27" s="15" t="n">
        <f aca="false">G26*Hypothèses!$D$15/(1+Hypothèses!$D$15)</f>
        <v>139.2532</v>
      </c>
      <c r="H27" s="15" t="n">
        <f aca="false">H26*Hypothèses!$D$15/(1+Hypothèses!$D$15)</f>
        <v>135.075604</v>
      </c>
      <c r="I27" s="15" t="n">
        <f aca="false">I26*Hypothèses!$D$15/(1+Hypothèses!$D$15)</f>
        <v>429.72484796</v>
      </c>
      <c r="J27" s="15" t="n">
        <f aca="false">J26*Hypothèses!$D$15/(1+Hypothèses!$D$15)</f>
        <v>721.4275994804</v>
      </c>
      <c r="K27" s="15" t="n">
        <f aca="false">K26*Hypothèses!$D$15/(1+Hypothèses!$D$15)</f>
        <v>1010.2133234856</v>
      </c>
      <c r="L27" s="15" t="n">
        <f aca="false">L26*Hypothèses!$D$15/(1+Hypothèses!$D$15)</f>
        <v>1296.11119025074</v>
      </c>
      <c r="M27" s="15" t="n">
        <f aca="false">M26*Hypothèses!$D$15/(1+Hypothèses!$D$15)</f>
        <v>1579.15007834823</v>
      </c>
      <c r="N27" s="15" t="n">
        <f aca="false">N26*Hypothèses!$D$15/(1+Hypothèses!$D$15)</f>
        <v>1859.35857756475</v>
      </c>
      <c r="O27" s="15" t="n">
        <f aca="false">O26*Hypothèses!$D$15/(1+Hypothèses!$D$15)</f>
        <v>2827.43165845577</v>
      </c>
      <c r="P27" s="15" t="n">
        <f aca="false">P26*Hypothèses!$D$15/(1+Hypothèses!$D$15)</f>
        <v>3785.82400853788</v>
      </c>
      <c r="Q27" s="15" t="n">
        <f aca="false">Q26*Hypothèses!$D$15/(1+Hypothèses!$D$15)</f>
        <v>4734.63243511917</v>
      </c>
      <c r="R27" s="15" t="n">
        <f aca="false">R26*Hypothèses!$D$15/(1+Hypothèses!$D$15)</f>
        <v>5673.95277743464</v>
      </c>
      <c r="S27" s="15" t="n">
        <f aca="false">S26*Hypothèses!$D$15/(1+Hypothèses!$D$15)</f>
        <v>6603.87991632696</v>
      </c>
      <c r="T27" s="15" t="n">
        <f aca="false">T26*Hypothèses!$D$15/(1+Hypothèses!$D$15)</f>
        <v>7524.50778383036</v>
      </c>
      <c r="U27" s="15" t="n">
        <f aca="false">U26*Hypothèses!$D$15/(1+Hypothèses!$D$15)</f>
        <v>8435.92937265872</v>
      </c>
      <c r="V27" s="15" t="n">
        <f aca="false">V26*Hypothèses!$D$15/(1+Hypothèses!$D$15)</f>
        <v>9338.2367455988</v>
      </c>
      <c r="W27" s="15" t="n">
        <f aca="false">W26*Hypothèses!$D$15/(1+Hypothèses!$D$15)</f>
        <v>10231.5210448095</v>
      </c>
      <c r="X27" s="15" t="n">
        <f aca="false">X26*Hypothèses!$D$15/(1+Hypothèses!$D$15)</f>
        <v>11115.872501028</v>
      </c>
      <c r="Y27" s="15" t="n">
        <f aca="false">Y26*Hypothèses!$D$15/(1+Hypothèses!$D$15)</f>
        <v>11991.3804426844</v>
      </c>
      <c r="Z27" s="15" t="n">
        <f aca="false">Z26*Hypothèses!$D$15/(1+Hypothèses!$D$15)</f>
        <v>12858.1333049243</v>
      </c>
      <c r="AA27" s="15" t="n">
        <f aca="false">AA26*Hypothèses!$D$15/(1+Hypothèses!$D$15)</f>
        <v>15196.2186385417</v>
      </c>
      <c r="AB27" s="15" t="n">
        <f aca="false">AB26*Hypothèses!$D$15/(1+Hypothèses!$D$15)</f>
        <v>17510.9231188229</v>
      </c>
      <c r="AC27" s="15" t="n">
        <f aca="false">AC26*Hypothèses!$D$15/(1+Hypothèses!$D$15)</f>
        <v>19802.4805543014</v>
      </c>
      <c r="AD27" s="15" t="n">
        <f aca="false">AD26*Hypothèses!$D$15/(1+Hypothèses!$D$15)</f>
        <v>22071.122415425</v>
      </c>
      <c r="AE27" s="15" t="n">
        <f aca="false">AE26*Hypothèses!$D$15/(1+Hypothèses!$D$15)</f>
        <v>24317.0778579374</v>
      </c>
      <c r="AF27" s="15" t="n">
        <f aca="false">AF26*Hypothèses!$D$15/(1+Hypothèses!$D$15)</f>
        <v>26540.5737460247</v>
      </c>
      <c r="AG27" s="15" t="n">
        <f aca="false">AG26*Hypothèses!$D$15/(1+Hypothèses!$D$15)</f>
        <v>28741.8346752312</v>
      </c>
      <c r="AH27" s="15" t="n">
        <f aca="false">AH26*Hypothèses!$D$15/(1+Hypothèses!$D$15)</f>
        <v>30921.0829951455</v>
      </c>
      <c r="AI27" s="15" t="n">
        <f aca="false">AI26*Hypothèses!$D$15/(1+Hypothèses!$D$15)</f>
        <v>33078.5388318607</v>
      </c>
      <c r="AJ27" s="15" t="n">
        <f aca="false">AJ26*Hypothèses!$D$15/(1+Hypothèses!$D$15)</f>
        <v>35214.4201102088</v>
      </c>
      <c r="AK27" s="15" t="n">
        <f aca="false">AK26*Hypothèses!$D$15/(1+Hypothèses!$D$15)</f>
        <v>37328.9425757734</v>
      </c>
      <c r="AL27" s="15" t="n">
        <f aca="false">AL26*Hypothèses!$D$15/(1+Hypothèses!$D$15)</f>
        <v>39422.3198166823</v>
      </c>
      <c r="AN27" s="15" t="n">
        <f aca="false">SUM(C27:N27)</f>
        <v>7461.87442108972</v>
      </c>
      <c r="AO27" s="15" t="n">
        <f aca="false">SUM(O27:Z27)</f>
        <v>95121.3019914085</v>
      </c>
      <c r="AP27" s="15" t="n">
        <f aca="false">SUM(AA27:AL27)</f>
        <v>330145.535335955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740</v>
      </c>
      <c r="F28" s="40" t="n">
        <f aca="false">F26-F27</f>
        <v>717.8</v>
      </c>
      <c r="G28" s="40" t="n">
        <f aca="false">G26-G27</f>
        <v>696.266</v>
      </c>
      <c r="H28" s="40" t="n">
        <f aca="false">H26-H27</f>
        <v>675.37802</v>
      </c>
      <c r="I28" s="40" t="n">
        <f aca="false">I26-I27</f>
        <v>2148.6242398</v>
      </c>
      <c r="J28" s="40" t="n">
        <f aca="false">J26-J27</f>
        <v>3607.137997402</v>
      </c>
      <c r="K28" s="40" t="n">
        <f aca="false">K26-K27</f>
        <v>5051.06661742798</v>
      </c>
      <c r="L28" s="40" t="n">
        <f aca="false">L26-L27</f>
        <v>6480.5559512537</v>
      </c>
      <c r="M28" s="40" t="n">
        <f aca="false">M26-M27</f>
        <v>7895.75039174116</v>
      </c>
      <c r="N28" s="40" t="n">
        <f aca="false">N26-N27</f>
        <v>9296.79288782375</v>
      </c>
      <c r="O28" s="40" t="n">
        <f aca="false">O26-O27</f>
        <v>14137.1582922788</v>
      </c>
      <c r="P28" s="40" t="n">
        <f aca="false">P26-P27</f>
        <v>18929.1200426894</v>
      </c>
      <c r="Q28" s="40" t="n">
        <f aca="false">Q26-Q27</f>
        <v>23673.1621755958</v>
      </c>
      <c r="R28" s="40" t="n">
        <f aca="false">R26-R27</f>
        <v>28369.7638871732</v>
      </c>
      <c r="S28" s="40" t="n">
        <f aca="false">S26-S27</f>
        <v>33019.3995816348</v>
      </c>
      <c r="T28" s="40" t="n">
        <f aca="false">T26-T27</f>
        <v>37622.5389191518</v>
      </c>
      <c r="U28" s="40" t="n">
        <f aca="false">U26-U27</f>
        <v>42179.6468632936</v>
      </c>
      <c r="V28" s="40" t="n">
        <f aca="false">V26-V27</f>
        <v>46691.183727994</v>
      </c>
      <c r="W28" s="40" t="n">
        <f aca="false">W26-W27</f>
        <v>51157.6052240474</v>
      </c>
      <c r="X28" s="40" t="n">
        <f aca="false">X26-X27</f>
        <v>55579.3625051402</v>
      </c>
      <c r="Y28" s="40" t="n">
        <f aca="false">Y26-Y27</f>
        <v>59956.9022134222</v>
      </c>
      <c r="Z28" s="40" t="n">
        <f aca="false">Z26-Z27</f>
        <v>64290.6665246213</v>
      </c>
      <c r="AA28" s="40" t="n">
        <f aca="false">AA26-AA27</f>
        <v>75981.0931927084</v>
      </c>
      <c r="AB28" s="40" t="n">
        <f aca="false">AB26-AB27</f>
        <v>87554.6155941146</v>
      </c>
      <c r="AC28" s="40" t="n">
        <f aca="false">AC26-AC27</f>
        <v>99012.4027715068</v>
      </c>
      <c r="AD28" s="40" t="n">
        <f aca="false">AD26-AD27</f>
        <v>110355.612077125</v>
      </c>
      <c r="AE28" s="40" t="n">
        <f aca="false">AE26-AE27</f>
        <v>121585.389289687</v>
      </c>
      <c r="AF28" s="40" t="n">
        <f aca="false">AF26-AF27</f>
        <v>132702.868730124</v>
      </c>
      <c r="AG28" s="40" t="n">
        <f aca="false">AG26-AG27</f>
        <v>143709.173376156</v>
      </c>
      <c r="AH28" s="40" t="n">
        <f aca="false">AH26-AH27</f>
        <v>154605.414975728</v>
      </c>
      <c r="AI28" s="40" t="n">
        <f aca="false">AI26-AI27</f>
        <v>165392.694159304</v>
      </c>
      <c r="AJ28" s="40" t="n">
        <f aca="false">AJ26-AJ27</f>
        <v>176072.100551044</v>
      </c>
      <c r="AK28" s="40" t="n">
        <f aca="false">AK26-AK27</f>
        <v>186644.712878867</v>
      </c>
      <c r="AL28" s="40" t="n">
        <f aca="false">AL26-AL27</f>
        <v>197111.599083411</v>
      </c>
      <c r="AN28" s="40" t="n">
        <f aca="false">SUM(C28:N28)</f>
        <v>37309.3721054486</v>
      </c>
      <c r="AO28" s="40" t="n">
        <f aca="false">SUM(O28:Z28)</f>
        <v>475606.509957042</v>
      </c>
      <c r="AP28" s="40" t="n">
        <f aca="false">SUM(AA28:AL28)</f>
        <v>1650727.67667977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8.88</v>
      </c>
      <c r="F29" s="15" t="n">
        <f aca="false">F26*Hypothèses!$D$27</f>
        <v>8.6136</v>
      </c>
      <c r="G29" s="15" t="n">
        <f aca="false">G26*Hypothèses!$D$27</f>
        <v>8.355192</v>
      </c>
      <c r="H29" s="15" t="n">
        <f aca="false">H26*Hypothèses!$D$27</f>
        <v>8.10453624</v>
      </c>
      <c r="I29" s="15" t="n">
        <f aca="false">I26*Hypothèses!$D$27</f>
        <v>25.7834908776</v>
      </c>
      <c r="J29" s="15" t="n">
        <f aca="false">J26*Hypothèses!$D$27</f>
        <v>43.285655968824</v>
      </c>
      <c r="K29" s="15" t="n">
        <f aca="false">K26*Hypothèses!$D$27</f>
        <v>60.6127994091358</v>
      </c>
      <c r="L29" s="15" t="n">
        <f aca="false">L26*Hypothèses!$D$27</f>
        <v>77.7666714150444</v>
      </c>
      <c r="M29" s="15" t="n">
        <f aca="false">M26*Hypothèses!$D$27</f>
        <v>94.7490047008939</v>
      </c>
      <c r="N29" s="15" t="n">
        <f aca="false">N26*Hypothèses!$D$27</f>
        <v>111.561514653885</v>
      </c>
      <c r="O29" s="15" t="n">
        <f aca="false">O26*Hypothèses!$D$27</f>
        <v>169.645899507346</v>
      </c>
      <c r="P29" s="15" t="n">
        <f aca="false">P26*Hypothèses!$D$27</f>
        <v>227.149440512273</v>
      </c>
      <c r="Q29" s="15" t="n">
        <f aca="false">Q26*Hypothèses!$D$27</f>
        <v>284.07794610715</v>
      </c>
      <c r="R29" s="15" t="n">
        <f aca="false">R26*Hypothèses!$D$27</f>
        <v>340.437166646079</v>
      </c>
      <c r="S29" s="15" t="n">
        <f aca="false">S26*Hypothèses!$D$27</f>
        <v>396.232794979618</v>
      </c>
      <c r="T29" s="15" t="n">
        <f aca="false">T26*Hypothèses!$D$27</f>
        <v>451.470467029821</v>
      </c>
      <c r="U29" s="15" t="n">
        <f aca="false">U26*Hypothèses!$D$27</f>
        <v>506.155762359523</v>
      </c>
      <c r="V29" s="15" t="n">
        <f aca="false">V26*Hypothèses!$D$27</f>
        <v>560.294204735928</v>
      </c>
      <c r="W29" s="15" t="n">
        <f aca="false">W26*Hypothèses!$D$27</f>
        <v>613.891262688569</v>
      </c>
      <c r="X29" s="15" t="n">
        <f aca="false">X26*Hypothèses!$D$27</f>
        <v>666.952350061683</v>
      </c>
      <c r="Y29" s="15" t="n">
        <f aca="false">Y26*Hypothèses!$D$27</f>
        <v>719.482826561066</v>
      </c>
      <c r="Z29" s="15" t="n">
        <f aca="false">Z26*Hypothèses!$D$27</f>
        <v>771.487998295455</v>
      </c>
      <c r="AA29" s="15" t="n">
        <f aca="false">AA26*Hypothèses!$D$27</f>
        <v>911.773118312501</v>
      </c>
      <c r="AB29" s="15" t="n">
        <f aca="false">AB26*Hypothèses!$D$27</f>
        <v>1050.65538712938</v>
      </c>
      <c r="AC29" s="15" t="n">
        <f aca="false">AC26*Hypothèses!$D$27</f>
        <v>1188.14883325808</v>
      </c>
      <c r="AD29" s="15" t="n">
        <f aca="false">AD26*Hypothèses!$D$27</f>
        <v>1324.2673449255</v>
      </c>
      <c r="AE29" s="15" t="n">
        <f aca="false">AE26*Hypothèses!$D$27</f>
        <v>1459.02467147625</v>
      </c>
      <c r="AF29" s="15" t="n">
        <f aca="false">AF26*Hypothèses!$D$27</f>
        <v>1592.43442476148</v>
      </c>
      <c r="AG29" s="15" t="n">
        <f aca="false">AG26*Hypothèses!$D$27</f>
        <v>1724.51008051387</v>
      </c>
      <c r="AH29" s="15" t="n">
        <f aca="false">AH26*Hypothèses!$D$27</f>
        <v>1855.26497970873</v>
      </c>
      <c r="AI29" s="15" t="n">
        <f aca="false">AI26*Hypothèses!$D$27</f>
        <v>1984.71232991164</v>
      </c>
      <c r="AJ29" s="15" t="n">
        <f aca="false">AJ26*Hypothèses!$D$27</f>
        <v>2112.86520661253</v>
      </c>
      <c r="AK29" s="15" t="n">
        <f aca="false">AK26*Hypothèses!$D$27</f>
        <v>2239.7365545464</v>
      </c>
      <c r="AL29" s="15" t="n">
        <f aca="false">AL26*Hypothèses!$D$27</f>
        <v>2365.33918900094</v>
      </c>
      <c r="AN29" s="15" t="n">
        <f aca="false">SUM(C29:N29)</f>
        <v>447.712465265383</v>
      </c>
      <c r="AO29" s="15" t="n">
        <f aca="false">SUM(O29:Z29)</f>
        <v>5707.27811948451</v>
      </c>
      <c r="AP29" s="15" t="n">
        <f aca="false">SUM(AA29:AL29)</f>
        <v>19808.7321201573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15.6868</v>
      </c>
      <c r="F30" s="15" t="n">
        <f aca="false">(F26-F29)*Hypothèses!$D$28+F18*Hypothèses!$D$29</f>
        <v>15.216196</v>
      </c>
      <c r="G30" s="15" t="n">
        <f aca="false">(G26-G29)*Hypothèses!$D$28+G18*Hypothèses!$D$29</f>
        <v>14.75971012</v>
      </c>
      <c r="H30" s="15" t="n">
        <f aca="false">(H26-H29)*Hypothèses!$D$28+H18*Hypothèses!$D$29</f>
        <v>14.3169188164</v>
      </c>
      <c r="I30" s="15" t="n">
        <f aca="false">(I26-I29)*Hypothèses!$D$28+I18*Hypothèses!$D$29</f>
        <v>45.547349628236</v>
      </c>
      <c r="J30" s="15" t="n">
        <f aca="false">(J26-J29)*Hypothèses!$D$28+J18*Hypothèses!$D$29</f>
        <v>76.4654761319536</v>
      </c>
      <c r="K30" s="15" t="n">
        <f aca="false">(K26-K29)*Hypothèses!$D$28+K18*Hypothèses!$D$29</f>
        <v>107.074421370634</v>
      </c>
      <c r="L30" s="15" t="n">
        <f aca="false">(L26-L29)*Hypothèses!$D$28+L18*Hypothèses!$D$29</f>
        <v>137.377277156928</v>
      </c>
      <c r="M30" s="15" t="n">
        <f aca="false">(M26-M29)*Hypothèses!$D$28+M18*Hypothèses!$D$29</f>
        <v>167.377104385358</v>
      </c>
      <c r="N30" s="15" t="n">
        <f aca="false">(N26-N29)*Hypothèses!$D$28+N18*Hypothèses!$D$29</f>
        <v>197.076933341505</v>
      </c>
      <c r="O30" s="15" t="n">
        <f aca="false">(O26-O29)*Hypothèses!$D$28+O18*Hypothèses!$D$29</f>
        <v>299.684830674757</v>
      </c>
      <c r="P30" s="15" t="n">
        <f aca="false">(P26-P29)*Hypothèses!$D$28+P18*Hypothèses!$D$29</f>
        <v>401.266649034676</v>
      </c>
      <c r="Q30" s="15" t="n">
        <f aca="false">(Q26-Q29)*Hypothèses!$D$28+Q18*Hypothèses!$D$29</f>
        <v>501.832649210996</v>
      </c>
      <c r="R30" s="15" t="n">
        <f aca="false">(R26-R29)*Hypothèses!$D$28+R18*Hypothèses!$D$29</f>
        <v>601.392989385552</v>
      </c>
      <c r="S30" s="15" t="n">
        <f aca="false">(S26-S29)*Hypothèses!$D$28+S18*Hypothèses!$D$29</f>
        <v>699.957726158363</v>
      </c>
      <c r="T30" s="15" t="n">
        <f aca="false">(T26-T29)*Hypothèses!$D$28+T18*Hypothèses!$D$29</f>
        <v>797.536815563446</v>
      </c>
      <c r="U30" s="15" t="n">
        <f aca="false">(U26-U29)*Hypothèses!$D$28+U18*Hypothèses!$D$29</f>
        <v>894.140114074478</v>
      </c>
      <c r="V30" s="15" t="n">
        <f aca="false">(V26-V29)*Hypothèses!$D$28+V18*Hypothèses!$D$29</f>
        <v>989.7773796004</v>
      </c>
      <c r="W30" s="15" t="n">
        <f aca="false">(W26-W29)*Hypothèses!$D$28+W18*Hypothèses!$D$29</f>
        <v>1084.45827247106</v>
      </c>
      <c r="X30" s="15" t="n">
        <f aca="false">(X26-X29)*Hypothèses!$D$28+X18*Hypothèses!$D$29</f>
        <v>1178.19235641302</v>
      </c>
      <c r="Y30" s="15" t="n">
        <f aca="false">(Y26-Y29)*Hypothèses!$D$28+Y18*Hypothèses!$D$29</f>
        <v>1270.98909951556</v>
      </c>
      <c r="Z30" s="15" t="n">
        <f aca="false">(Z26-Z29)*Hypothèses!$D$28+Z18*Hypothèses!$D$29</f>
        <v>1362.85787518707</v>
      </c>
      <c r="AA30" s="15" t="n">
        <f aca="false">(AA26-AA29)*Hypothèses!$D$28+AA18*Hypothèses!$D$29</f>
        <v>1610.67596310186</v>
      </c>
      <c r="AB30" s="15" t="n">
        <f aca="false">(AB26-AB29)*Hypothèses!$D$28+AB18*Hypothèses!$D$29</f>
        <v>1856.01587013751</v>
      </c>
      <c r="AC30" s="15" t="n">
        <f aca="false">(AC26-AC29)*Hypothèses!$D$28+AC18*Hypothèses!$D$29</f>
        <v>2098.9023781028</v>
      </c>
      <c r="AD30" s="15" t="n">
        <f aca="false">(AD26-AD29)*Hypothèses!$D$28+AD18*Hypothèses!$D$29</f>
        <v>2339.36002098844</v>
      </c>
      <c r="AE30" s="15" t="n">
        <f aca="false">(AE26-AE29)*Hypothèses!$D$28+AE18*Hypothèses!$D$29</f>
        <v>2577.41308744522</v>
      </c>
      <c r="AF30" s="15" t="n">
        <f aca="false">(AF26-AF29)*Hypothèses!$D$28+AF18*Hypothèses!$D$29</f>
        <v>2813.08562323744</v>
      </c>
      <c r="AG30" s="15" t="n">
        <f aca="false">(AG26-AG29)*Hypothèses!$D$28+AG18*Hypothèses!$D$29</f>
        <v>3046.40143367173</v>
      </c>
      <c r="AH30" s="15" t="n">
        <f aca="false">(AH26-AH29)*Hypothèses!$D$28+AH18*Hypothèses!$D$29</f>
        <v>3277.38408600168</v>
      </c>
      <c r="AI30" s="15" t="n">
        <f aca="false">(AI26-AI29)*Hypothèses!$D$28+AI18*Hypothèses!$D$29</f>
        <v>3506.05691180833</v>
      </c>
      <c r="AJ30" s="15" t="n">
        <f aca="false">(AJ26-AJ29)*Hypothèses!$D$28+AJ18*Hypothèses!$D$29</f>
        <v>3732.44300935691</v>
      </c>
      <c r="AK30" s="15" t="n">
        <f aca="false">(AK26-AK29)*Hypothèses!$D$28+AK18*Hypothèses!$D$29</f>
        <v>3956.56524593001</v>
      </c>
      <c r="AL30" s="15" t="n">
        <f aca="false">(AL26-AL29)*Hypothèses!$D$28+AL18*Hypothèses!$D$29</f>
        <v>4178.44626013738</v>
      </c>
      <c r="AN30" s="15" t="n">
        <f aca="false">SUM(C30:N30)</f>
        <v>790.898186951015</v>
      </c>
      <c r="AO30" s="15" t="n">
        <f aca="false">SUM(O30:Z30)</f>
        <v>10082.0867572894</v>
      </c>
      <c r="AP30" s="15" t="n">
        <f aca="false">SUM(AA30:AL30)</f>
        <v>34992.7498899193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863.4332</v>
      </c>
      <c r="F31" s="40" t="n">
        <f aca="false">F26-F29-F30</f>
        <v>837.530204</v>
      </c>
      <c r="G31" s="40" t="n">
        <f aca="false">G26-G29-G30</f>
        <v>812.40429788</v>
      </c>
      <c r="H31" s="40" t="n">
        <f aca="false">H26-H29-H30</f>
        <v>788.0321689436</v>
      </c>
      <c r="I31" s="40" t="n">
        <f aca="false">I26-I29-I30</f>
        <v>2507.01824725416</v>
      </c>
      <c r="J31" s="40" t="n">
        <f aca="false">J26-J29-J30</f>
        <v>4208.81446478162</v>
      </c>
      <c r="K31" s="40" t="n">
        <f aca="false">K26-K29-K30</f>
        <v>5893.59272013381</v>
      </c>
      <c r="L31" s="40" t="n">
        <f aca="false">L26-L29-L30</f>
        <v>7561.52319293247</v>
      </c>
      <c r="M31" s="40" t="n">
        <f aca="false">M26-M29-M30</f>
        <v>9212.77436100314</v>
      </c>
      <c r="N31" s="40" t="n">
        <f aca="false">N26-N29-N30</f>
        <v>10847.5130173931</v>
      </c>
      <c r="O31" s="40" t="n">
        <f aca="false">O26-O29-O30</f>
        <v>16495.2592205525</v>
      </c>
      <c r="P31" s="40" t="n">
        <f aca="false">P26-P29-P30</f>
        <v>22086.5279616803</v>
      </c>
      <c r="Q31" s="40" t="n">
        <f aca="false">Q26-Q29-Q30</f>
        <v>27621.8840153969</v>
      </c>
      <c r="R31" s="40" t="n">
        <f aca="false">R26-R29-R30</f>
        <v>33101.8865085762</v>
      </c>
      <c r="S31" s="40" t="n">
        <f aca="false">S26-S29-S30</f>
        <v>38527.0889768238</v>
      </c>
      <c r="T31" s="40" t="n">
        <f aca="false">T26-T29-T30</f>
        <v>43898.0394203889</v>
      </c>
      <c r="U31" s="40" t="n">
        <f aca="false">U26-U29-U30</f>
        <v>49215.2803595183</v>
      </c>
      <c r="V31" s="40" t="n">
        <f aca="false">V26-V29-V30</f>
        <v>54479.3488892565</v>
      </c>
      <c r="W31" s="40" t="n">
        <f aca="false">W26-W29-W30</f>
        <v>59690.7767336972</v>
      </c>
      <c r="X31" s="40" t="n">
        <f aca="false">X26-X29-X30</f>
        <v>64850.0902996936</v>
      </c>
      <c r="Y31" s="40" t="n">
        <f aca="false">Y26-Y29-Y30</f>
        <v>69957.81073003</v>
      </c>
      <c r="Z31" s="40" t="n">
        <f aca="false">Z26-Z29-Z30</f>
        <v>75014.453956063</v>
      </c>
      <c r="AA31" s="40" t="n">
        <f aca="false">AA26-AA29-AA30</f>
        <v>88654.8627498357</v>
      </c>
      <c r="AB31" s="40" t="n">
        <f aca="false">AB26-AB29-AB30</f>
        <v>102158.867455671</v>
      </c>
      <c r="AC31" s="40" t="n">
        <f aca="false">AC26-AC29-AC30</f>
        <v>115527.832114447</v>
      </c>
      <c r="AD31" s="40" t="n">
        <f aca="false">AD26-AD29-AD30</f>
        <v>128763.107126636</v>
      </c>
      <c r="AE31" s="40" t="n">
        <f aca="false">AE26-AE29-AE30</f>
        <v>141866.029388703</v>
      </c>
      <c r="AF31" s="40" t="n">
        <f aca="false">AF26-AF29-AF30</f>
        <v>154837.922428149</v>
      </c>
      <c r="AG31" s="40" t="n">
        <f aca="false">AG26-AG29-AG30</f>
        <v>167680.096537201</v>
      </c>
      <c r="AH31" s="40" t="n">
        <f aca="false">AH26-AH29-AH30</f>
        <v>180393.848905163</v>
      </c>
      <c r="AI31" s="40" t="n">
        <f aca="false">AI26-AI29-AI30</f>
        <v>192980.463749444</v>
      </c>
      <c r="AJ31" s="40" t="n">
        <f aca="false">AJ26-AJ29-AJ30</f>
        <v>205441.212445283</v>
      </c>
      <c r="AK31" s="40" t="n">
        <f aca="false">AK26-AK29-AK30</f>
        <v>217777.353654164</v>
      </c>
      <c r="AL31" s="40" t="n">
        <f aca="false">AL26-AL29-AL30</f>
        <v>229990.133450955</v>
      </c>
      <c r="AN31" s="40" t="n">
        <f aca="false">SUM(C31:N31)</f>
        <v>43532.6358743219</v>
      </c>
      <c r="AO31" s="40" t="n">
        <f aca="false">SUM(O31:Z31)</f>
        <v>554938.447071677</v>
      </c>
      <c r="AP31" s="40" t="n">
        <f aca="false">SUM(AA31:AL31)</f>
        <v>1926071.73000565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95.157</v>
      </c>
      <c r="G33" s="15" t="n">
        <f aca="false">(G19*Hypothèses!$D$31+G20*Hypothèses!$D$32+G21*Hypothèses!$D$33)*Hypothèses!$D$34*$F$4</f>
        <v>92.30229</v>
      </c>
      <c r="H33" s="15" t="n">
        <f aca="false">(H19*Hypothèses!$D$31+H20*Hypothèses!$D$32+H21*Hypothèses!$D$33)*Hypothèses!$D$34*$F$4</f>
        <v>89.5332213</v>
      </c>
      <c r="I33" s="15" t="n">
        <f aca="false">(I19*Hypothèses!$D$31+I20*Hypothèses!$D$32+I21*Hypothèses!$D$33)*Hypothèses!$D$34*$F$4</f>
        <v>284.837889087</v>
      </c>
      <c r="J33" s="15" t="n">
        <f aca="false">(J19*Hypothèses!$D$31+J20*Hypothèses!$D$32+J21*Hypothèses!$D$33)*Hypothèses!$D$34*$F$4</f>
        <v>478.18951019613</v>
      </c>
      <c r="K33" s="15" t="n">
        <f aca="false">(K19*Hypothèses!$D$31+K20*Hypothèses!$D$32+K21*Hypothèses!$D$33)*Hypothèses!$D$34*$F$4</f>
        <v>669.607615094169</v>
      </c>
      <c r="L33" s="15" t="n">
        <f aca="false">(L19*Hypothèses!$D$31+L20*Hypothèses!$D$32+L21*Hypothèses!$D$33)*Hypothèses!$D$34*$F$4</f>
        <v>859.111538943227</v>
      </c>
      <c r="M33" s="15" t="n">
        <f aca="false">(M19*Hypothèses!$D$31+M20*Hypothèses!$D$32+M21*Hypothèses!$D$33)*Hypothèses!$D$34*$F$4</f>
        <v>1046.72042355379</v>
      </c>
      <c r="N33" s="15" t="n">
        <f aca="false">(N19*Hypothèses!$D$31+N20*Hypothèses!$D$32+N21*Hypothèses!$D$33)*Hypothèses!$D$34*$F$4</f>
        <v>1232.45321931826</v>
      </c>
      <c r="O33" s="15" t="n">
        <f aca="false">(O19*Hypothèses!$D$31+O20*Hypothèses!$D$32+O21*Hypothèses!$D$33)*Hypothèses!$D$34*$F$4</f>
        <v>1874.12868712507</v>
      </c>
      <c r="P33" s="15" t="n">
        <f aca="false">(P19*Hypothèses!$D$31+P20*Hypothèses!$D$32+P21*Hypothèses!$D$33)*Hypothèses!$D$34*$F$4</f>
        <v>2509.38740025382</v>
      </c>
      <c r="Q33" s="15" t="n">
        <f aca="false">(Q19*Hypothèses!$D$31+Q20*Hypothèses!$D$32+Q21*Hypothèses!$D$33)*Hypothèses!$D$34*$F$4</f>
        <v>3138.29352625128</v>
      </c>
      <c r="R33" s="15" t="n">
        <f aca="false">(R19*Hypothèses!$D$31+R20*Hypothèses!$D$32+R21*Hypothèses!$D$33)*Hypothèses!$D$34*$F$4</f>
        <v>3760.91059098877</v>
      </c>
      <c r="S33" s="15" t="n">
        <f aca="false">(S19*Hypothèses!$D$31+S20*Hypothèses!$D$32+S21*Hypothèses!$D$33)*Hypothèses!$D$34*$F$4</f>
        <v>4377.30148507889</v>
      </c>
      <c r="T33" s="15" t="n">
        <f aca="false">(T19*Hypothèses!$D$31+T20*Hypothèses!$D$32+T21*Hypothèses!$D$33)*Hypothèses!$D$34*$F$4</f>
        <v>4987.52847022809</v>
      </c>
      <c r="U33" s="15" t="n">
        <f aca="false">(U19*Hypothèses!$D$31+U20*Hypothèses!$D$32+U21*Hypothèses!$D$33)*Hypothèses!$D$34*$F$4</f>
        <v>5591.65318552581</v>
      </c>
      <c r="V33" s="15" t="n">
        <f aca="false">(V19*Hypothèses!$D$31+V20*Hypothèses!$D$32+V21*Hypothèses!$D$33)*Hypothèses!$D$34*$F$4</f>
        <v>6189.73665367056</v>
      </c>
      <c r="W33" s="15" t="n">
        <f aca="false">(W19*Hypothèses!$D$31+W20*Hypothèses!$D$32+W21*Hypothèses!$D$33)*Hypothèses!$D$34*$F$4</f>
        <v>6781.83928713385</v>
      </c>
      <c r="X33" s="15" t="n">
        <f aca="false">(X19*Hypothèses!$D$31+X20*Hypothèses!$D$32+X21*Hypothèses!$D$33)*Hypothèses!$D$34*$F$4</f>
        <v>7368.02089426251</v>
      </c>
      <c r="Y33" s="15" t="n">
        <f aca="false">(Y19*Hypothèses!$D$31+Y20*Hypothèses!$D$32+Y21*Hypothèses!$D$33)*Hypothèses!$D$34*$F$4</f>
        <v>7948.34068531989</v>
      </c>
      <c r="Z33" s="15" t="n">
        <f aca="false">(Z19*Hypothèses!$D$31+Z20*Hypothèses!$D$32+Z21*Hypothèses!$D$33)*Hypothèses!$D$34*$F$4</f>
        <v>8522.85727846668</v>
      </c>
      <c r="AA33" s="15" t="n">
        <f aca="false">(AA19*Hypothèses!$D$31+AA20*Hypothèses!$D$32+AA21*Hypothèses!$D$33)*Hypothèses!$D$34*$F$4</f>
        <v>10072.628705682</v>
      </c>
      <c r="AB33" s="15" t="n">
        <f aca="false">(AB19*Hypothèses!$D$31+AB20*Hypothèses!$D$32+AB21*Hypothèses!$D$33)*Hypothèses!$D$34*$F$4</f>
        <v>11606.9024186252</v>
      </c>
      <c r="AC33" s="15" t="n">
        <f aca="false">(AC19*Hypothèses!$D$31+AC20*Hypothèses!$D$32+AC21*Hypothèses!$D$33)*Hypothèses!$D$34*$F$4</f>
        <v>13125.8333944389</v>
      </c>
      <c r="AD33" s="15" t="n">
        <f aca="false">(AD19*Hypothèses!$D$31+AD20*Hypothèses!$D$32+AD21*Hypothèses!$D$33)*Hypothèses!$D$34*$F$4</f>
        <v>14629.5750604946</v>
      </c>
      <c r="AE33" s="15" t="n">
        <f aca="false">(AE19*Hypothèses!$D$31+AE20*Hypothèses!$D$32+AE21*Hypothèses!$D$33)*Hypothèses!$D$34*$F$4</f>
        <v>16118.2793098896</v>
      </c>
      <c r="AF33" s="15" t="n">
        <f aca="false">(AF19*Hypothèses!$D$31+AF20*Hypothèses!$D$32+AF21*Hypothèses!$D$33)*Hypothèses!$D$34*$F$4</f>
        <v>17592.0965167907</v>
      </c>
      <c r="AG33" s="15" t="n">
        <f aca="false">(AG19*Hypothèses!$D$31+AG20*Hypothèses!$D$32+AG21*Hypothèses!$D$33)*Hypothèses!$D$34*$F$4</f>
        <v>19051.1755516228</v>
      </c>
      <c r="AH33" s="15" t="n">
        <f aca="false">(AH19*Hypothèses!$D$31+AH20*Hypothèses!$D$32+AH21*Hypothèses!$D$33)*Hypothèses!$D$34*$F$4</f>
        <v>20495.6637961066</v>
      </c>
      <c r="AI33" s="15" t="n">
        <f aca="false">(AI19*Hypothèses!$D$31+AI20*Hypothèses!$D$32+AI21*Hypothèses!$D$33)*Hypothèses!$D$34*$F$4</f>
        <v>21925.7071581455</v>
      </c>
      <c r="AJ33" s="15" t="n">
        <f aca="false">(AJ19*Hypothèses!$D$31+AJ20*Hypothèses!$D$32+AJ21*Hypothèses!$D$33)*Hypothèses!$D$34*$F$4</f>
        <v>23341.4500865641</v>
      </c>
      <c r="AK33" s="15" t="n">
        <f aca="false">(AK19*Hypothèses!$D$31+AK20*Hypothèses!$D$32+AK21*Hypothèses!$D$33)*Hypothèses!$D$34*$F$4</f>
        <v>24743.0355856984</v>
      </c>
      <c r="AL33" s="15" t="n">
        <f aca="false">(AL19*Hypothèses!$D$31+AL20*Hypothèses!$D$32+AL21*Hypothèses!$D$33)*Hypothèses!$D$34*$F$4</f>
        <v>26130.6052298414</v>
      </c>
      <c r="AN33" s="15" t="n">
        <f aca="false">SUM(C33:N33)</f>
        <v>4946.01270749258</v>
      </c>
      <c r="AO33" s="15" t="n">
        <f aca="false">SUM(O33:Z33)</f>
        <v>63049.9981443052</v>
      </c>
      <c r="AP33" s="15" t="n">
        <f aca="false">SUM(AA33:AL33)</f>
        <v>218832.9528139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43.55319405</v>
      </c>
      <c r="J34" s="15" t="n">
        <f aca="false">J18*Hypothèses!$D$35</f>
        <v>73.1176621095</v>
      </c>
      <c r="K34" s="15" t="n">
        <f aca="false">K18*Hypothèses!$D$35</f>
        <v>102.386485488405</v>
      </c>
      <c r="L34" s="15" t="n">
        <f aca="false">L18*Hypothèses!$D$35</f>
        <v>131.362620633521</v>
      </c>
      <c r="M34" s="15" t="n">
        <f aca="false">M18*Hypothèses!$D$35</f>
        <v>160.048994427186</v>
      </c>
      <c r="N34" s="15" t="n">
        <f aca="false">N18*Hypothèses!$D$35</f>
        <v>188.448504482914</v>
      </c>
      <c r="O34" s="15" t="n">
        <f aca="false">O18*Hypothèses!$D$35</f>
        <v>286.564019438085</v>
      </c>
      <c r="P34" s="15" t="n">
        <f aca="false">P18*Hypothèses!$D$35</f>
        <v>383.698379243704</v>
      </c>
      <c r="Q34" s="15" t="n">
        <f aca="false">Q18*Hypothèses!$D$35</f>
        <v>479.861395451267</v>
      </c>
      <c r="R34" s="15" t="n">
        <f aca="false">R18*Hypothèses!$D$35</f>
        <v>575.062781496754</v>
      </c>
      <c r="S34" s="15" t="n">
        <f aca="false">S18*Hypothèses!$D$35</f>
        <v>669.312153681787</v>
      </c>
      <c r="T34" s="15" t="n">
        <f aca="false">T18*Hypothèses!$D$35</f>
        <v>762.619032144969</v>
      </c>
      <c r="U34" s="15" t="n">
        <f aca="false">U18*Hypothèses!$D$35</f>
        <v>854.992841823519</v>
      </c>
      <c r="V34" s="15" t="n">
        <f aca="false">V18*Hypothèses!$D$35</f>
        <v>946.442913405284</v>
      </c>
      <c r="W34" s="15" t="n">
        <f aca="false">W18*Hypothèses!$D$35</f>
        <v>1036.97848427123</v>
      </c>
      <c r="X34" s="15" t="n">
        <f aca="false">X18*Hypothèses!$D$35</f>
        <v>1126.60869942852</v>
      </c>
      <c r="Y34" s="15" t="n">
        <f aca="false">Y18*Hypothèses!$D$35</f>
        <v>1215.34261243423</v>
      </c>
      <c r="Z34" s="15" t="n">
        <f aca="false">Z18*Hypothèses!$D$35</f>
        <v>1303.18918630989</v>
      </c>
      <c r="AA34" s="15" t="n">
        <f aca="false">AA18*Hypothèses!$D$35</f>
        <v>1540.15729444679</v>
      </c>
      <c r="AB34" s="15" t="n">
        <f aca="false">AB18*Hypothèses!$D$35</f>
        <v>1774.75572150232</v>
      </c>
      <c r="AC34" s="15" t="n">
        <f aca="false">AC18*Hypothèses!$D$35</f>
        <v>2007.0081642873</v>
      </c>
      <c r="AD34" s="15" t="n">
        <f aca="false">AD18*Hypothèses!$D$35</f>
        <v>2236.93808264443</v>
      </c>
      <c r="AE34" s="15" t="n">
        <f aca="false">AE18*Hypothèses!$D$35</f>
        <v>2464.56870181798</v>
      </c>
      <c r="AF34" s="15" t="n">
        <f aca="false">AF18*Hypothèses!$D$35</f>
        <v>2689.9230147998</v>
      </c>
      <c r="AG34" s="15" t="n">
        <f aca="false">AG18*Hypothèses!$D$35</f>
        <v>2913.02378465181</v>
      </c>
      <c r="AH34" s="15" t="n">
        <f aca="false">AH18*Hypothèses!$D$35</f>
        <v>3133.89354680529</v>
      </c>
      <c r="AI34" s="15" t="n">
        <f aca="false">AI18*Hypothèses!$D$35</f>
        <v>3352.55461133724</v>
      </c>
      <c r="AJ34" s="15" t="n">
        <f aca="false">AJ18*Hypothèses!$D$35</f>
        <v>3569.02906522386</v>
      </c>
      <c r="AK34" s="15" t="n">
        <f aca="false">AK18*Hypothèses!$D$35</f>
        <v>3783.33877457162</v>
      </c>
      <c r="AL34" s="15" t="n">
        <f aca="false">AL18*Hypothèses!$D$35</f>
        <v>3995.50538682591</v>
      </c>
      <c r="AN34" s="15" t="n">
        <f aca="false">SUM(C34:N34)</f>
        <v>756.271056191526</v>
      </c>
      <c r="AO34" s="15" t="n">
        <f aca="false">SUM(O34:Z34)</f>
        <v>9640.67249912924</v>
      </c>
      <c r="AP34" s="15" t="n">
        <f aca="false">SUM(AA34:AL34)</f>
        <v>33460.6961489144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87.1063881</v>
      </c>
      <c r="J35" s="15" t="n">
        <f aca="false">J18*Hypothèses!$D$36</f>
        <v>146.235324219</v>
      </c>
      <c r="K35" s="15" t="n">
        <f aca="false">K18*Hypothèses!$D$36</f>
        <v>204.77297097681</v>
      </c>
      <c r="L35" s="15" t="n">
        <f aca="false">L18*Hypothèses!$D$36</f>
        <v>262.725241267042</v>
      </c>
      <c r="M35" s="15" t="n">
        <f aca="false">M18*Hypothèses!$D$36</f>
        <v>320.097988854371</v>
      </c>
      <c r="N35" s="15" t="n">
        <f aca="false">N18*Hypothèses!$D$36</f>
        <v>376.897008965828</v>
      </c>
      <c r="O35" s="15" t="n">
        <f aca="false">O18*Hypothèses!$D$36</f>
        <v>573.128038876169</v>
      </c>
      <c r="P35" s="15" t="n">
        <f aca="false">P18*Hypothèses!$D$36</f>
        <v>767.396758487408</v>
      </c>
      <c r="Q35" s="15" t="n">
        <f aca="false">Q18*Hypothèses!$D$36</f>
        <v>959.722790902534</v>
      </c>
      <c r="R35" s="15" t="n">
        <f aca="false">R18*Hypothèses!$D$36</f>
        <v>1150.12556299351</v>
      </c>
      <c r="S35" s="15" t="n">
        <f aca="false">S18*Hypothèses!$D$36</f>
        <v>1338.62430736357</v>
      </c>
      <c r="T35" s="15" t="n">
        <f aca="false">T18*Hypothèses!$D$36</f>
        <v>1525.23806428994</v>
      </c>
      <c r="U35" s="15" t="n">
        <f aca="false">U18*Hypothèses!$D$36</f>
        <v>1709.98568364704</v>
      </c>
      <c r="V35" s="15" t="n">
        <f aca="false">V18*Hypothèses!$D$36</f>
        <v>1892.88582681057</v>
      </c>
      <c r="W35" s="15" t="n">
        <f aca="false">W18*Hypothèses!$D$36</f>
        <v>2073.95696854246</v>
      </c>
      <c r="X35" s="15" t="n">
        <f aca="false">X18*Hypothèses!$D$36</f>
        <v>2253.21739885704</v>
      </c>
      <c r="Y35" s="15" t="n">
        <f aca="false">Y18*Hypothèses!$D$36</f>
        <v>2430.68522486847</v>
      </c>
      <c r="Z35" s="15" t="n">
        <f aca="false">Z18*Hypothèses!$D$36</f>
        <v>2606.37837261978</v>
      </c>
      <c r="AA35" s="15" t="n">
        <f aca="false">AA18*Hypothèses!$D$36</f>
        <v>3080.31458889358</v>
      </c>
      <c r="AB35" s="15" t="n">
        <f aca="false">AB18*Hypothèses!$D$36</f>
        <v>3549.51144300465</v>
      </c>
      <c r="AC35" s="15" t="n">
        <f aca="false">AC18*Hypothèses!$D$36</f>
        <v>4014.0163285746</v>
      </c>
      <c r="AD35" s="15" t="n">
        <f aca="false">AD18*Hypothèses!$D$36</f>
        <v>4473.87616528886</v>
      </c>
      <c r="AE35" s="15" t="n">
        <f aca="false">AE18*Hypothèses!$D$36</f>
        <v>4929.13740363597</v>
      </c>
      <c r="AF35" s="15" t="n">
        <f aca="false">AF18*Hypothèses!$D$36</f>
        <v>5379.84602959961</v>
      </c>
      <c r="AG35" s="15" t="n">
        <f aca="false">AG18*Hypothèses!$D$36</f>
        <v>5826.04756930361</v>
      </c>
      <c r="AH35" s="15" t="n">
        <f aca="false">AH18*Hypothèses!$D$36</f>
        <v>6267.78709361058</v>
      </c>
      <c r="AI35" s="15" t="n">
        <f aca="false">AI18*Hypothèses!$D$36</f>
        <v>6705.10922267447</v>
      </c>
      <c r="AJ35" s="15" t="n">
        <f aca="false">AJ18*Hypothèses!$D$36</f>
        <v>7138.05813044773</v>
      </c>
      <c r="AK35" s="15" t="n">
        <f aca="false">AK18*Hypothèses!$D$36</f>
        <v>7566.67754914325</v>
      </c>
      <c r="AL35" s="15" t="n">
        <f aca="false">AL18*Hypothèses!$D$36</f>
        <v>7991.01077365182</v>
      </c>
      <c r="AN35" s="15" t="n">
        <f aca="false">SUM(C35:N35)</f>
        <v>1512.54211238305</v>
      </c>
      <c r="AO35" s="15" t="n">
        <f aca="false">SUM(O35:Z35)</f>
        <v>19281.3449982585</v>
      </c>
      <c r="AP35" s="15" t="n">
        <f aca="false">SUM(AA35:AL35)</f>
        <v>66921.3922978287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138.807</v>
      </c>
      <c r="G36" s="40" t="n">
        <f aca="false">G33+G34+G35</f>
        <v>134.64279</v>
      </c>
      <c r="H36" s="40" t="n">
        <f aca="false">H33+H34+H35</f>
        <v>130.6035063</v>
      </c>
      <c r="I36" s="40" t="n">
        <f aca="false">I33+I34+I35</f>
        <v>415.497471237</v>
      </c>
      <c r="J36" s="40" t="n">
        <f aca="false">J33+J34+J35</f>
        <v>697.54249652463</v>
      </c>
      <c r="K36" s="40" t="n">
        <f aca="false">K33+K34+K35</f>
        <v>976.767071559384</v>
      </c>
      <c r="L36" s="40" t="n">
        <f aca="false">L33+L34+L35</f>
        <v>1253.19940084379</v>
      </c>
      <c r="M36" s="40" t="n">
        <f aca="false">M33+M34+M35</f>
        <v>1526.86740683535</v>
      </c>
      <c r="N36" s="40" t="n">
        <f aca="false">N33+N34+N35</f>
        <v>1797.798732767</v>
      </c>
      <c r="O36" s="40" t="n">
        <f aca="false">O33+O34+O35</f>
        <v>2733.82074543933</v>
      </c>
      <c r="P36" s="40" t="n">
        <f aca="false">P33+P34+P35</f>
        <v>3660.48253798494</v>
      </c>
      <c r="Q36" s="40" t="n">
        <f aca="false">Q33+Q34+Q35</f>
        <v>4577.87771260508</v>
      </c>
      <c r="R36" s="40" t="n">
        <f aca="false">R33+R34+R35</f>
        <v>5486.09893547903</v>
      </c>
      <c r="S36" s="40" t="n">
        <f aca="false">S33+S34+S35</f>
        <v>6385.23794612425</v>
      </c>
      <c r="T36" s="40" t="n">
        <f aca="false">T33+T34+T35</f>
        <v>7275.385566663</v>
      </c>
      <c r="U36" s="40" t="n">
        <f aca="false">U33+U34+U35</f>
        <v>8156.63171099637</v>
      </c>
      <c r="V36" s="40" t="n">
        <f aca="false">V33+V34+V35</f>
        <v>9029.06539388641</v>
      </c>
      <c r="W36" s="40" t="n">
        <f aca="false">W33+W34+W35</f>
        <v>9892.77473994754</v>
      </c>
      <c r="X36" s="40" t="n">
        <f aca="false">X33+X34+X35</f>
        <v>10747.8469925481</v>
      </c>
      <c r="Y36" s="40" t="n">
        <f aca="false">Y33+Y34+Y35</f>
        <v>11594.3685226226</v>
      </c>
      <c r="Z36" s="40" t="n">
        <f aca="false">Z33+Z34+Z35</f>
        <v>12432.4248373964</v>
      </c>
      <c r="AA36" s="40" t="n">
        <f aca="false">AA33+AA34+AA35</f>
        <v>14693.1005890224</v>
      </c>
      <c r="AB36" s="40" t="n">
        <f aca="false">AB33+AB34+AB35</f>
        <v>16931.1695831322</v>
      </c>
      <c r="AC36" s="40" t="n">
        <f aca="false">AC33+AC34+AC35</f>
        <v>19146.8578873009</v>
      </c>
      <c r="AD36" s="40" t="n">
        <f aca="false">AD33+AD34+AD35</f>
        <v>21340.3893084278</v>
      </c>
      <c r="AE36" s="40" t="n">
        <f aca="false">AE33+AE34+AE35</f>
        <v>23511.9854153436</v>
      </c>
      <c r="AF36" s="40" t="n">
        <f aca="false">AF33+AF34+AF35</f>
        <v>25661.8655611901</v>
      </c>
      <c r="AG36" s="40" t="n">
        <f aca="false">AG33+AG34+AG35</f>
        <v>27790.2469055782</v>
      </c>
      <c r="AH36" s="40" t="n">
        <f aca="false">AH33+AH34+AH35</f>
        <v>29897.3444365225</v>
      </c>
      <c r="AI36" s="40" t="n">
        <f aca="false">AI33+AI34+AI35</f>
        <v>31983.3709921572</v>
      </c>
      <c r="AJ36" s="40" t="n">
        <f aca="false">AJ33+AJ34+AJ35</f>
        <v>34048.5372822357</v>
      </c>
      <c r="AK36" s="40" t="n">
        <f aca="false">AK33+AK34+AK35</f>
        <v>36093.0519094133</v>
      </c>
      <c r="AL36" s="40" t="n">
        <f aca="false">AL33+AL34+AL35</f>
        <v>38117.1213903192</v>
      </c>
      <c r="AN36" s="40" t="n">
        <f aca="false">SUM(C36:N36)</f>
        <v>7214.82587606715</v>
      </c>
      <c r="AO36" s="40" t="n">
        <f aca="false">SUM(O36:Z36)</f>
        <v>91972.0156416929</v>
      </c>
      <c r="AP36" s="40" t="n">
        <f aca="false">SUM(AA36:AL36)</f>
        <v>319215.041260643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573.8132</v>
      </c>
      <c r="F37" s="40" t="n">
        <f aca="false">F28-F36-F30-F29/(1+Hypothèses!$D$15)</f>
        <v>556.598804</v>
      </c>
      <c r="G37" s="40" t="n">
        <f aca="false">G28-G36-G30-G29/(1+Hypothèses!$D$15)</f>
        <v>539.90083988</v>
      </c>
      <c r="H37" s="40" t="n">
        <f aca="false">H28-H36-H30-H29/(1+Hypothèses!$D$15)</f>
        <v>523.7038146836</v>
      </c>
      <c r="I37" s="40" t="n">
        <f aca="false">I28-I36-I30-I29/(1+Hypothèses!$D$15)</f>
        <v>1666.09317653676</v>
      </c>
      <c r="J37" s="40" t="n">
        <f aca="false">J28-J36-J30-J29/(1+Hypothèses!$D$15)</f>
        <v>2797.0586447714</v>
      </c>
      <c r="K37" s="40" t="n">
        <f aca="false">K28-K36-K30-K29/(1+Hypothèses!$D$15)</f>
        <v>3916.71445832368</v>
      </c>
      <c r="L37" s="40" t="n">
        <f aca="false">L28-L36-L30-L29/(1+Hypothèses!$D$15)</f>
        <v>5025.17371374044</v>
      </c>
      <c r="M37" s="40" t="n">
        <f aca="false">M28-M36-M30-M29/(1+Hypothèses!$D$15)</f>
        <v>6122.54837660304</v>
      </c>
      <c r="N37" s="40" t="n">
        <f aca="false">N28-N36-N30-N29/(1+Hypothèses!$D$15)</f>
        <v>7208.94929283701</v>
      </c>
      <c r="O37" s="40" t="n">
        <f aca="false">O28-O36-O30-O29/(1+Hypothèses!$D$15)</f>
        <v>10962.281133242</v>
      </c>
      <c r="P37" s="40" t="n">
        <f aca="false">P28-P36-P30-P29/(1+Hypothèses!$D$15)</f>
        <v>14678.0796552429</v>
      </c>
      <c r="Q37" s="40" t="n">
        <f aca="false">Q28-Q36-Q30-Q29/(1+Hypothèses!$D$15)</f>
        <v>18356.7201920238</v>
      </c>
      <c r="R37" s="40" t="n">
        <f aca="false">R28-R36-R30-R29/(1+Hypothèses!$D$15)</f>
        <v>21998.5743234369</v>
      </c>
      <c r="S37" s="40" t="n">
        <f aca="false">S28-S36-S30-S29/(1+Hypothèses!$D$15)</f>
        <v>25604.0099135358</v>
      </c>
      <c r="T37" s="40" t="n">
        <f aca="false">T28-T36-T30-T29/(1+Hypothèses!$D$15)</f>
        <v>29173.3911477338</v>
      </c>
      <c r="U37" s="40" t="n">
        <f aca="false">U28-U36-U30-U29/(1+Hypothèses!$D$15)</f>
        <v>32707.0785695898</v>
      </c>
      <c r="V37" s="40" t="n">
        <f aca="false">V28-V36-V30-V29/(1+Hypothèses!$D$15)</f>
        <v>36205.4291172273</v>
      </c>
      <c r="W37" s="40" t="n">
        <f aca="false">W28-W36-W30-W29/(1+Hypothèses!$D$15)</f>
        <v>39668.7961593883</v>
      </c>
      <c r="X37" s="40" t="n">
        <f aca="false">X28-X36-X30-X29/(1+Hypothèses!$D$15)</f>
        <v>43097.5295311278</v>
      </c>
      <c r="Y37" s="40" t="n">
        <f aca="false">Y28-Y36-Y30-Y29/(1+Hypothèses!$D$15)</f>
        <v>46491.9755691498</v>
      </c>
      <c r="Z37" s="40" t="n">
        <f aca="false">Z28-Z36-Z30-Z29/(1+Hypothèses!$D$15)</f>
        <v>49852.4771467916</v>
      </c>
      <c r="AA37" s="40" t="n">
        <f aca="false">AA28-AA36-AA30-AA29/(1+Hypothèses!$D$15)</f>
        <v>58917.5057086571</v>
      </c>
      <c r="AB37" s="40" t="n">
        <f aca="false">AB28-AB36-AB30-AB29/(1+Hypothèses!$D$15)</f>
        <v>67891.8839849038</v>
      </c>
      <c r="AC37" s="40" t="n">
        <f aca="false">AC28-AC36-AC30-AC29/(1+Hypothèses!$D$15)</f>
        <v>76776.5184783881</v>
      </c>
      <c r="AD37" s="40" t="n">
        <f aca="false">AD28-AD36-AD30-AD29/(1+Hypothèses!$D$15)</f>
        <v>85572.3066269376</v>
      </c>
      <c r="AE37" s="40" t="n">
        <f aca="false">AE28-AE36-AE30-AE29/(1+Hypothèses!$D$15)</f>
        <v>94280.1368940015</v>
      </c>
      <c r="AF37" s="40" t="n">
        <f aca="false">AF28-AF36-AF30-AF29/(1+Hypothèses!$D$15)</f>
        <v>102900.888858395</v>
      </c>
      <c r="AG37" s="40" t="n">
        <f aca="false">AG28-AG36-AG30-AG29/(1+Hypothèses!$D$15)</f>
        <v>111435.433303144</v>
      </c>
      <c r="AH37" s="40" t="n">
        <f aca="false">AH28-AH36-AH30-AH29/(1+Hypothèses!$D$15)</f>
        <v>119884.632303446</v>
      </c>
      <c r="AI37" s="40" t="n">
        <f aca="false">AI28-AI36-AI30-AI29/(1+Hypothèses!$D$15)</f>
        <v>128249.339313745</v>
      </c>
      <c r="AJ37" s="40" t="n">
        <f aca="false">AJ28-AJ36-AJ30-AJ29/(1+Hypothèses!$D$15)</f>
        <v>136530.399253941</v>
      </c>
      <c r="AK37" s="40" t="n">
        <f aca="false">AK28-AK36-AK30-AK29/(1+Hypothèses!$D$15)</f>
        <v>144728.648594735</v>
      </c>
      <c r="AL37" s="40" t="n">
        <f aca="false">AL28-AL36-AL30-AL29/(1+Hypothèses!$D$15)</f>
        <v>152844.915442121</v>
      </c>
      <c r="AN37" s="40" t="n">
        <f aca="false">SUM(C37:N37)</f>
        <v>28930.5543213759</v>
      </c>
      <c r="AO37" s="40" t="n">
        <f aca="false">SUM(O37:Z37)</f>
        <v>368796.34245849</v>
      </c>
      <c r="AP37" s="40" t="n">
        <f aca="false">SUM(AA37:AL37)</f>
        <v>1280012.60876241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-13767.8534666667</v>
      </c>
      <c r="F52" s="40" t="n">
        <f aca="false">F37-F39-F51</f>
        <v>-13785.0678626667</v>
      </c>
      <c r="G52" s="40" t="n">
        <f aca="false">G37-G39-G51</f>
        <v>-13801.7658267867</v>
      </c>
      <c r="H52" s="40" t="n">
        <f aca="false">H37-H39-H51</f>
        <v>-13817.9628519831</v>
      </c>
      <c r="I52" s="40" t="n">
        <f aca="false">I37-I39-I51</f>
        <v>-8983.90682346324</v>
      </c>
      <c r="J52" s="40" t="n">
        <f aca="false">J37-J39-J51</f>
        <v>-2852.9413552286</v>
      </c>
      <c r="K52" s="40" t="n">
        <f aca="false">K37-K39-K51</f>
        <v>-1733.28554167632</v>
      </c>
      <c r="L52" s="40" t="n">
        <f aca="false">L37-L39-L51</f>
        <v>-624.826286259556</v>
      </c>
      <c r="M52" s="40" t="n">
        <f aca="false">M37-M39-M51</f>
        <v>472.548376603039</v>
      </c>
      <c r="N52" s="40" t="n">
        <f aca="false">N37-N39-N51</f>
        <v>1558.94929283701</v>
      </c>
      <c r="O52" s="40" t="n">
        <f aca="false">O37-O39-O51</f>
        <v>-16187.718866758</v>
      </c>
      <c r="P52" s="40" t="n">
        <f aca="false">P37-P39-P51</f>
        <v>-12471.9203447571</v>
      </c>
      <c r="Q52" s="40" t="n">
        <f aca="false">Q37-Q39-Q51</f>
        <v>-8793.27980797621</v>
      </c>
      <c r="R52" s="40" t="n">
        <f aca="false">R37-R39-R51</f>
        <v>-5151.42567656311</v>
      </c>
      <c r="S52" s="40" t="n">
        <f aca="false">S37-S39-S51</f>
        <v>-1545.99008646415</v>
      </c>
      <c r="T52" s="40" t="n">
        <f aca="false">T37-T39-T51</f>
        <v>2023.39114773383</v>
      </c>
      <c r="U52" s="40" t="n">
        <f aca="false">U37-U39-U51</f>
        <v>-5942.92143041019</v>
      </c>
      <c r="V52" s="40" t="n">
        <f aca="false">V37-V39-V51</f>
        <v>2555.42911722725</v>
      </c>
      <c r="W52" s="40" t="n">
        <f aca="false">W37-W39-W51</f>
        <v>6018.7961593883</v>
      </c>
      <c r="X52" s="40" t="n">
        <f aca="false">X37-X39-X51</f>
        <v>9447.52953112775</v>
      </c>
      <c r="Y52" s="40" t="n">
        <f aca="false">Y37-Y39-Y51</f>
        <v>12841.9755691498</v>
      </c>
      <c r="Z52" s="40" t="n">
        <f aca="false">Z37-Z39-Z51</f>
        <v>16202.4771467916</v>
      </c>
      <c r="AA52" s="40" t="n">
        <f aca="false">AA37-AA39-AA51</f>
        <v>10267.5057086571</v>
      </c>
      <c r="AB52" s="40" t="n">
        <f aca="false">AB37-AB39-AB51</f>
        <v>19241.8839849038</v>
      </c>
      <c r="AC52" s="40" t="n">
        <f aca="false">AC37-AC39-AC51</f>
        <v>28126.5184783881</v>
      </c>
      <c r="AD52" s="40" t="n">
        <f aca="false">AD37-AD39-AD51</f>
        <v>36922.3066269376</v>
      </c>
      <c r="AE52" s="40" t="n">
        <f aca="false">AE37-AE39-AE51</f>
        <v>45630.1368940015</v>
      </c>
      <c r="AF52" s="40" t="n">
        <f aca="false">AF37-AF39-AF51</f>
        <v>54250.8888583949</v>
      </c>
      <c r="AG52" s="40" t="n">
        <f aca="false">AG37-AG39-AG51</f>
        <v>57785.4333031443</v>
      </c>
      <c r="AH52" s="40" t="n">
        <f aca="false">AH37-AH39-AH51</f>
        <v>71234.6323034461</v>
      </c>
      <c r="AI52" s="40" t="n">
        <f aca="false">AI37-AI39-AI51</f>
        <v>79599.339313745</v>
      </c>
      <c r="AJ52" s="40" t="n">
        <f aca="false">AJ37-AJ39-AJ51</f>
        <v>87880.3992539409</v>
      </c>
      <c r="AK52" s="40" t="n">
        <f aca="false">AK37-AK39-AK51</f>
        <v>96078.6485947348</v>
      </c>
      <c r="AL52" s="40" t="n">
        <f aca="false">AL37-AL39-AL51</f>
        <v>104194.915442121</v>
      </c>
      <c r="AN52" s="40" t="n">
        <f aca="false">SUM(C52:N52)</f>
        <v>-98519.4456786241</v>
      </c>
      <c r="AO52" s="40" t="n">
        <f aca="false">SUM(O52:Z52)</f>
        <v>-1003.65754151026</v>
      </c>
      <c r="AP52" s="40" t="n">
        <f aca="false">SUM(AA52:AL52)</f>
        <v>691212.608762415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1</v>
      </c>
      <c r="N53" s="13" t="n">
        <f aca="false">IF(N52&gt;0,1,0)</f>
        <v>1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1</v>
      </c>
      <c r="U53" s="13" t="n">
        <f aca="false">IF(U52&gt;0,1,0)</f>
        <v>0</v>
      </c>
      <c r="V53" s="13" t="n">
        <f aca="false">IF(V52&gt;0,1,0)</f>
        <v>1</v>
      </c>
      <c r="W53" s="13" t="n">
        <f aca="false">IF(W52&gt;0,1,0)</f>
        <v>1</v>
      </c>
      <c r="X53" s="13" t="n">
        <f aca="false">IF(X52&gt;0,1,0)</f>
        <v>1</v>
      </c>
      <c r="Y53" s="13" t="n">
        <f aca="false">IF(Y52&gt;0,1,0)</f>
        <v>1</v>
      </c>
      <c r="Z53" s="13" t="n">
        <f aca="false">IF(Z52&gt;0,1,0)</f>
        <v>1</v>
      </c>
      <c r="AA53" s="13" t="n">
        <f aca="false">IF(AA52&gt;0,1,0)</f>
        <v>1</v>
      </c>
      <c r="AB53" s="13" t="n">
        <f aca="false">IF(AB52&gt;0,1,0)</f>
        <v>1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148</v>
      </c>
      <c r="G55" s="15" t="n">
        <f aca="false">F27</f>
        <v>143.56</v>
      </c>
      <c r="H55" s="15" t="n">
        <f aca="false">G27</f>
        <v>139.2532</v>
      </c>
      <c r="I55" s="15" t="n">
        <f aca="false">H27</f>
        <v>135.075604</v>
      </c>
      <c r="J55" s="15" t="n">
        <f aca="false">I27</f>
        <v>429.72484796</v>
      </c>
      <c r="K55" s="15" t="n">
        <f aca="false">J27</f>
        <v>721.4275994804</v>
      </c>
      <c r="L55" s="15" t="n">
        <f aca="false">K27</f>
        <v>1010.2133234856</v>
      </c>
      <c r="M55" s="15" t="n">
        <f aca="false">L27</f>
        <v>1296.11119025074</v>
      </c>
      <c r="N55" s="15" t="n">
        <f aca="false">M27</f>
        <v>1579.15007834823</v>
      </c>
      <c r="O55" s="15" t="n">
        <f aca="false">N27</f>
        <v>1859.35857756475</v>
      </c>
      <c r="P55" s="15" t="n">
        <f aca="false">O27</f>
        <v>2827.43165845577</v>
      </c>
      <c r="Q55" s="15" t="n">
        <f aca="false">P27</f>
        <v>3785.82400853788</v>
      </c>
      <c r="R55" s="15" t="n">
        <f aca="false">Q27</f>
        <v>4734.63243511917</v>
      </c>
      <c r="S55" s="15" t="n">
        <f aca="false">R27</f>
        <v>5673.95277743464</v>
      </c>
      <c r="T55" s="15" t="n">
        <f aca="false">S27</f>
        <v>6603.87991632696</v>
      </c>
      <c r="U55" s="15" t="n">
        <f aca="false">T27</f>
        <v>7524.50778383036</v>
      </c>
      <c r="V55" s="15" t="n">
        <f aca="false">U27</f>
        <v>8435.92937265872</v>
      </c>
      <c r="W55" s="15" t="n">
        <f aca="false">V27</f>
        <v>9338.2367455988</v>
      </c>
      <c r="X55" s="15" t="n">
        <f aca="false">W27</f>
        <v>10231.5210448095</v>
      </c>
      <c r="Y55" s="15" t="n">
        <f aca="false">X27</f>
        <v>11115.872501028</v>
      </c>
      <c r="Z55" s="15" t="n">
        <f aca="false">Y27</f>
        <v>11991.3804426844</v>
      </c>
      <c r="AA55" s="15" t="n">
        <f aca="false">Z27</f>
        <v>12858.1333049243</v>
      </c>
      <c r="AB55" s="15" t="n">
        <f aca="false">AA27</f>
        <v>15196.2186385417</v>
      </c>
      <c r="AC55" s="15" t="n">
        <f aca="false">AB27</f>
        <v>17510.9231188229</v>
      </c>
      <c r="AD55" s="15" t="n">
        <f aca="false">AC27</f>
        <v>19802.4805543014</v>
      </c>
      <c r="AE55" s="15" t="n">
        <f aca="false">AD27</f>
        <v>22071.122415425</v>
      </c>
      <c r="AF55" s="15" t="n">
        <f aca="false">AE27</f>
        <v>24317.0778579374</v>
      </c>
      <c r="AG55" s="15" t="n">
        <f aca="false">AF27</f>
        <v>26540.5737460247</v>
      </c>
      <c r="AH55" s="15" t="n">
        <f aca="false">AG27</f>
        <v>28741.8346752312</v>
      </c>
      <c r="AI55" s="15" t="n">
        <f aca="false">AH27</f>
        <v>30921.0829951455</v>
      </c>
      <c r="AJ55" s="15" t="n">
        <f aca="false">AI27</f>
        <v>33078.5388318607</v>
      </c>
      <c r="AK55" s="15" t="n">
        <f aca="false">AJ27</f>
        <v>35214.4201102088</v>
      </c>
      <c r="AL55" s="15" t="n">
        <f aca="false">AK27</f>
        <v>37328.9425757734</v>
      </c>
      <c r="AN55" s="15" t="n">
        <f aca="false">SUM(C55:N55)</f>
        <v>5602.51584352497</v>
      </c>
      <c r="AO55" s="15" t="n">
        <f aca="false">SUM(O55:Z55)</f>
        <v>84122.527264049</v>
      </c>
      <c r="AP55" s="15" t="n">
        <f aca="false">SUM(AA55:AL55)</f>
        <v>303581.348824197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2896.09473333333</v>
      </c>
      <c r="H56" s="15" t="n">
        <f aca="false">(G36+G39+G43+G44+G45+G47+G48+G49+G50)*Hypothèses!$D$15</f>
        <v>2895.26189133333</v>
      </c>
      <c r="I56" s="15" t="n">
        <f aca="false">(H36+H39+H43+H44+H45+H47+H48+H49+H50)*Hypothèses!$D$15</f>
        <v>2894.45403459333</v>
      </c>
      <c r="J56" s="15" t="n">
        <f aca="false">(I36+I39+I43+I44+I45+I47+I48+I49+I50)*Hypothèses!$D$15</f>
        <v>2183.0994942474</v>
      </c>
      <c r="K56" s="15" t="n">
        <f aca="false">(J36+J39+J43+J44+J45+J47+J48+J49+J50)*Hypothèses!$D$15</f>
        <v>1239.50849930493</v>
      </c>
      <c r="L56" s="15" t="n">
        <f aca="false">(K36+K39+K43+K44+K45+K47+K48+K49+K50)*Hypothèses!$D$15</f>
        <v>1295.35341431188</v>
      </c>
      <c r="M56" s="15" t="n">
        <f aca="false">(L36+L39+L43+L44+L45+L47+L48+L49+L50)*Hypothèses!$D$15</f>
        <v>1350.63988016876</v>
      </c>
      <c r="N56" s="15" t="n">
        <f aca="false">(M36+M39+M43+M44+M45+M47+M48+M49+M50)*Hypothèses!$D$15</f>
        <v>1405.37348136707</v>
      </c>
      <c r="O56" s="15" t="n">
        <f aca="false">(N36+N39+N43+N44+N45+N47+N48+N49+N50)*Hypothèses!$D$15</f>
        <v>1459.5597465534</v>
      </c>
      <c r="P56" s="15" t="n">
        <f aca="false">(O36+O39+O43+O44+O45+O47+O48+O49+O50)*Hypothèses!$D$15</f>
        <v>3046.76414908787</v>
      </c>
      <c r="Q56" s="15" t="n">
        <f aca="false">(P36+P39+P43+P44+P45+P47+P48+P49+P50)*Hypothèses!$D$15</f>
        <v>3232.09650759699</v>
      </c>
      <c r="R56" s="15" t="n">
        <f aca="false">(Q36+Q39+Q43+Q44+Q45+Q47+Q48+Q49+Q50)*Hypothèses!$D$15</f>
        <v>3415.57554252102</v>
      </c>
      <c r="S56" s="15" t="n">
        <f aca="false">(R36+R39+R43+R44+R45+R47+R48+R49+R50)*Hypothèses!$D$15</f>
        <v>3597.21978709581</v>
      </c>
      <c r="T56" s="15" t="n">
        <f aca="false">(S36+S39+S43+S44+S45+S47+S48+S49+S50)*Hypothèses!$D$15</f>
        <v>3777.04758922485</v>
      </c>
      <c r="U56" s="15" t="n">
        <f aca="false">(T36+T39+T43+T44+T45+T47+T48+T49+T50)*Hypothèses!$D$15</f>
        <v>3955.0771133326</v>
      </c>
      <c r="V56" s="15" t="n">
        <f aca="false">(U36+U39+U43+U44+U45+U47+U48+U49+U50)*Hypothèses!$D$15</f>
        <v>5131.32634219927</v>
      </c>
      <c r="W56" s="15" t="n">
        <f aca="false">(V36+V39+V43+V44+V45+V47+V48+V49+V50)*Hypothèses!$D$15</f>
        <v>4305.81307877728</v>
      </c>
      <c r="X56" s="15" t="n">
        <f aca="false">(W36+W39+W43+W44+W45+W47+W48+W49+W50)*Hypothèses!$D$15</f>
        <v>4478.55494798951</v>
      </c>
      <c r="Y56" s="15" t="n">
        <f aca="false">(X36+X39+X43+X44+X45+X47+X48+X49+X50)*Hypothèses!$D$15</f>
        <v>4649.56939850961</v>
      </c>
      <c r="Z56" s="15" t="n">
        <f aca="false">(Y36+Y39+Y43+Y44+Y45+Y47+Y48+Y49+Y50)*Hypothèses!$D$15</f>
        <v>4818.87370452452</v>
      </c>
      <c r="AA56" s="15" t="n">
        <f aca="false">(Z36+Z39+Z43+Z44+Z45+Z47+Z48+Z49+Z50)*Hypothèses!$D$15</f>
        <v>4986.48496747927</v>
      </c>
      <c r="AB56" s="15" t="n">
        <f aca="false">(AA36+AA39+AA43+AA44+AA45+AA47+AA48+AA49+AA50)*Hypothèses!$D$15</f>
        <v>8438.62011780448</v>
      </c>
      <c r="AC56" s="15" t="n">
        <f aca="false">(AB36+AB39+AB43+AB44+AB45+AB47+AB48+AB49+AB50)*Hypothèses!$D$15</f>
        <v>8886.23391662643</v>
      </c>
      <c r="AD56" s="15" t="n">
        <f aca="false">(AC36+AC39+AC43+AC44+AC45+AC47+AC48+AC49+AC50)*Hypothèses!$D$15</f>
        <v>9329.37157746017</v>
      </c>
      <c r="AE56" s="15" t="n">
        <f aca="false">(AD36+AD39+AD43+AD44+AD45+AD47+AD48+AD49+AD50)*Hypothèses!$D$15</f>
        <v>9768.07786168557</v>
      </c>
      <c r="AF56" s="15" t="n">
        <f aca="false">(AE36+AE39+AE43+AE44+AE45+AE47+AE48+AE49+AE50)*Hypothèses!$D$15</f>
        <v>10202.3970830687</v>
      </c>
      <c r="AG56" s="15" t="n">
        <f aca="false">(AF36+AF39+AF43+AF44+AF45+AF47+AF48+AF49+AF50)*Hypothèses!$D$15</f>
        <v>10632.373112238</v>
      </c>
      <c r="AH56" s="15" t="n">
        <f aca="false">(AG36+AG39+AG43+AG44+AG45+AG47+AG48+AG49+AG50)*Hypothèses!$D$15</f>
        <v>12058.0493811156</v>
      </c>
      <c r="AI56" s="15" t="n">
        <f aca="false">(AH36+AH39+AH43+AH44+AH45+AH47+AH48+AH49+AH50)*Hypothèses!$D$15</f>
        <v>11479.4688873045</v>
      </c>
      <c r="AJ56" s="15" t="n">
        <f aca="false">(AI36+AI39+AI43+AI44+AI45+AI47+AI48+AI49+AI50)*Hypothèses!$D$15</f>
        <v>11896.6741984314</v>
      </c>
      <c r="AK56" s="15" t="n">
        <f aca="false">(AJ36+AJ39+AJ43+AJ44+AJ45+AJ47+AJ48+AJ49+AJ50)*Hypothèses!$D$15</f>
        <v>12309.7074564471</v>
      </c>
      <c r="AL56" s="15" t="n">
        <f aca="false">(AK36+AK39+AK43+AK44+AK45+AK47+AK48+AK49+AK50)*Hypothèses!$D$15</f>
        <v>12718.6103818827</v>
      </c>
      <c r="AN56" s="15" t="n">
        <f aca="false">SUM(C56:N56)</f>
        <v>25293.40542866</v>
      </c>
      <c r="AO56" s="15" t="n">
        <f aca="false">SUM(O56:Z56)</f>
        <v>45867.4779074127</v>
      </c>
      <c r="AP56" s="15" t="n">
        <f aca="false">SUM(AA56:AL56)</f>
        <v>122706.068941544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-38568.0001333333</v>
      </c>
      <c r="G58" s="15" t="n">
        <f aca="false">F60</f>
        <v>-49461.9902626667</v>
      </c>
      <c r="H58" s="15" t="n">
        <f aca="false">G60</f>
        <v>-60373.36068812</v>
      </c>
      <c r="I58" s="15" t="n">
        <f aca="false">H60</f>
        <v>-71301.5900008097</v>
      </c>
      <c r="J58" s="15" t="n">
        <f aca="false">I60</f>
        <v>-77100.6907941992</v>
      </c>
      <c r="K58" s="15" t="n">
        <f aca="false">J60</f>
        <v>-77486.0441796548</v>
      </c>
      <c r="L58" s="15" t="n">
        <f aca="false">K60</f>
        <v>-77701.1376312559</v>
      </c>
      <c r="M58" s="15" t="n">
        <f aca="false">L60</f>
        <v>-76757.6737483409</v>
      </c>
      <c r="N58" s="15" t="n">
        <f aca="false">M60</f>
        <v>-74667.2381042551</v>
      </c>
      <c r="O58" s="15" t="n">
        <f aca="false">N60</f>
        <v>-71441.3004166102</v>
      </c>
      <c r="P58" s="15" t="n">
        <f aca="false">O60</f>
        <v>-85229.6607725083</v>
      </c>
      <c r="Q58" s="15" t="n">
        <f aca="false">P60</f>
        <v>-93734.2828581808</v>
      </c>
      <c r="R58" s="15" t="n">
        <f aca="false">Q60</f>
        <v>-98394.00405633</v>
      </c>
      <c r="S58" s="15" t="n">
        <f aca="false">R60</f>
        <v>-99247.2733758309</v>
      </c>
      <c r="T58" s="15" t="n">
        <f aca="false">S60</f>
        <v>-96332.1553354702</v>
      </c>
      <c r="U58" s="15" t="n">
        <f aca="false">T60</f>
        <v>-89686.3338088465</v>
      </c>
      <c r="V58" s="15" t="n">
        <f aca="false">U60</f>
        <v>-90847.1158308223</v>
      </c>
      <c r="W58" s="15" t="n">
        <f aca="false">V60</f>
        <v>-82351.4353659117</v>
      </c>
      <c r="X58" s="15" t="n">
        <f aca="false">W60</f>
        <v>-71235.8570389835</v>
      </c>
      <c r="Y58" s="15" t="n">
        <f aca="false">X60</f>
        <v>-56536.5798286579</v>
      </c>
      <c r="Z58" s="15" t="n">
        <f aca="false">Y60</f>
        <v>-38289.440723769</v>
      </c>
      <c r="AA58" s="15" t="n">
        <f aca="false">Z60</f>
        <v>-16529.9183432623</v>
      </c>
      <c r="AB58" s="15" t="n">
        <f aca="false">AA60</f>
        <v>910.195480106053</v>
      </c>
      <c r="AC58" s="15" t="n">
        <f aca="false">AB60</f>
        <v>30730.2948319074</v>
      </c>
      <c r="AD58" s="15" t="n">
        <f aca="false">AC60</f>
        <v>69836.5798568574</v>
      </c>
      <c r="AE58" s="15" t="n">
        <f aca="false">AD60</f>
        <v>118136.188698224</v>
      </c>
      <c r="AF58" s="15" t="n">
        <f aca="false">AE60</f>
        <v>175537.188117845</v>
      </c>
      <c r="AG58" s="15" t="n">
        <f aca="false">AF60</f>
        <v>241948.564209935</v>
      </c>
      <c r="AH58" s="15" t="n">
        <f aca="false">AG60</f>
        <v>312280.213207772</v>
      </c>
      <c r="AI58" s="15" t="n">
        <f aca="false">AH60</f>
        <v>397442.932382296</v>
      </c>
      <c r="AJ58" s="15" t="n">
        <f aca="false">AI60</f>
        <v>490348.411031742</v>
      </c>
      <c r="AK58" s="15" t="n">
        <f aca="false">AJ60</f>
        <v>591909.221561361</v>
      </c>
      <c r="AL58" s="15" t="n">
        <f aca="false">AK60</f>
        <v>702038.810652349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-10253.0001333333</v>
      </c>
      <c r="F59" s="15" t="n">
        <f aca="false">F31-F36-F39-F51-F55+F56+F57</f>
        <v>-10893.9901293333</v>
      </c>
      <c r="G59" s="15" t="n">
        <f aca="false">G31-G36-G39-G51-G55+G56+G57</f>
        <v>-10911.3704254533</v>
      </c>
      <c r="H59" s="15" t="n">
        <f aca="false">H31-H36-H39-H51-H55+H56+H57</f>
        <v>-10928.2293126897</v>
      </c>
      <c r="I59" s="15" t="n">
        <f aca="false">I31-I36-I39-I51-I55+I56+I57</f>
        <v>-5799.1007933895</v>
      </c>
      <c r="J59" s="15" t="n">
        <f aca="false">J31-J36-J39-J51-J55+J56+J57</f>
        <v>-385.353385455608</v>
      </c>
      <c r="K59" s="15" t="n">
        <f aca="false">K31-K36-K39-K51-K55+K56+K57</f>
        <v>-215.093451601052</v>
      </c>
      <c r="L59" s="15" t="n">
        <f aca="false">L31-L36-L39-L51-L55+L56+L57</f>
        <v>943.463882914958</v>
      </c>
      <c r="M59" s="15" t="n">
        <f aca="false">M31-M36-M39-M51-M55+M56+M57</f>
        <v>2090.43564408581</v>
      </c>
      <c r="N59" s="15" t="n">
        <f aca="false">N31-N36-N39-N51-N55+N56+N57</f>
        <v>3225.93768764495</v>
      </c>
      <c r="O59" s="15" t="n">
        <f aca="false">O31-O36-O39-O51-O55+O56+O57</f>
        <v>-13788.3603558982</v>
      </c>
      <c r="P59" s="15" t="n">
        <f aca="false">P31-P36-P39-P51-P55+P56+P57</f>
        <v>-8504.62208567252</v>
      </c>
      <c r="Q59" s="15" t="n">
        <f aca="false">Q31-Q36-Q39-Q51-Q55+Q56+Q57</f>
        <v>-4659.72119814912</v>
      </c>
      <c r="R59" s="15" t="n">
        <f aca="false">R31-R36-R39-R51-R55+R56+R57</f>
        <v>-853.269319500971</v>
      </c>
      <c r="S59" s="15" t="n">
        <f aca="false">S31-S36-S39-S51-S55+S56+S57</f>
        <v>2915.11804036071</v>
      </c>
      <c r="T59" s="15" t="n">
        <f aca="false">T31-T36-T39-T51-T55+T56+T57</f>
        <v>6645.82152662376</v>
      </c>
      <c r="U59" s="15" t="n">
        <f aca="false">U31-U36-U39-U51-U55+U56+U57</f>
        <v>-1160.78202197581</v>
      </c>
      <c r="V59" s="15" t="n">
        <f aca="false">V31-V36-V39-V51-V55+V56+V57</f>
        <v>8495.68046491062</v>
      </c>
      <c r="W59" s="15" t="n">
        <f aca="false">W31-W36-W39-W51-W55+W56+W57</f>
        <v>11115.5783269282</v>
      </c>
      <c r="X59" s="15" t="n">
        <f aca="false">X31-X36-X39-X51-X55+X56+X57</f>
        <v>14699.2772103255</v>
      </c>
      <c r="Y59" s="15" t="n">
        <f aca="false">Y31-Y36-Y39-Y51-Y55+Y56+Y57</f>
        <v>18247.139104889</v>
      </c>
      <c r="Z59" s="15" t="n">
        <f aca="false">Z31-Z36-Z39-Z51-Z55+Z56+Z57</f>
        <v>21759.5223805067</v>
      </c>
      <c r="AA59" s="15" t="n">
        <f aca="false">AA31-AA36-AA39-AA51-AA55+AA56+AA57</f>
        <v>17440.1138233683</v>
      </c>
      <c r="AB59" s="15" t="n">
        <f aca="false">AB31-AB36-AB39-AB51-AB55+AB56+AB57</f>
        <v>29820.0993518013</v>
      </c>
      <c r="AC59" s="15" t="n">
        <f aca="false">AC31-AC36-AC39-AC51-AC55+AC56+AC57</f>
        <v>39106.28502495</v>
      </c>
      <c r="AD59" s="15" t="n">
        <f aca="false">AD31-AD36-AD39-AD51-AD55+AD56+AD57</f>
        <v>48299.6088413671</v>
      </c>
      <c r="AE59" s="15" t="n">
        <f aca="false">AE31-AE36-AE39-AE51-AE55+AE56+AE57</f>
        <v>57400.9994196202</v>
      </c>
      <c r="AF59" s="15" t="n">
        <f aca="false">AF31-AF36-AF39-AF51-AF55+AF56+AF57</f>
        <v>66411.3760920906</v>
      </c>
      <c r="AG59" s="15" t="n">
        <f aca="false">AG31-AG36-AG39-AG51-AG55+AG56+AG57</f>
        <v>70331.6489978364</v>
      </c>
      <c r="AH59" s="15" t="n">
        <f aca="false">AH31-AH36-AH39-AH51-AH55+AH56+AH57</f>
        <v>85162.7191745246</v>
      </c>
      <c r="AI59" s="15" t="n">
        <f aca="false">AI31-AI36-AI39-AI51-AI55+AI56+AI57</f>
        <v>92905.4786494461</v>
      </c>
      <c r="AJ59" s="15" t="n">
        <f aca="false">AJ31-AJ36-AJ39-AJ51-AJ55+AJ56+AJ57</f>
        <v>101560.810529618</v>
      </c>
      <c r="AK59" s="15" t="n">
        <f aca="false">AK31-AK36-AK39-AK51-AK55+AK56+AK57</f>
        <v>110129.589090989</v>
      </c>
      <c r="AL59" s="15" t="n">
        <f aca="false">AL31-AL36-AL39-AL51-AL55+AL56+AL57</f>
        <v>118612.679866746</v>
      </c>
      <c r="AN59" s="15" t="n">
        <f aca="false">SUM(C59:N59)</f>
        <v>-71441.3004166102</v>
      </c>
      <c r="AO59" s="15" t="n">
        <f aca="false">SUM(O59:Z59)</f>
        <v>54911.3820733479</v>
      </c>
      <c r="AP59" s="15" t="n">
        <f aca="false">SUM(AA59:AL59)</f>
        <v>837181.408862357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-38568.0001333333</v>
      </c>
      <c r="F60" s="40" t="n">
        <f aca="false">F58+F59</f>
        <v>-49461.9902626667</v>
      </c>
      <c r="G60" s="40" t="n">
        <f aca="false">G58+G59</f>
        <v>-60373.36068812</v>
      </c>
      <c r="H60" s="40" t="n">
        <f aca="false">H58+H59</f>
        <v>-71301.5900008097</v>
      </c>
      <c r="I60" s="40" t="n">
        <f aca="false">I58+I59</f>
        <v>-77100.6907941992</v>
      </c>
      <c r="J60" s="40" t="n">
        <f aca="false">J58+J59</f>
        <v>-77486.0441796548</v>
      </c>
      <c r="K60" s="40" t="n">
        <f aca="false">K58+K59</f>
        <v>-77701.1376312559</v>
      </c>
      <c r="L60" s="40" t="n">
        <f aca="false">L58+L59</f>
        <v>-76757.6737483409</v>
      </c>
      <c r="M60" s="40" t="n">
        <f aca="false">M58+M59</f>
        <v>-74667.2381042551</v>
      </c>
      <c r="N60" s="40" t="n">
        <f aca="false">N58+N59</f>
        <v>-71441.3004166102</v>
      </c>
      <c r="O60" s="40" t="n">
        <f aca="false">O58+O59</f>
        <v>-85229.6607725083</v>
      </c>
      <c r="P60" s="40" t="n">
        <f aca="false">P58+P59</f>
        <v>-93734.2828581808</v>
      </c>
      <c r="Q60" s="40" t="n">
        <f aca="false">Q58+Q59</f>
        <v>-98394.00405633</v>
      </c>
      <c r="R60" s="40" t="n">
        <f aca="false">R58+R59</f>
        <v>-99247.2733758309</v>
      </c>
      <c r="S60" s="40" t="n">
        <f aca="false">S58+S59</f>
        <v>-96332.1553354702</v>
      </c>
      <c r="T60" s="40" t="n">
        <f aca="false">T58+T59</f>
        <v>-89686.3338088465</v>
      </c>
      <c r="U60" s="40" t="n">
        <f aca="false">U58+U59</f>
        <v>-90847.1158308223</v>
      </c>
      <c r="V60" s="40" t="n">
        <f aca="false">V58+V59</f>
        <v>-82351.4353659117</v>
      </c>
      <c r="W60" s="40" t="n">
        <f aca="false">W58+W59</f>
        <v>-71235.8570389835</v>
      </c>
      <c r="X60" s="40" t="n">
        <f aca="false">X58+X59</f>
        <v>-56536.5798286579</v>
      </c>
      <c r="Y60" s="40" t="n">
        <f aca="false">Y58+Y59</f>
        <v>-38289.440723769</v>
      </c>
      <c r="Z60" s="40" t="n">
        <f aca="false">Z58+Z59</f>
        <v>-16529.9183432623</v>
      </c>
      <c r="AA60" s="40" t="n">
        <f aca="false">AA58+AA59</f>
        <v>910.195480106053</v>
      </c>
      <c r="AB60" s="40" t="n">
        <f aca="false">AB58+AB59</f>
        <v>30730.2948319074</v>
      </c>
      <c r="AC60" s="40" t="n">
        <f aca="false">AC58+AC59</f>
        <v>69836.5798568574</v>
      </c>
      <c r="AD60" s="40" t="n">
        <f aca="false">AD58+AD59</f>
        <v>118136.188698224</v>
      </c>
      <c r="AE60" s="40" t="n">
        <f aca="false">AE58+AE59</f>
        <v>175537.188117845</v>
      </c>
      <c r="AF60" s="40" t="n">
        <f aca="false">AF58+AF59</f>
        <v>241948.564209935</v>
      </c>
      <c r="AG60" s="40" t="n">
        <f aca="false">AG58+AG59</f>
        <v>312280.213207772</v>
      </c>
      <c r="AH60" s="40" t="n">
        <f aca="false">AH58+AH59</f>
        <v>397442.932382296</v>
      </c>
      <c r="AI60" s="40" t="n">
        <f aca="false">AI58+AI59</f>
        <v>490348.411031742</v>
      </c>
      <c r="AJ60" s="40" t="n">
        <f aca="false">AJ58+AJ59</f>
        <v>591909.221561361</v>
      </c>
      <c r="AK60" s="40" t="n">
        <f aca="false">AK58+AK59</f>
        <v>702038.810652349</v>
      </c>
      <c r="AL60" s="40" t="n">
        <f aca="false">AL58+AL59</f>
        <v>820651.490519095</v>
      </c>
      <c r="AN60" s="40" t="n">
        <f aca="false">N60</f>
        <v>-71441.3004166102</v>
      </c>
      <c r="AO60" s="40" t="n">
        <f aca="false">Z60</f>
        <v>-16529.9183432623</v>
      </c>
      <c r="AP60" s="40" t="n">
        <f aca="false">AL60</f>
        <v>820651.490519095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-38568.0001333333</v>
      </c>
      <c r="F62" s="40" t="n">
        <f aca="false">F60-F61</f>
        <v>-49461.9902626667</v>
      </c>
      <c r="G62" s="40" t="n">
        <f aca="false">G60-G61</f>
        <v>-60373.36068812</v>
      </c>
      <c r="H62" s="40" t="n">
        <f aca="false">H60-H61</f>
        <v>-71301.5900008097</v>
      </c>
      <c r="I62" s="40" t="n">
        <f aca="false">I60-I61</f>
        <v>-77100.6907941992</v>
      </c>
      <c r="J62" s="40" t="n">
        <f aca="false">J60-J61</f>
        <v>-77486.0441796548</v>
      </c>
      <c r="K62" s="40" t="n">
        <f aca="false">K60-K61</f>
        <v>-77701.1376312559</v>
      </c>
      <c r="L62" s="40" t="n">
        <f aca="false">L60-L61</f>
        <v>-76757.6737483409</v>
      </c>
      <c r="M62" s="40" t="n">
        <f aca="false">M60-M61</f>
        <v>-74667.2381042551</v>
      </c>
      <c r="N62" s="40" t="n">
        <f aca="false">N60-N61</f>
        <v>-71441.3004166102</v>
      </c>
      <c r="O62" s="40" t="n">
        <f aca="false">O60-O61</f>
        <v>-85229.6607725083</v>
      </c>
      <c r="P62" s="40" t="n">
        <f aca="false">P60-P61</f>
        <v>-93734.2828581808</v>
      </c>
      <c r="Q62" s="40" t="n">
        <f aca="false">Q60-Q61</f>
        <v>-98394.00405633</v>
      </c>
      <c r="R62" s="40" t="n">
        <f aca="false">R60-R61</f>
        <v>-99247.2733758309</v>
      </c>
      <c r="S62" s="40" t="n">
        <f aca="false">S60-S61</f>
        <v>-96332.1553354702</v>
      </c>
      <c r="T62" s="40" t="n">
        <f aca="false">T60-T61</f>
        <v>-89686.3338088465</v>
      </c>
      <c r="U62" s="40" t="n">
        <f aca="false">U60-U61</f>
        <v>-90847.1158308223</v>
      </c>
      <c r="V62" s="40" t="n">
        <f aca="false">V60-V61</f>
        <v>-82351.4353659117</v>
      </c>
      <c r="W62" s="40" t="n">
        <f aca="false">W60-W61</f>
        <v>-71235.8570389835</v>
      </c>
      <c r="X62" s="40" t="n">
        <f aca="false">X60-X61</f>
        <v>-56536.5798286579</v>
      </c>
      <c r="Y62" s="40" t="n">
        <f aca="false">Y60-Y61</f>
        <v>-38289.440723769</v>
      </c>
      <c r="Z62" s="40" t="n">
        <f aca="false">Z60-Z61</f>
        <v>-16529.9183432623</v>
      </c>
      <c r="AA62" s="40" t="n">
        <f aca="false">AA60-AA61</f>
        <v>910.195480106053</v>
      </c>
      <c r="AB62" s="40" t="n">
        <f aca="false">AB60-AB61</f>
        <v>30730.2948319074</v>
      </c>
      <c r="AC62" s="40" t="n">
        <f aca="false">AC60-AC61</f>
        <v>69836.5798568574</v>
      </c>
      <c r="AD62" s="40" t="n">
        <f aca="false">AD60-AD61</f>
        <v>118136.188698224</v>
      </c>
      <c r="AE62" s="40" t="n">
        <f aca="false">AE60-AE61</f>
        <v>175537.188117845</v>
      </c>
      <c r="AF62" s="40" t="n">
        <f aca="false">AF60-AF61</f>
        <v>241948.564209935</v>
      </c>
      <c r="AG62" s="40" t="n">
        <f aca="false">AG60-AG61</f>
        <v>312280.213207772</v>
      </c>
      <c r="AH62" s="40" t="n">
        <f aca="false">AH60-AH61</f>
        <v>397442.932382296</v>
      </c>
      <c r="AI62" s="40" t="n">
        <f aca="false">AI60-AI61</f>
        <v>490348.411031742</v>
      </c>
      <c r="AJ62" s="40" t="n">
        <f aca="false">AJ60-AJ61</f>
        <v>591909.221561361</v>
      </c>
      <c r="AK62" s="40" t="n">
        <f aca="false">AK60-AK61</f>
        <v>702038.810652349</v>
      </c>
      <c r="AL62" s="40" t="n">
        <f aca="false">AL60-AL61</f>
        <v>820651.490519095</v>
      </c>
      <c r="AN62" s="40" t="n">
        <f aca="false">N62</f>
        <v>-71441.3004166102</v>
      </c>
      <c r="AO62" s="40" t="n">
        <f aca="false">Z62</f>
        <v>-16529.9183432623</v>
      </c>
      <c r="AP62" s="40" t="n">
        <f aca="false">AL62</f>
        <v>820651.490519095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-38568.0001333333</v>
      </c>
      <c r="F63" s="15" t="n">
        <f aca="false">MIN(E63,F62)</f>
        <v>-49461.9902626667</v>
      </c>
      <c r="G63" s="15" t="n">
        <f aca="false">MIN(F63,G62)</f>
        <v>-60373.36068812</v>
      </c>
      <c r="H63" s="15" t="n">
        <f aca="false">MIN(G63,H62)</f>
        <v>-71301.5900008097</v>
      </c>
      <c r="I63" s="15" t="n">
        <f aca="false">MIN(H63,I62)</f>
        <v>-77100.6907941992</v>
      </c>
      <c r="J63" s="15" t="n">
        <f aca="false">MIN(I63,J62)</f>
        <v>-77486.0441796548</v>
      </c>
      <c r="K63" s="15" t="n">
        <f aca="false">MIN(J63,K62)</f>
        <v>-77701.1376312559</v>
      </c>
      <c r="L63" s="15" t="n">
        <f aca="false">MIN(K63,L62)</f>
        <v>-77701.1376312559</v>
      </c>
      <c r="M63" s="15" t="n">
        <f aca="false">MIN(L63,M62)</f>
        <v>-77701.1376312559</v>
      </c>
      <c r="N63" s="15" t="n">
        <f aca="false">MIN(M63,N62)</f>
        <v>-77701.1376312559</v>
      </c>
      <c r="O63" s="15" t="n">
        <f aca="false">MIN(N63,O62)</f>
        <v>-85229.6607725083</v>
      </c>
      <c r="P63" s="15" t="n">
        <f aca="false">MIN(O63,P62)</f>
        <v>-93734.2828581808</v>
      </c>
      <c r="Q63" s="15" t="n">
        <f aca="false">MIN(P63,Q62)</f>
        <v>-98394.00405633</v>
      </c>
      <c r="R63" s="15" t="n">
        <f aca="false">MIN(Q63,R62)</f>
        <v>-99247.2733758309</v>
      </c>
      <c r="S63" s="15" t="n">
        <f aca="false">MIN(R63,S62)</f>
        <v>-99247.2733758309</v>
      </c>
      <c r="T63" s="15" t="n">
        <f aca="false">MIN(S63,T62)</f>
        <v>-99247.2733758309</v>
      </c>
      <c r="U63" s="15" t="n">
        <f aca="false">MIN(T63,U62)</f>
        <v>-99247.2733758309</v>
      </c>
      <c r="V63" s="15" t="n">
        <f aca="false">MIN(U63,V62)</f>
        <v>-99247.2733758309</v>
      </c>
      <c r="W63" s="15" t="n">
        <f aca="false">MIN(V63,W62)</f>
        <v>-99247.2733758309</v>
      </c>
      <c r="X63" s="15" t="n">
        <f aca="false">MIN(W63,X62)</f>
        <v>-99247.2733758309</v>
      </c>
      <c r="Y63" s="15" t="n">
        <f aca="false">MIN(X63,Y62)</f>
        <v>-99247.2733758309</v>
      </c>
      <c r="Z63" s="15" t="n">
        <f aca="false">MIN(Y63,Z62)</f>
        <v>-99247.2733758309</v>
      </c>
      <c r="AA63" s="15" t="n">
        <f aca="false">MIN(Z63,AA62)</f>
        <v>-99247.2733758309</v>
      </c>
      <c r="AB63" s="15" t="n">
        <f aca="false">MIN(AA63,AB62)</f>
        <v>-99247.2733758309</v>
      </c>
      <c r="AC63" s="15" t="n">
        <f aca="false">MIN(AB63,AC62)</f>
        <v>-99247.2733758309</v>
      </c>
      <c r="AD63" s="15" t="n">
        <f aca="false">MIN(AC63,AD62)</f>
        <v>-99247.2733758309</v>
      </c>
      <c r="AE63" s="15" t="n">
        <f aca="false">MIN(AD63,AE62)</f>
        <v>-99247.2733758309</v>
      </c>
      <c r="AF63" s="15" t="n">
        <f aca="false">MIN(AE63,AF62)</f>
        <v>-99247.2733758309</v>
      </c>
      <c r="AG63" s="15" t="n">
        <f aca="false">MIN(AF63,AG62)</f>
        <v>-99247.2733758309</v>
      </c>
      <c r="AH63" s="15" t="n">
        <f aca="false">MIN(AG63,AH62)</f>
        <v>-99247.2733758309</v>
      </c>
      <c r="AI63" s="15" t="n">
        <f aca="false">MIN(AH63,AI62)</f>
        <v>-99247.2733758309</v>
      </c>
      <c r="AJ63" s="15" t="n">
        <f aca="false">MIN(AI63,AJ62)</f>
        <v>-99247.2733758309</v>
      </c>
      <c r="AK63" s="15" t="n">
        <f aca="false">MIN(AJ63,AK62)</f>
        <v>-99247.2733758309</v>
      </c>
      <c r="AL63" s="15" t="n">
        <f aca="false">MIN(AK63,AL62)</f>
        <v>-99247.2733758309</v>
      </c>
      <c r="AN63" s="15" t="n">
        <f aca="false">N63</f>
        <v>-77701.1376312559</v>
      </c>
      <c r="AO63" s="15" t="n">
        <f aca="false">Z63</f>
        <v>-99247.2733758309</v>
      </c>
      <c r="AP63" s="15" t="n">
        <f aca="false">AL63</f>
        <v>-99247.2733758309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1</v>
      </c>
      <c r="AB64" s="13" t="n">
        <f aca="false">IF(AND(AB9=1,AB62&gt;0),1,0)</f>
        <v>1</v>
      </c>
      <c r="AC64" s="13" t="n">
        <f aca="false">IF(AND(AC9=1,AC62&gt;0),1,0)</f>
        <v>1</v>
      </c>
      <c r="AD64" s="13" t="n">
        <f aca="false">IF(AND(AD9=1,AD62&gt;0),1,0)</f>
        <v>1</v>
      </c>
      <c r="AE64" s="13" t="n">
        <f aca="false">IF(AND(AE9=1,AE62&gt;0),1,0)</f>
        <v>1</v>
      </c>
      <c r="AF64" s="13" t="n">
        <f aca="false">IF(AND(AF9=1,AF62&gt;0),1,0)</f>
        <v>1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8880</v>
      </c>
      <c r="F66" s="15" t="n">
        <f aca="false">F28*12</f>
        <v>8613.6</v>
      </c>
      <c r="G66" s="15" t="n">
        <f aca="false">G28*12</f>
        <v>8355.192</v>
      </c>
      <c r="H66" s="15" t="n">
        <f aca="false">H28*12</f>
        <v>8104.53624</v>
      </c>
      <c r="I66" s="15" t="n">
        <f aca="false">I28*12</f>
        <v>25783.4908776</v>
      </c>
      <c r="J66" s="15" t="n">
        <f aca="false">J28*12</f>
        <v>43285.655968824</v>
      </c>
      <c r="K66" s="15" t="n">
        <f aca="false">K28*12</f>
        <v>60612.7994091358</v>
      </c>
      <c r="L66" s="15" t="n">
        <f aca="false">L28*12</f>
        <v>77766.6714150444</v>
      </c>
      <c r="M66" s="15" t="n">
        <f aca="false">M28*12</f>
        <v>94749.0047008939</v>
      </c>
      <c r="N66" s="15" t="n">
        <f aca="false">N28*12</f>
        <v>111561.514653885</v>
      </c>
      <c r="O66" s="15" t="n">
        <f aca="false">O28*12</f>
        <v>169645.899507346</v>
      </c>
      <c r="P66" s="15" t="n">
        <f aca="false">P28*12</f>
        <v>227149.440512273</v>
      </c>
      <c r="Q66" s="15" t="n">
        <f aca="false">Q28*12</f>
        <v>284077.94610715</v>
      </c>
      <c r="R66" s="15" t="n">
        <f aca="false">R28*12</f>
        <v>340437.166646078</v>
      </c>
      <c r="S66" s="15" t="n">
        <f aca="false">S28*12</f>
        <v>396232.794979618</v>
      </c>
      <c r="T66" s="15" t="n">
        <f aca="false">T28*12</f>
        <v>451470.467029822</v>
      </c>
      <c r="U66" s="15" t="n">
        <f aca="false">U28*12</f>
        <v>506155.762359523</v>
      </c>
      <c r="V66" s="15" t="n">
        <f aca="false">V28*12</f>
        <v>560294.204735928</v>
      </c>
      <c r="W66" s="15" t="n">
        <f aca="false">W28*12</f>
        <v>613891.262688569</v>
      </c>
      <c r="X66" s="15" t="n">
        <f aca="false">X28*12</f>
        <v>666952.350061683</v>
      </c>
      <c r="Y66" s="15" t="n">
        <f aca="false">Y28*12</f>
        <v>719482.826561066</v>
      </c>
      <c r="Z66" s="15" t="n">
        <f aca="false">Z28*12</f>
        <v>771487.998295455</v>
      </c>
      <c r="AA66" s="15" t="n">
        <f aca="false">AA28*12</f>
        <v>911773.118312501</v>
      </c>
      <c r="AB66" s="15" t="n">
        <f aca="false">AB28*12</f>
        <v>1050655.38712938</v>
      </c>
      <c r="AC66" s="15" t="n">
        <f aca="false">AC28*12</f>
        <v>1188148.83325808</v>
      </c>
      <c r="AD66" s="15" t="n">
        <f aca="false">AD28*12</f>
        <v>1324267.3449255</v>
      </c>
      <c r="AE66" s="15" t="n">
        <f aca="false">AE28*12</f>
        <v>1459024.67147625</v>
      </c>
      <c r="AF66" s="15" t="n">
        <f aca="false">AF28*12</f>
        <v>1592434.42476148</v>
      </c>
      <c r="AG66" s="15" t="n">
        <f aca="false">AG28*12</f>
        <v>1724510.08051387</v>
      </c>
      <c r="AH66" s="15" t="n">
        <f aca="false">AH28*12</f>
        <v>1855264.97970873</v>
      </c>
      <c r="AI66" s="15" t="n">
        <f aca="false">AI28*12</f>
        <v>1984712.32991164</v>
      </c>
      <c r="AJ66" s="15" t="n">
        <f aca="false">AJ28*12</f>
        <v>2112865.20661253</v>
      </c>
      <c r="AK66" s="15" t="n">
        <f aca="false">AK28*12</f>
        <v>2239736.5545464</v>
      </c>
      <c r="AL66" s="15" t="n">
        <f aca="false">AL28*12</f>
        <v>2365339.18900094</v>
      </c>
      <c r="AN66" s="15" t="n">
        <f aca="false">N66</f>
        <v>111561.514653885</v>
      </c>
      <c r="AO66" s="15" t="n">
        <f aca="false">Z66</f>
        <v>771487.998295455</v>
      </c>
      <c r="AP66" s="15" t="n">
        <f aca="false">AL66</f>
        <v>2365339.18900094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74</v>
      </c>
      <c r="F67" s="19" t="n">
        <f aca="false">IF(F18&gt;0,F28/F18,0)</f>
        <v>74</v>
      </c>
      <c r="G67" s="19" t="n">
        <f aca="false">IF(G18&gt;0,G28/G18,0)</f>
        <v>74</v>
      </c>
      <c r="H67" s="19" t="n">
        <f aca="false">IF(H18&gt;0,H28/H18,0)</f>
        <v>74</v>
      </c>
      <c r="I67" s="19" t="n">
        <f aca="false">IF(I18&gt;0,I28/I18,0)</f>
        <v>74</v>
      </c>
      <c r="J67" s="19" t="n">
        <f aca="false">IF(J18&gt;0,J28/J18,0)</f>
        <v>74</v>
      </c>
      <c r="K67" s="19" t="n">
        <f aca="false">IF(K18&gt;0,K28/K18,0)</f>
        <v>74</v>
      </c>
      <c r="L67" s="19" t="n">
        <f aca="false">IF(L18&gt;0,L28/L18,0)</f>
        <v>74</v>
      </c>
      <c r="M67" s="19" t="n">
        <f aca="false">IF(M18&gt;0,M28/M18,0)</f>
        <v>74</v>
      </c>
      <c r="N67" s="19" t="n">
        <f aca="false">IF(N18&gt;0,N28/N18,0)</f>
        <v>74</v>
      </c>
      <c r="O67" s="19" t="n">
        <f aca="false">IF(O18&gt;0,O28/O18,0)</f>
        <v>74</v>
      </c>
      <c r="P67" s="19" t="n">
        <f aca="false">IF(P18&gt;0,P28/P18,0)</f>
        <v>74</v>
      </c>
      <c r="Q67" s="19" t="n">
        <f aca="false">IF(Q18&gt;0,Q28/Q18,0)</f>
        <v>74</v>
      </c>
      <c r="R67" s="19" t="n">
        <f aca="false">IF(R18&gt;0,R28/R18,0)</f>
        <v>74</v>
      </c>
      <c r="S67" s="19" t="n">
        <f aca="false">IF(S18&gt;0,S28/S18,0)</f>
        <v>74</v>
      </c>
      <c r="T67" s="19" t="n">
        <f aca="false">IF(T18&gt;0,T28/T18,0)</f>
        <v>74</v>
      </c>
      <c r="U67" s="19" t="n">
        <f aca="false">IF(U18&gt;0,U28/U18,0)</f>
        <v>74</v>
      </c>
      <c r="V67" s="19" t="n">
        <f aca="false">IF(V18&gt;0,V28/V18,0)</f>
        <v>74</v>
      </c>
      <c r="W67" s="19" t="n">
        <f aca="false">IF(W18&gt;0,W28/W18,0)</f>
        <v>74</v>
      </c>
      <c r="X67" s="19" t="n">
        <f aca="false">IF(X18&gt;0,X28/X18,0)</f>
        <v>74</v>
      </c>
      <c r="Y67" s="19" t="n">
        <f aca="false">IF(Y18&gt;0,Y28/Y18,0)</f>
        <v>74</v>
      </c>
      <c r="Z67" s="19" t="n">
        <f aca="false">IF(Z18&gt;0,Z28/Z18,0)</f>
        <v>74</v>
      </c>
      <c r="AA67" s="19" t="n">
        <f aca="false">IF(AA18&gt;0,AA28/AA18,0)</f>
        <v>74</v>
      </c>
      <c r="AB67" s="19" t="n">
        <f aca="false">IF(AB18&gt;0,AB28/AB18,0)</f>
        <v>74</v>
      </c>
      <c r="AC67" s="19" t="n">
        <f aca="false">IF(AC18&gt;0,AC28/AC18,0)</f>
        <v>74</v>
      </c>
      <c r="AD67" s="19" t="n">
        <f aca="false">IF(AD18&gt;0,AD28/AD18,0)</f>
        <v>74</v>
      </c>
      <c r="AE67" s="19" t="n">
        <f aca="false">IF(AE18&gt;0,AE28/AE18,0)</f>
        <v>74</v>
      </c>
      <c r="AF67" s="19" t="n">
        <f aca="false">IF(AF18&gt;0,AF28/AF18,0)</f>
        <v>74</v>
      </c>
      <c r="AG67" s="19" t="n">
        <f aca="false">IF(AG18&gt;0,AG28/AG18,0)</f>
        <v>74</v>
      </c>
      <c r="AH67" s="19" t="n">
        <f aca="false">IF(AH18&gt;0,AH28/AH18,0)</f>
        <v>74</v>
      </c>
      <c r="AI67" s="19" t="n">
        <f aca="false">IF(AI18&gt;0,AI28/AI18,0)</f>
        <v>74</v>
      </c>
      <c r="AJ67" s="19" t="n">
        <f aca="false">IF(AJ18&gt;0,AJ28/AJ18,0)</f>
        <v>74</v>
      </c>
      <c r="AK67" s="19" t="n">
        <f aca="false">IF(AK18&gt;0,AK28/AK18,0)</f>
        <v>74</v>
      </c>
      <c r="AL67" s="19" t="n">
        <f aca="false">IF(AL18&gt;0,AL28/AL18,0)</f>
        <v>74</v>
      </c>
      <c r="AN67" s="19" t="n">
        <f aca="false">N67</f>
        <v>74</v>
      </c>
      <c r="AO67" s="19" t="n">
        <f aca="false">Z67</f>
        <v>74</v>
      </c>
      <c r="AP67" s="19" t="n">
        <f aca="false">AL67</f>
        <v>74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57.38132</v>
      </c>
      <c r="F69" s="19" t="n">
        <f aca="false">IF(F18&gt;0,F37/F18,0)</f>
        <v>57.38132</v>
      </c>
      <c r="G69" s="19" t="n">
        <f aca="false">IF(G18&gt;0,G37/G18,0)</f>
        <v>57.38132</v>
      </c>
      <c r="H69" s="19" t="n">
        <f aca="false">IF(H18&gt;0,H37/H18,0)</f>
        <v>57.38132</v>
      </c>
      <c r="I69" s="19" t="n">
        <f aca="false">IF(I18&gt;0,I37/I18,0)</f>
        <v>57.38132</v>
      </c>
      <c r="J69" s="19" t="n">
        <f aca="false">IF(J18&gt;0,J37/J18,0)</f>
        <v>57.38132</v>
      </c>
      <c r="K69" s="19" t="n">
        <f aca="false">IF(K18&gt;0,K37/K18,0)</f>
        <v>57.38132</v>
      </c>
      <c r="L69" s="19" t="n">
        <f aca="false">IF(L18&gt;0,L37/L18,0)</f>
        <v>57.38132</v>
      </c>
      <c r="M69" s="19" t="n">
        <f aca="false">IF(M18&gt;0,M37/M18,0)</f>
        <v>57.38132</v>
      </c>
      <c r="N69" s="19" t="n">
        <f aca="false">IF(N18&gt;0,N37/N18,0)</f>
        <v>57.38132</v>
      </c>
      <c r="O69" s="19" t="n">
        <f aca="false">IF(O18&gt;0,O37/O18,0)</f>
        <v>57.38132</v>
      </c>
      <c r="P69" s="19" t="n">
        <f aca="false">IF(P18&gt;0,P37/P18,0)</f>
        <v>57.38132</v>
      </c>
      <c r="Q69" s="19" t="n">
        <f aca="false">IF(Q18&gt;0,Q37/Q18,0)</f>
        <v>57.38132</v>
      </c>
      <c r="R69" s="19" t="n">
        <f aca="false">IF(R18&gt;0,R37/R18,0)</f>
        <v>57.38132</v>
      </c>
      <c r="S69" s="19" t="n">
        <f aca="false">IF(S18&gt;0,S37/S18,0)</f>
        <v>57.38132</v>
      </c>
      <c r="T69" s="19" t="n">
        <f aca="false">IF(T18&gt;0,T37/T18,0)</f>
        <v>57.38132</v>
      </c>
      <c r="U69" s="19" t="n">
        <f aca="false">IF(U18&gt;0,U37/U18,0)</f>
        <v>57.38132</v>
      </c>
      <c r="V69" s="19" t="n">
        <f aca="false">IF(V18&gt;0,V37/V18,0)</f>
        <v>57.38132</v>
      </c>
      <c r="W69" s="19" t="n">
        <f aca="false">IF(W18&gt;0,W37/W18,0)</f>
        <v>57.38132</v>
      </c>
      <c r="X69" s="19" t="n">
        <f aca="false">IF(X18&gt;0,X37/X18,0)</f>
        <v>57.38132</v>
      </c>
      <c r="Y69" s="19" t="n">
        <f aca="false">IF(Y18&gt;0,Y37/Y18,0)</f>
        <v>57.38132</v>
      </c>
      <c r="Z69" s="19" t="n">
        <f aca="false">IF(Z18&gt;0,Z37/Z18,0)</f>
        <v>57.38132</v>
      </c>
      <c r="AA69" s="19" t="n">
        <f aca="false">IF(AA18&gt;0,AA37/AA18,0)</f>
        <v>57.38132</v>
      </c>
      <c r="AB69" s="19" t="n">
        <f aca="false">IF(AB18&gt;0,AB37/AB18,0)</f>
        <v>57.38132</v>
      </c>
      <c r="AC69" s="19" t="n">
        <f aca="false">IF(AC18&gt;0,AC37/AC18,0)</f>
        <v>57.38132</v>
      </c>
      <c r="AD69" s="19" t="n">
        <f aca="false">IF(AD18&gt;0,AD37/AD18,0)</f>
        <v>57.38132</v>
      </c>
      <c r="AE69" s="19" t="n">
        <f aca="false">IF(AE18&gt;0,AE37/AE18,0)</f>
        <v>57.38132</v>
      </c>
      <c r="AF69" s="19" t="n">
        <f aca="false">IF(AF18&gt;0,AF37/AF18,0)</f>
        <v>57.38132</v>
      </c>
      <c r="AG69" s="19" t="n">
        <f aca="false">IF(AG18&gt;0,AG37/AG18,0)</f>
        <v>57.38132</v>
      </c>
      <c r="AH69" s="19" t="n">
        <f aca="false">IF(AH18&gt;0,AH37/AH18,0)</f>
        <v>57.38132</v>
      </c>
      <c r="AI69" s="19" t="n">
        <f aca="false">IF(AI18&gt;0,AI37/AI18,0)</f>
        <v>57.38132</v>
      </c>
      <c r="AJ69" s="19" t="n">
        <f aca="false">IF(AJ18&gt;0,AJ37/AJ18,0)</f>
        <v>57.38132</v>
      </c>
      <c r="AK69" s="19" t="n">
        <f aca="false">IF(AK18&gt;0,AK37/AK18,0)</f>
        <v>57.38132</v>
      </c>
      <c r="AL69" s="19" t="n">
        <f aca="false">IF(AL18&gt;0,AL37/AL18,0)</f>
        <v>57.38132</v>
      </c>
      <c r="AN69" s="19" t="n">
        <f aca="false">N69</f>
        <v>57.38132</v>
      </c>
      <c r="AO69" s="19" t="n">
        <f aca="false">Z69</f>
        <v>57.38132</v>
      </c>
      <c r="AP69" s="19" t="n">
        <f aca="false">AL69</f>
        <v>57.38132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0.775423243243243</v>
      </c>
      <c r="F70" s="17" t="n">
        <f aca="false">IF(F28&gt;0,F37/F28,0)</f>
        <v>0.775423243243243</v>
      </c>
      <c r="G70" s="17" t="n">
        <f aca="false">IF(G28&gt;0,G37/G28,0)</f>
        <v>0.775423243243243</v>
      </c>
      <c r="H70" s="17" t="n">
        <f aca="false">IF(H28&gt;0,H37/H28,0)</f>
        <v>0.775423243243243</v>
      </c>
      <c r="I70" s="17" t="n">
        <f aca="false">IF(I28&gt;0,I37/I28,0)</f>
        <v>0.775423243243243</v>
      </c>
      <c r="J70" s="17" t="n">
        <f aca="false">IF(J28&gt;0,J37/J28,0)</f>
        <v>0.775423243243243</v>
      </c>
      <c r="K70" s="17" t="n">
        <f aca="false">IF(K28&gt;0,K37/K28,0)</f>
        <v>0.775423243243243</v>
      </c>
      <c r="L70" s="17" t="n">
        <f aca="false">IF(L28&gt;0,L37/L28,0)</f>
        <v>0.775423243243243</v>
      </c>
      <c r="M70" s="17" t="n">
        <f aca="false">IF(M28&gt;0,M37/M28,0)</f>
        <v>0.775423243243243</v>
      </c>
      <c r="N70" s="17" t="n">
        <f aca="false">IF(N28&gt;0,N37/N28,0)</f>
        <v>0.775423243243243</v>
      </c>
      <c r="O70" s="17" t="n">
        <f aca="false">IF(O28&gt;0,O37/O28,0)</f>
        <v>0.775423243243243</v>
      </c>
      <c r="P70" s="17" t="n">
        <f aca="false">IF(P28&gt;0,P37/P28,0)</f>
        <v>0.775423243243243</v>
      </c>
      <c r="Q70" s="17" t="n">
        <f aca="false">IF(Q28&gt;0,Q37/Q28,0)</f>
        <v>0.775423243243243</v>
      </c>
      <c r="R70" s="17" t="n">
        <f aca="false">IF(R28&gt;0,R37/R28,0)</f>
        <v>0.775423243243243</v>
      </c>
      <c r="S70" s="17" t="n">
        <f aca="false">IF(S28&gt;0,S37/S28,0)</f>
        <v>0.775423243243243</v>
      </c>
      <c r="T70" s="17" t="n">
        <f aca="false">IF(T28&gt;0,T37/T28,0)</f>
        <v>0.775423243243243</v>
      </c>
      <c r="U70" s="17" t="n">
        <f aca="false">IF(U28&gt;0,U37/U28,0)</f>
        <v>0.775423243243243</v>
      </c>
      <c r="V70" s="17" t="n">
        <f aca="false">IF(V28&gt;0,V37/V28,0)</f>
        <v>0.775423243243243</v>
      </c>
      <c r="W70" s="17" t="n">
        <f aca="false">IF(W28&gt;0,W37/W28,0)</f>
        <v>0.775423243243243</v>
      </c>
      <c r="X70" s="17" t="n">
        <f aca="false">IF(X28&gt;0,X37/X28,0)</f>
        <v>0.775423243243243</v>
      </c>
      <c r="Y70" s="17" t="n">
        <f aca="false">IF(Y28&gt;0,Y37/Y28,0)</f>
        <v>0.775423243243243</v>
      </c>
      <c r="Z70" s="17" t="n">
        <f aca="false">IF(Z28&gt;0,Z37/Z28,0)</f>
        <v>0.775423243243243</v>
      </c>
      <c r="AA70" s="17" t="n">
        <f aca="false">IF(AA28&gt;0,AA37/AA28,0)</f>
        <v>0.775423243243243</v>
      </c>
      <c r="AB70" s="17" t="n">
        <f aca="false">IF(AB28&gt;0,AB37/AB28,0)</f>
        <v>0.775423243243243</v>
      </c>
      <c r="AC70" s="17" t="n">
        <f aca="false">IF(AC28&gt;0,AC37/AC28,0)</f>
        <v>0.775423243243243</v>
      </c>
      <c r="AD70" s="17" t="n">
        <f aca="false">IF(AD28&gt;0,AD37/AD28,0)</f>
        <v>0.775423243243243</v>
      </c>
      <c r="AE70" s="17" t="n">
        <f aca="false">IF(AE28&gt;0,AE37/AE28,0)</f>
        <v>0.775423243243243</v>
      </c>
      <c r="AF70" s="17" t="n">
        <f aca="false">IF(AF28&gt;0,AF37/AF28,0)</f>
        <v>0.775423243243243</v>
      </c>
      <c r="AG70" s="17" t="n">
        <f aca="false">IF(AG28&gt;0,AG37/AG28,0)</f>
        <v>0.775423243243243</v>
      </c>
      <c r="AH70" s="17" t="n">
        <f aca="false">IF(AH28&gt;0,AH37/AH28,0)</f>
        <v>0.775423243243243</v>
      </c>
      <c r="AI70" s="17" t="n">
        <f aca="false">IF(AI28&gt;0,AI37/AI28,0)</f>
        <v>0.775423243243243</v>
      </c>
      <c r="AJ70" s="17" t="n">
        <f aca="false">IF(AJ28&gt;0,AJ37/AJ28,0)</f>
        <v>0.775423243243243</v>
      </c>
      <c r="AK70" s="17" t="n">
        <f aca="false">IF(AK28&gt;0,AK37/AK28,0)</f>
        <v>0.775423243243243</v>
      </c>
      <c r="AL70" s="17" t="n">
        <f aca="false">IF(AL28&gt;0,AL37/AL28,0)</f>
        <v>0.775423243243243</v>
      </c>
      <c r="AN70" s="17" t="n">
        <f aca="false">N70</f>
        <v>0.775423243243243</v>
      </c>
      <c r="AO70" s="17" t="n">
        <f aca="false">Z70</f>
        <v>0.775423243243243</v>
      </c>
      <c r="AP70" s="17" t="n">
        <f aca="false">AL70</f>
        <v>0.775423243243243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2.61409113627919</v>
      </c>
      <c r="F72" s="38" t="n">
        <f aca="false">IF(F69&gt;0,Hypothèses!$D$23*$E$4/F69,0)</f>
        <v>2.61409113627919</v>
      </c>
      <c r="G72" s="38" t="n">
        <f aca="false">IF(G69&gt;0,Hypothèses!$D$23*$E$4/G69,0)</f>
        <v>2.61409113627919</v>
      </c>
      <c r="H72" s="38" t="n">
        <f aca="false">IF(H69&gt;0,Hypothèses!$D$23*$E$4/H69,0)</f>
        <v>2.61409113627919</v>
      </c>
      <c r="I72" s="38" t="n">
        <f aca="false">IF(I69&gt;0,Hypothèses!$D$23*$E$4/I69,0)</f>
        <v>2.61409113627919</v>
      </c>
      <c r="J72" s="38" t="n">
        <f aca="false">IF(J69&gt;0,Hypothèses!$D$23*$E$4/J69,0)</f>
        <v>2.61409113627919</v>
      </c>
      <c r="K72" s="38" t="n">
        <f aca="false">IF(K69&gt;0,Hypothèses!$D$23*$E$4/K69,0)</f>
        <v>2.61409113627919</v>
      </c>
      <c r="L72" s="38" t="n">
        <f aca="false">IF(L69&gt;0,Hypothèses!$D$23*$E$4/L69,0)</f>
        <v>2.61409113627919</v>
      </c>
      <c r="M72" s="38" t="n">
        <f aca="false">IF(M69&gt;0,Hypothèses!$D$23*$E$4/M69,0)</f>
        <v>2.61409113627919</v>
      </c>
      <c r="N72" s="38" t="n">
        <f aca="false">IF(N69&gt;0,Hypothèses!$D$23*$E$4/N69,0)</f>
        <v>2.61409113627919</v>
      </c>
      <c r="O72" s="38" t="n">
        <f aca="false">IF(O69&gt;0,Hypothèses!$D$23*$E$4/O69,0)</f>
        <v>2.61409113627919</v>
      </c>
      <c r="P72" s="38" t="n">
        <f aca="false">IF(P69&gt;0,Hypothèses!$D$23*$E$4/P69,0)</f>
        <v>2.61409113627919</v>
      </c>
      <c r="Q72" s="38" t="n">
        <f aca="false">IF(Q69&gt;0,Hypothèses!$D$23*$E$4/Q69,0)</f>
        <v>2.61409113627919</v>
      </c>
      <c r="R72" s="38" t="n">
        <f aca="false">IF(R69&gt;0,Hypothèses!$D$23*$E$4/R69,0)</f>
        <v>2.61409113627919</v>
      </c>
      <c r="S72" s="38" t="n">
        <f aca="false">IF(S69&gt;0,Hypothèses!$D$23*$E$4/S69,0)</f>
        <v>2.61409113627919</v>
      </c>
      <c r="T72" s="38" t="n">
        <f aca="false">IF(T69&gt;0,Hypothèses!$D$23*$E$4/T69,0)</f>
        <v>2.61409113627919</v>
      </c>
      <c r="U72" s="38" t="n">
        <f aca="false">IF(U69&gt;0,Hypothèses!$D$23*$E$4/U69,0)</f>
        <v>2.61409113627919</v>
      </c>
      <c r="V72" s="38" t="n">
        <f aca="false">IF(V69&gt;0,Hypothèses!$D$23*$E$4/V69,0)</f>
        <v>2.61409113627919</v>
      </c>
      <c r="W72" s="38" t="n">
        <f aca="false">IF(W69&gt;0,Hypothèses!$D$23*$E$4/W69,0)</f>
        <v>2.61409113627919</v>
      </c>
      <c r="X72" s="38" t="n">
        <f aca="false">IF(X69&gt;0,Hypothèses!$D$23*$E$4/X69,0)</f>
        <v>2.61409113627919</v>
      </c>
      <c r="Y72" s="38" t="n">
        <f aca="false">IF(Y69&gt;0,Hypothèses!$D$23*$E$4/Y69,0)</f>
        <v>2.61409113627919</v>
      </c>
      <c r="Z72" s="38" t="n">
        <f aca="false">IF(Z69&gt;0,Hypothèses!$D$23*$E$4/Z69,0)</f>
        <v>2.61409113627919</v>
      </c>
      <c r="AA72" s="38" t="n">
        <f aca="false">IF(AA69&gt;0,Hypothèses!$D$23*$E$4/AA69,0)</f>
        <v>2.61409113627919</v>
      </c>
      <c r="AB72" s="38" t="n">
        <f aca="false">IF(AB69&gt;0,Hypothèses!$D$23*$E$4/AB69,0)</f>
        <v>2.61409113627919</v>
      </c>
      <c r="AC72" s="38" t="n">
        <f aca="false">IF(AC69&gt;0,Hypothèses!$D$23*$E$4/AC69,0)</f>
        <v>2.61409113627919</v>
      </c>
      <c r="AD72" s="38" t="n">
        <f aca="false">IF(AD69&gt;0,Hypothèses!$D$23*$E$4/AD69,0)</f>
        <v>2.61409113627919</v>
      </c>
      <c r="AE72" s="38" t="n">
        <f aca="false">IF(AE69&gt;0,Hypothèses!$D$23*$E$4/AE69,0)</f>
        <v>2.61409113627919</v>
      </c>
      <c r="AF72" s="38" t="n">
        <f aca="false">IF(AF69&gt;0,Hypothèses!$D$23*$E$4/AF69,0)</f>
        <v>2.61409113627919</v>
      </c>
      <c r="AG72" s="38" t="n">
        <f aca="false">IF(AG69&gt;0,Hypothèses!$D$23*$E$4/AG69,0)</f>
        <v>2.61409113627919</v>
      </c>
      <c r="AH72" s="38" t="n">
        <f aca="false">IF(AH69&gt;0,Hypothèses!$D$23*$E$4/AH69,0)</f>
        <v>2.61409113627919</v>
      </c>
      <c r="AI72" s="38" t="n">
        <f aca="false">IF(AI69&gt;0,Hypothèses!$D$23*$E$4/AI69,0)</f>
        <v>2.61409113627919</v>
      </c>
      <c r="AJ72" s="38" t="n">
        <f aca="false">IF(AJ69&gt;0,Hypothèses!$D$23*$E$4/AJ69,0)</f>
        <v>2.61409113627919</v>
      </c>
      <c r="AK72" s="38" t="n">
        <f aca="false">IF(AK69&gt;0,Hypothèses!$D$23*$E$4/AK69,0)</f>
        <v>2.61409113627919</v>
      </c>
      <c r="AL72" s="38" t="n">
        <f aca="false">IF(AL69&gt;0,Hypothèses!$D$23*$E$4/AL69,0)</f>
        <v>2.61409113627919</v>
      </c>
      <c r="AN72" s="38" t="n">
        <f aca="false">N72</f>
        <v>2.61409113627919</v>
      </c>
      <c r="AO72" s="38" t="n">
        <f aca="false">Z72</f>
        <v>2.61409113627919</v>
      </c>
      <c r="AP72" s="38" t="n">
        <f aca="false">AL72</f>
        <v>2.61409113627919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1912.71066666667</v>
      </c>
      <c r="F73" s="15" t="n">
        <f aca="false">IF(Hypothèses!$D$26*$D$4&gt;0,F69/(Hypothèses!$D$26*$D$4),0)</f>
        <v>1912.71066666667</v>
      </c>
      <c r="G73" s="15" t="n">
        <f aca="false">IF(Hypothèses!$D$26*$D$4&gt;0,G69/(Hypothèses!$D$26*$D$4),0)</f>
        <v>1912.71066666667</v>
      </c>
      <c r="H73" s="15" t="n">
        <f aca="false">IF(Hypothèses!$D$26*$D$4&gt;0,H69/(Hypothèses!$D$26*$D$4),0)</f>
        <v>1912.71066666667</v>
      </c>
      <c r="I73" s="15" t="n">
        <f aca="false">IF(Hypothèses!$D$26*$D$4&gt;0,I69/(Hypothèses!$D$26*$D$4),0)</f>
        <v>1912.71066666667</v>
      </c>
      <c r="J73" s="15" t="n">
        <f aca="false">IF(Hypothèses!$D$26*$D$4&gt;0,J69/(Hypothèses!$D$26*$D$4),0)</f>
        <v>1912.71066666667</v>
      </c>
      <c r="K73" s="15" t="n">
        <f aca="false">IF(Hypothèses!$D$26*$D$4&gt;0,K69/(Hypothèses!$D$26*$D$4),0)</f>
        <v>1912.71066666667</v>
      </c>
      <c r="L73" s="15" t="n">
        <f aca="false">IF(Hypothèses!$D$26*$D$4&gt;0,L69/(Hypothèses!$D$26*$D$4),0)</f>
        <v>1912.71066666667</v>
      </c>
      <c r="M73" s="15" t="n">
        <f aca="false">IF(Hypothèses!$D$26*$D$4&gt;0,M69/(Hypothèses!$D$26*$D$4),0)</f>
        <v>1912.71066666667</v>
      </c>
      <c r="N73" s="15" t="n">
        <f aca="false">IF(Hypothèses!$D$26*$D$4&gt;0,N69/(Hypothèses!$D$26*$D$4),0)</f>
        <v>1912.71066666667</v>
      </c>
      <c r="O73" s="15" t="n">
        <f aca="false">IF(Hypothèses!$D$26*$D$4&gt;0,O69/(Hypothèses!$D$26*$D$4),0)</f>
        <v>1912.71066666667</v>
      </c>
      <c r="P73" s="15" t="n">
        <f aca="false">IF(Hypothèses!$D$26*$D$4&gt;0,P69/(Hypothèses!$D$26*$D$4),0)</f>
        <v>1912.71066666667</v>
      </c>
      <c r="Q73" s="15" t="n">
        <f aca="false">IF(Hypothèses!$D$26*$D$4&gt;0,Q69/(Hypothèses!$D$26*$D$4),0)</f>
        <v>1912.71066666667</v>
      </c>
      <c r="R73" s="15" t="n">
        <f aca="false">IF(Hypothèses!$D$26*$D$4&gt;0,R69/(Hypothèses!$D$26*$D$4),0)</f>
        <v>1912.71066666667</v>
      </c>
      <c r="S73" s="15" t="n">
        <f aca="false">IF(Hypothèses!$D$26*$D$4&gt;0,S69/(Hypothèses!$D$26*$D$4),0)</f>
        <v>1912.71066666667</v>
      </c>
      <c r="T73" s="15" t="n">
        <f aca="false">IF(Hypothèses!$D$26*$D$4&gt;0,T69/(Hypothèses!$D$26*$D$4),0)</f>
        <v>1912.71066666667</v>
      </c>
      <c r="U73" s="15" t="n">
        <f aca="false">IF(Hypothèses!$D$26*$D$4&gt;0,U69/(Hypothèses!$D$26*$D$4),0)</f>
        <v>1912.71066666667</v>
      </c>
      <c r="V73" s="15" t="n">
        <f aca="false">IF(Hypothèses!$D$26*$D$4&gt;0,V69/(Hypothèses!$D$26*$D$4),0)</f>
        <v>1912.71066666667</v>
      </c>
      <c r="W73" s="15" t="n">
        <f aca="false">IF(Hypothèses!$D$26*$D$4&gt;0,W69/(Hypothèses!$D$26*$D$4),0)</f>
        <v>1912.71066666667</v>
      </c>
      <c r="X73" s="15" t="n">
        <f aca="false">IF(Hypothèses!$D$26*$D$4&gt;0,X69/(Hypothèses!$D$26*$D$4),0)</f>
        <v>1912.71066666667</v>
      </c>
      <c r="Y73" s="15" t="n">
        <f aca="false">IF(Hypothèses!$D$26*$D$4&gt;0,Y69/(Hypothèses!$D$26*$D$4),0)</f>
        <v>1912.71066666667</v>
      </c>
      <c r="Z73" s="15" t="n">
        <f aca="false">IF(Hypothèses!$D$26*$D$4&gt;0,Z69/(Hypothèses!$D$26*$D$4),0)</f>
        <v>1912.71066666667</v>
      </c>
      <c r="AA73" s="15" t="n">
        <f aca="false">IF(Hypothèses!$D$26*$D$4&gt;0,AA69/(Hypothèses!$D$26*$D$4),0)</f>
        <v>1912.71066666667</v>
      </c>
      <c r="AB73" s="15" t="n">
        <f aca="false">IF(Hypothèses!$D$26*$D$4&gt;0,AB69/(Hypothèses!$D$26*$D$4),0)</f>
        <v>1912.71066666667</v>
      </c>
      <c r="AC73" s="15" t="n">
        <f aca="false">IF(Hypothèses!$D$26*$D$4&gt;0,AC69/(Hypothèses!$D$26*$D$4),0)</f>
        <v>1912.71066666667</v>
      </c>
      <c r="AD73" s="15" t="n">
        <f aca="false">IF(Hypothèses!$D$26*$D$4&gt;0,AD69/(Hypothèses!$D$26*$D$4),0)</f>
        <v>1912.71066666667</v>
      </c>
      <c r="AE73" s="15" t="n">
        <f aca="false">IF(Hypothèses!$D$26*$D$4&gt;0,AE69/(Hypothèses!$D$26*$D$4),0)</f>
        <v>1912.71066666667</v>
      </c>
      <c r="AF73" s="15" t="n">
        <f aca="false">IF(Hypothèses!$D$26*$D$4&gt;0,AF69/(Hypothèses!$D$26*$D$4),0)</f>
        <v>1912.71066666667</v>
      </c>
      <c r="AG73" s="15" t="n">
        <f aca="false">IF(Hypothèses!$D$26*$D$4&gt;0,AG69/(Hypothèses!$D$26*$D$4),0)</f>
        <v>1912.71066666667</v>
      </c>
      <c r="AH73" s="15" t="n">
        <f aca="false">IF(Hypothèses!$D$26*$D$4&gt;0,AH69/(Hypothèses!$D$26*$D$4),0)</f>
        <v>1912.71066666667</v>
      </c>
      <c r="AI73" s="15" t="n">
        <f aca="false">IF(Hypothèses!$D$26*$D$4&gt;0,AI69/(Hypothèses!$D$26*$D$4),0)</f>
        <v>1912.71066666667</v>
      </c>
      <c r="AJ73" s="15" t="n">
        <f aca="false">IF(Hypothèses!$D$26*$D$4&gt;0,AJ69/(Hypothèses!$D$26*$D$4),0)</f>
        <v>1912.71066666667</v>
      </c>
      <c r="AK73" s="15" t="n">
        <f aca="false">IF(Hypothèses!$D$26*$D$4&gt;0,AK69/(Hypothèses!$D$26*$D$4),0)</f>
        <v>1912.71066666667</v>
      </c>
      <c r="AL73" s="15" t="n">
        <f aca="false">IF(Hypothèses!$D$26*$D$4&gt;0,AL69/(Hypothèses!$D$26*$D$4),0)</f>
        <v>1912.71066666667</v>
      </c>
      <c r="AN73" s="15" t="n">
        <f aca="false">N73</f>
        <v>1912.71066666667</v>
      </c>
      <c r="AO73" s="15" t="n">
        <f aca="false">Z73</f>
        <v>1912.71066666667</v>
      </c>
      <c r="AP73" s="15" t="n">
        <f aca="false">AL73</f>
        <v>1912.71066666667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12.7514044444444</v>
      </c>
      <c r="F74" s="41" t="n">
        <f aca="false">IF(Hypothèses!$D$23*$E$4&gt;0,F73/(Hypothèses!$D$23*$E$4),0)</f>
        <v>12.7514044444444</v>
      </c>
      <c r="G74" s="41" t="n">
        <f aca="false">IF(Hypothèses!$D$23*$E$4&gt;0,G73/(Hypothèses!$D$23*$E$4),0)</f>
        <v>12.7514044444444</v>
      </c>
      <c r="H74" s="41" t="n">
        <f aca="false">IF(Hypothèses!$D$23*$E$4&gt;0,H73/(Hypothèses!$D$23*$E$4),0)</f>
        <v>12.7514044444444</v>
      </c>
      <c r="I74" s="41" t="n">
        <f aca="false">IF(Hypothèses!$D$23*$E$4&gt;0,I73/(Hypothèses!$D$23*$E$4),0)</f>
        <v>12.7514044444444</v>
      </c>
      <c r="J74" s="41" t="n">
        <f aca="false">IF(Hypothèses!$D$23*$E$4&gt;0,J73/(Hypothèses!$D$23*$E$4),0)</f>
        <v>12.7514044444444</v>
      </c>
      <c r="K74" s="41" t="n">
        <f aca="false">IF(Hypothèses!$D$23*$E$4&gt;0,K73/(Hypothèses!$D$23*$E$4),0)</f>
        <v>12.7514044444444</v>
      </c>
      <c r="L74" s="41" t="n">
        <f aca="false">IF(Hypothèses!$D$23*$E$4&gt;0,L73/(Hypothèses!$D$23*$E$4),0)</f>
        <v>12.7514044444444</v>
      </c>
      <c r="M74" s="41" t="n">
        <f aca="false">IF(Hypothèses!$D$23*$E$4&gt;0,M73/(Hypothèses!$D$23*$E$4),0)</f>
        <v>12.7514044444444</v>
      </c>
      <c r="N74" s="41" t="n">
        <f aca="false">IF(Hypothèses!$D$23*$E$4&gt;0,N73/(Hypothèses!$D$23*$E$4),0)</f>
        <v>12.7514044444444</v>
      </c>
      <c r="O74" s="41" t="n">
        <f aca="false">IF(Hypothèses!$D$23*$E$4&gt;0,O73/(Hypothèses!$D$23*$E$4),0)</f>
        <v>12.7514044444444</v>
      </c>
      <c r="P74" s="41" t="n">
        <f aca="false">IF(Hypothèses!$D$23*$E$4&gt;0,P73/(Hypothèses!$D$23*$E$4),0)</f>
        <v>12.7514044444444</v>
      </c>
      <c r="Q74" s="41" t="n">
        <f aca="false">IF(Hypothèses!$D$23*$E$4&gt;0,Q73/(Hypothèses!$D$23*$E$4),0)</f>
        <v>12.7514044444444</v>
      </c>
      <c r="R74" s="41" t="n">
        <f aca="false">IF(Hypothèses!$D$23*$E$4&gt;0,R73/(Hypothèses!$D$23*$E$4),0)</f>
        <v>12.7514044444444</v>
      </c>
      <c r="S74" s="41" t="n">
        <f aca="false">IF(Hypothèses!$D$23*$E$4&gt;0,S73/(Hypothèses!$D$23*$E$4),0)</f>
        <v>12.7514044444444</v>
      </c>
      <c r="T74" s="41" t="n">
        <f aca="false">IF(Hypothèses!$D$23*$E$4&gt;0,T73/(Hypothèses!$D$23*$E$4),0)</f>
        <v>12.7514044444444</v>
      </c>
      <c r="U74" s="41" t="n">
        <f aca="false">IF(Hypothèses!$D$23*$E$4&gt;0,U73/(Hypothèses!$D$23*$E$4),0)</f>
        <v>12.7514044444444</v>
      </c>
      <c r="V74" s="41" t="n">
        <f aca="false">IF(Hypothèses!$D$23*$E$4&gt;0,V73/(Hypothèses!$D$23*$E$4),0)</f>
        <v>12.7514044444444</v>
      </c>
      <c r="W74" s="41" t="n">
        <f aca="false">IF(Hypothèses!$D$23*$E$4&gt;0,W73/(Hypothèses!$D$23*$E$4),0)</f>
        <v>12.7514044444444</v>
      </c>
      <c r="X74" s="41" t="n">
        <f aca="false">IF(Hypothèses!$D$23*$E$4&gt;0,X73/(Hypothèses!$D$23*$E$4),0)</f>
        <v>12.7514044444444</v>
      </c>
      <c r="Y74" s="41" t="n">
        <f aca="false">IF(Hypothèses!$D$23*$E$4&gt;0,Y73/(Hypothèses!$D$23*$E$4),0)</f>
        <v>12.7514044444444</v>
      </c>
      <c r="Z74" s="41" t="n">
        <f aca="false">IF(Hypothèses!$D$23*$E$4&gt;0,Z73/(Hypothèses!$D$23*$E$4),0)</f>
        <v>12.7514044444444</v>
      </c>
      <c r="AA74" s="41" t="n">
        <f aca="false">IF(Hypothèses!$D$23*$E$4&gt;0,AA73/(Hypothèses!$D$23*$E$4),0)</f>
        <v>12.7514044444444</v>
      </c>
      <c r="AB74" s="41" t="n">
        <f aca="false">IF(Hypothèses!$D$23*$E$4&gt;0,AB73/(Hypothèses!$D$23*$E$4),0)</f>
        <v>12.7514044444444</v>
      </c>
      <c r="AC74" s="41" t="n">
        <f aca="false">IF(Hypothèses!$D$23*$E$4&gt;0,AC73/(Hypothèses!$D$23*$E$4),0)</f>
        <v>12.7514044444444</v>
      </c>
      <c r="AD74" s="41" t="n">
        <f aca="false">IF(Hypothèses!$D$23*$E$4&gt;0,AD73/(Hypothèses!$D$23*$E$4),0)</f>
        <v>12.7514044444444</v>
      </c>
      <c r="AE74" s="41" t="n">
        <f aca="false">IF(Hypothèses!$D$23*$E$4&gt;0,AE73/(Hypothèses!$D$23*$E$4),0)</f>
        <v>12.7514044444444</v>
      </c>
      <c r="AF74" s="41" t="n">
        <f aca="false">IF(Hypothèses!$D$23*$E$4&gt;0,AF73/(Hypothèses!$D$23*$E$4),0)</f>
        <v>12.7514044444444</v>
      </c>
      <c r="AG74" s="41" t="n">
        <f aca="false">IF(Hypothèses!$D$23*$E$4&gt;0,AG73/(Hypothèses!$D$23*$E$4),0)</f>
        <v>12.7514044444444</v>
      </c>
      <c r="AH74" s="41" t="n">
        <f aca="false">IF(Hypothèses!$D$23*$E$4&gt;0,AH73/(Hypothèses!$D$23*$E$4),0)</f>
        <v>12.7514044444444</v>
      </c>
      <c r="AI74" s="41" t="n">
        <f aca="false">IF(Hypothèses!$D$23*$E$4&gt;0,AI73/(Hypothèses!$D$23*$E$4),0)</f>
        <v>12.7514044444444</v>
      </c>
      <c r="AJ74" s="41" t="n">
        <f aca="false">IF(Hypothèses!$D$23*$E$4&gt;0,AJ73/(Hypothèses!$D$23*$E$4),0)</f>
        <v>12.7514044444444</v>
      </c>
      <c r="AK74" s="41" t="n">
        <f aca="false">IF(Hypothèses!$D$23*$E$4&gt;0,AK73/(Hypothèses!$D$23*$E$4),0)</f>
        <v>12.7514044444444</v>
      </c>
      <c r="AL74" s="41" t="n">
        <f aca="false">IF(Hypothèses!$D$23*$E$4&gt;0,AL73/(Hypothèses!$D$23*$E$4),0)</f>
        <v>12.7514044444444</v>
      </c>
      <c r="AN74" s="41" t="n">
        <f aca="false">N74</f>
        <v>12.7514044444444</v>
      </c>
      <c r="AO74" s="41" t="n">
        <f aca="false">Z74</f>
        <v>12.7514044444444</v>
      </c>
      <c r="AP74" s="41" t="n">
        <f aca="false">AL74</f>
        <v>12.7514044444444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507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</v>
      </c>
      <c r="F4" s="34" t="n">
        <v>1</v>
      </c>
      <c r="G4" s="34" t="n">
        <v>1</v>
      </c>
      <c r="H4" s="35" t="n">
        <v>3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10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0</v>
      </c>
      <c r="J9" s="13" t="n">
        <f aca="false">IF(J7&gt;=$B$5,1,0)</f>
        <v>0</v>
      </c>
      <c r="K9" s="13" t="n">
        <f aca="false">IF(K7&gt;=$B$5,1,0)</f>
        <v>0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1</v>
      </c>
      <c r="J10" s="13" t="n">
        <f aca="false">IF(AND(J7&gt;=Hypothèses!$D$8,J7&lt;$B$5),1,0)</f>
        <v>1</v>
      </c>
      <c r="K10" s="13" t="n">
        <f aca="false">IF(AND(K7&gt;=Hypothèses!$D$8,K7&lt;$B$5),1,0)</f>
        <v>1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0</v>
      </c>
      <c r="J11" s="15" t="n">
        <f aca="false">IF(J9=1,IF(J7&lt;=12,Hypothèses!$D$20,IF(J7&lt;=24,Hypothèses!$D$21,Hypothèses!$D$22)),0)</f>
        <v>0</v>
      </c>
      <c r="K11" s="15" t="n">
        <f aca="false">IF(K9=1,IF(K7&lt;=12,Hypothèses!$D$20,IF(K7&lt;=24,Hypothèses!$D$21,Hypothèses!$D$22)),0)</f>
        <v>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9000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8.8529281</v>
      </c>
      <c r="K13" s="38" t="n">
        <f aca="false">J18</f>
        <v>8.587340257</v>
      </c>
      <c r="L13" s="38" t="n">
        <f aca="false">K18</f>
        <v>8.32972004929</v>
      </c>
      <c r="M13" s="38" t="n">
        <f aca="false">L18</f>
        <v>28.2464228487971</v>
      </c>
      <c r="N13" s="38" t="n">
        <f aca="false">M18</f>
        <v>47.9639586203091</v>
      </c>
      <c r="O13" s="38" t="n">
        <f aca="false">N18</f>
        <v>67.484319034106</v>
      </c>
      <c r="P13" s="38" t="n">
        <f aca="false">O18</f>
        <v>133.476142510432</v>
      </c>
      <c r="Q13" s="38" t="n">
        <f aca="false">P18</f>
        <v>198.808047751994</v>
      </c>
      <c r="R13" s="38" t="n">
        <f aca="false">Q18</f>
        <v>263.486633941141</v>
      </c>
      <c r="S13" s="38" t="n">
        <f aca="false">R18</f>
        <v>327.518434268396</v>
      </c>
      <c r="T13" s="38" t="n">
        <f aca="false">S18</f>
        <v>390.909916592379</v>
      </c>
      <c r="U13" s="38" t="n">
        <f aca="false">T18</f>
        <v>453.667484093122</v>
      </c>
      <c r="V13" s="38" t="n">
        <f aca="false">U18</f>
        <v>515.797475918857</v>
      </c>
      <c r="W13" s="38" t="n">
        <f aca="false">V18</f>
        <v>577.306167826335</v>
      </c>
      <c r="X13" s="38" t="n">
        <f aca="false">W18</f>
        <v>638.199772814738</v>
      </c>
      <c r="Y13" s="38" t="n">
        <f aca="false">X18</f>
        <v>698.484441753257</v>
      </c>
      <c r="Z13" s="38" t="n">
        <f aca="false">Y18</f>
        <v>758.166264002392</v>
      </c>
      <c r="AA13" s="38" t="n">
        <f aca="false">Z18</f>
        <v>817.251268029034</v>
      </c>
      <c r="AB13" s="38" t="n">
        <f aca="false">AA18</f>
        <v>975.745422015411</v>
      </c>
      <c r="AC13" s="38" t="n">
        <f aca="false">AB18</f>
        <v>1132.65463446192</v>
      </c>
      <c r="AD13" s="38" t="n">
        <f aca="false">AC18</f>
        <v>1287.99475478397</v>
      </c>
      <c r="AE13" s="38" t="n">
        <f aca="false">AD18</f>
        <v>1441.7814739028</v>
      </c>
      <c r="AF13" s="38" t="n">
        <f aca="false">AE18</f>
        <v>1594.03032583044</v>
      </c>
      <c r="AG13" s="38" t="n">
        <f aca="false">AF18</f>
        <v>1744.7566892388</v>
      </c>
      <c r="AH13" s="38" t="n">
        <f aca="false">AG18</f>
        <v>1893.97578901308</v>
      </c>
      <c r="AI13" s="38" t="n">
        <f aca="false">AH18</f>
        <v>2041.70269778961</v>
      </c>
      <c r="AJ13" s="38" t="n">
        <f aca="false">AI18</f>
        <v>2187.95233747838</v>
      </c>
      <c r="AK13" s="38" t="n">
        <f aca="false">AJ18</f>
        <v>2332.73948077027</v>
      </c>
      <c r="AL13" s="38" t="n">
        <f aca="false">AK18</f>
        <v>2476.07875262923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0</v>
      </c>
      <c r="J14" s="38" t="n">
        <f aca="false">J11/(Hypothèses!$D$23*$E$4)</f>
        <v>0</v>
      </c>
      <c r="K14" s="38" t="n">
        <f aca="false">K11/(Hypothèses!$D$23*$E$4)</f>
        <v>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60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</v>
      </c>
      <c r="J16" s="38" t="n">
        <f aca="false">J9*J13*Hypothèses!$D$24</f>
        <v>0</v>
      </c>
      <c r="K16" s="38" t="n">
        <f aca="false">K9*K13*Hypothèses!$D$24</f>
        <v>0</v>
      </c>
      <c r="L16" s="38" t="n">
        <f aca="false">L9*L13*Hypothèses!$D$24</f>
        <v>0.1665944009858</v>
      </c>
      <c r="M16" s="38" t="n">
        <f aca="false">M9*M13*Hypothèses!$D$24</f>
        <v>0.564928456975942</v>
      </c>
      <c r="N16" s="38" t="n">
        <f aca="false">N9*N13*Hypothèses!$D$24</f>
        <v>0.959279172406182</v>
      </c>
      <c r="O16" s="38" t="n">
        <f aca="false">O9*O13*Hypothèses!$D$24</f>
        <v>1.34968638068212</v>
      </c>
      <c r="P16" s="38" t="n">
        <f aca="false">P9*P13*Hypothèses!$D$24</f>
        <v>2.66952285020863</v>
      </c>
      <c r="Q16" s="38" t="n">
        <f aca="false">Q9*Q13*Hypothèses!$D$24</f>
        <v>3.97616095503988</v>
      </c>
      <c r="R16" s="38" t="n">
        <f aca="false">R9*R13*Hypothèses!$D$24</f>
        <v>5.26973267882281</v>
      </c>
      <c r="S16" s="38" t="n">
        <f aca="false">S9*S13*Hypothèses!$D$24</f>
        <v>6.55036868536792</v>
      </c>
      <c r="T16" s="38" t="n">
        <f aca="false">T9*T13*Hypothèses!$D$24</f>
        <v>7.81819833184758</v>
      </c>
      <c r="U16" s="38" t="n">
        <f aca="false">U9*U13*Hypothèses!$D$24</f>
        <v>9.07334968186243</v>
      </c>
      <c r="V16" s="38" t="n">
        <f aca="false">V9*V13*Hypothèses!$D$24</f>
        <v>10.3159495183771</v>
      </c>
      <c r="W16" s="38" t="n">
        <f aca="false">W9*W13*Hypothèses!$D$24</f>
        <v>11.5461233565267</v>
      </c>
      <c r="X16" s="38" t="n">
        <f aca="false">X9*X13*Hypothèses!$D$24</f>
        <v>12.7639954562948</v>
      </c>
      <c r="Y16" s="38" t="n">
        <f aca="false">Y9*Y13*Hypothèses!$D$24</f>
        <v>13.9696888350652</v>
      </c>
      <c r="Z16" s="38" t="n">
        <f aca="false">Z9*Z13*Hypothèses!$D$24</f>
        <v>15.1633252800478</v>
      </c>
      <c r="AA16" s="38" t="n">
        <f aca="false">AA9*AA13*Hypothèses!$D$24</f>
        <v>16.3450253605807</v>
      </c>
      <c r="AB16" s="38" t="n">
        <f aca="false">AB9*AB13*Hypothèses!$D$24</f>
        <v>19.5149084403082</v>
      </c>
      <c r="AC16" s="38" t="n">
        <f aca="false">AC9*AC13*Hypothèses!$D$24</f>
        <v>22.6530926892385</v>
      </c>
      <c r="AD16" s="38" t="n">
        <f aca="false">AD9*AD13*Hypothèses!$D$24</f>
        <v>25.7598950956794</v>
      </c>
      <c r="AE16" s="38" t="n">
        <f aca="false">AE9*AE13*Hypothèses!$D$24</f>
        <v>28.835629478056</v>
      </c>
      <c r="AF16" s="38" t="n">
        <f aca="false">AF9*AF13*Hypothèses!$D$24</f>
        <v>31.8806065166087</v>
      </c>
      <c r="AG16" s="38" t="n">
        <f aca="false">AG9*AG13*Hypothèses!$D$24</f>
        <v>34.895133784776</v>
      </c>
      <c r="AH16" s="38" t="n">
        <f aca="false">AH9*AH13*Hypothèses!$D$24</f>
        <v>37.8795157802616</v>
      </c>
      <c r="AI16" s="38" t="n">
        <f aca="false">AI9*AI13*Hypothèses!$D$24</f>
        <v>40.8340539557923</v>
      </c>
      <c r="AJ16" s="38" t="n">
        <f aca="false">AJ9*AJ13*Hypothèses!$D$24</f>
        <v>43.7590467495677</v>
      </c>
      <c r="AK16" s="38" t="n">
        <f aca="false">AK9*AK13*Hypothèses!$D$24</f>
        <v>46.6547896154053</v>
      </c>
      <c r="AL16" s="38" t="n">
        <f aca="false">AL9*AL13*Hypothèses!$D$24</f>
        <v>49.5215750525846</v>
      </c>
      <c r="AN16" s="38" t="n">
        <f aca="false">SUM(C16:N16)</f>
        <v>1.69080203036792</v>
      </c>
      <c r="AO16" s="38" t="n">
        <f aca="false">SUM(O16:Z16)</f>
        <v>100.466102010143</v>
      </c>
      <c r="AP16" s="38" t="n">
        <f aca="false">SUM(AA16:AL16)</f>
        <v>398.533272518859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0.265587843</v>
      </c>
      <c r="K17" s="38" t="n">
        <f aca="false">K13*Hypothèses!$D$26*$D$4</f>
        <v>0.25762020771</v>
      </c>
      <c r="L17" s="38" t="n">
        <f aca="false">L13*Hypothèses!$D$26*$D$4</f>
        <v>0.2498916014787</v>
      </c>
      <c r="M17" s="38" t="n">
        <f aca="false">M13*Hypothèses!$D$26*$D$4</f>
        <v>0.847392685463913</v>
      </c>
      <c r="N17" s="38" t="n">
        <f aca="false">N13*Hypothèses!$D$26*$D$4</f>
        <v>1.43891875860927</v>
      </c>
      <c r="O17" s="38" t="n">
        <f aca="false">O13*Hypothèses!$D$26*$D$4</f>
        <v>2.02452957102318</v>
      </c>
      <c r="P17" s="38" t="n">
        <f aca="false">P13*Hypothèses!$D$26*$D$4</f>
        <v>4.00428427531295</v>
      </c>
      <c r="Q17" s="38" t="n">
        <f aca="false">Q13*Hypothèses!$D$26*$D$4</f>
        <v>5.96424143255982</v>
      </c>
      <c r="R17" s="38" t="n">
        <f aca="false">R13*Hypothèses!$D$26*$D$4</f>
        <v>7.90459901823422</v>
      </c>
      <c r="S17" s="38" t="n">
        <f aca="false">S13*Hypothèses!$D$26*$D$4</f>
        <v>9.82555302805188</v>
      </c>
      <c r="T17" s="38" t="n">
        <f aca="false">T13*Hypothèses!$D$26*$D$4</f>
        <v>11.7272974977714</v>
      </c>
      <c r="U17" s="38" t="n">
        <f aca="false">U13*Hypothèses!$D$26*$D$4</f>
        <v>13.6100245227936</v>
      </c>
      <c r="V17" s="38" t="n">
        <f aca="false">V13*Hypothèses!$D$26*$D$4</f>
        <v>15.4739242775657</v>
      </c>
      <c r="W17" s="38" t="n">
        <f aca="false">W13*Hypothèses!$D$26*$D$4</f>
        <v>17.3191850347901</v>
      </c>
      <c r="X17" s="38" t="n">
        <f aca="false">X13*Hypothèses!$D$26*$D$4</f>
        <v>19.1459931844421</v>
      </c>
      <c r="Y17" s="38" t="n">
        <f aca="false">Y13*Hypothèses!$D$26*$D$4</f>
        <v>20.9545332525977</v>
      </c>
      <c r="Z17" s="38" t="n">
        <f aca="false">Z13*Hypothèses!$D$26*$D$4</f>
        <v>22.7449879200717</v>
      </c>
      <c r="AA17" s="38" t="n">
        <f aca="false">AA13*Hypothèses!$D$26*$D$4</f>
        <v>24.517538040871</v>
      </c>
      <c r="AB17" s="38" t="n">
        <f aca="false">AB13*Hypothèses!$D$26*$D$4</f>
        <v>29.2723626604623</v>
      </c>
      <c r="AC17" s="38" t="n">
        <f aca="false">AC13*Hypothèses!$D$26*$D$4</f>
        <v>33.9796390338577</v>
      </c>
      <c r="AD17" s="38" t="n">
        <f aca="false">AD13*Hypothèses!$D$26*$D$4</f>
        <v>38.6398426435191</v>
      </c>
      <c r="AE17" s="38" t="n">
        <f aca="false">AE13*Hypothèses!$D$26*$D$4</f>
        <v>43.2534442170839</v>
      </c>
      <c r="AF17" s="38" t="n">
        <f aca="false">AF13*Hypothèses!$D$26*$D$4</f>
        <v>47.8209097749131</v>
      </c>
      <c r="AG17" s="38" t="n">
        <f aca="false">AG13*Hypothèses!$D$26*$D$4</f>
        <v>52.342700677164</v>
      </c>
      <c r="AH17" s="38" t="n">
        <f aca="false">AH13*Hypothèses!$D$26*$D$4</f>
        <v>56.8192736703923</v>
      </c>
      <c r="AI17" s="38" t="n">
        <f aca="false">AI13*Hypothèses!$D$26*$D$4</f>
        <v>61.2510809336884</v>
      </c>
      <c r="AJ17" s="38" t="n">
        <f aca="false">AJ13*Hypothèses!$D$26*$D$4</f>
        <v>65.6385701243515</v>
      </c>
      <c r="AK17" s="38" t="n">
        <f aca="false">AK13*Hypothèses!$D$26*$D$4</f>
        <v>69.982184423108</v>
      </c>
      <c r="AL17" s="38" t="n">
        <f aca="false">AL13*Hypothèses!$D$26*$D$4</f>
        <v>74.2823625788769</v>
      </c>
      <c r="AN17" s="38" t="n">
        <f aca="false">SUM(C17:N17)</f>
        <v>4.20648299626189</v>
      </c>
      <c r="AO17" s="38" t="n">
        <f aca="false">SUM(O17:Z17)</f>
        <v>150.699153015214</v>
      </c>
      <c r="AP17" s="38" t="n">
        <f aca="false">SUM(AA17:AL17)</f>
        <v>597.799908778289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8.8529281</v>
      </c>
      <c r="J18" s="39" t="n">
        <f aca="false">J13+J14+J15+J16-J17</f>
        <v>8.587340257</v>
      </c>
      <c r="K18" s="39" t="n">
        <f aca="false">K13+K14+K15+K16-K17</f>
        <v>8.32972004929</v>
      </c>
      <c r="L18" s="39" t="n">
        <f aca="false">L13+L14+L15+L16-L17</f>
        <v>28.2464228487971</v>
      </c>
      <c r="M18" s="39" t="n">
        <f aca="false">M13+M14+M15+M16-M17</f>
        <v>47.9639586203091</v>
      </c>
      <c r="N18" s="39" t="n">
        <f aca="false">N13+N14+N15+N16-N17</f>
        <v>67.484319034106</v>
      </c>
      <c r="O18" s="39" t="n">
        <f aca="false">O13+O14+O15+O16-O17</f>
        <v>133.476142510432</v>
      </c>
      <c r="P18" s="39" t="n">
        <f aca="false">P13+P14+P15+P16-P17</f>
        <v>198.808047751994</v>
      </c>
      <c r="Q18" s="39" t="n">
        <f aca="false">Q13+Q14+Q15+Q16-Q17</f>
        <v>263.486633941141</v>
      </c>
      <c r="R18" s="39" t="n">
        <f aca="false">R13+R14+R15+R16-R17</f>
        <v>327.518434268396</v>
      </c>
      <c r="S18" s="39" t="n">
        <f aca="false">S13+S14+S15+S16-S17</f>
        <v>390.909916592379</v>
      </c>
      <c r="T18" s="39" t="n">
        <f aca="false">T13+T14+T15+T16-T17</f>
        <v>453.667484093122</v>
      </c>
      <c r="U18" s="39" t="n">
        <f aca="false">U13+U14+U15+U16-U17</f>
        <v>515.797475918857</v>
      </c>
      <c r="V18" s="39" t="n">
        <f aca="false">V13+V14+V15+V16-V17</f>
        <v>577.306167826335</v>
      </c>
      <c r="W18" s="39" t="n">
        <f aca="false">W13+W14+W15+W16-W17</f>
        <v>638.199772814738</v>
      </c>
      <c r="X18" s="39" t="n">
        <f aca="false">X13+X14+X15+X16-X17</f>
        <v>698.484441753257</v>
      </c>
      <c r="Y18" s="39" t="n">
        <f aca="false">Y13+Y14+Y15+Y16-Y17</f>
        <v>758.166264002392</v>
      </c>
      <c r="Z18" s="39" t="n">
        <f aca="false">Z13+Z14+Z15+Z16-Z17</f>
        <v>817.251268029034</v>
      </c>
      <c r="AA18" s="39" t="n">
        <f aca="false">AA13+AA14+AA15+AA16-AA17</f>
        <v>975.745422015411</v>
      </c>
      <c r="AB18" s="39" t="n">
        <f aca="false">AB13+AB14+AB15+AB16-AB17</f>
        <v>1132.65463446192</v>
      </c>
      <c r="AC18" s="39" t="n">
        <f aca="false">AC13+AC14+AC15+AC16-AC17</f>
        <v>1287.99475478397</v>
      </c>
      <c r="AD18" s="39" t="n">
        <f aca="false">AD13+AD14+AD15+AD16-AD17</f>
        <v>1441.7814739028</v>
      </c>
      <c r="AE18" s="39" t="n">
        <f aca="false">AE13+AE14+AE15+AE16-AE17</f>
        <v>1594.03032583044</v>
      </c>
      <c r="AF18" s="39" t="n">
        <f aca="false">AF13+AF14+AF15+AF16-AF17</f>
        <v>1744.7566892388</v>
      </c>
      <c r="AG18" s="39" t="n">
        <f aca="false">AG13+AG14+AG15+AG16-AG17</f>
        <v>1893.97578901308</v>
      </c>
      <c r="AH18" s="39" t="n">
        <f aca="false">AH13+AH14+AH15+AH16-AH17</f>
        <v>2041.70269778961</v>
      </c>
      <c r="AI18" s="39" t="n">
        <f aca="false">AI13+AI14+AI15+AI16-AI17</f>
        <v>2187.95233747838</v>
      </c>
      <c r="AJ18" s="39" t="n">
        <f aca="false">AJ13+AJ14+AJ15+AJ16-AJ17</f>
        <v>2332.73948077027</v>
      </c>
      <c r="AK18" s="39" t="n">
        <f aca="false">AK13+AK14+AK15+AK16-AK17</f>
        <v>2476.07875262923</v>
      </c>
      <c r="AL18" s="39" t="n">
        <f aca="false">AL13+AL14+AL15+AL16-AL17</f>
        <v>2617.9846317696</v>
      </c>
      <c r="AN18" s="39" t="n">
        <f aca="false">N18</f>
        <v>67.484319034106</v>
      </c>
      <c r="AO18" s="39" t="n">
        <f aca="false">Z18</f>
        <v>817.251268029034</v>
      </c>
      <c r="AP18" s="39" t="n">
        <f aca="false">AL18</f>
        <v>2617.9846317696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2.213232025</v>
      </c>
      <c r="J19" s="38" t="n">
        <f aca="false">J18*Hypothèses!$D$16</f>
        <v>2.14683506425</v>
      </c>
      <c r="K19" s="38" t="n">
        <f aca="false">K18*Hypothèses!$D$16</f>
        <v>2.0824300123225</v>
      </c>
      <c r="L19" s="38" t="n">
        <f aca="false">L18*Hypothèses!$D$16</f>
        <v>7.06160571219927</v>
      </c>
      <c r="M19" s="38" t="n">
        <f aca="false">M18*Hypothèses!$D$16</f>
        <v>11.9909896550773</v>
      </c>
      <c r="N19" s="38" t="n">
        <f aca="false">N18*Hypothèses!$D$16</f>
        <v>16.8710797585265</v>
      </c>
      <c r="O19" s="38" t="n">
        <f aca="false">O18*Hypothèses!$D$16</f>
        <v>33.3690356276079</v>
      </c>
      <c r="P19" s="38" t="n">
        <f aca="false">P18*Hypothèses!$D$16</f>
        <v>49.7020119379985</v>
      </c>
      <c r="Q19" s="38" t="n">
        <f aca="false">Q18*Hypothèses!$D$16</f>
        <v>65.8716584852852</v>
      </c>
      <c r="R19" s="38" t="n">
        <f aca="false">R18*Hypothèses!$D$16</f>
        <v>81.879608567099</v>
      </c>
      <c r="S19" s="38" t="n">
        <f aca="false">S18*Hypothèses!$D$16</f>
        <v>97.7274791480947</v>
      </c>
      <c r="T19" s="38" t="n">
        <f aca="false">T18*Hypothèses!$D$16</f>
        <v>113.41687102328</v>
      </c>
      <c r="U19" s="38" t="n">
        <f aca="false">U18*Hypothèses!$D$16</f>
        <v>128.949368979714</v>
      </c>
      <c r="V19" s="38" t="n">
        <f aca="false">V18*Hypothèses!$D$16</f>
        <v>144.326541956584</v>
      </c>
      <c r="W19" s="38" t="n">
        <f aca="false">W18*Hypothèses!$D$16</f>
        <v>159.549943203685</v>
      </c>
      <c r="X19" s="38" t="n">
        <f aca="false">X18*Hypothèses!$D$16</f>
        <v>174.621110438314</v>
      </c>
      <c r="Y19" s="38" t="n">
        <f aca="false">Y18*Hypothèses!$D$16</f>
        <v>189.541566000598</v>
      </c>
      <c r="Z19" s="38" t="n">
        <f aca="false">Z18*Hypothèses!$D$16</f>
        <v>204.312817007259</v>
      </c>
      <c r="AA19" s="38" t="n">
        <f aca="false">AA18*Hypothèses!$D$16</f>
        <v>243.936355503853</v>
      </c>
      <c r="AB19" s="38" t="n">
        <f aca="false">AB18*Hypothèses!$D$16</f>
        <v>283.163658615481</v>
      </c>
      <c r="AC19" s="38" t="n">
        <f aca="false">AC18*Hypothèses!$D$16</f>
        <v>321.998688695993</v>
      </c>
      <c r="AD19" s="38" t="n">
        <f aca="false">AD18*Hypothèses!$D$16</f>
        <v>360.4453684757</v>
      </c>
      <c r="AE19" s="38" t="n">
        <f aca="false">AE18*Hypothèses!$D$16</f>
        <v>398.507581457609</v>
      </c>
      <c r="AF19" s="38" t="n">
        <f aca="false">AF18*Hypothèses!$D$16</f>
        <v>436.1891723097</v>
      </c>
      <c r="AG19" s="38" t="n">
        <f aca="false">AG18*Hypothèses!$D$16</f>
        <v>473.49394725327</v>
      </c>
      <c r="AH19" s="38" t="n">
        <f aca="false">AH18*Hypothèses!$D$16</f>
        <v>510.425674447404</v>
      </c>
      <c r="AI19" s="38" t="n">
        <f aca="false">AI18*Hypothèses!$D$16</f>
        <v>546.988084369596</v>
      </c>
      <c r="AJ19" s="38" t="n">
        <f aca="false">AJ18*Hypothèses!$D$16</f>
        <v>583.184870192567</v>
      </c>
      <c r="AK19" s="38" t="n">
        <f aca="false">AK18*Hypothèses!$D$16</f>
        <v>619.019688157308</v>
      </c>
      <c r="AL19" s="38" t="n">
        <f aca="false">AL18*Hypothèses!$D$16</f>
        <v>654.496157942401</v>
      </c>
      <c r="AN19" s="38" t="n">
        <f aca="false">N19</f>
        <v>16.8710797585265</v>
      </c>
      <c r="AO19" s="38" t="n">
        <f aca="false">Z19</f>
        <v>204.312817007259</v>
      </c>
      <c r="AP19" s="38" t="n">
        <f aca="false">AL19</f>
        <v>654.496157942401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5.31175686</v>
      </c>
      <c r="J20" s="38" t="n">
        <f aca="false">J18*Hypothèses!$D$17</f>
        <v>5.1524041542</v>
      </c>
      <c r="K20" s="38" t="n">
        <f aca="false">K18*Hypothèses!$D$17</f>
        <v>4.997832029574</v>
      </c>
      <c r="L20" s="38" t="n">
        <f aca="false">L18*Hypothèses!$D$17</f>
        <v>16.9478537092783</v>
      </c>
      <c r="M20" s="38" t="n">
        <f aca="false">M18*Hypothèses!$D$17</f>
        <v>28.7783751721855</v>
      </c>
      <c r="N20" s="38" t="n">
        <f aca="false">N18*Hypothèses!$D$17</f>
        <v>40.4905914204636</v>
      </c>
      <c r="O20" s="38" t="n">
        <f aca="false">O18*Hypothèses!$D$17</f>
        <v>80.085685506259</v>
      </c>
      <c r="P20" s="38" t="n">
        <f aca="false">P18*Hypothèses!$D$17</f>
        <v>119.284828651196</v>
      </c>
      <c r="Q20" s="38" t="n">
        <f aca="false">Q18*Hypothèses!$D$17</f>
        <v>158.091980364684</v>
      </c>
      <c r="R20" s="38" t="n">
        <f aca="false">R18*Hypothèses!$D$17</f>
        <v>196.511060561038</v>
      </c>
      <c r="S20" s="38" t="n">
        <f aca="false">S18*Hypothèses!$D$17</f>
        <v>234.545949955427</v>
      </c>
      <c r="T20" s="38" t="n">
        <f aca="false">T18*Hypothèses!$D$17</f>
        <v>272.200490455873</v>
      </c>
      <c r="U20" s="38" t="n">
        <f aca="false">U18*Hypothèses!$D$17</f>
        <v>309.478485551314</v>
      </c>
      <c r="V20" s="38" t="n">
        <f aca="false">V18*Hypothèses!$D$17</f>
        <v>346.383700695801</v>
      </c>
      <c r="W20" s="38" t="n">
        <f aca="false">W18*Hypothèses!$D$17</f>
        <v>382.919863688843</v>
      </c>
      <c r="X20" s="38" t="n">
        <f aca="false">X18*Hypothèses!$D$17</f>
        <v>419.090665051954</v>
      </c>
      <c r="Y20" s="38" t="n">
        <f aca="false">Y18*Hypothèses!$D$17</f>
        <v>454.899758401435</v>
      </c>
      <c r="Z20" s="38" t="n">
        <f aca="false">Z18*Hypothèses!$D$17</f>
        <v>490.350760817421</v>
      </c>
      <c r="AA20" s="38" t="n">
        <f aca="false">AA18*Hypothèses!$D$17</f>
        <v>585.447253209246</v>
      </c>
      <c r="AB20" s="38" t="n">
        <f aca="false">AB18*Hypothèses!$D$17</f>
        <v>679.592780677154</v>
      </c>
      <c r="AC20" s="38" t="n">
        <f aca="false">AC18*Hypothèses!$D$17</f>
        <v>772.796852870383</v>
      </c>
      <c r="AD20" s="38" t="n">
        <f aca="false">AD18*Hypothèses!$D$17</f>
        <v>865.068884341679</v>
      </c>
      <c r="AE20" s="38" t="n">
        <f aca="false">AE18*Hypothèses!$D$17</f>
        <v>956.418195498262</v>
      </c>
      <c r="AF20" s="38" t="n">
        <f aca="false">AF18*Hypothèses!$D$17</f>
        <v>1046.85401354328</v>
      </c>
      <c r="AG20" s="38" t="n">
        <f aca="false">AG18*Hypothèses!$D$17</f>
        <v>1136.38547340785</v>
      </c>
      <c r="AH20" s="38" t="n">
        <f aca="false">AH18*Hypothèses!$D$17</f>
        <v>1225.02161867377</v>
      </c>
      <c r="AI20" s="38" t="n">
        <f aca="false">AI18*Hypothèses!$D$17</f>
        <v>1312.77140248703</v>
      </c>
      <c r="AJ20" s="38" t="n">
        <f aca="false">AJ18*Hypothèses!$D$17</f>
        <v>1399.64368846216</v>
      </c>
      <c r="AK20" s="38" t="n">
        <f aca="false">AK18*Hypothèses!$D$17</f>
        <v>1485.64725157754</v>
      </c>
      <c r="AL20" s="38" t="n">
        <f aca="false">AL18*Hypothèses!$D$17</f>
        <v>1570.79077906176</v>
      </c>
      <c r="AN20" s="38" t="n">
        <f aca="false">N20</f>
        <v>40.4905914204636</v>
      </c>
      <c r="AO20" s="38" t="n">
        <f aca="false">Z20</f>
        <v>490.350760817421</v>
      </c>
      <c r="AP20" s="38" t="n">
        <f aca="false">AL20</f>
        <v>1570.79077906176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1.327939215</v>
      </c>
      <c r="J21" s="38" t="n">
        <f aca="false">J18*Hypothèses!$D$18</f>
        <v>1.28810103855</v>
      </c>
      <c r="K21" s="38" t="n">
        <f aca="false">K18*Hypothèses!$D$18</f>
        <v>1.2494580073935</v>
      </c>
      <c r="L21" s="38" t="n">
        <f aca="false">L18*Hypothèses!$D$18</f>
        <v>4.23696342731956</v>
      </c>
      <c r="M21" s="38" t="n">
        <f aca="false">M18*Hypothèses!$D$18</f>
        <v>7.19459379304637</v>
      </c>
      <c r="N21" s="38" t="n">
        <f aca="false">N18*Hypothèses!$D$18</f>
        <v>10.1226478551159</v>
      </c>
      <c r="O21" s="38" t="n">
        <f aca="false">O18*Hypothèses!$D$18</f>
        <v>20.0214213765648</v>
      </c>
      <c r="P21" s="38" t="n">
        <f aca="false">P18*Hypothèses!$D$18</f>
        <v>29.8212071627991</v>
      </c>
      <c r="Q21" s="38" t="n">
        <f aca="false">Q18*Hypothèses!$D$18</f>
        <v>39.5229950911711</v>
      </c>
      <c r="R21" s="38" t="n">
        <f aca="false">R18*Hypothèses!$D$18</f>
        <v>49.1277651402594</v>
      </c>
      <c r="S21" s="38" t="n">
        <f aca="false">S18*Hypothèses!$D$18</f>
        <v>58.6364874888568</v>
      </c>
      <c r="T21" s="38" t="n">
        <f aca="false">T18*Hypothèses!$D$18</f>
        <v>68.0501226139682</v>
      </c>
      <c r="U21" s="38" t="n">
        <f aca="false">U18*Hypothèses!$D$18</f>
        <v>77.3696213878285</v>
      </c>
      <c r="V21" s="38" t="n">
        <f aca="false">V18*Hypothèses!$D$18</f>
        <v>86.5959251739503</v>
      </c>
      <c r="W21" s="38" t="n">
        <f aca="false">W18*Hypothèses!$D$18</f>
        <v>95.7299659222107</v>
      </c>
      <c r="X21" s="38" t="n">
        <f aca="false">X18*Hypothèses!$D$18</f>
        <v>104.772666262989</v>
      </c>
      <c r="Y21" s="38" t="n">
        <f aca="false">Y18*Hypothèses!$D$18</f>
        <v>113.724939600359</v>
      </c>
      <c r="Z21" s="38" t="n">
        <f aca="false">Z18*Hypothèses!$D$18</f>
        <v>122.587690204355</v>
      </c>
      <c r="AA21" s="38" t="n">
        <f aca="false">AA18*Hypothèses!$D$18</f>
        <v>146.361813302312</v>
      </c>
      <c r="AB21" s="38" t="n">
        <f aca="false">AB18*Hypothèses!$D$18</f>
        <v>169.898195169289</v>
      </c>
      <c r="AC21" s="38" t="n">
        <f aca="false">AC18*Hypothèses!$D$18</f>
        <v>193.199213217596</v>
      </c>
      <c r="AD21" s="38" t="n">
        <f aca="false">AD18*Hypothèses!$D$18</f>
        <v>216.26722108542</v>
      </c>
      <c r="AE21" s="38" t="n">
        <f aca="false">AE18*Hypothèses!$D$18</f>
        <v>239.104548874566</v>
      </c>
      <c r="AF21" s="38" t="n">
        <f aca="false">AF18*Hypothèses!$D$18</f>
        <v>261.71350338582</v>
      </c>
      <c r="AG21" s="38" t="n">
        <f aca="false">AG18*Hypothèses!$D$18</f>
        <v>284.096368351962</v>
      </c>
      <c r="AH21" s="38" t="n">
        <f aca="false">AH18*Hypothèses!$D$18</f>
        <v>306.255404668442</v>
      </c>
      <c r="AI21" s="38" t="n">
        <f aca="false">AI18*Hypothèses!$D$18</f>
        <v>328.192850621758</v>
      </c>
      <c r="AJ21" s="38" t="n">
        <f aca="false">AJ18*Hypothèses!$D$18</f>
        <v>349.91092211554</v>
      </c>
      <c r="AK21" s="38" t="n">
        <f aca="false">AK18*Hypothèses!$D$18</f>
        <v>371.411812894385</v>
      </c>
      <c r="AL21" s="38" t="n">
        <f aca="false">AL18*Hypothèses!$D$18</f>
        <v>392.697694765441</v>
      </c>
      <c r="AN21" s="38" t="n">
        <f aca="false">N21</f>
        <v>10.1226478551159</v>
      </c>
      <c r="AO21" s="38" t="n">
        <f aca="false">Z21</f>
        <v>122.587690204355</v>
      </c>
      <c r="AP21" s="38" t="n">
        <f aca="false">AL21</f>
        <v>392.697694765441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70.325</v>
      </c>
      <c r="G23" s="15" t="n">
        <f aca="false">G19*Hypothèses!$D$12*$C$4</f>
        <v>68.21525</v>
      </c>
      <c r="H23" s="15" t="n">
        <f aca="false">H19*Hypothèses!$D$12*$C$4</f>
        <v>66.1687925</v>
      </c>
      <c r="I23" s="15" t="n">
        <f aca="false">I19*Hypothèses!$D$12*$C$4</f>
        <v>64.183728725</v>
      </c>
      <c r="J23" s="15" t="n">
        <f aca="false">J19*Hypothèses!$D$12*$C$4</f>
        <v>62.25821686325</v>
      </c>
      <c r="K23" s="15" t="n">
        <f aca="false">K19*Hypothèses!$D$12*$C$4</f>
        <v>60.3904703573525</v>
      </c>
      <c r="L23" s="15" t="n">
        <f aca="false">L19*Hypothèses!$D$12*$C$4</f>
        <v>204.786565653779</v>
      </c>
      <c r="M23" s="15" t="n">
        <f aca="false">M19*Hypothèses!$D$12*$C$4</f>
        <v>347.738699997241</v>
      </c>
      <c r="N23" s="15" t="n">
        <f aca="false">N19*Hypothèses!$D$12*$C$4</f>
        <v>489.261312997269</v>
      </c>
      <c r="O23" s="15" t="n">
        <f aca="false">O19*Hypothèses!$D$12*$C$4</f>
        <v>967.70203320063</v>
      </c>
      <c r="P23" s="15" t="n">
        <f aca="false">P19*Hypothèses!$D$12*$C$4</f>
        <v>1441.35834620196</v>
      </c>
      <c r="Q23" s="15" t="n">
        <f aca="false">Q19*Hypothèses!$D$12*$C$4</f>
        <v>1910.27809607327</v>
      </c>
      <c r="R23" s="15" t="n">
        <f aca="false">R19*Hypothèses!$D$12*$C$4</f>
        <v>2374.50864844587</v>
      </c>
      <c r="S23" s="15" t="n">
        <f aca="false">S19*Hypothèses!$D$12*$C$4</f>
        <v>2834.09689529475</v>
      </c>
      <c r="T23" s="15" t="n">
        <f aca="false">T19*Hypothèses!$D$12*$C$4</f>
        <v>3289.08925967513</v>
      </c>
      <c r="U23" s="15" t="n">
        <f aca="false">U19*Hypothèses!$D$12*$C$4</f>
        <v>3739.53170041171</v>
      </c>
      <c r="V23" s="15" t="n">
        <f aca="false">V19*Hypothèses!$D$12*$C$4</f>
        <v>4185.46971674093</v>
      </c>
      <c r="W23" s="15" t="n">
        <f aca="false">W19*Hypothèses!$D$12*$C$4</f>
        <v>4626.94835290685</v>
      </c>
      <c r="X23" s="15" t="n">
        <f aca="false">X19*Hypothèses!$D$12*$C$4</f>
        <v>5064.01220271112</v>
      </c>
      <c r="Y23" s="15" t="n">
        <f aca="false">Y19*Hypothèses!$D$12*$C$4</f>
        <v>5496.70541401734</v>
      </c>
      <c r="Z23" s="15" t="n">
        <f aca="false">Z19*Hypothèses!$D$12*$C$4</f>
        <v>5925.0716932105</v>
      </c>
      <c r="AA23" s="15" t="n">
        <f aca="false">AA19*Hypothèses!$D$12*$C$4</f>
        <v>7074.15430961173</v>
      </c>
      <c r="AB23" s="15" t="n">
        <f aca="false">AB19*Hypothèses!$D$12*$C$4</f>
        <v>8211.74609984895</v>
      </c>
      <c r="AC23" s="15" t="n">
        <f aca="false">AC19*Hypothèses!$D$12*$C$4</f>
        <v>9337.96197218379</v>
      </c>
      <c r="AD23" s="15" t="n">
        <f aca="false">AD19*Hypothèses!$D$12*$C$4</f>
        <v>10452.9156857953</v>
      </c>
      <c r="AE23" s="15" t="n">
        <f aca="false">AE19*Hypothèses!$D$12*$C$4</f>
        <v>11556.7198622707</v>
      </c>
      <c r="AF23" s="15" t="n">
        <f aca="false">AF19*Hypothèses!$D$12*$C$4</f>
        <v>12649.4859969813</v>
      </c>
      <c r="AG23" s="15" t="n">
        <f aca="false">AG19*Hypothèses!$D$12*$C$4</f>
        <v>13731.3244703448</v>
      </c>
      <c r="AH23" s="15" t="n">
        <f aca="false">AH19*Hypothèses!$D$12*$C$4</f>
        <v>14802.3445589747</v>
      </c>
      <c r="AI23" s="15" t="n">
        <f aca="false">AI19*Hypothèses!$D$12*$C$4</f>
        <v>15862.6544467183</v>
      </c>
      <c r="AJ23" s="15" t="n">
        <f aca="false">AJ19*Hypothèses!$D$12*$C$4</f>
        <v>16912.3612355844</v>
      </c>
      <c r="AK23" s="15" t="n">
        <f aca="false">AK19*Hypothèses!$D$12*$C$4</f>
        <v>17951.5709565619</v>
      </c>
      <c r="AL23" s="15" t="n">
        <f aca="false">AL19*Hypothèses!$D$12*$C$4</f>
        <v>18980.3885803296</v>
      </c>
      <c r="AN23" s="15" t="n">
        <f aca="false">SUM(C23:N23)</f>
        <v>1505.82803709389</v>
      </c>
      <c r="AO23" s="15" t="n">
        <f aca="false">SUM(O23:Z23)</f>
        <v>41854.7723588901</v>
      </c>
      <c r="AP23" s="15" t="n">
        <f aca="false">SUM(AA23:AL23)</f>
        <v>157523.628175206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459.78</v>
      </c>
      <c r="G24" s="15" t="n">
        <f aca="false">G20*Hypothèses!$D$13*$C$4</f>
        <v>445.9866</v>
      </c>
      <c r="H24" s="15" t="n">
        <f aca="false">H20*Hypothèses!$D$13*$C$4</f>
        <v>432.607002</v>
      </c>
      <c r="I24" s="15" t="n">
        <f aca="false">I20*Hypothèses!$D$13*$C$4</f>
        <v>419.62879194</v>
      </c>
      <c r="J24" s="15" t="n">
        <f aca="false">J20*Hypothèses!$D$13*$C$4</f>
        <v>407.0399281818</v>
      </c>
      <c r="K24" s="15" t="n">
        <f aca="false">K20*Hypothèses!$D$13*$C$4</f>
        <v>394.828730336346</v>
      </c>
      <c r="L24" s="15" t="n">
        <f aca="false">L20*Hypothèses!$D$13*$C$4</f>
        <v>1338.88044303298</v>
      </c>
      <c r="M24" s="15" t="n">
        <f aca="false">M20*Hypothèses!$D$13*$C$4</f>
        <v>2273.49163860265</v>
      </c>
      <c r="N24" s="15" t="n">
        <f aca="false">N20*Hypothèses!$D$13*$C$4</f>
        <v>3198.75672221663</v>
      </c>
      <c r="O24" s="15" t="n">
        <f aca="false">O20*Hypothèses!$D$13*$C$4</f>
        <v>6326.76915499446</v>
      </c>
      <c r="P24" s="15" t="n">
        <f aca="false">P20*Hypothèses!$D$13*$C$4</f>
        <v>9423.50146344452</v>
      </c>
      <c r="Q24" s="15" t="n">
        <f aca="false">Q20*Hypothèses!$D$13*$C$4</f>
        <v>12489.2664488101</v>
      </c>
      <c r="R24" s="15" t="n">
        <f aca="false">R20*Hypothèses!$D$13*$C$4</f>
        <v>15524.373784322</v>
      </c>
      <c r="S24" s="15" t="n">
        <f aca="false">S20*Hypothèses!$D$13*$C$4</f>
        <v>18529.1300464788</v>
      </c>
      <c r="T24" s="15" t="n">
        <f aca="false">T20*Hypothèses!$D$13*$C$4</f>
        <v>21503.838746014</v>
      </c>
      <c r="U24" s="15" t="n">
        <f aca="false">U20*Hypothèses!$D$13*$C$4</f>
        <v>24448.8003585538</v>
      </c>
      <c r="V24" s="15" t="n">
        <f aca="false">V20*Hypothèses!$D$13*$C$4</f>
        <v>27364.3123549683</v>
      </c>
      <c r="W24" s="15" t="n">
        <f aca="false">W20*Hypothèses!$D$13*$C$4</f>
        <v>30250.6692314186</v>
      </c>
      <c r="X24" s="15" t="n">
        <f aca="false">X20*Hypothèses!$D$13*$C$4</f>
        <v>33108.1625391044</v>
      </c>
      <c r="Y24" s="15" t="n">
        <f aca="false">Y20*Hypothèses!$D$13*$C$4</f>
        <v>35937.0809137134</v>
      </c>
      <c r="Z24" s="15" t="n">
        <f aca="false">Z20*Hypothèses!$D$13*$C$4</f>
        <v>38737.7101045762</v>
      </c>
      <c r="AA24" s="15" t="n">
        <f aca="false">AA20*Hypothèses!$D$13*$C$4</f>
        <v>46250.3330035305</v>
      </c>
      <c r="AB24" s="15" t="n">
        <f aca="false">AB20*Hypothèses!$D$13*$C$4</f>
        <v>53687.8296734952</v>
      </c>
      <c r="AC24" s="15" t="n">
        <f aca="false">AC20*Hypothèses!$D$13*$C$4</f>
        <v>61050.9513767602</v>
      </c>
      <c r="AD24" s="15" t="n">
        <f aca="false">AD20*Hypothèses!$D$13*$C$4</f>
        <v>68340.4418629926</v>
      </c>
      <c r="AE24" s="15" t="n">
        <f aca="false">AE20*Hypothèses!$D$13*$C$4</f>
        <v>75557.0374443627</v>
      </c>
      <c r="AF24" s="15" t="n">
        <f aca="false">AF20*Hypothèses!$D$13*$C$4</f>
        <v>82701.4670699191</v>
      </c>
      <c r="AG24" s="15" t="n">
        <f aca="false">AG20*Hypothèses!$D$13*$C$4</f>
        <v>89774.4523992199</v>
      </c>
      <c r="AH24" s="15" t="n">
        <f aca="false">AH20*Hypothèses!$D$13*$C$4</f>
        <v>96776.7078752277</v>
      </c>
      <c r="AI24" s="15" t="n">
        <f aca="false">AI20*Hypothèses!$D$13*$C$4</f>
        <v>103708.940796475</v>
      </c>
      <c r="AJ24" s="15" t="n">
        <f aca="false">AJ20*Hypothèses!$D$13*$C$4</f>
        <v>110571.851388511</v>
      </c>
      <c r="AK24" s="15" t="n">
        <f aca="false">AK20*Hypothèses!$D$13*$C$4</f>
        <v>117366.132874626</v>
      </c>
      <c r="AL24" s="15" t="n">
        <f aca="false">AL20*Hypothèses!$D$13*$C$4</f>
        <v>124092.471545879</v>
      </c>
      <c r="AN24" s="15" t="n">
        <f aca="false">SUM(C24:N24)</f>
        <v>9844.99985631041</v>
      </c>
      <c r="AO24" s="15" t="n">
        <f aca="false">SUM(O24:Z24)</f>
        <v>273643.615146398</v>
      </c>
      <c r="AP24" s="15" t="n">
        <f aca="false">SUM(AA24:AL24)</f>
        <v>1029878.617311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187.695</v>
      </c>
      <c r="G25" s="15" t="n">
        <f aca="false">G21*Hypothèses!$D$14*$C$4</f>
        <v>182.06415</v>
      </c>
      <c r="H25" s="15" t="n">
        <f aca="false">H21*Hypothèses!$D$14*$C$4</f>
        <v>176.6022255</v>
      </c>
      <c r="I25" s="15" t="n">
        <f aca="false">I21*Hypothèses!$D$14*$C$4</f>
        <v>171.304158735</v>
      </c>
      <c r="J25" s="15" t="n">
        <f aca="false">J21*Hypothèses!$D$14*$C$4</f>
        <v>166.16503397295</v>
      </c>
      <c r="K25" s="15" t="n">
        <f aca="false">K21*Hypothèses!$D$14*$C$4</f>
        <v>161.180082953761</v>
      </c>
      <c r="L25" s="15" t="n">
        <f aca="false">L21*Hypothèses!$D$14*$C$4</f>
        <v>546.568282124224</v>
      </c>
      <c r="M25" s="15" t="n">
        <f aca="false">M21*Hypothèses!$D$14*$C$4</f>
        <v>928.102599302982</v>
      </c>
      <c r="N25" s="15" t="n">
        <f aca="false">N21*Hypothèses!$D$14*$C$4</f>
        <v>1305.82157330995</v>
      </c>
      <c r="O25" s="15" t="n">
        <f aca="false">O21*Hypothèses!$D$14*$C$4</f>
        <v>2582.76335757685</v>
      </c>
      <c r="P25" s="15" t="n">
        <f aca="false">P21*Hypothèses!$D$14*$C$4</f>
        <v>3846.93572400108</v>
      </c>
      <c r="Q25" s="15" t="n">
        <f aca="false">Q21*Hypothèses!$D$14*$C$4</f>
        <v>5098.46636676107</v>
      </c>
      <c r="R25" s="15" t="n">
        <f aca="false">R21*Hypothèses!$D$14*$C$4</f>
        <v>6337.48170309346</v>
      </c>
      <c r="S25" s="15" t="n">
        <f aca="false">S21*Hypothèses!$D$14*$C$4</f>
        <v>7564.10688606253</v>
      </c>
      <c r="T25" s="15" t="n">
        <f aca="false">T21*Hypothèses!$D$14*$C$4</f>
        <v>8778.4658172019</v>
      </c>
      <c r="U25" s="15" t="n">
        <f aca="false">U21*Hypothèses!$D$14*$C$4</f>
        <v>9980.68115902988</v>
      </c>
      <c r="V25" s="15" t="n">
        <f aca="false">V21*Hypothèses!$D$14*$C$4</f>
        <v>11170.8743474396</v>
      </c>
      <c r="W25" s="15" t="n">
        <f aca="false">W21*Hypothèses!$D$14*$C$4</f>
        <v>12349.1656039652</v>
      </c>
      <c r="X25" s="15" t="n">
        <f aca="false">X21*Hypothèses!$D$14*$C$4</f>
        <v>13515.6739479255</v>
      </c>
      <c r="Y25" s="15" t="n">
        <f aca="false">Y21*Hypothèses!$D$14*$C$4</f>
        <v>14670.5172084463</v>
      </c>
      <c r="Z25" s="15" t="n">
        <f aca="false">Z21*Hypothèses!$D$14*$C$4</f>
        <v>15813.8120363618</v>
      </c>
      <c r="AA25" s="15" t="n">
        <f aca="false">AA21*Hypothèses!$D$14*$C$4</f>
        <v>18880.6739159982</v>
      </c>
      <c r="AB25" s="15" t="n">
        <f aca="false">AB21*Hypothèses!$D$14*$C$4</f>
        <v>21916.8671768382</v>
      </c>
      <c r="AC25" s="15" t="n">
        <f aca="false">AC21*Hypothèses!$D$14*$C$4</f>
        <v>24922.6985050698</v>
      </c>
      <c r="AD25" s="15" t="n">
        <f aca="false">AD21*Hypothèses!$D$14*$C$4</f>
        <v>27898.4715200191</v>
      </c>
      <c r="AE25" s="15" t="n">
        <f aca="false">AE21*Hypothèses!$D$14*$C$4</f>
        <v>30844.486804819</v>
      </c>
      <c r="AF25" s="15" t="n">
        <f aca="false">AF21*Hypothèses!$D$14*$C$4</f>
        <v>33761.0419367708</v>
      </c>
      <c r="AG25" s="15" t="n">
        <f aca="false">AG21*Hypothèses!$D$14*$C$4</f>
        <v>36648.4315174031</v>
      </c>
      <c r="AH25" s="15" t="n">
        <f aca="false">AH21*Hypothèses!$D$14*$C$4</f>
        <v>39506.947202229</v>
      </c>
      <c r="AI25" s="15" t="n">
        <f aca="false">AI21*Hypothèses!$D$14*$C$4</f>
        <v>42336.8777302067</v>
      </c>
      <c r="AJ25" s="15" t="n">
        <f aca="false">AJ21*Hypothèses!$D$14*$C$4</f>
        <v>45138.5089529046</v>
      </c>
      <c r="AK25" s="15" t="n">
        <f aca="false">AK21*Hypothèses!$D$14*$C$4</f>
        <v>47912.1238633756</v>
      </c>
      <c r="AL25" s="15" t="n">
        <f aca="false">AL21*Hypothèses!$D$14*$C$4</f>
        <v>50658.0026247418</v>
      </c>
      <c r="AN25" s="15" t="n">
        <f aca="false">SUM(C25:N25)</f>
        <v>4019.00310589887</v>
      </c>
      <c r="AO25" s="15" t="n">
        <f aca="false">SUM(O25:Z25)</f>
        <v>111708.944157865</v>
      </c>
      <c r="AP25" s="15" t="n">
        <f aca="false">SUM(AA25:AL25)</f>
        <v>420425.131750376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717.8</v>
      </c>
      <c r="G26" s="40" t="n">
        <f aca="false">G23+G24+G25</f>
        <v>696.266</v>
      </c>
      <c r="H26" s="40" t="n">
        <f aca="false">H23+H24+H25</f>
        <v>675.37802</v>
      </c>
      <c r="I26" s="40" t="n">
        <f aca="false">I23+I24+I25</f>
        <v>655.1166794</v>
      </c>
      <c r="J26" s="40" t="n">
        <f aca="false">J23+J24+J25</f>
        <v>635.463179018</v>
      </c>
      <c r="K26" s="40" t="n">
        <f aca="false">K23+K24+K25</f>
        <v>616.39928364746</v>
      </c>
      <c r="L26" s="40" t="n">
        <f aca="false">L23+L24+L25</f>
        <v>2090.23529081099</v>
      </c>
      <c r="M26" s="40" t="n">
        <f aca="false">M23+M24+M25</f>
        <v>3549.33293790288</v>
      </c>
      <c r="N26" s="40" t="n">
        <f aca="false">N23+N24+N25</f>
        <v>4993.83960852385</v>
      </c>
      <c r="O26" s="40" t="n">
        <f aca="false">O23+O24+O25</f>
        <v>9877.23454577194</v>
      </c>
      <c r="P26" s="40" t="n">
        <f aca="false">P23+P24+P25</f>
        <v>14711.7955336476</v>
      </c>
      <c r="Q26" s="40" t="n">
        <f aca="false">Q23+Q24+Q25</f>
        <v>19498.0109116444</v>
      </c>
      <c r="R26" s="40" t="n">
        <f aca="false">R23+R24+R25</f>
        <v>24236.3641358613</v>
      </c>
      <c r="S26" s="40" t="n">
        <f aca="false">S23+S24+S25</f>
        <v>28927.333827836</v>
      </c>
      <c r="T26" s="40" t="n">
        <f aca="false">T23+T24+T25</f>
        <v>33571.393822891</v>
      </c>
      <c r="U26" s="40" t="n">
        <f aca="false">U23+U24+U25</f>
        <v>38169.0132179954</v>
      </c>
      <c r="V26" s="40" t="n">
        <f aca="false">V23+V24+V25</f>
        <v>42720.6564191488</v>
      </c>
      <c r="W26" s="40" t="n">
        <f aca="false">W23+W24+W25</f>
        <v>47226.7831882906</v>
      </c>
      <c r="X26" s="40" t="n">
        <f aca="false">X23+X24+X25</f>
        <v>51687.8486897411</v>
      </c>
      <c r="Y26" s="40" t="n">
        <f aca="false">Y23+Y24+Y25</f>
        <v>56104.303536177</v>
      </c>
      <c r="Z26" s="40" t="n">
        <f aca="false">Z23+Z24+Z25</f>
        <v>60476.5938341485</v>
      </c>
      <c r="AA26" s="40" t="n">
        <f aca="false">AA23+AA24+AA25</f>
        <v>72205.1612291404</v>
      </c>
      <c r="AB26" s="40" t="n">
        <f aca="false">AB23+AB24+AB25</f>
        <v>83816.4429501823</v>
      </c>
      <c r="AC26" s="40" t="n">
        <f aca="false">AC23+AC24+AC25</f>
        <v>95311.6118540139</v>
      </c>
      <c r="AD26" s="40" t="n">
        <f aca="false">AD23+AD24+AD25</f>
        <v>106691.829068807</v>
      </c>
      <c r="AE26" s="40" t="n">
        <f aca="false">AE23+AE24+AE25</f>
        <v>117958.244111452</v>
      </c>
      <c r="AF26" s="40" t="n">
        <f aca="false">AF23+AF24+AF25</f>
        <v>129111.995003671</v>
      </c>
      <c r="AG26" s="40" t="n">
        <f aca="false">AG23+AG24+AG25</f>
        <v>140154.208386968</v>
      </c>
      <c r="AH26" s="40" t="n">
        <f aca="false">AH23+AH24+AH25</f>
        <v>151085.999636431</v>
      </c>
      <c r="AI26" s="40" t="n">
        <f aca="false">AI23+AI24+AI25</f>
        <v>161908.4729734</v>
      </c>
      <c r="AJ26" s="40" t="n">
        <f aca="false">AJ23+AJ24+AJ25</f>
        <v>172622.721577</v>
      </c>
      <c r="AK26" s="40" t="n">
        <f aca="false">AK23+AK24+AK25</f>
        <v>183229.827694563</v>
      </c>
      <c r="AL26" s="40" t="n">
        <f aca="false">AL23+AL24+AL25</f>
        <v>193730.862750951</v>
      </c>
      <c r="AN26" s="40" t="n">
        <f aca="false">SUM(C26:N26)</f>
        <v>15369.8309993032</v>
      </c>
      <c r="AO26" s="40" t="n">
        <f aca="false">SUM(O26:Z26)</f>
        <v>427207.331663154</v>
      </c>
      <c r="AP26" s="40" t="n">
        <f aca="false">SUM(AA26:AL26)</f>
        <v>1607827.37723658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119.633333333333</v>
      </c>
      <c r="G27" s="15" t="n">
        <f aca="false">G26*Hypothèses!$D$15/(1+Hypothèses!$D$15)</f>
        <v>116.044333333333</v>
      </c>
      <c r="H27" s="15" t="n">
        <f aca="false">H26*Hypothèses!$D$15/(1+Hypothèses!$D$15)</f>
        <v>112.563003333333</v>
      </c>
      <c r="I27" s="15" t="n">
        <f aca="false">I26*Hypothèses!$D$15/(1+Hypothèses!$D$15)</f>
        <v>109.186113233333</v>
      </c>
      <c r="J27" s="15" t="n">
        <f aca="false">J26*Hypothèses!$D$15/(1+Hypothèses!$D$15)</f>
        <v>105.910529836333</v>
      </c>
      <c r="K27" s="15" t="n">
        <f aca="false">K26*Hypothèses!$D$15/(1+Hypothèses!$D$15)</f>
        <v>102.733213941243</v>
      </c>
      <c r="L27" s="15" t="n">
        <f aca="false">L26*Hypothèses!$D$15/(1+Hypothèses!$D$15)</f>
        <v>348.372548468498</v>
      </c>
      <c r="M27" s="15" t="n">
        <f aca="false">M26*Hypothèses!$D$15/(1+Hypothèses!$D$15)</f>
        <v>591.555489650479</v>
      </c>
      <c r="N27" s="15" t="n">
        <f aca="false">N26*Hypothèses!$D$15/(1+Hypothèses!$D$15)</f>
        <v>832.306601420641</v>
      </c>
      <c r="O27" s="15" t="n">
        <f aca="false">O26*Hypothèses!$D$15/(1+Hypothèses!$D$15)</f>
        <v>1646.20575762866</v>
      </c>
      <c r="P27" s="15" t="n">
        <f aca="false">P26*Hypothèses!$D$15/(1+Hypothèses!$D$15)</f>
        <v>2451.96592227459</v>
      </c>
      <c r="Q27" s="15" t="n">
        <f aca="false">Q26*Hypothèses!$D$15/(1+Hypothèses!$D$15)</f>
        <v>3249.66848527407</v>
      </c>
      <c r="R27" s="15" t="n">
        <f aca="false">R26*Hypothèses!$D$15/(1+Hypothèses!$D$15)</f>
        <v>4039.39402264355</v>
      </c>
      <c r="S27" s="15" t="n">
        <f aca="false">S26*Hypothèses!$D$15/(1+Hypothèses!$D$15)</f>
        <v>4821.22230463934</v>
      </c>
      <c r="T27" s="15" t="n">
        <f aca="false">T26*Hypothèses!$D$15/(1+Hypothèses!$D$15)</f>
        <v>5595.23230381517</v>
      </c>
      <c r="U27" s="15" t="n">
        <f aca="false">U26*Hypothèses!$D$15/(1+Hypothèses!$D$15)</f>
        <v>6361.50220299924</v>
      </c>
      <c r="V27" s="15" t="n">
        <f aca="false">V26*Hypothèses!$D$15/(1+Hypothèses!$D$15)</f>
        <v>7120.10940319147</v>
      </c>
      <c r="W27" s="15" t="n">
        <f aca="false">W26*Hypothèses!$D$15/(1+Hypothèses!$D$15)</f>
        <v>7871.13053138177</v>
      </c>
      <c r="X27" s="15" t="n">
        <f aca="false">X26*Hypothèses!$D$15/(1+Hypothèses!$D$15)</f>
        <v>8614.64144829018</v>
      </c>
      <c r="Y27" s="15" t="n">
        <f aca="false">Y26*Hypothèses!$D$15/(1+Hypothèses!$D$15)</f>
        <v>9350.7172560295</v>
      </c>
      <c r="Z27" s="15" t="n">
        <f aca="false">Z26*Hypothèses!$D$15/(1+Hypothèses!$D$15)</f>
        <v>10079.4323056914</v>
      </c>
      <c r="AA27" s="15" t="n">
        <f aca="false">AA26*Hypothèses!$D$15/(1+Hypothèses!$D$15)</f>
        <v>12034.1935381901</v>
      </c>
      <c r="AB27" s="15" t="n">
        <f aca="false">AB26*Hypothèses!$D$15/(1+Hypothèses!$D$15)</f>
        <v>13969.4071583637</v>
      </c>
      <c r="AC27" s="15" t="n">
        <f aca="false">AC26*Hypothèses!$D$15/(1+Hypothèses!$D$15)</f>
        <v>15885.2686423356</v>
      </c>
      <c r="AD27" s="15" t="n">
        <f aca="false">AD26*Hypothèses!$D$15/(1+Hypothèses!$D$15)</f>
        <v>17781.9715114678</v>
      </c>
      <c r="AE27" s="15" t="n">
        <f aca="false">AE26*Hypothèses!$D$15/(1+Hypothèses!$D$15)</f>
        <v>19659.7073519087</v>
      </c>
      <c r="AF27" s="15" t="n">
        <f aca="false">AF26*Hypothèses!$D$15/(1+Hypothèses!$D$15)</f>
        <v>21518.6658339452</v>
      </c>
      <c r="AG27" s="15" t="n">
        <f aca="false">AG26*Hypothèses!$D$15/(1+Hypothèses!$D$15)</f>
        <v>23359.0347311613</v>
      </c>
      <c r="AH27" s="15" t="n">
        <f aca="false">AH26*Hypothèses!$D$15/(1+Hypothèses!$D$15)</f>
        <v>25180.9999394052</v>
      </c>
      <c r="AI27" s="15" t="n">
        <f aca="false">AI26*Hypothèses!$D$15/(1+Hypothèses!$D$15)</f>
        <v>26984.7454955667</v>
      </c>
      <c r="AJ27" s="15" t="n">
        <f aca="false">AJ26*Hypothèses!$D$15/(1+Hypothèses!$D$15)</f>
        <v>28770.4535961666</v>
      </c>
      <c r="AK27" s="15" t="n">
        <f aca="false">AK26*Hypothèses!$D$15/(1+Hypothèses!$D$15)</f>
        <v>30538.3046157605</v>
      </c>
      <c r="AL27" s="15" t="n">
        <f aca="false">AL26*Hypothèses!$D$15/(1+Hypothèses!$D$15)</f>
        <v>32288.4771251585</v>
      </c>
      <c r="AN27" s="15" t="n">
        <f aca="false">SUM(C27:N27)</f>
        <v>2561.63849988386</v>
      </c>
      <c r="AO27" s="15" t="n">
        <f aca="false">SUM(O27:Z27)</f>
        <v>71201.221943859</v>
      </c>
      <c r="AP27" s="15" t="n">
        <f aca="false">SUM(AA27:AL27)</f>
        <v>267971.22953943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598.166666666667</v>
      </c>
      <c r="G28" s="40" t="n">
        <f aca="false">G26-G27</f>
        <v>580.221666666667</v>
      </c>
      <c r="H28" s="40" t="n">
        <f aca="false">H26-H27</f>
        <v>562.815016666667</v>
      </c>
      <c r="I28" s="40" t="n">
        <f aca="false">I26-I27</f>
        <v>545.930566166667</v>
      </c>
      <c r="J28" s="40" t="n">
        <f aca="false">J26-J27</f>
        <v>529.552649181666</v>
      </c>
      <c r="K28" s="40" t="n">
        <f aca="false">K26-K27</f>
        <v>513.666069706216</v>
      </c>
      <c r="L28" s="40" t="n">
        <f aca="false">L26-L27</f>
        <v>1741.86274234249</v>
      </c>
      <c r="M28" s="40" t="n">
        <f aca="false">M26-M27</f>
        <v>2957.7774482524</v>
      </c>
      <c r="N28" s="40" t="n">
        <f aca="false">N26-N27</f>
        <v>4161.53300710321</v>
      </c>
      <c r="O28" s="40" t="n">
        <f aca="false">O26-O27</f>
        <v>8231.02878814329</v>
      </c>
      <c r="P28" s="40" t="n">
        <f aca="false">P26-P27</f>
        <v>12259.829611373</v>
      </c>
      <c r="Q28" s="40" t="n">
        <f aca="false">Q26-Q27</f>
        <v>16248.3424263703</v>
      </c>
      <c r="R28" s="40" t="n">
        <f aca="false">R26-R27</f>
        <v>20196.9701132178</v>
      </c>
      <c r="S28" s="40" t="n">
        <f aca="false">S26-S27</f>
        <v>24106.1115231967</v>
      </c>
      <c r="T28" s="40" t="n">
        <f aca="false">T26-T27</f>
        <v>27976.1615190758</v>
      </c>
      <c r="U28" s="40" t="n">
        <f aca="false">U26-U27</f>
        <v>31807.5110149962</v>
      </c>
      <c r="V28" s="40" t="n">
        <f aca="false">V26-V27</f>
        <v>35600.5470159573</v>
      </c>
      <c r="W28" s="40" t="n">
        <f aca="false">W26-W27</f>
        <v>39355.6526569089</v>
      </c>
      <c r="X28" s="40" t="n">
        <f aca="false">X26-X27</f>
        <v>43073.2072414509</v>
      </c>
      <c r="Y28" s="40" t="n">
        <f aca="false">Y26-Y27</f>
        <v>46753.5862801475</v>
      </c>
      <c r="Z28" s="40" t="n">
        <f aca="false">Z26-Z27</f>
        <v>50397.1615284571</v>
      </c>
      <c r="AA28" s="40" t="n">
        <f aca="false">AA26-AA27</f>
        <v>60170.9676909503</v>
      </c>
      <c r="AB28" s="40" t="n">
        <f aca="false">AB26-AB27</f>
        <v>69847.0357918186</v>
      </c>
      <c r="AC28" s="40" t="n">
        <f aca="false">AC26-AC27</f>
        <v>79426.3432116782</v>
      </c>
      <c r="AD28" s="40" t="n">
        <f aca="false">AD26-AD27</f>
        <v>88909.8575573392</v>
      </c>
      <c r="AE28" s="40" t="n">
        <f aca="false">AE26-AE27</f>
        <v>98298.5367595436</v>
      </c>
      <c r="AF28" s="40" t="n">
        <f aca="false">AF26-AF27</f>
        <v>107593.329169726</v>
      </c>
      <c r="AG28" s="40" t="n">
        <f aca="false">AG26-AG27</f>
        <v>116795.173655806</v>
      </c>
      <c r="AH28" s="40" t="n">
        <f aca="false">AH26-AH27</f>
        <v>125904.999697026</v>
      </c>
      <c r="AI28" s="40" t="n">
        <f aca="false">AI26-AI27</f>
        <v>134923.727477834</v>
      </c>
      <c r="AJ28" s="40" t="n">
        <f aca="false">AJ26-AJ27</f>
        <v>143852.267980833</v>
      </c>
      <c r="AK28" s="40" t="n">
        <f aca="false">AK26-AK27</f>
        <v>152691.523078803</v>
      </c>
      <c r="AL28" s="40" t="n">
        <f aca="false">AL26-AL27</f>
        <v>161442.385625792</v>
      </c>
      <c r="AN28" s="40" t="n">
        <f aca="false">SUM(C28:N28)</f>
        <v>12808.1924994193</v>
      </c>
      <c r="AO28" s="40" t="n">
        <f aca="false">SUM(O28:Z28)</f>
        <v>356006.109719295</v>
      </c>
      <c r="AP28" s="40" t="n">
        <f aca="false">SUM(AA28:AL28)</f>
        <v>1339856.14769715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7.178</v>
      </c>
      <c r="G29" s="15" t="n">
        <f aca="false">G26*Hypothèses!$D$27</f>
        <v>6.96266</v>
      </c>
      <c r="H29" s="15" t="n">
        <f aca="false">H26*Hypothèses!$D$27</f>
        <v>6.7537802</v>
      </c>
      <c r="I29" s="15" t="n">
        <f aca="false">I26*Hypothèses!$D$27</f>
        <v>6.551166794</v>
      </c>
      <c r="J29" s="15" t="n">
        <f aca="false">J26*Hypothèses!$D$27</f>
        <v>6.35463179018</v>
      </c>
      <c r="K29" s="15" t="n">
        <f aca="false">K26*Hypothèses!$D$27</f>
        <v>6.1639928364746</v>
      </c>
      <c r="L29" s="15" t="n">
        <f aca="false">L26*Hypothèses!$D$27</f>
        <v>20.9023529081099</v>
      </c>
      <c r="M29" s="15" t="n">
        <f aca="false">M26*Hypothèses!$D$27</f>
        <v>35.4933293790288</v>
      </c>
      <c r="N29" s="15" t="n">
        <f aca="false">N26*Hypothèses!$D$27</f>
        <v>49.9383960852385</v>
      </c>
      <c r="O29" s="15" t="n">
        <f aca="false">O26*Hypothèses!$D$27</f>
        <v>98.7723454577194</v>
      </c>
      <c r="P29" s="15" t="n">
        <f aca="false">P26*Hypothèses!$D$27</f>
        <v>147.117955336476</v>
      </c>
      <c r="Q29" s="15" t="n">
        <f aca="false">Q26*Hypothèses!$D$27</f>
        <v>194.980109116444</v>
      </c>
      <c r="R29" s="15" t="n">
        <f aca="false">R26*Hypothèses!$D$27</f>
        <v>242.363641358613</v>
      </c>
      <c r="S29" s="15" t="n">
        <f aca="false">S26*Hypothèses!$D$27</f>
        <v>289.27333827836</v>
      </c>
      <c r="T29" s="15" t="n">
        <f aca="false">T26*Hypothèses!$D$27</f>
        <v>335.71393822891</v>
      </c>
      <c r="U29" s="15" t="n">
        <f aca="false">U26*Hypothèses!$D$27</f>
        <v>381.690132179954</v>
      </c>
      <c r="V29" s="15" t="n">
        <f aca="false">V26*Hypothèses!$D$27</f>
        <v>427.206564191488</v>
      </c>
      <c r="W29" s="15" t="n">
        <f aca="false">W26*Hypothèses!$D$27</f>
        <v>472.267831882906</v>
      </c>
      <c r="X29" s="15" t="n">
        <f aca="false">X26*Hypothèses!$D$27</f>
        <v>516.878486897411</v>
      </c>
      <c r="Y29" s="15" t="n">
        <f aca="false">Y26*Hypothèses!$D$27</f>
        <v>561.04303536177</v>
      </c>
      <c r="Z29" s="15" t="n">
        <f aca="false">Z26*Hypothèses!$D$27</f>
        <v>604.765938341485</v>
      </c>
      <c r="AA29" s="15" t="n">
        <f aca="false">AA26*Hypothèses!$D$27</f>
        <v>722.051612291404</v>
      </c>
      <c r="AB29" s="15" t="n">
        <f aca="false">AB26*Hypothèses!$D$27</f>
        <v>838.164429501823</v>
      </c>
      <c r="AC29" s="15" t="n">
        <f aca="false">AC26*Hypothèses!$D$27</f>
        <v>953.116118540139</v>
      </c>
      <c r="AD29" s="15" t="n">
        <f aca="false">AD26*Hypothèses!$D$27</f>
        <v>1066.91829068807</v>
      </c>
      <c r="AE29" s="15" t="n">
        <f aca="false">AE26*Hypothèses!$D$27</f>
        <v>1179.58244111452</v>
      </c>
      <c r="AF29" s="15" t="n">
        <f aca="false">AF26*Hypothèses!$D$27</f>
        <v>1291.11995003671</v>
      </c>
      <c r="AG29" s="15" t="n">
        <f aca="false">AG26*Hypothèses!$D$27</f>
        <v>1401.54208386968</v>
      </c>
      <c r="AH29" s="15" t="n">
        <f aca="false">AH26*Hypothèses!$D$27</f>
        <v>1510.85999636431</v>
      </c>
      <c r="AI29" s="15" t="n">
        <f aca="false">AI26*Hypothèses!$D$27</f>
        <v>1619.084729734</v>
      </c>
      <c r="AJ29" s="15" t="n">
        <f aca="false">AJ26*Hypothèses!$D$27</f>
        <v>1726.22721577</v>
      </c>
      <c r="AK29" s="15" t="n">
        <f aca="false">AK26*Hypothèses!$D$27</f>
        <v>1832.29827694563</v>
      </c>
      <c r="AL29" s="15" t="n">
        <f aca="false">AL26*Hypothèses!$D$27</f>
        <v>1937.30862750951</v>
      </c>
      <c r="AN29" s="15" t="n">
        <f aca="false">SUM(C29:N29)</f>
        <v>153.698309993032</v>
      </c>
      <c r="AO29" s="15" t="n">
        <f aca="false">SUM(O29:Z29)</f>
        <v>4272.07331663154</v>
      </c>
      <c r="AP29" s="15" t="n">
        <f aca="false">SUM(AA29:AL29)</f>
        <v>16078.2737723658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13.08433</v>
      </c>
      <c r="G30" s="15" t="n">
        <f aca="false">(G26-G29)*Hypothèses!$D$28+G18*Hypothèses!$D$29</f>
        <v>12.6918001</v>
      </c>
      <c r="H30" s="15" t="n">
        <f aca="false">(H26-H29)*Hypothèses!$D$28+H18*Hypothèses!$D$29</f>
        <v>12.311046097</v>
      </c>
      <c r="I30" s="15" t="n">
        <f aca="false">(I26-I29)*Hypothèses!$D$28+I18*Hypothèses!$D$29</f>
        <v>11.94171471409</v>
      </c>
      <c r="J30" s="15" t="n">
        <f aca="false">(J26-J29)*Hypothèses!$D$28+J18*Hypothèses!$D$29</f>
        <v>11.5834632726673</v>
      </c>
      <c r="K30" s="15" t="n">
        <f aca="false">(K26-K29)*Hypothèses!$D$28+K18*Hypothèses!$D$29</f>
        <v>11.2359593744873</v>
      </c>
      <c r="L30" s="15" t="n">
        <f aca="false">(L26-L29)*Hypothèses!$D$28+L18*Hypothèses!$D$29</f>
        <v>38.1015997807424</v>
      </c>
      <c r="M30" s="15" t="n">
        <f aca="false">(M26-M29)*Hypothèses!$D$28+M18*Hypothèses!$D$29</f>
        <v>64.698583782935</v>
      </c>
      <c r="N30" s="15" t="n">
        <f aca="false">(N26-N29)*Hypothèses!$D$28+N18*Hypothèses!$D$29</f>
        <v>91.0295979451056</v>
      </c>
      <c r="O30" s="15" t="n">
        <f aca="false">(O26-O29)*Hypothèses!$D$28+O18*Hypothèses!$D$29</f>
        <v>180.045968632321</v>
      </c>
      <c r="P30" s="15" t="n">
        <f aca="false">(P26-P29)*Hypothèses!$D$28+P18*Hypothèses!$D$29</f>
        <v>268.172175612665</v>
      </c>
      <c r="Q30" s="15" t="n">
        <f aca="false">(Q26-Q29)*Hypothèses!$D$28+Q18*Hypothèses!$D$29</f>
        <v>355.417120523205</v>
      </c>
      <c r="R30" s="15" t="n">
        <f aca="false">(R26-R29)*Hypothèses!$D$28+R18*Hypothèses!$D$29</f>
        <v>441.789615984639</v>
      </c>
      <c r="S30" s="15" t="n">
        <f aca="false">(S26-S29)*Hypothèses!$D$28+S18*Hypothèses!$D$29</f>
        <v>527.29838649146</v>
      </c>
      <c r="T30" s="15" t="n">
        <f aca="false">(T26-T29)*Hypothèses!$D$28+T18*Hypothèses!$D$29</f>
        <v>611.952069293212</v>
      </c>
      <c r="U30" s="15" t="n">
        <f aca="false">(U26-U29)*Hypothèses!$D$28+U18*Hypothèses!$D$29</f>
        <v>695.759215266946</v>
      </c>
      <c r="V30" s="15" t="n">
        <f aca="false">(V26-V29)*Hypothèses!$D$28+V18*Hypothèses!$D$29</f>
        <v>778.728289780943</v>
      </c>
      <c r="W30" s="15" t="n">
        <f aca="false">(W26-W29)*Hypothèses!$D$28+W18*Hypothèses!$D$29</f>
        <v>860.8676735498</v>
      </c>
      <c r="X30" s="15" t="n">
        <f aca="false">(X26-X29)*Hypothèses!$D$28+X18*Hypothèses!$D$29</f>
        <v>942.185663480969</v>
      </c>
      <c r="Y30" s="15" t="n">
        <f aca="false">(Y26-Y29)*Hypothèses!$D$28+Y18*Hypothèses!$D$29</f>
        <v>1022.69047351283</v>
      </c>
      <c r="Z30" s="15" t="n">
        <f aca="false">(Z26-Z29)*Hypothèses!$D$28+Z18*Hypothèses!$D$29</f>
        <v>1102.39023544436</v>
      </c>
      <c r="AA30" s="15" t="n">
        <f aca="false">(AA26-AA29)*Hypothèses!$D$28+AA18*Hypothèses!$D$29</f>
        <v>1316.18299975659</v>
      </c>
      <c r="AB30" s="15" t="n">
        <f aca="false">(AB26-AB29)*Hypothèses!$D$28+AB18*Hypothèses!$D$29</f>
        <v>1527.83783642569</v>
      </c>
      <c r="AC30" s="15" t="n">
        <f aca="false">(AC26-AC29)*Hypothèses!$D$28+AC18*Hypothèses!$D$29</f>
        <v>1737.3761247281</v>
      </c>
      <c r="AD30" s="15" t="n">
        <f aca="false">(AD26-AD29)*Hypothèses!$D$28+AD18*Hypothèses!$D$29</f>
        <v>1944.81903014748</v>
      </c>
      <c r="AE30" s="15" t="n">
        <f aca="false">(AE26-AE29)*Hypothèses!$D$28+AE18*Hypothèses!$D$29</f>
        <v>2150.18750651268</v>
      </c>
      <c r="AF30" s="15" t="n">
        <f aca="false">(AF26-AF29)*Hypothèses!$D$28+AF18*Hypothèses!$D$29</f>
        <v>2353.50229811422</v>
      </c>
      <c r="AG30" s="15" t="n">
        <f aca="false">(AG26-AG29)*Hypothèses!$D$28+AG18*Hypothèses!$D$29</f>
        <v>2554.78394179974</v>
      </c>
      <c r="AH30" s="15" t="n">
        <f aca="false">(AH26-AH29)*Hypothèses!$D$28+AH18*Hypothèses!$D$29</f>
        <v>2754.05276904841</v>
      </c>
      <c r="AI30" s="15" t="n">
        <f aca="false">(AI26-AI29)*Hypothèses!$D$28+AI18*Hypothèses!$D$29</f>
        <v>2951.32890802459</v>
      </c>
      <c r="AJ30" s="15" t="n">
        <f aca="false">(AJ26-AJ29)*Hypothèses!$D$28+AJ18*Hypothèses!$D$29</f>
        <v>3146.63228561101</v>
      </c>
      <c r="AK30" s="15" t="n">
        <f aca="false">(AK26-AK29)*Hypothèses!$D$28+AK18*Hypothèses!$D$29</f>
        <v>3339.98262942157</v>
      </c>
      <c r="AL30" s="15" t="n">
        <f aca="false">(AL26-AL29)*Hypothèses!$D$28+AL18*Hypothèses!$D$29</f>
        <v>3531.39946979402</v>
      </c>
      <c r="AN30" s="15" t="n">
        <f aca="false">SUM(C30:N30)</f>
        <v>280.167095067028</v>
      </c>
      <c r="AO30" s="15" t="n">
        <f aca="false">SUM(O30:Z30)</f>
        <v>7787.29688757335</v>
      </c>
      <c r="AP30" s="15" t="n">
        <f aca="false">SUM(AA30:AL30)</f>
        <v>29308.0857993841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697.53767</v>
      </c>
      <c r="G31" s="40" t="n">
        <f aca="false">G26-G29-G30</f>
        <v>676.6115399</v>
      </c>
      <c r="H31" s="40" t="n">
        <f aca="false">H26-H29-H30</f>
        <v>656.313193703</v>
      </c>
      <c r="I31" s="40" t="n">
        <f aca="false">I26-I29-I30</f>
        <v>636.62379789191</v>
      </c>
      <c r="J31" s="40" t="n">
        <f aca="false">J26-J29-J30</f>
        <v>617.525083955153</v>
      </c>
      <c r="K31" s="40" t="n">
        <f aca="false">K26-K29-K30</f>
        <v>598.999331436498</v>
      </c>
      <c r="L31" s="40" t="n">
        <f aca="false">L26-L29-L30</f>
        <v>2031.23133812213</v>
      </c>
      <c r="M31" s="40" t="n">
        <f aca="false">M26-M29-M30</f>
        <v>3449.14102474091</v>
      </c>
      <c r="N31" s="40" t="n">
        <f aca="false">N26-N29-N30</f>
        <v>4852.8716144935</v>
      </c>
      <c r="O31" s="40" t="n">
        <f aca="false">O26-O29-O30</f>
        <v>9598.4162316819</v>
      </c>
      <c r="P31" s="40" t="n">
        <f aca="false">P26-P29-P30</f>
        <v>14296.5054026984</v>
      </c>
      <c r="Q31" s="40" t="n">
        <f aca="false">Q26-Q29-Q30</f>
        <v>18947.6136820048</v>
      </c>
      <c r="R31" s="40" t="n">
        <f aca="false">R26-R29-R30</f>
        <v>23552.2108785181</v>
      </c>
      <c r="S31" s="40" t="n">
        <f aca="false">S26-S29-S30</f>
        <v>28110.7621030662</v>
      </c>
      <c r="T31" s="40" t="n">
        <f aca="false">T26-T29-T30</f>
        <v>32623.7278153689</v>
      </c>
      <c r="U31" s="40" t="n">
        <f aca="false">U26-U29-U30</f>
        <v>37091.5638705485</v>
      </c>
      <c r="V31" s="40" t="n">
        <f aca="false">V26-V29-V30</f>
        <v>41514.7215651764</v>
      </c>
      <c r="W31" s="40" t="n">
        <f aca="false">W26-W29-W30</f>
        <v>45893.6476828579</v>
      </c>
      <c r="X31" s="40" t="n">
        <f aca="false">X26-X29-X30</f>
        <v>50228.7845393627</v>
      </c>
      <c r="Y31" s="40" t="n">
        <f aca="false">Y26-Y29-Y30</f>
        <v>54520.5700273024</v>
      </c>
      <c r="Z31" s="40" t="n">
        <f aca="false">Z26-Z29-Z30</f>
        <v>58769.4376603627</v>
      </c>
      <c r="AA31" s="40" t="n">
        <f aca="false">AA26-AA29-AA30</f>
        <v>70166.9266170924</v>
      </c>
      <c r="AB31" s="40" t="n">
        <f aca="false">AB26-AB29-AB30</f>
        <v>81450.4406842548</v>
      </c>
      <c r="AC31" s="40" t="n">
        <f aca="false">AC26-AC29-AC30</f>
        <v>92621.1196107456</v>
      </c>
      <c r="AD31" s="40" t="n">
        <f aca="false">AD26-AD29-AD30</f>
        <v>103680.091747972</v>
      </c>
      <c r="AE31" s="40" t="n">
        <f aca="false">AE26-AE29-AE30</f>
        <v>114628.474163825</v>
      </c>
      <c r="AF31" s="40" t="n">
        <f aca="false">AF26-AF29-AF30</f>
        <v>125467.37275552</v>
      </c>
      <c r="AG31" s="40" t="n">
        <f aca="false">AG26-AG29-AG30</f>
        <v>136197.882361298</v>
      </c>
      <c r="AH31" s="40" t="n">
        <f aca="false">AH26-AH29-AH30</f>
        <v>146821.086871019</v>
      </c>
      <c r="AI31" s="40" t="n">
        <f aca="false">AI26-AI29-AI30</f>
        <v>157338.059335642</v>
      </c>
      <c r="AJ31" s="40" t="n">
        <f aca="false">AJ26-AJ29-AJ30</f>
        <v>167749.862075619</v>
      </c>
      <c r="AK31" s="40" t="n">
        <f aca="false">AK26-AK29-AK30</f>
        <v>178057.546788196</v>
      </c>
      <c r="AL31" s="40" t="n">
        <f aca="false">AL26-AL29-AL30</f>
        <v>188262.154653647</v>
      </c>
      <c r="AN31" s="40" t="n">
        <f aca="false">SUM(C31:N31)</f>
        <v>14935.9655942431</v>
      </c>
      <c r="AO31" s="40" t="n">
        <f aca="false">SUM(O31:Z31)</f>
        <v>415147.961458949</v>
      </c>
      <c r="AP31" s="40" t="n">
        <f aca="false">SUM(AA31:AL31)</f>
        <v>1562441.01766483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95.157</v>
      </c>
      <c r="G33" s="15" t="n">
        <f aca="false">(G19*Hypothèses!$D$31+G20*Hypothèses!$D$32+G21*Hypothèses!$D$33)*Hypothèses!$D$34*$F$4</f>
        <v>92.30229</v>
      </c>
      <c r="H33" s="15" t="n">
        <f aca="false">(H19*Hypothèses!$D$31+H20*Hypothèses!$D$32+H21*Hypothèses!$D$33)*Hypothèses!$D$34*$F$4</f>
        <v>89.5332213</v>
      </c>
      <c r="I33" s="15" t="n">
        <f aca="false">(I19*Hypothèses!$D$31+I20*Hypothèses!$D$32+I21*Hypothèses!$D$33)*Hypothèses!$D$34*$F$4</f>
        <v>86.847224661</v>
      </c>
      <c r="J33" s="15" t="n">
        <f aca="false">(J19*Hypothèses!$D$31+J20*Hypothèses!$D$32+J21*Hypothèses!$D$33)*Hypothèses!$D$34*$F$4</f>
        <v>84.24180792117</v>
      </c>
      <c r="K33" s="15" t="n">
        <f aca="false">(K19*Hypothèses!$D$31+K20*Hypothèses!$D$32+K21*Hypothèses!$D$33)*Hypothèses!$D$34*$F$4</f>
        <v>81.7145536835349</v>
      </c>
      <c r="L33" s="15" t="n">
        <f aca="false">(L19*Hypothèses!$D$31+L20*Hypothèses!$D$32+L21*Hypothèses!$D$33)*Hypothèses!$D$34*$F$4</f>
        <v>277.0974081467</v>
      </c>
      <c r="M33" s="15" t="n">
        <f aca="false">(M19*Hypothèses!$D$31+M20*Hypothèses!$D$32+M21*Hypothèses!$D$33)*Hypothèses!$D$34*$F$4</f>
        <v>470.526434065233</v>
      </c>
      <c r="N33" s="15" t="n">
        <f aca="false">(N19*Hypothèses!$D$31+N20*Hypothèses!$D$32+N21*Hypothèses!$D$33)*Hypothèses!$D$34*$F$4</f>
        <v>662.02116972458</v>
      </c>
      <c r="O33" s="15" t="n">
        <f aca="false">(O19*Hypothèses!$D$31+O20*Hypothèses!$D$32+O21*Hypothèses!$D$33)*Hypothèses!$D$34*$F$4</f>
        <v>1309.40095802733</v>
      </c>
      <c r="P33" s="15" t="n">
        <f aca="false">(P19*Hypothèses!$D$31+P20*Hypothèses!$D$32+P21*Hypothèses!$D$33)*Hypothèses!$D$34*$F$4</f>
        <v>1950.30694844706</v>
      </c>
      <c r="Q33" s="15" t="n">
        <f aca="false">(Q19*Hypothèses!$D$31+Q20*Hypothèses!$D$32+Q21*Hypothèses!$D$33)*Hypothèses!$D$34*$F$4</f>
        <v>2584.80387896259</v>
      </c>
      <c r="R33" s="15" t="n">
        <f aca="false">(R19*Hypothèses!$D$31+R20*Hypothèses!$D$32+R21*Hypothèses!$D$33)*Hypothèses!$D$34*$F$4</f>
        <v>3212.95584017297</v>
      </c>
      <c r="S33" s="15" t="n">
        <f aca="false">(S19*Hypothèses!$D$31+S20*Hypothèses!$D$32+S21*Hypothèses!$D$33)*Hypothèses!$D$34*$F$4</f>
        <v>3834.82628177124</v>
      </c>
      <c r="T33" s="15" t="n">
        <f aca="false">(T19*Hypothèses!$D$31+T20*Hypothèses!$D$32+T21*Hypothèses!$D$33)*Hypothèses!$D$34*$F$4</f>
        <v>4450.47801895352</v>
      </c>
      <c r="U33" s="15" t="n">
        <f aca="false">(U19*Hypothèses!$D$31+U20*Hypothèses!$D$32+U21*Hypothèses!$D$33)*Hypothèses!$D$34*$F$4</f>
        <v>5059.97323876399</v>
      </c>
      <c r="V33" s="15" t="n">
        <f aca="false">(V19*Hypothèses!$D$31+V20*Hypothèses!$D$32+V21*Hypothèses!$D$33)*Hypothèses!$D$34*$F$4</f>
        <v>5663.37350637635</v>
      </c>
      <c r="W33" s="15" t="n">
        <f aca="false">(W19*Hypothèses!$D$31+W20*Hypothèses!$D$32+W21*Hypothèses!$D$33)*Hypothèses!$D$34*$F$4</f>
        <v>6260.73977131258</v>
      </c>
      <c r="X33" s="15" t="n">
        <f aca="false">(X19*Hypothèses!$D$31+X20*Hypothèses!$D$32+X21*Hypothèses!$D$33)*Hypothèses!$D$34*$F$4</f>
        <v>6852.13237359946</v>
      </c>
      <c r="Y33" s="15" t="n">
        <f aca="false">(Y19*Hypothèses!$D$31+Y20*Hypothèses!$D$32+Y21*Hypothèses!$D$33)*Hypothèses!$D$34*$F$4</f>
        <v>7437.61104986346</v>
      </c>
      <c r="Z33" s="15" t="n">
        <f aca="false">(Z19*Hypothèses!$D$31+Z20*Hypothèses!$D$32+Z21*Hypothèses!$D$33)*Hypothèses!$D$34*$F$4</f>
        <v>8017.23493936483</v>
      </c>
      <c r="AA33" s="15" t="n">
        <f aca="false">(AA19*Hypothèses!$D$31+AA20*Hypothèses!$D$32+AA21*Hypothèses!$D$33)*Hypothèses!$D$34*$F$4</f>
        <v>9572.06258997118</v>
      </c>
      <c r="AB33" s="15" t="n">
        <f aca="false">(AB19*Hypothèses!$D$31+AB20*Hypothèses!$D$32+AB21*Hypothèses!$D$33)*Hypothèses!$D$34*$F$4</f>
        <v>11111.3419640715</v>
      </c>
      <c r="AC33" s="15" t="n">
        <f aca="false">(AC19*Hypothèses!$D$31+AC20*Hypothèses!$D$32+AC21*Hypothèses!$D$33)*Hypothèses!$D$34*$F$4</f>
        <v>12635.2285444308</v>
      </c>
      <c r="AD33" s="15" t="n">
        <f aca="false">(AD19*Hypothèses!$D$31+AD20*Hypothèses!$D$32+AD21*Hypothèses!$D$33)*Hypothèses!$D$34*$F$4</f>
        <v>14143.8762589864</v>
      </c>
      <c r="AE33" s="15" t="n">
        <f aca="false">(AE19*Hypothèses!$D$31+AE20*Hypothèses!$D$32+AE21*Hypothèses!$D$33)*Hypothèses!$D$34*$F$4</f>
        <v>15637.4374963966</v>
      </c>
      <c r="AF33" s="15" t="n">
        <f aca="false">(AF19*Hypothèses!$D$31+AF20*Hypothèses!$D$32+AF21*Hypothèses!$D$33)*Hypothèses!$D$34*$F$4</f>
        <v>17116.0631214326</v>
      </c>
      <c r="AG33" s="15" t="n">
        <f aca="false">(AG19*Hypothèses!$D$31+AG20*Hypothèses!$D$32+AG21*Hypothèses!$D$33)*Hypothèses!$D$34*$F$4</f>
        <v>18579.9024902183</v>
      </c>
      <c r="AH33" s="15" t="n">
        <f aca="false">(AH19*Hypothèses!$D$31+AH20*Hypothèses!$D$32+AH21*Hypothèses!$D$33)*Hypothèses!$D$34*$F$4</f>
        <v>20029.1034653161</v>
      </c>
      <c r="AI33" s="15" t="n">
        <f aca="false">(AI19*Hypothèses!$D$31+AI20*Hypothèses!$D$32+AI21*Hypothèses!$D$33)*Hypothèses!$D$34*$F$4</f>
        <v>21463.8124306629</v>
      </c>
      <c r="AJ33" s="15" t="n">
        <f aca="false">(AJ19*Hypothèses!$D$31+AJ20*Hypothèses!$D$32+AJ21*Hypothèses!$D$33)*Hypothèses!$D$34*$F$4</f>
        <v>22884.1743063563</v>
      </c>
      <c r="AK33" s="15" t="n">
        <f aca="false">(AK19*Hypothèses!$D$31+AK20*Hypothèses!$D$32+AK21*Hypothèses!$D$33)*Hypothèses!$D$34*$F$4</f>
        <v>24290.3325632927</v>
      </c>
      <c r="AL33" s="15" t="n">
        <f aca="false">(AL19*Hypothèses!$D$31+AL20*Hypothèses!$D$32+AL21*Hypothèses!$D$33)*Hypothèses!$D$34*$F$4</f>
        <v>25682.4292376598</v>
      </c>
      <c r="AN33" s="15" t="n">
        <f aca="false">SUM(C33:N33)</f>
        <v>2037.54110950222</v>
      </c>
      <c r="AO33" s="15" t="n">
        <f aca="false">SUM(O33:Z33)</f>
        <v>56633.8368056154</v>
      </c>
      <c r="AP33" s="15" t="n">
        <f aca="false">SUM(AA33:AL33)</f>
        <v>213145.764468795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13.27939215</v>
      </c>
      <c r="J34" s="15" t="n">
        <f aca="false">J18*Hypothèses!$D$35</f>
        <v>12.8810103855</v>
      </c>
      <c r="K34" s="15" t="n">
        <f aca="false">K18*Hypothèses!$D$35</f>
        <v>12.494580073935</v>
      </c>
      <c r="L34" s="15" t="n">
        <f aca="false">L18*Hypothèses!$D$35</f>
        <v>42.3696342731956</v>
      </c>
      <c r="M34" s="15" t="n">
        <f aca="false">M18*Hypothèses!$D$35</f>
        <v>71.9459379304637</v>
      </c>
      <c r="N34" s="15" t="n">
        <f aca="false">N18*Hypothèses!$D$35</f>
        <v>101.226478551159</v>
      </c>
      <c r="O34" s="15" t="n">
        <f aca="false">O18*Hypothèses!$D$35</f>
        <v>200.214213765648</v>
      </c>
      <c r="P34" s="15" t="n">
        <f aca="false">P18*Hypothèses!$D$35</f>
        <v>298.212071627991</v>
      </c>
      <c r="Q34" s="15" t="n">
        <f aca="false">Q18*Hypothèses!$D$35</f>
        <v>395.229950911711</v>
      </c>
      <c r="R34" s="15" t="n">
        <f aca="false">R18*Hypothèses!$D$35</f>
        <v>491.277651402594</v>
      </c>
      <c r="S34" s="15" t="n">
        <f aca="false">S18*Hypothèses!$D$35</f>
        <v>586.364874888568</v>
      </c>
      <c r="T34" s="15" t="n">
        <f aca="false">T18*Hypothèses!$D$35</f>
        <v>680.501226139682</v>
      </c>
      <c r="U34" s="15" t="n">
        <f aca="false">U18*Hypothèses!$D$35</f>
        <v>773.696213878286</v>
      </c>
      <c r="V34" s="15" t="n">
        <f aca="false">V18*Hypothèses!$D$35</f>
        <v>865.959251739503</v>
      </c>
      <c r="W34" s="15" t="n">
        <f aca="false">W18*Hypothèses!$D$35</f>
        <v>957.299659222107</v>
      </c>
      <c r="X34" s="15" t="n">
        <f aca="false">X18*Hypothèses!$D$35</f>
        <v>1047.72666262989</v>
      </c>
      <c r="Y34" s="15" t="n">
        <f aca="false">Y18*Hypothèses!$D$35</f>
        <v>1137.24939600359</v>
      </c>
      <c r="Z34" s="15" t="n">
        <f aca="false">Z18*Hypothèses!$D$35</f>
        <v>1225.87690204355</v>
      </c>
      <c r="AA34" s="15" t="n">
        <f aca="false">AA18*Hypothèses!$D$35</f>
        <v>1463.61813302312</v>
      </c>
      <c r="AB34" s="15" t="n">
        <f aca="false">AB18*Hypothèses!$D$35</f>
        <v>1698.98195169289</v>
      </c>
      <c r="AC34" s="15" t="n">
        <f aca="false">AC18*Hypothèses!$D$35</f>
        <v>1931.99213217596</v>
      </c>
      <c r="AD34" s="15" t="n">
        <f aca="false">AD18*Hypothèses!$D$35</f>
        <v>2162.6722108542</v>
      </c>
      <c r="AE34" s="15" t="n">
        <f aca="false">AE18*Hypothèses!$D$35</f>
        <v>2391.04548874566</v>
      </c>
      <c r="AF34" s="15" t="n">
        <f aca="false">AF18*Hypothèses!$D$35</f>
        <v>2617.1350338582</v>
      </c>
      <c r="AG34" s="15" t="n">
        <f aca="false">AG18*Hypothèses!$D$35</f>
        <v>2840.96368351962</v>
      </c>
      <c r="AH34" s="15" t="n">
        <f aca="false">AH18*Hypothèses!$D$35</f>
        <v>3062.55404668442</v>
      </c>
      <c r="AI34" s="15" t="n">
        <f aca="false">AI18*Hypothèses!$D$35</f>
        <v>3281.92850621758</v>
      </c>
      <c r="AJ34" s="15" t="n">
        <f aca="false">AJ18*Hypothèses!$D$35</f>
        <v>3499.1092211554</v>
      </c>
      <c r="AK34" s="15" t="n">
        <f aca="false">AK18*Hypothèses!$D$35</f>
        <v>3714.11812894385</v>
      </c>
      <c r="AL34" s="15" t="n">
        <f aca="false">AL18*Hypothèses!$D$35</f>
        <v>3926.97694765441</v>
      </c>
      <c r="AN34" s="15" t="n">
        <f aca="false">SUM(C34:N34)</f>
        <v>311.550628364253</v>
      </c>
      <c r="AO34" s="15" t="n">
        <f aca="false">SUM(O34:Z34)</f>
        <v>8659.60807425311</v>
      </c>
      <c r="AP34" s="15" t="n">
        <f aca="false">SUM(AA34:AL34)</f>
        <v>32591.0954845253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26.5587843</v>
      </c>
      <c r="J35" s="15" t="n">
        <f aca="false">J18*Hypothèses!$D$36</f>
        <v>25.762020771</v>
      </c>
      <c r="K35" s="15" t="n">
        <f aca="false">K18*Hypothèses!$D$36</f>
        <v>24.98916014787</v>
      </c>
      <c r="L35" s="15" t="n">
        <f aca="false">L18*Hypothèses!$D$36</f>
        <v>84.7392685463913</v>
      </c>
      <c r="M35" s="15" t="n">
        <f aca="false">M18*Hypothèses!$D$36</f>
        <v>143.891875860927</v>
      </c>
      <c r="N35" s="15" t="n">
        <f aca="false">N18*Hypothèses!$D$36</f>
        <v>202.452957102318</v>
      </c>
      <c r="O35" s="15" t="n">
        <f aca="false">O18*Hypothèses!$D$36</f>
        <v>400.428427531295</v>
      </c>
      <c r="P35" s="15" t="n">
        <f aca="false">P18*Hypothèses!$D$36</f>
        <v>596.424143255982</v>
      </c>
      <c r="Q35" s="15" t="n">
        <f aca="false">Q18*Hypothèses!$D$36</f>
        <v>790.459901823422</v>
      </c>
      <c r="R35" s="15" t="n">
        <f aca="false">R18*Hypothèses!$D$36</f>
        <v>982.555302805188</v>
      </c>
      <c r="S35" s="15" t="n">
        <f aca="false">S18*Hypothèses!$D$36</f>
        <v>1172.72974977714</v>
      </c>
      <c r="T35" s="15" t="n">
        <f aca="false">T18*Hypothèses!$D$36</f>
        <v>1361.00245227937</v>
      </c>
      <c r="U35" s="15" t="n">
        <f aca="false">U18*Hypothèses!$D$36</f>
        <v>1547.39242775657</v>
      </c>
      <c r="V35" s="15" t="n">
        <f aca="false">V18*Hypothèses!$D$36</f>
        <v>1731.91850347901</v>
      </c>
      <c r="W35" s="15" t="n">
        <f aca="false">W18*Hypothèses!$D$36</f>
        <v>1914.59931844421</v>
      </c>
      <c r="X35" s="15" t="n">
        <f aca="false">X18*Hypothèses!$D$36</f>
        <v>2095.45332525977</v>
      </c>
      <c r="Y35" s="15" t="n">
        <f aca="false">Y18*Hypothèses!$D$36</f>
        <v>2274.49879200718</v>
      </c>
      <c r="Z35" s="15" t="n">
        <f aca="false">Z18*Hypothèses!$D$36</f>
        <v>2451.7538040871</v>
      </c>
      <c r="AA35" s="15" t="n">
        <f aca="false">AA18*Hypothèses!$D$36</f>
        <v>2927.23626604623</v>
      </c>
      <c r="AB35" s="15" t="n">
        <f aca="false">AB18*Hypothèses!$D$36</f>
        <v>3397.96390338577</v>
      </c>
      <c r="AC35" s="15" t="n">
        <f aca="false">AC18*Hypothèses!$D$36</f>
        <v>3863.98426435191</v>
      </c>
      <c r="AD35" s="15" t="n">
        <f aca="false">AD18*Hypothèses!$D$36</f>
        <v>4325.34442170839</v>
      </c>
      <c r="AE35" s="15" t="n">
        <f aca="false">AE18*Hypothèses!$D$36</f>
        <v>4782.09097749131</v>
      </c>
      <c r="AF35" s="15" t="n">
        <f aca="false">AF18*Hypothèses!$D$36</f>
        <v>5234.2700677164</v>
      </c>
      <c r="AG35" s="15" t="n">
        <f aca="false">AG18*Hypothèses!$D$36</f>
        <v>5681.92736703923</v>
      </c>
      <c r="AH35" s="15" t="n">
        <f aca="false">AH18*Hypothèses!$D$36</f>
        <v>6125.10809336884</v>
      </c>
      <c r="AI35" s="15" t="n">
        <f aca="false">AI18*Hypothèses!$D$36</f>
        <v>6563.85701243515</v>
      </c>
      <c r="AJ35" s="15" t="n">
        <f aca="false">AJ18*Hypothèses!$D$36</f>
        <v>6998.2184423108</v>
      </c>
      <c r="AK35" s="15" t="n">
        <f aca="false">AK18*Hypothèses!$D$36</f>
        <v>7428.23625788769</v>
      </c>
      <c r="AL35" s="15" t="n">
        <f aca="false">AL18*Hypothèses!$D$36</f>
        <v>7853.95389530881</v>
      </c>
      <c r="AN35" s="15" t="n">
        <f aca="false">SUM(C35:N35)</f>
        <v>623.101256728507</v>
      </c>
      <c r="AO35" s="15" t="n">
        <f aca="false">SUM(O35:Z35)</f>
        <v>17319.2161485062</v>
      </c>
      <c r="AP35" s="15" t="n">
        <f aca="false">SUM(AA35:AL35)</f>
        <v>65182.1909690506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138.807</v>
      </c>
      <c r="G36" s="40" t="n">
        <f aca="false">G33+G34+G35</f>
        <v>134.64279</v>
      </c>
      <c r="H36" s="40" t="n">
        <f aca="false">H33+H34+H35</f>
        <v>130.6035063</v>
      </c>
      <c r="I36" s="40" t="n">
        <f aca="false">I33+I34+I35</f>
        <v>126.685401111</v>
      </c>
      <c r="J36" s="40" t="n">
        <f aca="false">J33+J34+J35</f>
        <v>122.88483907767</v>
      </c>
      <c r="K36" s="40" t="n">
        <f aca="false">K33+K34+K35</f>
        <v>119.19829390534</v>
      </c>
      <c r="L36" s="40" t="n">
        <f aca="false">L33+L34+L35</f>
        <v>404.206310966286</v>
      </c>
      <c r="M36" s="40" t="n">
        <f aca="false">M33+M34+M35</f>
        <v>686.364247856624</v>
      </c>
      <c r="N36" s="40" t="n">
        <f aca="false">N33+N34+N35</f>
        <v>965.700605378057</v>
      </c>
      <c r="O36" s="40" t="n">
        <f aca="false">O33+O34+O35</f>
        <v>1910.04359932428</v>
      </c>
      <c r="P36" s="40" t="n">
        <f aca="false">P33+P34+P35</f>
        <v>2844.94316333103</v>
      </c>
      <c r="Q36" s="40" t="n">
        <f aca="false">Q33+Q34+Q35</f>
        <v>3770.49373169772</v>
      </c>
      <c r="R36" s="40" t="n">
        <f aca="false">R33+R34+R35</f>
        <v>4686.78879438075</v>
      </c>
      <c r="S36" s="40" t="n">
        <f aca="false">S33+S34+S35</f>
        <v>5593.92090643694</v>
      </c>
      <c r="T36" s="40" t="n">
        <f aca="false">T33+T34+T35</f>
        <v>6491.98169737257</v>
      </c>
      <c r="U36" s="40" t="n">
        <f aca="false">U33+U34+U35</f>
        <v>7381.06188039884</v>
      </c>
      <c r="V36" s="40" t="n">
        <f aca="false">V33+V34+V35</f>
        <v>8261.25126159485</v>
      </c>
      <c r="W36" s="40" t="n">
        <f aca="false">W33+W34+W35</f>
        <v>9132.6387489789</v>
      </c>
      <c r="X36" s="40" t="n">
        <f aca="false">X33+X34+X35</f>
        <v>9995.31236148911</v>
      </c>
      <c r="Y36" s="40" t="n">
        <f aca="false">Y33+Y34+Y35</f>
        <v>10849.3592378742</v>
      </c>
      <c r="Z36" s="40" t="n">
        <f aca="false">Z33+Z34+Z35</f>
        <v>11694.8656454955</v>
      </c>
      <c r="AA36" s="40" t="n">
        <f aca="false">AA33+AA34+AA35</f>
        <v>13962.9169890405</v>
      </c>
      <c r="AB36" s="40" t="n">
        <f aca="false">AB33+AB34+AB35</f>
        <v>16208.2878191501</v>
      </c>
      <c r="AC36" s="40" t="n">
        <f aca="false">AC33+AC34+AC35</f>
        <v>18431.2049409586</v>
      </c>
      <c r="AD36" s="40" t="n">
        <f aca="false">AD33+AD34+AD35</f>
        <v>20631.892891549</v>
      </c>
      <c r="AE36" s="40" t="n">
        <f aca="false">AE33+AE34+AE35</f>
        <v>22810.5739626336</v>
      </c>
      <c r="AF36" s="40" t="n">
        <f aca="false">AF33+AF34+AF35</f>
        <v>24967.4682230072</v>
      </c>
      <c r="AG36" s="40" t="n">
        <f aca="false">AG33+AG34+AG35</f>
        <v>27102.7935407771</v>
      </c>
      <c r="AH36" s="40" t="n">
        <f aca="false">AH33+AH34+AH35</f>
        <v>29216.7656053694</v>
      </c>
      <c r="AI36" s="40" t="n">
        <f aca="false">AI33+AI34+AI35</f>
        <v>31309.5979493157</v>
      </c>
      <c r="AJ36" s="40" t="n">
        <f aca="false">AJ33+AJ34+AJ35</f>
        <v>33381.5019698225</v>
      </c>
      <c r="AK36" s="40" t="n">
        <f aca="false">AK33+AK34+AK35</f>
        <v>35432.6869501243</v>
      </c>
      <c r="AL36" s="40" t="n">
        <f aca="false">AL33+AL34+AL35</f>
        <v>37463.360080623</v>
      </c>
      <c r="AN36" s="40" t="n">
        <f aca="false">SUM(C36:N36)</f>
        <v>2972.19299459498</v>
      </c>
      <c r="AO36" s="40" t="n">
        <f aca="false">SUM(O36:Z36)</f>
        <v>82612.6610283747</v>
      </c>
      <c r="AP36" s="40" t="n">
        <f aca="false">SUM(AA36:AL36)</f>
        <v>310919.050922371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440.29367</v>
      </c>
      <c r="G37" s="40" t="n">
        <f aca="false">G28-G36-G30-G29/(1+Hypothèses!$D$15)</f>
        <v>427.0848599</v>
      </c>
      <c r="H37" s="40" t="n">
        <f aca="false">H28-H36-H30-H29/(1+Hypothèses!$D$15)</f>
        <v>414.272314103</v>
      </c>
      <c r="I37" s="40" t="n">
        <f aca="false">I28-I36-I30-I29/(1+Hypothèses!$D$15)</f>
        <v>401.84414467991</v>
      </c>
      <c r="J37" s="40" t="n">
        <f aca="false">J28-J36-J30-J29/(1+Hypothèses!$D$15)</f>
        <v>389.788820339513</v>
      </c>
      <c r="K37" s="40" t="n">
        <f aca="false">K28-K36-K30-K29/(1+Hypothèses!$D$15)</f>
        <v>378.095155729327</v>
      </c>
      <c r="L37" s="40" t="n">
        <f aca="false">L28-L36-L30-L29/(1+Hypothèses!$D$15)</f>
        <v>1282.13620417203</v>
      </c>
      <c r="M37" s="40" t="n">
        <f aca="false">M28-M36-M30-M29/(1+Hypothèses!$D$15)</f>
        <v>2177.13684213031</v>
      </c>
      <c r="N37" s="40" t="n">
        <f aca="false">N28-N36-N30-N29/(1+Hypothèses!$D$15)</f>
        <v>3063.18747370901</v>
      </c>
      <c r="O37" s="40" t="n">
        <f aca="false">O28-O36-O30-O29/(1+Hypothèses!$D$15)</f>
        <v>6058.62893230526</v>
      </c>
      <c r="P37" s="40" t="n">
        <f aca="false">P28-P36-P30-P29/(1+Hypothèses!$D$15)</f>
        <v>9024.11597631554</v>
      </c>
      <c r="Q37" s="40" t="n">
        <f aca="false">Q28-Q36-Q30-Q29/(1+Hypothèses!$D$15)</f>
        <v>11959.9481498857</v>
      </c>
      <c r="R37" s="40" t="n">
        <f aca="false">R28-R36-R30-R29/(1+Hypothèses!$D$15)</f>
        <v>14866.4220017202</v>
      </c>
      <c r="S37" s="40" t="n">
        <f aca="false">S28-S36-S30-S29/(1+Hypothèses!$D$15)</f>
        <v>17743.8311150363</v>
      </c>
      <c r="T37" s="40" t="n">
        <f aca="false">T28-T36-T30-T29/(1+Hypothèses!$D$15)</f>
        <v>20592.4661372193</v>
      </c>
      <c r="U37" s="40" t="n">
        <f aca="false">U28-U36-U30-U29/(1+Hypothèses!$D$15)</f>
        <v>23412.6148091804</v>
      </c>
      <c r="V37" s="40" t="n">
        <f aca="false">V28-V36-V30-V29/(1+Hypothèses!$D$15)</f>
        <v>26204.561994422</v>
      </c>
      <c r="W37" s="40" t="n">
        <f aca="false">W28-W36-W30-W29/(1+Hypothèses!$D$15)</f>
        <v>28968.5897078111</v>
      </c>
      <c r="X37" s="40" t="n">
        <f aca="false">X28-X36-X30-X29/(1+Hypothèses!$D$15)</f>
        <v>31704.9771440663</v>
      </c>
      <c r="Y37" s="40" t="n">
        <f aca="false">Y28-Y36-Y30-Y29/(1+Hypothèses!$D$15)</f>
        <v>34414.000705959</v>
      </c>
      <c r="Z37" s="40" t="n">
        <f aca="false">Z28-Z36-Z30-Z29/(1+Hypothèses!$D$15)</f>
        <v>37095.9340322327</v>
      </c>
      <c r="AA37" s="40" t="n">
        <f aca="false">AA28-AA36-AA30-AA29/(1+Hypothèses!$D$15)</f>
        <v>44290.1580252437</v>
      </c>
      <c r="AB37" s="40" t="n">
        <f aca="false">AB28-AB36-AB30-AB29/(1+Hypothèses!$D$15)</f>
        <v>51412.4397783246</v>
      </c>
      <c r="AC37" s="40" t="n">
        <f aca="false">AC28-AC36-AC30-AC29/(1+Hypothèses!$D$15)</f>
        <v>58463.4987138747</v>
      </c>
      <c r="AD37" s="40" t="n">
        <f aca="false">AD28-AD36-AD30-AD29/(1+Hypothèses!$D$15)</f>
        <v>65444.0470600693</v>
      </c>
      <c r="AE37" s="40" t="n">
        <f aca="false">AE28-AE36-AE30-AE29/(1+Hypothèses!$D$15)</f>
        <v>72354.7899228019</v>
      </c>
      <c r="AF37" s="40" t="n">
        <f aca="false">AF28-AF36-AF30-AF29/(1+Hypothèses!$D$15)</f>
        <v>79196.4253569073</v>
      </c>
      <c r="AG37" s="40" t="n">
        <f aca="false">AG28-AG36-AG30-AG29/(1+Hypothèses!$D$15)</f>
        <v>85969.6444366715</v>
      </c>
      <c r="AH37" s="40" t="n">
        <f aca="false">AH28-AH36-AH30-AH29/(1+Hypothèses!$D$15)</f>
        <v>92675.1313256381</v>
      </c>
      <c r="AI37" s="40" t="n">
        <f aca="false">AI28-AI36-AI30-AI29/(1+Hypothèses!$D$15)</f>
        <v>99313.5633457151</v>
      </c>
      <c r="AJ37" s="40" t="n">
        <f aca="false">AJ28-AJ36-AJ30-AJ29/(1+Hypothèses!$D$15)</f>
        <v>105885.611045591</v>
      </c>
      <c r="AK37" s="40" t="n">
        <f aca="false">AK28-AK36-AK30-AK29/(1+Hypothèses!$D$15)</f>
        <v>112391.938268469</v>
      </c>
      <c r="AL37" s="40" t="n">
        <f aca="false">AL28-AL36-AL30-AL29/(1+Hypothèses!$D$15)</f>
        <v>118833.202219117</v>
      </c>
      <c r="AN37" s="40" t="n">
        <f aca="false">SUM(C37:N37)</f>
        <v>9427.75048476311</v>
      </c>
      <c r="AO37" s="40" t="n">
        <f aca="false">SUM(O37:Z37)</f>
        <v>262046.090706154</v>
      </c>
      <c r="AP37" s="40" t="n">
        <f aca="false">SUM(AA37:AL37)</f>
        <v>986230.449498423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0</v>
      </c>
      <c r="J39" s="15" t="n">
        <f aca="false">J11</f>
        <v>0</v>
      </c>
      <c r="K39" s="15" t="n">
        <f aca="false">K11</f>
        <v>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9000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8561.11111111111</v>
      </c>
      <c r="D43" s="15" t="n">
        <f aca="false">IF(D7&lt;$B$5,Hypothèses!$D$45/MAX(1,$B$5-1),0)</f>
        <v>8561.11111111111</v>
      </c>
      <c r="E43" s="15" t="n">
        <f aca="false">IF(E7&lt;$B$5,Hypothèses!$D$45/MAX(1,$B$5-1),0)</f>
        <v>8561.11111111111</v>
      </c>
      <c r="F43" s="15" t="n">
        <f aca="false">IF(F7&lt;$B$5,Hypothèses!$D$45/MAX(1,$B$5-1),0)</f>
        <v>8561.11111111111</v>
      </c>
      <c r="G43" s="15" t="n">
        <f aca="false">IF(G7&lt;$B$5,Hypothèses!$D$45/MAX(1,$B$5-1),0)</f>
        <v>8561.11111111111</v>
      </c>
      <c r="H43" s="15" t="n">
        <f aca="false">IF(H7&lt;$B$5,Hypothèses!$D$45/MAX(1,$B$5-1),0)</f>
        <v>8561.11111111111</v>
      </c>
      <c r="I43" s="15" t="n">
        <f aca="false">IF(I7&lt;$B$5,Hypothèses!$D$45/MAX(1,$B$5-1),0)</f>
        <v>8561.11111111111</v>
      </c>
      <c r="J43" s="15" t="n">
        <f aca="false">IF(J7&lt;$B$5,Hypothèses!$D$45/MAX(1,$B$5-1),0)</f>
        <v>8561.11111111111</v>
      </c>
      <c r="K43" s="15" t="n">
        <f aca="false">IF(K7&lt;$B$5,Hypothèses!$D$45/MAX(1,$B$5-1),0)</f>
        <v>8561.11111111111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0</v>
      </c>
      <c r="J46" s="15" t="n">
        <f aca="false">J9*Hypothèses!$D$48*$G$4</f>
        <v>0</v>
      </c>
      <c r="K46" s="15" t="n">
        <f aca="false">K9*Hypothèses!$D$48*$G$4</f>
        <v>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450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0</v>
      </c>
      <c r="J47" s="15" t="n">
        <f aca="false">J9*Hypothèses!$D$49*$G$4</f>
        <v>0</v>
      </c>
      <c r="K47" s="15" t="n">
        <f aca="false">K9*Hypothèses!$D$49*$G$4</f>
        <v>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3000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5000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5000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5000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10061.1111111111</v>
      </c>
      <c r="D51" s="40" t="n">
        <f aca="false">SUM(D40:D50)</f>
        <v>12561.1111111111</v>
      </c>
      <c r="E51" s="40" t="n">
        <f aca="false">SUM(E40:E50)</f>
        <v>10061.1111111111</v>
      </c>
      <c r="F51" s="40" t="n">
        <f aca="false">SUM(F40:F50)</f>
        <v>10061.1111111111</v>
      </c>
      <c r="G51" s="40" t="n">
        <f aca="false">SUM(G40:G50)</f>
        <v>10061.1111111111</v>
      </c>
      <c r="H51" s="40" t="n">
        <f aca="false">SUM(H40:H50)</f>
        <v>10061.1111111111</v>
      </c>
      <c r="I51" s="40" t="n">
        <f aca="false">SUM(I40:I50)</f>
        <v>10061.1111111111</v>
      </c>
      <c r="J51" s="40" t="n">
        <f aca="false">SUM(J40:J50)</f>
        <v>10061.1111111111</v>
      </c>
      <c r="K51" s="40" t="n">
        <f aca="false">SUM(K40:K50)</f>
        <v>10061.1111111111</v>
      </c>
      <c r="L51" s="40" t="n">
        <f aca="false">SUM(L40:L50)</f>
        <v>7650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23650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28650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23650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28650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106000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-10061.1111111111</v>
      </c>
      <c r="D52" s="40" t="n">
        <f aca="false">D37-D39-D51</f>
        <v>-12561.1111111111</v>
      </c>
      <c r="E52" s="40" t="n">
        <f aca="false">E37-E39-E51</f>
        <v>-9607.20011111111</v>
      </c>
      <c r="F52" s="40" t="n">
        <f aca="false">F37-F39-F51</f>
        <v>-9620.81744111111</v>
      </c>
      <c r="G52" s="40" t="n">
        <f aca="false">G37-G39-G51</f>
        <v>-9634.02625121111</v>
      </c>
      <c r="H52" s="40" t="n">
        <f aca="false">H37-H39-H51</f>
        <v>-9646.83879700811</v>
      </c>
      <c r="I52" s="40" t="n">
        <f aca="false">I37-I39-I51</f>
        <v>-9659.2669664312</v>
      </c>
      <c r="J52" s="40" t="n">
        <f aca="false">J37-J39-J51</f>
        <v>-9671.3222907716</v>
      </c>
      <c r="K52" s="40" t="n">
        <f aca="false">K37-K39-K51</f>
        <v>-9683.01595538179</v>
      </c>
      <c r="L52" s="40" t="n">
        <f aca="false">L37-L39-L51</f>
        <v>-9367.86379582797</v>
      </c>
      <c r="M52" s="40" t="n">
        <f aca="false">M37-M39-M51</f>
        <v>-3472.86315786969</v>
      </c>
      <c r="N52" s="40" t="n">
        <f aca="false">N37-N39-N51</f>
        <v>-2586.81252629099</v>
      </c>
      <c r="O52" s="40" t="n">
        <f aca="false">O37-O39-O51</f>
        <v>-21091.3710676947</v>
      </c>
      <c r="P52" s="40" t="n">
        <f aca="false">P37-P39-P51</f>
        <v>-18125.8840236845</v>
      </c>
      <c r="Q52" s="40" t="n">
        <f aca="false">Q37-Q39-Q51</f>
        <v>-15190.0518501143</v>
      </c>
      <c r="R52" s="40" t="n">
        <f aca="false">R37-R39-R51</f>
        <v>-12283.5779982798</v>
      </c>
      <c r="S52" s="40" t="n">
        <f aca="false">S37-S39-S51</f>
        <v>-9406.16888496367</v>
      </c>
      <c r="T52" s="40" t="n">
        <f aca="false">T37-T39-T51</f>
        <v>-6557.53386278071</v>
      </c>
      <c r="U52" s="40" t="n">
        <f aca="false">U37-U39-U51</f>
        <v>-10237.3851908196</v>
      </c>
      <c r="V52" s="40" t="n">
        <f aca="false">V37-V39-V51</f>
        <v>-7445.43800557805</v>
      </c>
      <c r="W52" s="40" t="n">
        <f aca="false">W37-W39-W51</f>
        <v>-4681.41029218894</v>
      </c>
      <c r="X52" s="40" t="n">
        <f aca="false">X37-X39-X51</f>
        <v>-6945.02285593372</v>
      </c>
      <c r="Y52" s="40" t="n">
        <f aca="false">Y37-Y39-Y51</f>
        <v>764.000705958955</v>
      </c>
      <c r="Z52" s="40" t="n">
        <f aca="false">Z37-Z39-Z51</f>
        <v>3445.9340322327</v>
      </c>
      <c r="AA52" s="40" t="n">
        <f aca="false">AA37-AA39-AA51</f>
        <v>-4359.8419747563</v>
      </c>
      <c r="AB52" s="40" t="n">
        <f aca="false">AB37-AB39-AB51</f>
        <v>2762.43977832461</v>
      </c>
      <c r="AC52" s="40" t="n">
        <f aca="false">AC37-AC39-AC51</f>
        <v>9813.4987138747</v>
      </c>
      <c r="AD52" s="40" t="n">
        <f aca="false">AD37-AD39-AD51</f>
        <v>16794.0470600693</v>
      </c>
      <c r="AE52" s="40" t="n">
        <f aca="false">AE37-AE39-AE51</f>
        <v>23704.7899228019</v>
      </c>
      <c r="AF52" s="40" t="n">
        <f aca="false">AF37-AF39-AF51</f>
        <v>30546.4253569073</v>
      </c>
      <c r="AG52" s="40" t="n">
        <f aca="false">AG37-AG39-AG51</f>
        <v>37319.6444366715</v>
      </c>
      <c r="AH52" s="40" t="n">
        <f aca="false">AH37-AH39-AH51</f>
        <v>44025.1313256381</v>
      </c>
      <c r="AI52" s="40" t="n">
        <f aca="false">AI37-AI39-AI51</f>
        <v>50663.5633457151</v>
      </c>
      <c r="AJ52" s="40" t="n">
        <f aca="false">AJ37-AJ39-AJ51</f>
        <v>52235.6110455912</v>
      </c>
      <c r="AK52" s="40" t="n">
        <f aca="false">AK37-AK39-AK51</f>
        <v>63741.9382684687</v>
      </c>
      <c r="AL52" s="40" t="n">
        <f aca="false">AL37-AL39-AL51</f>
        <v>70183.2022191173</v>
      </c>
      <c r="AN52" s="40" t="n">
        <f aca="false">SUM(C52:N52)</f>
        <v>-105572.249515237</v>
      </c>
      <c r="AO52" s="40" t="n">
        <f aca="false">SUM(O52:Z52)</f>
        <v>-107753.909293846</v>
      </c>
      <c r="AP52" s="40" t="n">
        <f aca="false">SUM(AA52:AL52)</f>
        <v>397430.449498423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1</v>
      </c>
      <c r="Z53" s="13" t="n">
        <f aca="false">IF(Z52&gt;0,1,0)</f>
        <v>1</v>
      </c>
      <c r="AA53" s="13" t="n">
        <f aca="false">IF(AA52&gt;0,1,0)</f>
        <v>0</v>
      </c>
      <c r="AB53" s="13" t="n">
        <f aca="false">IF(AB52&gt;0,1,0)</f>
        <v>1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119.633333333333</v>
      </c>
      <c r="H55" s="15" t="n">
        <f aca="false">G27</f>
        <v>116.044333333333</v>
      </c>
      <c r="I55" s="15" t="n">
        <f aca="false">H27</f>
        <v>112.563003333333</v>
      </c>
      <c r="J55" s="15" t="n">
        <f aca="false">I27</f>
        <v>109.186113233333</v>
      </c>
      <c r="K55" s="15" t="n">
        <f aca="false">J27</f>
        <v>105.910529836333</v>
      </c>
      <c r="L55" s="15" t="n">
        <f aca="false">K27</f>
        <v>102.733213941243</v>
      </c>
      <c r="M55" s="15" t="n">
        <f aca="false">L27</f>
        <v>348.372548468498</v>
      </c>
      <c r="N55" s="15" t="n">
        <f aca="false">M27</f>
        <v>591.555489650479</v>
      </c>
      <c r="O55" s="15" t="n">
        <f aca="false">N27</f>
        <v>832.306601420641</v>
      </c>
      <c r="P55" s="15" t="n">
        <f aca="false">O27</f>
        <v>1646.20575762866</v>
      </c>
      <c r="Q55" s="15" t="n">
        <f aca="false">P27</f>
        <v>2451.96592227459</v>
      </c>
      <c r="R55" s="15" t="n">
        <f aca="false">Q27</f>
        <v>3249.66848527407</v>
      </c>
      <c r="S55" s="15" t="n">
        <f aca="false">R27</f>
        <v>4039.39402264355</v>
      </c>
      <c r="T55" s="15" t="n">
        <f aca="false">S27</f>
        <v>4821.22230463934</v>
      </c>
      <c r="U55" s="15" t="n">
        <f aca="false">T27</f>
        <v>5595.23230381517</v>
      </c>
      <c r="V55" s="15" t="n">
        <f aca="false">U27</f>
        <v>6361.50220299924</v>
      </c>
      <c r="W55" s="15" t="n">
        <f aca="false">V27</f>
        <v>7120.10940319147</v>
      </c>
      <c r="X55" s="15" t="n">
        <f aca="false">W27</f>
        <v>7871.13053138177</v>
      </c>
      <c r="Y55" s="15" t="n">
        <f aca="false">X27</f>
        <v>8614.64144829018</v>
      </c>
      <c r="Z55" s="15" t="n">
        <f aca="false">Y27</f>
        <v>9350.7172560295</v>
      </c>
      <c r="AA55" s="15" t="n">
        <f aca="false">Z27</f>
        <v>10079.4323056914</v>
      </c>
      <c r="AB55" s="15" t="n">
        <f aca="false">AA27</f>
        <v>12034.1935381901</v>
      </c>
      <c r="AC55" s="15" t="n">
        <f aca="false">AB27</f>
        <v>13969.4071583637</v>
      </c>
      <c r="AD55" s="15" t="n">
        <f aca="false">AC27</f>
        <v>15885.2686423356</v>
      </c>
      <c r="AE55" s="15" t="n">
        <f aca="false">AD27</f>
        <v>17781.9715114678</v>
      </c>
      <c r="AF55" s="15" t="n">
        <f aca="false">AE27</f>
        <v>19659.7073519087</v>
      </c>
      <c r="AG55" s="15" t="n">
        <f aca="false">AF27</f>
        <v>21518.6658339452</v>
      </c>
      <c r="AH55" s="15" t="n">
        <f aca="false">AG27</f>
        <v>23359.0347311613</v>
      </c>
      <c r="AI55" s="15" t="n">
        <f aca="false">AH27</f>
        <v>25180.9999394052</v>
      </c>
      <c r="AJ55" s="15" t="n">
        <f aca="false">AI27</f>
        <v>26984.7454955667</v>
      </c>
      <c r="AK55" s="15" t="n">
        <f aca="false">AJ27</f>
        <v>28770.4535961666</v>
      </c>
      <c r="AL55" s="15" t="n">
        <f aca="false">AK27</f>
        <v>30538.3046157605</v>
      </c>
      <c r="AN55" s="15" t="n">
        <f aca="false">SUM(C55:N55)</f>
        <v>1729.33189846322</v>
      </c>
      <c r="AO55" s="15" t="n">
        <f aca="false">SUM(O55:Z55)</f>
        <v>61954.0962395882</v>
      </c>
      <c r="AP55" s="15" t="n">
        <f aca="false">SUM(AA55:AL55)</f>
        <v>245762.184719963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2012.22222222222</v>
      </c>
      <c r="E56" s="15" t="n">
        <f aca="false">(D36+D39+D43+D44+D45+D47+D48+D49+D50)*Hypothèses!$D$15</f>
        <v>2512.22222222222</v>
      </c>
      <c r="F56" s="15" t="n">
        <f aca="false">(E36+E39+E43+E44+E45+E47+E48+E49+E50)*Hypothèses!$D$15</f>
        <v>2040.84222222222</v>
      </c>
      <c r="G56" s="15" t="n">
        <f aca="false">(F36+F39+F43+F44+F45+F47+F48+F49+F50)*Hypothèses!$D$15</f>
        <v>2039.98362222222</v>
      </c>
      <c r="H56" s="15" t="n">
        <f aca="false">(G36+G39+G43+G44+G45+G47+G48+G49+G50)*Hypothèses!$D$15</f>
        <v>2039.15078022222</v>
      </c>
      <c r="I56" s="15" t="n">
        <f aca="false">(H36+H39+H43+H44+H45+H47+H48+H49+H50)*Hypothèses!$D$15</f>
        <v>2038.34292348222</v>
      </c>
      <c r="J56" s="15" t="n">
        <f aca="false">(I36+I39+I43+I44+I45+I47+I48+I49+I50)*Hypothèses!$D$15</f>
        <v>2037.55930244442</v>
      </c>
      <c r="K56" s="15" t="n">
        <f aca="false">(J36+J39+J43+J44+J45+J47+J48+J49+J50)*Hypothèses!$D$15</f>
        <v>2036.79919003776</v>
      </c>
      <c r="L56" s="15" t="n">
        <f aca="false">(K36+K39+K43+K44+K45+K47+K48+K49+K50)*Hypothèses!$D$15</f>
        <v>2036.06188100329</v>
      </c>
      <c r="M56" s="15" t="n">
        <f aca="false">(L36+L39+L43+L44+L45+L47+L48+L49+L50)*Hypothèses!$D$15</f>
        <v>2180.84126219326</v>
      </c>
      <c r="N56" s="15" t="n">
        <f aca="false">(M36+M39+M43+M44+M45+M47+M48+M49+M50)*Hypothèses!$D$15</f>
        <v>1237.27284957132</v>
      </c>
      <c r="O56" s="15" t="n">
        <f aca="false">(N36+N39+N43+N44+N45+N47+N48+N49+N50)*Hypothèses!$D$15</f>
        <v>1293.14012107561</v>
      </c>
      <c r="P56" s="15" t="n">
        <f aca="false">(O36+O39+O43+O44+O45+O47+O48+O49+O50)*Hypothèses!$D$15</f>
        <v>2882.00871986486</v>
      </c>
      <c r="Q56" s="15" t="n">
        <f aca="false">(P36+P39+P43+P44+P45+P47+P48+P49+P50)*Hypothèses!$D$15</f>
        <v>3068.98863266621</v>
      </c>
      <c r="R56" s="15" t="n">
        <f aca="false">(Q36+Q39+Q43+Q44+Q45+Q47+Q48+Q49+Q50)*Hypothèses!$D$15</f>
        <v>3254.09874633955</v>
      </c>
      <c r="S56" s="15" t="n">
        <f aca="false">(R36+R39+R43+R44+R45+R47+R48+R49+R50)*Hypothèses!$D$15</f>
        <v>3437.35775887615</v>
      </c>
      <c r="T56" s="15" t="n">
        <f aca="false">(S36+S39+S43+S44+S45+S47+S48+S49+S50)*Hypothèses!$D$15</f>
        <v>3618.78418128739</v>
      </c>
      <c r="U56" s="15" t="n">
        <f aca="false">(T36+T39+T43+T44+T45+T47+T48+T49+T50)*Hypothèses!$D$15</f>
        <v>3798.39633947451</v>
      </c>
      <c r="V56" s="15" t="n">
        <f aca="false">(U36+U39+U43+U44+U45+U47+U48+U49+U50)*Hypothèses!$D$15</f>
        <v>3976.21237607977</v>
      </c>
      <c r="W56" s="15" t="n">
        <f aca="false">(V36+V39+V43+V44+V45+V47+V48+V49+V50)*Hypothèses!$D$15</f>
        <v>4152.25025231897</v>
      </c>
      <c r="X56" s="15" t="n">
        <f aca="false">(W36+W39+W43+W44+W45+W47+W48+W49+W50)*Hypothèses!$D$15</f>
        <v>4326.52774979578</v>
      </c>
      <c r="Y56" s="15" t="n">
        <f aca="false">(X36+X39+X43+X44+X45+X47+X48+X49+X50)*Hypothèses!$D$15</f>
        <v>5499.06247229782</v>
      </c>
      <c r="Z56" s="15" t="n">
        <f aca="false">(Y36+Y39+Y43+Y44+Y45+Y47+Y48+Y49+Y50)*Hypothèses!$D$15</f>
        <v>4669.87184757485</v>
      </c>
      <c r="AA56" s="15" t="n">
        <f aca="false">(Z36+Z39+Z43+Z44+Z45+Z47+Z48+Z49+Z50)*Hypothèses!$D$15</f>
        <v>4838.9731290991</v>
      </c>
      <c r="AB56" s="15" t="n">
        <f aca="false">(AA36+AA39+AA43+AA44+AA45+AA47+AA48+AA49+AA50)*Hypothèses!$D$15</f>
        <v>8292.58339780811</v>
      </c>
      <c r="AC56" s="15" t="n">
        <f aca="false">(AB36+AB39+AB43+AB44+AB45+AB47+AB48+AB49+AB50)*Hypothèses!$D$15</f>
        <v>8741.65756383003</v>
      </c>
      <c r="AD56" s="15" t="n">
        <f aca="false">(AC36+AC39+AC43+AC44+AC45+AC47+AC48+AC49+AC50)*Hypothèses!$D$15</f>
        <v>9186.24098819173</v>
      </c>
      <c r="AE56" s="15" t="n">
        <f aca="false">(AD36+AD39+AD43+AD44+AD45+AD47+AD48+AD49+AD50)*Hypothèses!$D$15</f>
        <v>9626.37857830981</v>
      </c>
      <c r="AF56" s="15" t="n">
        <f aca="false">(AE36+AE39+AE43+AE44+AE45+AE47+AE48+AE49+AE50)*Hypothèses!$D$15</f>
        <v>10062.1147925267</v>
      </c>
      <c r="AG56" s="15" t="n">
        <f aca="false">(AF36+AF39+AF43+AF44+AF45+AF47+AF48+AF49+AF50)*Hypothèses!$D$15</f>
        <v>10493.4936446014</v>
      </c>
      <c r="AH56" s="15" t="n">
        <f aca="false">(AG36+AG39+AG43+AG44+AG45+AG47+AG48+AG49+AG50)*Hypothèses!$D$15</f>
        <v>10920.5587081554</v>
      </c>
      <c r="AI56" s="15" t="n">
        <f aca="false">(AH36+AH39+AH43+AH44+AH45+AH47+AH48+AH49+AH50)*Hypothèses!$D$15</f>
        <v>11343.3531210739</v>
      </c>
      <c r="AJ56" s="15" t="n">
        <f aca="false">(AI36+AI39+AI43+AI44+AI45+AI47+AI48+AI49+AI50)*Hypothèses!$D$15</f>
        <v>11761.9195898631</v>
      </c>
      <c r="AK56" s="15" t="n">
        <f aca="false">(AJ36+AJ39+AJ43+AJ44+AJ45+AJ47+AJ48+AJ49+AJ50)*Hypothèses!$D$15</f>
        <v>13176.3003939645</v>
      </c>
      <c r="AL56" s="15" t="n">
        <f aca="false">(AK36+AK39+AK43+AK44+AK45+AK47+AK48+AK49+AK50)*Hypothèses!$D$15</f>
        <v>12586.5373900249</v>
      </c>
      <c r="AN56" s="15" t="n">
        <f aca="false">SUM(C56:N56)</f>
        <v>22211.2984778434</v>
      </c>
      <c r="AO56" s="15" t="n">
        <f aca="false">SUM(O56:Z56)</f>
        <v>43976.6991976515</v>
      </c>
      <c r="AP56" s="15" t="n">
        <f aca="false">SUM(AA56:AL56)</f>
        <v>121030.111297449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-10061.1111111111</v>
      </c>
      <c r="E58" s="15" t="n">
        <f aca="false">D60</f>
        <v>-20610</v>
      </c>
      <c r="F58" s="15" t="n">
        <f aca="false">E60</f>
        <v>-27582.8778888889</v>
      </c>
      <c r="G58" s="15" t="n">
        <f aca="false">F60</f>
        <v>-35167.7494411111</v>
      </c>
      <c r="H58" s="15" t="n">
        <f aca="false">G60</f>
        <v>-42766.5415134333</v>
      </c>
      <c r="I58" s="15" t="n">
        <f aca="false">H60</f>
        <v>-50378.8364902526</v>
      </c>
      <c r="J58" s="15" t="n">
        <f aca="false">I60</f>
        <v>-58004.2292844339</v>
      </c>
      <c r="K58" s="15" t="n">
        <f aca="false">J60</f>
        <v>-65642.3269614564</v>
      </c>
      <c r="L58" s="15" t="n">
        <f aca="false">K60</f>
        <v>-73292.7483748349</v>
      </c>
      <c r="M58" s="15" t="n">
        <f aca="false">L60</f>
        <v>-80382.394680617</v>
      </c>
      <c r="N58" s="15" t="n">
        <f aca="false">M60</f>
        <v>-81437.149190008</v>
      </c>
      <c r="O58" s="15" t="n">
        <f aca="false">N60</f>
        <v>-82554.2608209717</v>
      </c>
      <c r="P58" s="15" t="n">
        <f aca="false">O60</f>
        <v>-101555.054668959</v>
      </c>
      <c r="Q58" s="15" t="n">
        <f aca="false">P60</f>
        <v>-116017.689467356</v>
      </c>
      <c r="R58" s="15" t="n">
        <f aca="false">Q60</f>
        <v>-127373.546806657</v>
      </c>
      <c r="S58" s="15" t="n">
        <f aca="false">R60</f>
        <v>-135653.694461454</v>
      </c>
      <c r="T58" s="15" t="n">
        <f aca="false">S60</f>
        <v>-140888.889528592</v>
      </c>
      <c r="U58" s="15" t="n">
        <f aca="false">T60</f>
        <v>-143109.581533948</v>
      </c>
      <c r="V58" s="15" t="n">
        <f aca="false">U60</f>
        <v>-148845.915508139</v>
      </c>
      <c r="W58" s="15" t="n">
        <f aca="false">V60</f>
        <v>-151627.735031477</v>
      </c>
      <c r="X58" s="15" t="n">
        <f aca="false">W60</f>
        <v>-151484.58524847</v>
      </c>
      <c r="Y58" s="15" t="n">
        <f aca="false">X60</f>
        <v>-153445.715852183</v>
      </c>
      <c r="Z58" s="15" t="n">
        <f aca="false">Y60</f>
        <v>-146540.084038747</v>
      </c>
      <c r="AA58" s="15" t="n">
        <f aca="false">Z60</f>
        <v>-137796.357432334</v>
      </c>
      <c r="AB58" s="15" t="n">
        <f aca="false">AA60</f>
        <v>-135482.806980875</v>
      </c>
      <c r="AC58" s="15" t="n">
        <f aca="false">AB60</f>
        <v>-122632.264256152</v>
      </c>
      <c r="AD58" s="15" t="n">
        <f aca="false">AC60</f>
        <v>-102320.099180899</v>
      </c>
      <c r="AE58" s="15" t="n">
        <f aca="false">AD60</f>
        <v>-74620.9279786202</v>
      </c>
      <c r="AF58" s="15" t="n">
        <f aca="false">AE60</f>
        <v>-39608.6207105867</v>
      </c>
      <c r="AG58" s="15" t="n">
        <f aca="false">AF60</f>
        <v>2643.69126254432</v>
      </c>
      <c r="AH58" s="15" t="n">
        <f aca="false">AG60</f>
        <v>52063.6078937218</v>
      </c>
      <c r="AI58" s="15" t="n">
        <f aca="false">AH60</f>
        <v>108579.453136365</v>
      </c>
      <c r="AJ58" s="15" t="n">
        <f aca="false">AI60</f>
        <v>172120.26770436</v>
      </c>
      <c r="AK58" s="15" t="n">
        <f aca="false">AJ60</f>
        <v>237615.801904453</v>
      </c>
      <c r="AL58" s="15" t="n">
        <f aca="false">AK60</f>
        <v>315996.508540322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-10061.1111111111</v>
      </c>
      <c r="D59" s="15" t="n">
        <f aca="false">D31-D36-D39-D51-D55+D56+D57</f>
        <v>-10548.8888888889</v>
      </c>
      <c r="E59" s="15" t="n">
        <f aca="false">E31-E36-E39-E51-E55+E56+E57</f>
        <v>-6972.87788888889</v>
      </c>
      <c r="F59" s="15" t="n">
        <f aca="false">F31-F36-F39-F51-F55+F56+F57</f>
        <v>-7584.87155222222</v>
      </c>
      <c r="G59" s="15" t="n">
        <f aca="false">G31-G36-G39-G51-G55+G56+G57</f>
        <v>-7598.79207232222</v>
      </c>
      <c r="H59" s="15" t="n">
        <f aca="false">H31-H36-H39-H51-H55+H56+H57</f>
        <v>-7612.29497681922</v>
      </c>
      <c r="I59" s="15" t="n">
        <f aca="false">I31-I36-I39-I51-I55+I56+I57</f>
        <v>-7625.39279418131</v>
      </c>
      <c r="J59" s="15" t="n">
        <f aca="false">J31-J36-J39-J51-J55+J56+J57</f>
        <v>-7638.09767702254</v>
      </c>
      <c r="K59" s="15" t="n">
        <f aca="false">K31-K36-K39-K51-K55+K56+K57</f>
        <v>-7650.42141337853</v>
      </c>
      <c r="L59" s="15" t="n">
        <f aca="false">L31-L36-L39-L51-L55+L56+L57</f>
        <v>-7089.64630578211</v>
      </c>
      <c r="M59" s="15" t="n">
        <f aca="false">M31-M36-M39-M51-M55+M56+M57</f>
        <v>-1054.75450939095</v>
      </c>
      <c r="N59" s="15" t="n">
        <f aca="false">N31-N36-N39-N51-N55+N56+N57</f>
        <v>-1117.11163096371</v>
      </c>
      <c r="O59" s="15" t="n">
        <f aca="false">O31-O36-O39-O51-O55+O56+O57</f>
        <v>-19000.7938479874</v>
      </c>
      <c r="P59" s="15" t="n">
        <f aca="false">P31-P36-P39-P51-P55+P56+P57</f>
        <v>-14462.6347983964</v>
      </c>
      <c r="Q59" s="15" t="n">
        <f aca="false">Q31-Q36-Q39-Q51-Q55+Q56+Q57</f>
        <v>-11355.8573393013</v>
      </c>
      <c r="R59" s="15" t="n">
        <f aca="false">R31-R36-R39-R51-R55+R56+R57</f>
        <v>-8280.14765479721</v>
      </c>
      <c r="S59" s="15" t="n">
        <f aca="false">S31-S36-S39-S51-S55+S56+S57</f>
        <v>-5235.19506713813</v>
      </c>
      <c r="T59" s="15" t="n">
        <f aca="false">T31-T36-T39-T51-T55+T56+T57</f>
        <v>-2220.69200535564</v>
      </c>
      <c r="U59" s="15" t="n">
        <f aca="false">U31-U36-U39-U51-U55+U56+U57</f>
        <v>-5736.33397419098</v>
      </c>
      <c r="V59" s="15" t="n">
        <f aca="false">V31-V36-V39-V51-V55+V56+V57</f>
        <v>-2781.81952333796</v>
      </c>
      <c r="W59" s="15" t="n">
        <f aca="false">W31-W36-W39-W51-W55+W56+W57</f>
        <v>143.149783006525</v>
      </c>
      <c r="X59" s="15" t="n">
        <f aca="false">X31-X36-X39-X51-X55+X56+X57</f>
        <v>-1961.13060371244</v>
      </c>
      <c r="Y59" s="15" t="n">
        <f aca="false">Y31-Y36-Y39-Y51-Y55+Y56+Y57</f>
        <v>6905.63181343581</v>
      </c>
      <c r="Z59" s="15" t="n">
        <f aca="false">Z31-Z36-Z39-Z51-Z55+Z56+Z57</f>
        <v>8743.72660641256</v>
      </c>
      <c r="AA59" s="15" t="n">
        <f aca="false">AA31-AA36-AA39-AA51-AA55+AA56+AA57</f>
        <v>2313.55045145954</v>
      </c>
      <c r="AB59" s="15" t="n">
        <f aca="false">AB31-AB36-AB39-AB51-AB55+AB56+AB57</f>
        <v>12850.5427247227</v>
      </c>
      <c r="AC59" s="15" t="n">
        <f aca="false">AC31-AC36-AC39-AC51-AC55+AC56+AC57</f>
        <v>20312.1650752533</v>
      </c>
      <c r="AD59" s="15" t="n">
        <f aca="false">AD31-AD36-AD39-AD51-AD55+AD56+AD57</f>
        <v>27699.1712022786</v>
      </c>
      <c r="AE59" s="15" t="n">
        <f aca="false">AE31-AE36-AE39-AE51-AE55+AE56+AE57</f>
        <v>35012.3072680335</v>
      </c>
      <c r="AF59" s="15" t="n">
        <f aca="false">AF31-AF36-AF39-AF51-AF55+AF56+AF57</f>
        <v>42252.311973131</v>
      </c>
      <c r="AG59" s="15" t="n">
        <f aca="false">AG31-AG36-AG39-AG51-AG55+AG56+AG57</f>
        <v>49419.9166311774</v>
      </c>
      <c r="AH59" s="15" t="n">
        <f aca="false">AH31-AH36-AH39-AH51-AH55+AH56+AH57</f>
        <v>56515.8452426434</v>
      </c>
      <c r="AI59" s="15" t="n">
        <f aca="false">AI31-AI36-AI39-AI51-AI55+AI56+AI57</f>
        <v>63540.8145679948</v>
      </c>
      <c r="AJ59" s="15" t="n">
        <f aca="false">AJ31-AJ36-AJ39-AJ51-AJ55+AJ56+AJ57</f>
        <v>65495.5342000926</v>
      </c>
      <c r="AK59" s="15" t="n">
        <f aca="false">AK31-AK36-AK39-AK51-AK55+AK56+AK57</f>
        <v>78380.7066358695</v>
      </c>
      <c r="AL59" s="15" t="n">
        <f aca="false">AL31-AL36-AL39-AL51-AL55+AL56+AL57</f>
        <v>84197.0273472885</v>
      </c>
      <c r="AN59" s="15" t="n">
        <f aca="false">SUM(C59:N59)</f>
        <v>-82554.2608209717</v>
      </c>
      <c r="AO59" s="15" t="n">
        <f aca="false">SUM(O59:Z59)</f>
        <v>-55242.0966113627</v>
      </c>
      <c r="AP59" s="15" t="n">
        <f aca="false">SUM(AA59:AL59)</f>
        <v>537989.893319945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-10061.1111111111</v>
      </c>
      <c r="D60" s="40" t="n">
        <f aca="false">D58+D59</f>
        <v>-20610</v>
      </c>
      <c r="E60" s="40" t="n">
        <f aca="false">E58+E59</f>
        <v>-27582.8778888889</v>
      </c>
      <c r="F60" s="40" t="n">
        <f aca="false">F58+F59</f>
        <v>-35167.7494411111</v>
      </c>
      <c r="G60" s="40" t="n">
        <f aca="false">G58+G59</f>
        <v>-42766.5415134333</v>
      </c>
      <c r="H60" s="40" t="n">
        <f aca="false">H58+H59</f>
        <v>-50378.8364902526</v>
      </c>
      <c r="I60" s="40" t="n">
        <f aca="false">I58+I59</f>
        <v>-58004.2292844339</v>
      </c>
      <c r="J60" s="40" t="n">
        <f aca="false">J58+J59</f>
        <v>-65642.3269614564</v>
      </c>
      <c r="K60" s="40" t="n">
        <f aca="false">K58+K59</f>
        <v>-73292.7483748349</v>
      </c>
      <c r="L60" s="40" t="n">
        <f aca="false">L58+L59</f>
        <v>-80382.394680617</v>
      </c>
      <c r="M60" s="40" t="n">
        <f aca="false">M58+M59</f>
        <v>-81437.149190008</v>
      </c>
      <c r="N60" s="40" t="n">
        <f aca="false">N58+N59</f>
        <v>-82554.2608209717</v>
      </c>
      <c r="O60" s="40" t="n">
        <f aca="false">O58+O59</f>
        <v>-101555.054668959</v>
      </c>
      <c r="P60" s="40" t="n">
        <f aca="false">P58+P59</f>
        <v>-116017.689467356</v>
      </c>
      <c r="Q60" s="40" t="n">
        <f aca="false">Q58+Q59</f>
        <v>-127373.546806657</v>
      </c>
      <c r="R60" s="40" t="n">
        <f aca="false">R58+R59</f>
        <v>-135653.694461454</v>
      </c>
      <c r="S60" s="40" t="n">
        <f aca="false">S58+S59</f>
        <v>-140888.889528592</v>
      </c>
      <c r="T60" s="40" t="n">
        <f aca="false">T58+T59</f>
        <v>-143109.581533948</v>
      </c>
      <c r="U60" s="40" t="n">
        <f aca="false">U58+U59</f>
        <v>-148845.915508139</v>
      </c>
      <c r="V60" s="40" t="n">
        <f aca="false">V58+V59</f>
        <v>-151627.735031477</v>
      </c>
      <c r="W60" s="40" t="n">
        <f aca="false">W58+W59</f>
        <v>-151484.58524847</v>
      </c>
      <c r="X60" s="40" t="n">
        <f aca="false">X58+X59</f>
        <v>-153445.715852183</v>
      </c>
      <c r="Y60" s="40" t="n">
        <f aca="false">Y58+Y59</f>
        <v>-146540.084038747</v>
      </c>
      <c r="Z60" s="40" t="n">
        <f aca="false">Z58+Z59</f>
        <v>-137796.357432334</v>
      </c>
      <c r="AA60" s="40" t="n">
        <f aca="false">AA58+AA59</f>
        <v>-135482.806980875</v>
      </c>
      <c r="AB60" s="40" t="n">
        <f aca="false">AB58+AB59</f>
        <v>-122632.264256152</v>
      </c>
      <c r="AC60" s="40" t="n">
        <f aca="false">AC58+AC59</f>
        <v>-102320.099180899</v>
      </c>
      <c r="AD60" s="40" t="n">
        <f aca="false">AD58+AD59</f>
        <v>-74620.9279786202</v>
      </c>
      <c r="AE60" s="40" t="n">
        <f aca="false">AE58+AE59</f>
        <v>-39608.6207105867</v>
      </c>
      <c r="AF60" s="40" t="n">
        <f aca="false">AF58+AF59</f>
        <v>2643.69126254432</v>
      </c>
      <c r="AG60" s="40" t="n">
        <f aca="false">AG58+AG59</f>
        <v>52063.6078937218</v>
      </c>
      <c r="AH60" s="40" t="n">
        <f aca="false">AH58+AH59</f>
        <v>108579.453136365</v>
      </c>
      <c r="AI60" s="40" t="n">
        <f aca="false">AI58+AI59</f>
        <v>172120.26770436</v>
      </c>
      <c r="AJ60" s="40" t="n">
        <f aca="false">AJ58+AJ59</f>
        <v>237615.801904453</v>
      </c>
      <c r="AK60" s="40" t="n">
        <f aca="false">AK58+AK59</f>
        <v>315996.508540322</v>
      </c>
      <c r="AL60" s="40" t="n">
        <f aca="false">AL58+AL59</f>
        <v>400193.535887611</v>
      </c>
      <c r="AN60" s="40" t="n">
        <f aca="false">N60</f>
        <v>-82554.2608209717</v>
      </c>
      <c r="AO60" s="40" t="n">
        <f aca="false">Z60</f>
        <v>-137796.357432334</v>
      </c>
      <c r="AP60" s="40" t="n">
        <f aca="false">AL60</f>
        <v>400193.535887611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-10061.1111111111</v>
      </c>
      <c r="D62" s="40" t="n">
        <f aca="false">D60-D61</f>
        <v>-20610</v>
      </c>
      <c r="E62" s="40" t="n">
        <f aca="false">E60-E61</f>
        <v>-27582.8778888889</v>
      </c>
      <c r="F62" s="40" t="n">
        <f aca="false">F60-F61</f>
        <v>-35167.7494411111</v>
      </c>
      <c r="G62" s="40" t="n">
        <f aca="false">G60-G61</f>
        <v>-42766.5415134333</v>
      </c>
      <c r="H62" s="40" t="n">
        <f aca="false">H60-H61</f>
        <v>-50378.8364902526</v>
      </c>
      <c r="I62" s="40" t="n">
        <f aca="false">I60-I61</f>
        <v>-58004.2292844339</v>
      </c>
      <c r="J62" s="40" t="n">
        <f aca="false">J60-J61</f>
        <v>-65642.3269614564</v>
      </c>
      <c r="K62" s="40" t="n">
        <f aca="false">K60-K61</f>
        <v>-73292.7483748349</v>
      </c>
      <c r="L62" s="40" t="n">
        <f aca="false">L60-L61</f>
        <v>-80382.394680617</v>
      </c>
      <c r="M62" s="40" t="n">
        <f aca="false">M60-M61</f>
        <v>-81437.149190008</v>
      </c>
      <c r="N62" s="40" t="n">
        <f aca="false">N60-N61</f>
        <v>-82554.2608209717</v>
      </c>
      <c r="O62" s="40" t="n">
        <f aca="false">O60-O61</f>
        <v>-101555.054668959</v>
      </c>
      <c r="P62" s="40" t="n">
        <f aca="false">P60-P61</f>
        <v>-116017.689467356</v>
      </c>
      <c r="Q62" s="40" t="n">
        <f aca="false">Q60-Q61</f>
        <v>-127373.546806657</v>
      </c>
      <c r="R62" s="40" t="n">
        <f aca="false">R60-R61</f>
        <v>-135653.694461454</v>
      </c>
      <c r="S62" s="40" t="n">
        <f aca="false">S60-S61</f>
        <v>-140888.889528592</v>
      </c>
      <c r="T62" s="40" t="n">
        <f aca="false">T60-T61</f>
        <v>-143109.581533948</v>
      </c>
      <c r="U62" s="40" t="n">
        <f aca="false">U60-U61</f>
        <v>-148845.915508139</v>
      </c>
      <c r="V62" s="40" t="n">
        <f aca="false">V60-V61</f>
        <v>-151627.735031477</v>
      </c>
      <c r="W62" s="40" t="n">
        <f aca="false">W60-W61</f>
        <v>-151484.58524847</v>
      </c>
      <c r="X62" s="40" t="n">
        <f aca="false">X60-X61</f>
        <v>-153445.715852183</v>
      </c>
      <c r="Y62" s="40" t="n">
        <f aca="false">Y60-Y61</f>
        <v>-146540.084038747</v>
      </c>
      <c r="Z62" s="40" t="n">
        <f aca="false">Z60-Z61</f>
        <v>-137796.357432334</v>
      </c>
      <c r="AA62" s="40" t="n">
        <f aca="false">AA60-AA61</f>
        <v>-135482.806980875</v>
      </c>
      <c r="AB62" s="40" t="n">
        <f aca="false">AB60-AB61</f>
        <v>-122632.264256152</v>
      </c>
      <c r="AC62" s="40" t="n">
        <f aca="false">AC60-AC61</f>
        <v>-102320.099180899</v>
      </c>
      <c r="AD62" s="40" t="n">
        <f aca="false">AD60-AD61</f>
        <v>-74620.9279786202</v>
      </c>
      <c r="AE62" s="40" t="n">
        <f aca="false">AE60-AE61</f>
        <v>-39608.6207105867</v>
      </c>
      <c r="AF62" s="40" t="n">
        <f aca="false">AF60-AF61</f>
        <v>2643.69126254432</v>
      </c>
      <c r="AG62" s="40" t="n">
        <f aca="false">AG60-AG61</f>
        <v>52063.6078937218</v>
      </c>
      <c r="AH62" s="40" t="n">
        <f aca="false">AH60-AH61</f>
        <v>108579.453136365</v>
      </c>
      <c r="AI62" s="40" t="n">
        <f aca="false">AI60-AI61</f>
        <v>172120.26770436</v>
      </c>
      <c r="AJ62" s="40" t="n">
        <f aca="false">AJ60-AJ61</f>
        <v>237615.801904453</v>
      </c>
      <c r="AK62" s="40" t="n">
        <f aca="false">AK60-AK61</f>
        <v>315996.508540322</v>
      </c>
      <c r="AL62" s="40" t="n">
        <f aca="false">AL60-AL61</f>
        <v>400193.535887611</v>
      </c>
      <c r="AN62" s="40" t="n">
        <f aca="false">N62</f>
        <v>-82554.2608209717</v>
      </c>
      <c r="AO62" s="40" t="n">
        <f aca="false">Z62</f>
        <v>-137796.357432334</v>
      </c>
      <c r="AP62" s="40" t="n">
        <f aca="false">AL62</f>
        <v>400193.535887611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-10061.1111111111</v>
      </c>
      <c r="D63" s="15" t="n">
        <f aca="false">MIN(C63,D62)</f>
        <v>-20610</v>
      </c>
      <c r="E63" s="15" t="n">
        <f aca="false">MIN(D63,E62)</f>
        <v>-27582.8778888889</v>
      </c>
      <c r="F63" s="15" t="n">
        <f aca="false">MIN(E63,F62)</f>
        <v>-35167.7494411111</v>
      </c>
      <c r="G63" s="15" t="n">
        <f aca="false">MIN(F63,G62)</f>
        <v>-42766.5415134333</v>
      </c>
      <c r="H63" s="15" t="n">
        <f aca="false">MIN(G63,H62)</f>
        <v>-50378.8364902526</v>
      </c>
      <c r="I63" s="15" t="n">
        <f aca="false">MIN(H63,I62)</f>
        <v>-58004.2292844339</v>
      </c>
      <c r="J63" s="15" t="n">
        <f aca="false">MIN(I63,J62)</f>
        <v>-65642.3269614564</v>
      </c>
      <c r="K63" s="15" t="n">
        <f aca="false">MIN(J63,K62)</f>
        <v>-73292.7483748349</v>
      </c>
      <c r="L63" s="15" t="n">
        <f aca="false">MIN(K63,L62)</f>
        <v>-80382.394680617</v>
      </c>
      <c r="M63" s="15" t="n">
        <f aca="false">MIN(L63,M62)</f>
        <v>-81437.149190008</v>
      </c>
      <c r="N63" s="15" t="n">
        <f aca="false">MIN(M63,N62)</f>
        <v>-82554.2608209717</v>
      </c>
      <c r="O63" s="15" t="n">
        <f aca="false">MIN(N63,O62)</f>
        <v>-101555.054668959</v>
      </c>
      <c r="P63" s="15" t="n">
        <f aca="false">MIN(O63,P62)</f>
        <v>-116017.689467356</v>
      </c>
      <c r="Q63" s="15" t="n">
        <f aca="false">MIN(P63,Q62)</f>
        <v>-127373.546806657</v>
      </c>
      <c r="R63" s="15" t="n">
        <f aca="false">MIN(Q63,R62)</f>
        <v>-135653.694461454</v>
      </c>
      <c r="S63" s="15" t="n">
        <f aca="false">MIN(R63,S62)</f>
        <v>-140888.889528592</v>
      </c>
      <c r="T63" s="15" t="n">
        <f aca="false">MIN(S63,T62)</f>
        <v>-143109.581533948</v>
      </c>
      <c r="U63" s="15" t="n">
        <f aca="false">MIN(T63,U62)</f>
        <v>-148845.915508139</v>
      </c>
      <c r="V63" s="15" t="n">
        <f aca="false">MIN(U63,V62)</f>
        <v>-151627.735031477</v>
      </c>
      <c r="W63" s="15" t="n">
        <f aca="false">MIN(V63,W62)</f>
        <v>-151627.735031477</v>
      </c>
      <c r="X63" s="15" t="n">
        <f aca="false">MIN(W63,X62)</f>
        <v>-153445.715852183</v>
      </c>
      <c r="Y63" s="15" t="n">
        <f aca="false">MIN(X63,Y62)</f>
        <v>-153445.715852183</v>
      </c>
      <c r="Z63" s="15" t="n">
        <f aca="false">MIN(Y63,Z62)</f>
        <v>-153445.715852183</v>
      </c>
      <c r="AA63" s="15" t="n">
        <f aca="false">MIN(Z63,AA62)</f>
        <v>-153445.715852183</v>
      </c>
      <c r="AB63" s="15" t="n">
        <f aca="false">MIN(AA63,AB62)</f>
        <v>-153445.715852183</v>
      </c>
      <c r="AC63" s="15" t="n">
        <f aca="false">MIN(AB63,AC62)</f>
        <v>-153445.715852183</v>
      </c>
      <c r="AD63" s="15" t="n">
        <f aca="false">MIN(AC63,AD62)</f>
        <v>-153445.715852183</v>
      </c>
      <c r="AE63" s="15" t="n">
        <f aca="false">MIN(AD63,AE62)</f>
        <v>-153445.715852183</v>
      </c>
      <c r="AF63" s="15" t="n">
        <f aca="false">MIN(AE63,AF62)</f>
        <v>-153445.715852183</v>
      </c>
      <c r="AG63" s="15" t="n">
        <f aca="false">MIN(AF63,AG62)</f>
        <v>-153445.715852183</v>
      </c>
      <c r="AH63" s="15" t="n">
        <f aca="false">MIN(AG63,AH62)</f>
        <v>-153445.715852183</v>
      </c>
      <c r="AI63" s="15" t="n">
        <f aca="false">MIN(AH63,AI62)</f>
        <v>-153445.715852183</v>
      </c>
      <c r="AJ63" s="15" t="n">
        <f aca="false">MIN(AI63,AJ62)</f>
        <v>-153445.715852183</v>
      </c>
      <c r="AK63" s="15" t="n">
        <f aca="false">MIN(AJ63,AK62)</f>
        <v>-153445.715852183</v>
      </c>
      <c r="AL63" s="15" t="n">
        <f aca="false">MIN(AK63,AL62)</f>
        <v>-153445.715852183</v>
      </c>
      <c r="AN63" s="15" t="n">
        <f aca="false">N63</f>
        <v>-82554.2608209717</v>
      </c>
      <c r="AO63" s="15" t="n">
        <f aca="false">Z63</f>
        <v>-153445.715852183</v>
      </c>
      <c r="AP63" s="15" t="n">
        <f aca="false">AL63</f>
        <v>-153445.715852183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1</v>
      </c>
      <c r="AG64" s="13" t="n">
        <f aca="false">IF(AND(AG9=1,AG62&gt;0),1,0)</f>
        <v>1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7178</v>
      </c>
      <c r="G66" s="15" t="n">
        <f aca="false">G28*12</f>
        <v>6962.66</v>
      </c>
      <c r="H66" s="15" t="n">
        <f aca="false">H28*12</f>
        <v>6753.7802</v>
      </c>
      <c r="I66" s="15" t="n">
        <f aca="false">I28*12</f>
        <v>6551.166794</v>
      </c>
      <c r="J66" s="15" t="n">
        <f aca="false">J28*12</f>
        <v>6354.63179018</v>
      </c>
      <c r="K66" s="15" t="n">
        <f aca="false">K28*12</f>
        <v>6163.9928364746</v>
      </c>
      <c r="L66" s="15" t="n">
        <f aca="false">L28*12</f>
        <v>20902.3529081099</v>
      </c>
      <c r="M66" s="15" t="n">
        <f aca="false">M28*12</f>
        <v>35493.3293790288</v>
      </c>
      <c r="N66" s="15" t="n">
        <f aca="false">N28*12</f>
        <v>49938.3960852385</v>
      </c>
      <c r="O66" s="15" t="n">
        <f aca="false">O28*12</f>
        <v>98772.3454577194</v>
      </c>
      <c r="P66" s="15" t="n">
        <f aca="false">P28*12</f>
        <v>147117.955336476</v>
      </c>
      <c r="Q66" s="15" t="n">
        <f aca="false">Q28*12</f>
        <v>194980.109116444</v>
      </c>
      <c r="R66" s="15" t="n">
        <f aca="false">R28*12</f>
        <v>242363.641358613</v>
      </c>
      <c r="S66" s="15" t="n">
        <f aca="false">S28*12</f>
        <v>289273.33827836</v>
      </c>
      <c r="T66" s="15" t="n">
        <f aca="false">T28*12</f>
        <v>335713.93822891</v>
      </c>
      <c r="U66" s="15" t="n">
        <f aca="false">U28*12</f>
        <v>381690.132179954</v>
      </c>
      <c r="V66" s="15" t="n">
        <f aca="false">V28*12</f>
        <v>427206.564191488</v>
      </c>
      <c r="W66" s="15" t="n">
        <f aca="false">W28*12</f>
        <v>472267.831882906</v>
      </c>
      <c r="X66" s="15" t="n">
        <f aca="false">X28*12</f>
        <v>516878.486897411</v>
      </c>
      <c r="Y66" s="15" t="n">
        <f aca="false">Y28*12</f>
        <v>561043.03536177</v>
      </c>
      <c r="Z66" s="15" t="n">
        <f aca="false">Z28*12</f>
        <v>604765.938341485</v>
      </c>
      <c r="AA66" s="15" t="n">
        <f aca="false">AA28*12</f>
        <v>722051.612291404</v>
      </c>
      <c r="AB66" s="15" t="n">
        <f aca="false">AB28*12</f>
        <v>838164.429501823</v>
      </c>
      <c r="AC66" s="15" t="n">
        <f aca="false">AC28*12</f>
        <v>953116.118540139</v>
      </c>
      <c r="AD66" s="15" t="n">
        <f aca="false">AD28*12</f>
        <v>1066918.29068807</v>
      </c>
      <c r="AE66" s="15" t="n">
        <f aca="false">AE28*12</f>
        <v>1179582.44111452</v>
      </c>
      <c r="AF66" s="15" t="n">
        <f aca="false">AF28*12</f>
        <v>1291119.95003671</v>
      </c>
      <c r="AG66" s="15" t="n">
        <f aca="false">AG28*12</f>
        <v>1401542.08386968</v>
      </c>
      <c r="AH66" s="15" t="n">
        <f aca="false">AH28*12</f>
        <v>1510859.99636431</v>
      </c>
      <c r="AI66" s="15" t="n">
        <f aca="false">AI28*12</f>
        <v>1619084.729734</v>
      </c>
      <c r="AJ66" s="15" t="n">
        <f aca="false">AJ28*12</f>
        <v>1726227.21577</v>
      </c>
      <c r="AK66" s="15" t="n">
        <f aca="false">AK28*12</f>
        <v>1832298.27694563</v>
      </c>
      <c r="AL66" s="15" t="n">
        <f aca="false">AL28*12</f>
        <v>1937308.62750951</v>
      </c>
      <c r="AN66" s="15" t="n">
        <f aca="false">N66</f>
        <v>49938.3960852385</v>
      </c>
      <c r="AO66" s="15" t="n">
        <f aca="false">Z66</f>
        <v>604765.938341485</v>
      </c>
      <c r="AP66" s="15" t="n">
        <f aca="false">AL66</f>
        <v>1937308.62750951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0</v>
      </c>
      <c r="J71" s="15" t="n">
        <f aca="false">IF(J14&gt;0,J39/J14,0)</f>
        <v>0</v>
      </c>
      <c r="K71" s="15" t="n">
        <f aca="false">IF(K14&gt;0,K39/K14,0)</f>
        <v>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3.3046125782367</v>
      </c>
      <c r="F72" s="38" t="n">
        <f aca="false">IF(F69&gt;0,Hypothèses!$D$23*$E$4/F69,0)</f>
        <v>3.3046125782367</v>
      </c>
      <c r="G72" s="38" t="n">
        <f aca="false">IF(G69&gt;0,Hypothèses!$D$23*$E$4/G69,0)</f>
        <v>3.3046125782367</v>
      </c>
      <c r="H72" s="38" t="n">
        <f aca="false">IF(H69&gt;0,Hypothèses!$D$23*$E$4/H69,0)</f>
        <v>3.3046125782367</v>
      </c>
      <c r="I72" s="38" t="n">
        <f aca="false">IF(I69&gt;0,Hypothèses!$D$23*$E$4/I69,0)</f>
        <v>3.3046125782367</v>
      </c>
      <c r="J72" s="38" t="n">
        <f aca="false">IF(J69&gt;0,Hypothèses!$D$23*$E$4/J69,0)</f>
        <v>3.3046125782367</v>
      </c>
      <c r="K72" s="38" t="n">
        <f aca="false">IF(K69&gt;0,Hypothèses!$D$23*$E$4/K69,0)</f>
        <v>3.3046125782367</v>
      </c>
      <c r="L72" s="38" t="n">
        <f aca="false">IF(L69&gt;0,Hypothèses!$D$23*$E$4/L69,0)</f>
        <v>3.3046125782367</v>
      </c>
      <c r="M72" s="38" t="n">
        <f aca="false">IF(M69&gt;0,Hypothèses!$D$23*$E$4/M69,0)</f>
        <v>3.3046125782367</v>
      </c>
      <c r="N72" s="38" t="n">
        <f aca="false">IF(N69&gt;0,Hypothèses!$D$23*$E$4/N69,0)</f>
        <v>3.3046125782367</v>
      </c>
      <c r="O72" s="38" t="n">
        <f aca="false">IF(O69&gt;0,Hypothèses!$D$23*$E$4/O69,0)</f>
        <v>3.3046125782367</v>
      </c>
      <c r="P72" s="38" t="n">
        <f aca="false">IF(P69&gt;0,Hypothèses!$D$23*$E$4/P69,0)</f>
        <v>3.3046125782367</v>
      </c>
      <c r="Q72" s="38" t="n">
        <f aca="false">IF(Q69&gt;0,Hypothèses!$D$23*$E$4/Q69,0)</f>
        <v>3.3046125782367</v>
      </c>
      <c r="R72" s="38" t="n">
        <f aca="false">IF(R69&gt;0,Hypothèses!$D$23*$E$4/R69,0)</f>
        <v>3.3046125782367</v>
      </c>
      <c r="S72" s="38" t="n">
        <f aca="false">IF(S69&gt;0,Hypothèses!$D$23*$E$4/S69,0)</f>
        <v>3.3046125782367</v>
      </c>
      <c r="T72" s="38" t="n">
        <f aca="false">IF(T69&gt;0,Hypothèses!$D$23*$E$4/T69,0)</f>
        <v>3.3046125782367</v>
      </c>
      <c r="U72" s="38" t="n">
        <f aca="false">IF(U69&gt;0,Hypothèses!$D$23*$E$4/U69,0)</f>
        <v>3.3046125782367</v>
      </c>
      <c r="V72" s="38" t="n">
        <f aca="false">IF(V69&gt;0,Hypothèses!$D$23*$E$4/V69,0)</f>
        <v>3.3046125782367</v>
      </c>
      <c r="W72" s="38" t="n">
        <f aca="false">IF(W69&gt;0,Hypothèses!$D$23*$E$4/W69,0)</f>
        <v>3.3046125782367</v>
      </c>
      <c r="X72" s="38" t="n">
        <f aca="false">IF(X69&gt;0,Hypothèses!$D$23*$E$4/X69,0)</f>
        <v>3.3046125782367</v>
      </c>
      <c r="Y72" s="38" t="n">
        <f aca="false">IF(Y69&gt;0,Hypothèses!$D$23*$E$4/Y69,0)</f>
        <v>3.3046125782367</v>
      </c>
      <c r="Z72" s="38" t="n">
        <f aca="false">IF(Z69&gt;0,Hypothèses!$D$23*$E$4/Z69,0)</f>
        <v>3.3046125782367</v>
      </c>
      <c r="AA72" s="38" t="n">
        <f aca="false">IF(AA69&gt;0,Hypothèses!$D$23*$E$4/AA69,0)</f>
        <v>3.3046125782367</v>
      </c>
      <c r="AB72" s="38" t="n">
        <f aca="false">IF(AB69&gt;0,Hypothèses!$D$23*$E$4/AB69,0)</f>
        <v>3.3046125782367</v>
      </c>
      <c r="AC72" s="38" t="n">
        <f aca="false">IF(AC69&gt;0,Hypothèses!$D$23*$E$4/AC69,0)</f>
        <v>3.3046125782367</v>
      </c>
      <c r="AD72" s="38" t="n">
        <f aca="false">IF(AD69&gt;0,Hypothèses!$D$23*$E$4/AD69,0)</f>
        <v>3.3046125782367</v>
      </c>
      <c r="AE72" s="38" t="n">
        <f aca="false">IF(AE69&gt;0,Hypothèses!$D$23*$E$4/AE69,0)</f>
        <v>3.3046125782367</v>
      </c>
      <c r="AF72" s="38" t="n">
        <f aca="false">IF(AF69&gt;0,Hypothèses!$D$23*$E$4/AF69,0)</f>
        <v>3.3046125782367</v>
      </c>
      <c r="AG72" s="38" t="n">
        <f aca="false">IF(AG69&gt;0,Hypothèses!$D$23*$E$4/AG69,0)</f>
        <v>3.3046125782367</v>
      </c>
      <c r="AH72" s="38" t="n">
        <f aca="false">IF(AH69&gt;0,Hypothèses!$D$23*$E$4/AH69,0)</f>
        <v>3.30461257823671</v>
      </c>
      <c r="AI72" s="38" t="n">
        <f aca="false">IF(AI69&gt;0,Hypothèses!$D$23*$E$4/AI69,0)</f>
        <v>3.3046125782367</v>
      </c>
      <c r="AJ72" s="38" t="n">
        <f aca="false">IF(AJ69&gt;0,Hypothèses!$D$23*$E$4/AJ69,0)</f>
        <v>3.3046125782367</v>
      </c>
      <c r="AK72" s="38" t="n">
        <f aca="false">IF(AK69&gt;0,Hypothèses!$D$23*$E$4/AK69,0)</f>
        <v>3.3046125782367</v>
      </c>
      <c r="AL72" s="38" t="n">
        <f aca="false">IF(AL69&gt;0,Hypothèses!$D$23*$E$4/AL69,0)</f>
        <v>3.3046125782367</v>
      </c>
      <c r="AN72" s="38" t="n">
        <f aca="false">N72</f>
        <v>3.3046125782367</v>
      </c>
      <c r="AO72" s="38" t="n">
        <f aca="false">Z72</f>
        <v>3.3046125782367</v>
      </c>
      <c r="AP72" s="38" t="n">
        <f aca="false">AL72</f>
        <v>3.3046125782367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1513.03666666667</v>
      </c>
      <c r="F73" s="15" t="n">
        <f aca="false">IF(Hypothèses!$D$26*$D$4&gt;0,F69/(Hypothèses!$D$26*$D$4),0)</f>
        <v>1513.03666666667</v>
      </c>
      <c r="G73" s="15" t="n">
        <f aca="false">IF(Hypothèses!$D$26*$D$4&gt;0,G69/(Hypothèses!$D$26*$D$4),0)</f>
        <v>1513.03666666667</v>
      </c>
      <c r="H73" s="15" t="n">
        <f aca="false">IF(Hypothèses!$D$26*$D$4&gt;0,H69/(Hypothèses!$D$26*$D$4),0)</f>
        <v>1513.03666666667</v>
      </c>
      <c r="I73" s="15" t="n">
        <f aca="false">IF(Hypothèses!$D$26*$D$4&gt;0,I69/(Hypothèses!$D$26*$D$4),0)</f>
        <v>1513.03666666667</v>
      </c>
      <c r="J73" s="15" t="n">
        <f aca="false">IF(Hypothèses!$D$26*$D$4&gt;0,J69/(Hypothèses!$D$26*$D$4),0)</f>
        <v>1513.03666666667</v>
      </c>
      <c r="K73" s="15" t="n">
        <f aca="false">IF(Hypothèses!$D$26*$D$4&gt;0,K69/(Hypothèses!$D$26*$D$4),0)</f>
        <v>1513.03666666667</v>
      </c>
      <c r="L73" s="15" t="n">
        <f aca="false">IF(Hypothèses!$D$26*$D$4&gt;0,L69/(Hypothèses!$D$26*$D$4),0)</f>
        <v>1513.03666666667</v>
      </c>
      <c r="M73" s="15" t="n">
        <f aca="false">IF(Hypothèses!$D$26*$D$4&gt;0,M69/(Hypothèses!$D$26*$D$4),0)</f>
        <v>1513.03666666667</v>
      </c>
      <c r="N73" s="15" t="n">
        <f aca="false">IF(Hypothèses!$D$26*$D$4&gt;0,N69/(Hypothèses!$D$26*$D$4),0)</f>
        <v>1513.03666666667</v>
      </c>
      <c r="O73" s="15" t="n">
        <f aca="false">IF(Hypothèses!$D$26*$D$4&gt;0,O69/(Hypothèses!$D$26*$D$4),0)</f>
        <v>1513.03666666667</v>
      </c>
      <c r="P73" s="15" t="n">
        <f aca="false">IF(Hypothèses!$D$26*$D$4&gt;0,P69/(Hypothèses!$D$26*$D$4),0)</f>
        <v>1513.03666666667</v>
      </c>
      <c r="Q73" s="15" t="n">
        <f aca="false">IF(Hypothèses!$D$26*$D$4&gt;0,Q69/(Hypothèses!$D$26*$D$4),0)</f>
        <v>1513.03666666667</v>
      </c>
      <c r="R73" s="15" t="n">
        <f aca="false">IF(Hypothèses!$D$26*$D$4&gt;0,R69/(Hypothèses!$D$26*$D$4),0)</f>
        <v>1513.03666666667</v>
      </c>
      <c r="S73" s="15" t="n">
        <f aca="false">IF(Hypothèses!$D$26*$D$4&gt;0,S69/(Hypothèses!$D$26*$D$4),0)</f>
        <v>1513.03666666667</v>
      </c>
      <c r="T73" s="15" t="n">
        <f aca="false">IF(Hypothèses!$D$26*$D$4&gt;0,T69/(Hypothèses!$D$26*$D$4),0)</f>
        <v>1513.03666666667</v>
      </c>
      <c r="U73" s="15" t="n">
        <f aca="false">IF(Hypothèses!$D$26*$D$4&gt;0,U69/(Hypothèses!$D$26*$D$4),0)</f>
        <v>1513.03666666667</v>
      </c>
      <c r="V73" s="15" t="n">
        <f aca="false">IF(Hypothèses!$D$26*$D$4&gt;0,V69/(Hypothèses!$D$26*$D$4),0)</f>
        <v>1513.03666666667</v>
      </c>
      <c r="W73" s="15" t="n">
        <f aca="false">IF(Hypothèses!$D$26*$D$4&gt;0,W69/(Hypothèses!$D$26*$D$4),0)</f>
        <v>1513.03666666667</v>
      </c>
      <c r="X73" s="15" t="n">
        <f aca="false">IF(Hypothèses!$D$26*$D$4&gt;0,X69/(Hypothèses!$D$26*$D$4),0)</f>
        <v>1513.03666666667</v>
      </c>
      <c r="Y73" s="15" t="n">
        <f aca="false">IF(Hypothèses!$D$26*$D$4&gt;0,Y69/(Hypothèses!$D$26*$D$4),0)</f>
        <v>1513.03666666667</v>
      </c>
      <c r="Z73" s="15" t="n">
        <f aca="false">IF(Hypothèses!$D$26*$D$4&gt;0,Z69/(Hypothèses!$D$26*$D$4),0)</f>
        <v>1513.03666666667</v>
      </c>
      <c r="AA73" s="15" t="n">
        <f aca="false">IF(Hypothèses!$D$26*$D$4&gt;0,AA69/(Hypothèses!$D$26*$D$4),0)</f>
        <v>1513.03666666667</v>
      </c>
      <c r="AB73" s="15" t="n">
        <f aca="false">IF(Hypothèses!$D$26*$D$4&gt;0,AB69/(Hypothèses!$D$26*$D$4),0)</f>
        <v>1513.03666666667</v>
      </c>
      <c r="AC73" s="15" t="n">
        <f aca="false">IF(Hypothèses!$D$26*$D$4&gt;0,AC69/(Hypothèses!$D$26*$D$4),0)</f>
        <v>1513.03666666667</v>
      </c>
      <c r="AD73" s="15" t="n">
        <f aca="false">IF(Hypothèses!$D$26*$D$4&gt;0,AD69/(Hypothèses!$D$26*$D$4),0)</f>
        <v>1513.03666666667</v>
      </c>
      <c r="AE73" s="15" t="n">
        <f aca="false">IF(Hypothèses!$D$26*$D$4&gt;0,AE69/(Hypothèses!$D$26*$D$4),0)</f>
        <v>1513.03666666667</v>
      </c>
      <c r="AF73" s="15" t="n">
        <f aca="false">IF(Hypothèses!$D$26*$D$4&gt;0,AF69/(Hypothèses!$D$26*$D$4),0)</f>
        <v>1513.03666666667</v>
      </c>
      <c r="AG73" s="15" t="n">
        <f aca="false">IF(Hypothèses!$D$26*$D$4&gt;0,AG69/(Hypothèses!$D$26*$D$4),0)</f>
        <v>1513.03666666667</v>
      </c>
      <c r="AH73" s="15" t="n">
        <f aca="false">IF(Hypothèses!$D$26*$D$4&gt;0,AH69/(Hypothèses!$D$26*$D$4),0)</f>
        <v>1513.03666666667</v>
      </c>
      <c r="AI73" s="15" t="n">
        <f aca="false">IF(Hypothèses!$D$26*$D$4&gt;0,AI69/(Hypothèses!$D$26*$D$4),0)</f>
        <v>1513.03666666667</v>
      </c>
      <c r="AJ73" s="15" t="n">
        <f aca="false">IF(Hypothèses!$D$26*$D$4&gt;0,AJ69/(Hypothèses!$D$26*$D$4),0)</f>
        <v>1513.03666666667</v>
      </c>
      <c r="AK73" s="15" t="n">
        <f aca="false">IF(Hypothèses!$D$26*$D$4&gt;0,AK69/(Hypothèses!$D$26*$D$4),0)</f>
        <v>1513.03666666667</v>
      </c>
      <c r="AL73" s="15" t="n">
        <f aca="false">IF(Hypothèses!$D$26*$D$4&gt;0,AL69/(Hypothèses!$D$26*$D$4),0)</f>
        <v>1513.03666666667</v>
      </c>
      <c r="AN73" s="15" t="n">
        <f aca="false">N73</f>
        <v>1513.03666666667</v>
      </c>
      <c r="AO73" s="15" t="n">
        <f aca="false">Z73</f>
        <v>1513.03666666667</v>
      </c>
      <c r="AP73" s="15" t="n">
        <f aca="false">AL73</f>
        <v>1513.03666666667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10.0869111111111</v>
      </c>
      <c r="F74" s="41" t="n">
        <f aca="false">IF(Hypothèses!$D$23*$E$4&gt;0,F73/(Hypothèses!$D$23*$E$4),0)</f>
        <v>10.0869111111111</v>
      </c>
      <c r="G74" s="41" t="n">
        <f aca="false">IF(Hypothèses!$D$23*$E$4&gt;0,G73/(Hypothèses!$D$23*$E$4),0)</f>
        <v>10.0869111111111</v>
      </c>
      <c r="H74" s="41" t="n">
        <f aca="false">IF(Hypothèses!$D$23*$E$4&gt;0,H73/(Hypothèses!$D$23*$E$4),0)</f>
        <v>10.0869111111111</v>
      </c>
      <c r="I74" s="41" t="n">
        <f aca="false">IF(Hypothèses!$D$23*$E$4&gt;0,I73/(Hypothèses!$D$23*$E$4),0)</f>
        <v>10.0869111111111</v>
      </c>
      <c r="J74" s="41" t="n">
        <f aca="false">IF(Hypothèses!$D$23*$E$4&gt;0,J73/(Hypothèses!$D$23*$E$4),0)</f>
        <v>10.0869111111111</v>
      </c>
      <c r="K74" s="41" t="n">
        <f aca="false">IF(Hypothèses!$D$23*$E$4&gt;0,K73/(Hypothèses!$D$23*$E$4),0)</f>
        <v>10.0869111111111</v>
      </c>
      <c r="L74" s="41" t="n">
        <f aca="false">IF(Hypothèses!$D$23*$E$4&gt;0,L73/(Hypothèses!$D$23*$E$4),0)</f>
        <v>10.0869111111111</v>
      </c>
      <c r="M74" s="41" t="n">
        <f aca="false">IF(Hypothèses!$D$23*$E$4&gt;0,M73/(Hypothèses!$D$23*$E$4),0)</f>
        <v>10.0869111111111</v>
      </c>
      <c r="N74" s="41" t="n">
        <f aca="false">IF(Hypothèses!$D$23*$E$4&gt;0,N73/(Hypothèses!$D$23*$E$4),0)</f>
        <v>10.0869111111111</v>
      </c>
      <c r="O74" s="41" t="n">
        <f aca="false">IF(Hypothèses!$D$23*$E$4&gt;0,O73/(Hypothèses!$D$23*$E$4),0)</f>
        <v>10.0869111111111</v>
      </c>
      <c r="P74" s="41" t="n">
        <f aca="false">IF(Hypothèses!$D$23*$E$4&gt;0,P73/(Hypothèses!$D$23*$E$4),0)</f>
        <v>10.0869111111111</v>
      </c>
      <c r="Q74" s="41" t="n">
        <f aca="false">IF(Hypothèses!$D$23*$E$4&gt;0,Q73/(Hypothèses!$D$23*$E$4),0)</f>
        <v>10.0869111111111</v>
      </c>
      <c r="R74" s="41" t="n">
        <f aca="false">IF(Hypothèses!$D$23*$E$4&gt;0,R73/(Hypothèses!$D$23*$E$4),0)</f>
        <v>10.0869111111111</v>
      </c>
      <c r="S74" s="41" t="n">
        <f aca="false">IF(Hypothèses!$D$23*$E$4&gt;0,S73/(Hypothèses!$D$23*$E$4),0)</f>
        <v>10.0869111111111</v>
      </c>
      <c r="T74" s="41" t="n">
        <f aca="false">IF(Hypothèses!$D$23*$E$4&gt;0,T73/(Hypothèses!$D$23*$E$4),0)</f>
        <v>10.0869111111111</v>
      </c>
      <c r="U74" s="41" t="n">
        <f aca="false">IF(Hypothèses!$D$23*$E$4&gt;0,U73/(Hypothèses!$D$23*$E$4),0)</f>
        <v>10.0869111111111</v>
      </c>
      <c r="V74" s="41" t="n">
        <f aca="false">IF(Hypothèses!$D$23*$E$4&gt;0,V73/(Hypothèses!$D$23*$E$4),0)</f>
        <v>10.0869111111111</v>
      </c>
      <c r="W74" s="41" t="n">
        <f aca="false">IF(Hypothèses!$D$23*$E$4&gt;0,W73/(Hypothèses!$D$23*$E$4),0)</f>
        <v>10.0869111111111</v>
      </c>
      <c r="X74" s="41" t="n">
        <f aca="false">IF(Hypothèses!$D$23*$E$4&gt;0,X73/(Hypothèses!$D$23*$E$4),0)</f>
        <v>10.0869111111111</v>
      </c>
      <c r="Y74" s="41" t="n">
        <f aca="false">IF(Hypothèses!$D$23*$E$4&gt;0,Y73/(Hypothèses!$D$23*$E$4),0)</f>
        <v>10.0869111111111</v>
      </c>
      <c r="Z74" s="41" t="n">
        <f aca="false">IF(Hypothèses!$D$23*$E$4&gt;0,Z73/(Hypothèses!$D$23*$E$4),0)</f>
        <v>10.0869111111111</v>
      </c>
      <c r="AA74" s="41" t="n">
        <f aca="false">IF(Hypothèses!$D$23*$E$4&gt;0,AA73/(Hypothèses!$D$23*$E$4),0)</f>
        <v>10.0869111111111</v>
      </c>
      <c r="AB74" s="41" t="n">
        <f aca="false">IF(Hypothèses!$D$23*$E$4&gt;0,AB73/(Hypothèses!$D$23*$E$4),0)</f>
        <v>10.0869111111111</v>
      </c>
      <c r="AC74" s="41" t="n">
        <f aca="false">IF(Hypothèses!$D$23*$E$4&gt;0,AC73/(Hypothèses!$D$23*$E$4),0)</f>
        <v>10.0869111111111</v>
      </c>
      <c r="AD74" s="41" t="n">
        <f aca="false">IF(Hypothèses!$D$23*$E$4&gt;0,AD73/(Hypothèses!$D$23*$E$4),0)</f>
        <v>10.0869111111111</v>
      </c>
      <c r="AE74" s="41" t="n">
        <f aca="false">IF(Hypothèses!$D$23*$E$4&gt;0,AE73/(Hypothèses!$D$23*$E$4),0)</f>
        <v>10.0869111111111</v>
      </c>
      <c r="AF74" s="41" t="n">
        <f aca="false">IF(Hypothèses!$D$23*$E$4&gt;0,AF73/(Hypothèses!$D$23*$E$4),0)</f>
        <v>10.0869111111111</v>
      </c>
      <c r="AG74" s="41" t="n">
        <f aca="false">IF(Hypothèses!$D$23*$E$4&gt;0,AG73/(Hypothèses!$D$23*$E$4),0)</f>
        <v>10.0869111111111</v>
      </c>
      <c r="AH74" s="41" t="n">
        <f aca="false">IF(Hypothèses!$D$23*$E$4&gt;0,AH73/(Hypothèses!$D$23*$E$4),0)</f>
        <v>10.0869111111111</v>
      </c>
      <c r="AI74" s="41" t="n">
        <f aca="false">IF(Hypothèses!$D$23*$E$4&gt;0,AI73/(Hypothèses!$D$23*$E$4),0)</f>
        <v>10.0869111111111</v>
      </c>
      <c r="AJ74" s="41" t="n">
        <f aca="false">IF(Hypothèses!$D$23*$E$4&gt;0,AJ73/(Hypothèses!$D$23*$E$4),0)</f>
        <v>10.0869111111111</v>
      </c>
      <c r="AK74" s="41" t="n">
        <f aca="false">IF(Hypothèses!$D$23*$E$4&gt;0,AK73/(Hypothèses!$D$23*$E$4),0)</f>
        <v>10.0869111111111</v>
      </c>
      <c r="AL74" s="41" t="n">
        <f aca="false">IF(Hypothèses!$D$23*$E$4&gt;0,AL73/(Hypothèses!$D$23*$E$4),0)</f>
        <v>10.0869111111111</v>
      </c>
      <c r="AN74" s="41" t="n">
        <f aca="false">N74</f>
        <v>10.0869111111111</v>
      </c>
      <c r="AO74" s="41" t="n">
        <f aca="false">Z74</f>
        <v>10.0869111111111</v>
      </c>
      <c r="AP74" s="41" t="n">
        <f aca="false">AL74</f>
        <v>10.0869111111111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508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1</v>
      </c>
      <c r="E4" s="34" t="n">
        <v>1</v>
      </c>
      <c r="F4" s="34" t="n">
        <v>1</v>
      </c>
      <c r="G4" s="34" t="n">
        <v>1.3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9.7</v>
      </c>
      <c r="H13" s="38" t="n">
        <f aca="false">G18</f>
        <v>9.409</v>
      </c>
      <c r="I13" s="38" t="n">
        <f aca="false">H18</f>
        <v>9.12673</v>
      </c>
      <c r="J13" s="38" t="n">
        <f aca="false">I18</f>
        <v>29.0354627</v>
      </c>
      <c r="K13" s="38" t="n">
        <f aca="false">J18</f>
        <v>48.745108073</v>
      </c>
      <c r="L13" s="38" t="n">
        <f aca="false">K18</f>
        <v>68.25765699227</v>
      </c>
      <c r="M13" s="38" t="n">
        <f aca="false">L18</f>
        <v>87.5750804223473</v>
      </c>
      <c r="N13" s="38" t="n">
        <f aca="false">M18</f>
        <v>106.699329618124</v>
      </c>
      <c r="O13" s="38" t="n">
        <f aca="false">N18</f>
        <v>125.632336321943</v>
      </c>
      <c r="P13" s="38" t="n">
        <f aca="false">O18</f>
        <v>191.04267962539</v>
      </c>
      <c r="Q13" s="38" t="n">
        <f aca="false">P18</f>
        <v>255.798919495803</v>
      </c>
      <c r="R13" s="38" t="n">
        <f aca="false">Q18</f>
        <v>319.907596967511</v>
      </c>
      <c r="S13" s="38" t="n">
        <f aca="false">R18</f>
        <v>383.375187664503</v>
      </c>
      <c r="T13" s="38" t="n">
        <f aca="false">S18</f>
        <v>446.208102454524</v>
      </c>
      <c r="U13" s="38" t="n">
        <f aca="false">T18</f>
        <v>508.412688096646</v>
      </c>
      <c r="V13" s="38" t="n">
        <f aca="false">U18</f>
        <v>569.995227882346</v>
      </c>
      <c r="W13" s="38" t="n">
        <f aca="false">V18</f>
        <v>630.961942270189</v>
      </c>
      <c r="X13" s="38" t="n">
        <f aca="false">W18</f>
        <v>691.318989514154</v>
      </c>
      <c r="Y13" s="38" t="n">
        <f aca="false">X18</f>
        <v>751.072466285679</v>
      </c>
      <c r="Z13" s="38" t="n">
        <f aca="false">Y18</f>
        <v>810.228408289489</v>
      </c>
      <c r="AA13" s="38" t="n">
        <f aca="false">Z18</f>
        <v>868.792790873261</v>
      </c>
      <c r="AB13" s="38" t="n">
        <f aca="false">AA18</f>
        <v>1026.77152963119</v>
      </c>
      <c r="AC13" s="38" t="n">
        <f aca="false">AB18</f>
        <v>1183.17048100155</v>
      </c>
      <c r="AD13" s="38" t="n">
        <f aca="false">AC18</f>
        <v>1338.0054428582</v>
      </c>
      <c r="AE13" s="38" t="n">
        <f aca="false">AD18</f>
        <v>1491.29205509629</v>
      </c>
      <c r="AF13" s="38" t="n">
        <f aca="false">AE18</f>
        <v>1643.04580121199</v>
      </c>
      <c r="AG13" s="38" t="n">
        <f aca="false">AF18</f>
        <v>1793.28200986654</v>
      </c>
      <c r="AH13" s="38" t="n">
        <f aca="false">AG18</f>
        <v>1942.01585643454</v>
      </c>
      <c r="AI13" s="38" t="n">
        <f aca="false">AH18</f>
        <v>2089.26236453686</v>
      </c>
      <c r="AJ13" s="38" t="n">
        <f aca="false">AI18</f>
        <v>2235.03640755816</v>
      </c>
      <c r="AK13" s="38" t="n">
        <f aca="false">AJ18</f>
        <v>2379.35271014924</v>
      </c>
      <c r="AL13" s="38" t="n">
        <f aca="false">AK18</f>
        <v>2522.22584971442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0.1825346</v>
      </c>
      <c r="J16" s="38" t="n">
        <f aca="false">J9*J13*Hypothèses!$D$24</f>
        <v>0.580709254</v>
      </c>
      <c r="K16" s="38" t="n">
        <f aca="false">K9*K13*Hypothèses!$D$24</f>
        <v>0.97490216146</v>
      </c>
      <c r="L16" s="38" t="n">
        <f aca="false">L9*L13*Hypothèses!$D$24</f>
        <v>1.3651531398454</v>
      </c>
      <c r="M16" s="38" t="n">
        <f aca="false">M9*M13*Hypothèses!$D$24</f>
        <v>1.75150160844695</v>
      </c>
      <c r="N16" s="38" t="n">
        <f aca="false">N9*N13*Hypothèses!$D$24</f>
        <v>2.13398659236248</v>
      </c>
      <c r="O16" s="38" t="n">
        <f aca="false">O9*O13*Hypothèses!$D$24</f>
        <v>2.51264672643885</v>
      </c>
      <c r="P16" s="38" t="n">
        <f aca="false">P9*P13*Hypothèses!$D$24</f>
        <v>3.8208535925078</v>
      </c>
      <c r="Q16" s="38" t="n">
        <f aca="false">Q9*Q13*Hypothèses!$D$24</f>
        <v>5.11597838991605</v>
      </c>
      <c r="R16" s="38" t="n">
        <f aca="false">R9*R13*Hypothèses!$D$24</f>
        <v>6.39815193935023</v>
      </c>
      <c r="S16" s="38" t="n">
        <f aca="false">S9*S13*Hypothèses!$D$24</f>
        <v>7.66750375329006</v>
      </c>
      <c r="T16" s="38" t="n">
        <f aca="false">T9*T13*Hypothèses!$D$24</f>
        <v>8.92416204909049</v>
      </c>
      <c r="U16" s="38" t="n">
        <f aca="false">U9*U13*Hypothèses!$D$24</f>
        <v>10.1682537619329</v>
      </c>
      <c r="V16" s="38" t="n">
        <f aca="false">V9*V13*Hypothèses!$D$24</f>
        <v>11.3999045576469</v>
      </c>
      <c r="W16" s="38" t="n">
        <f aca="false">W9*W13*Hypothèses!$D$24</f>
        <v>12.6192388454038</v>
      </c>
      <c r="X16" s="38" t="n">
        <f aca="false">X9*X13*Hypothèses!$D$24</f>
        <v>13.8263797902831</v>
      </c>
      <c r="Y16" s="38" t="n">
        <f aca="false">Y9*Y13*Hypothèses!$D$24</f>
        <v>15.0214493257136</v>
      </c>
      <c r="Z16" s="38" t="n">
        <f aca="false">Z9*Z13*Hypothèses!$D$24</f>
        <v>16.2045681657898</v>
      </c>
      <c r="AA16" s="38" t="n">
        <f aca="false">AA9*AA13*Hypothèses!$D$24</f>
        <v>17.3758558174652</v>
      </c>
      <c r="AB16" s="38" t="n">
        <f aca="false">AB9*AB13*Hypothèses!$D$24</f>
        <v>20.5354305926239</v>
      </c>
      <c r="AC16" s="38" t="n">
        <f aca="false">AC9*AC13*Hypothèses!$D$24</f>
        <v>23.663409620031</v>
      </c>
      <c r="AD16" s="38" t="n">
        <f aca="false">AD9*AD13*Hypothèses!$D$24</f>
        <v>26.760108857164</v>
      </c>
      <c r="AE16" s="38" t="n">
        <f aca="false">AE9*AE13*Hypothèses!$D$24</f>
        <v>29.8258411019257</v>
      </c>
      <c r="AF16" s="38" t="n">
        <f aca="false">AF9*AF13*Hypothèses!$D$24</f>
        <v>32.8609160242398</v>
      </c>
      <c r="AG16" s="38" t="n">
        <f aca="false">AG9*AG13*Hypothèses!$D$24</f>
        <v>35.8656401973307</v>
      </c>
      <c r="AH16" s="38" t="n">
        <f aca="false">AH9*AH13*Hypothèses!$D$24</f>
        <v>38.8403171286907</v>
      </c>
      <c r="AI16" s="38" t="n">
        <f aca="false">AI9*AI13*Hypothèses!$D$24</f>
        <v>41.7852472907372</v>
      </c>
      <c r="AJ16" s="38" t="n">
        <f aca="false">AJ9*AJ13*Hypothèses!$D$24</f>
        <v>44.7007281511631</v>
      </c>
      <c r="AK16" s="38" t="n">
        <f aca="false">AK9*AK13*Hypothèses!$D$24</f>
        <v>47.5870542029848</v>
      </c>
      <c r="AL16" s="38" t="n">
        <f aca="false">AL9*AL13*Hypothèses!$D$24</f>
        <v>50.4445169942883</v>
      </c>
      <c r="AN16" s="38" t="n">
        <f aca="false">SUM(C16:N16)</f>
        <v>6.98878735611482</v>
      </c>
      <c r="AO16" s="38" t="n">
        <f aca="false">SUM(O16:Z16)</f>
        <v>113.679090897364</v>
      </c>
      <c r="AP16" s="38" t="n">
        <f aca="false">SUM(AA16:AL16)</f>
        <v>410.245065978645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0.3</v>
      </c>
      <c r="G17" s="38" t="n">
        <f aca="false">G13*Hypothèses!$D$26*$D$4</f>
        <v>0.291</v>
      </c>
      <c r="H17" s="38" t="n">
        <f aca="false">H13*Hypothèses!$D$26*$D$4</f>
        <v>0.28227</v>
      </c>
      <c r="I17" s="38" t="n">
        <f aca="false">I13*Hypothèses!$D$26*$D$4</f>
        <v>0.2738019</v>
      </c>
      <c r="J17" s="38" t="n">
        <f aca="false">J13*Hypothèses!$D$26*$D$4</f>
        <v>0.871063881</v>
      </c>
      <c r="K17" s="38" t="n">
        <f aca="false">K13*Hypothèses!$D$26*$D$4</f>
        <v>1.46235324219</v>
      </c>
      <c r="L17" s="38" t="n">
        <f aca="false">L13*Hypothèses!$D$26*$D$4</f>
        <v>2.0477297097681</v>
      </c>
      <c r="M17" s="38" t="n">
        <f aca="false">M13*Hypothèses!$D$26*$D$4</f>
        <v>2.62725241267042</v>
      </c>
      <c r="N17" s="38" t="n">
        <f aca="false">N13*Hypothèses!$D$26*$D$4</f>
        <v>3.20097988854371</v>
      </c>
      <c r="O17" s="38" t="n">
        <f aca="false">O13*Hypothèses!$D$26*$D$4</f>
        <v>3.76897008965828</v>
      </c>
      <c r="P17" s="38" t="n">
        <f aca="false">P13*Hypothèses!$D$26*$D$4</f>
        <v>5.73128038876169</v>
      </c>
      <c r="Q17" s="38" t="n">
        <f aca="false">Q13*Hypothèses!$D$26*$D$4</f>
        <v>7.67396758487408</v>
      </c>
      <c r="R17" s="38" t="n">
        <f aca="false">R13*Hypothèses!$D$26*$D$4</f>
        <v>9.59722790902534</v>
      </c>
      <c r="S17" s="38" t="n">
        <f aca="false">S13*Hypothèses!$D$26*$D$4</f>
        <v>11.5012556299351</v>
      </c>
      <c r="T17" s="38" t="n">
        <f aca="false">T13*Hypothèses!$D$26*$D$4</f>
        <v>13.3862430736357</v>
      </c>
      <c r="U17" s="38" t="n">
        <f aca="false">U13*Hypothèses!$D$26*$D$4</f>
        <v>15.2523806428994</v>
      </c>
      <c r="V17" s="38" t="n">
        <f aca="false">V13*Hypothèses!$D$26*$D$4</f>
        <v>17.0998568364704</v>
      </c>
      <c r="W17" s="38" t="n">
        <f aca="false">W13*Hypothèses!$D$26*$D$4</f>
        <v>18.9288582681057</v>
      </c>
      <c r="X17" s="38" t="n">
        <f aca="false">X13*Hypothèses!$D$26*$D$4</f>
        <v>20.7395696854246</v>
      </c>
      <c r="Y17" s="38" t="n">
        <f aca="false">Y13*Hypothèses!$D$26*$D$4</f>
        <v>22.5321739885704</v>
      </c>
      <c r="Z17" s="38" t="n">
        <f aca="false">Z13*Hypothèses!$D$26*$D$4</f>
        <v>24.3068522486847</v>
      </c>
      <c r="AA17" s="38" t="n">
        <f aca="false">AA13*Hypothèses!$D$26*$D$4</f>
        <v>26.0637837261978</v>
      </c>
      <c r="AB17" s="38" t="n">
        <f aca="false">AB13*Hypothèses!$D$26*$D$4</f>
        <v>30.8031458889358</v>
      </c>
      <c r="AC17" s="38" t="n">
        <f aca="false">AC13*Hypothèses!$D$26*$D$4</f>
        <v>35.4951144300465</v>
      </c>
      <c r="AD17" s="38" t="n">
        <f aca="false">AD13*Hypothèses!$D$26*$D$4</f>
        <v>40.140163285746</v>
      </c>
      <c r="AE17" s="38" t="n">
        <f aca="false">AE13*Hypothèses!$D$26*$D$4</f>
        <v>44.7387616528886</v>
      </c>
      <c r="AF17" s="38" t="n">
        <f aca="false">AF13*Hypothèses!$D$26*$D$4</f>
        <v>49.2913740363597</v>
      </c>
      <c r="AG17" s="38" t="n">
        <f aca="false">AG13*Hypothèses!$D$26*$D$4</f>
        <v>53.7984602959961</v>
      </c>
      <c r="AH17" s="38" t="n">
        <f aca="false">AH13*Hypothèses!$D$26*$D$4</f>
        <v>58.2604756930361</v>
      </c>
      <c r="AI17" s="38" t="n">
        <f aca="false">AI13*Hypothèses!$D$26*$D$4</f>
        <v>62.6778709361058</v>
      </c>
      <c r="AJ17" s="38" t="n">
        <f aca="false">AJ13*Hypothèses!$D$26*$D$4</f>
        <v>67.0510922267447</v>
      </c>
      <c r="AK17" s="38" t="n">
        <f aca="false">AK13*Hypothèses!$D$26*$D$4</f>
        <v>71.3805813044773</v>
      </c>
      <c r="AL17" s="38" t="n">
        <f aca="false">AL13*Hypothèses!$D$26*$D$4</f>
        <v>75.6667754914325</v>
      </c>
      <c r="AN17" s="38" t="n">
        <f aca="false">SUM(C17:N17)</f>
        <v>11.3564510341722</v>
      </c>
      <c r="AO17" s="38" t="n">
        <f aca="false">SUM(O17:Z17)</f>
        <v>170.518636346045</v>
      </c>
      <c r="AP17" s="38" t="n">
        <f aca="false">SUM(AA17:AL17)</f>
        <v>615.367598967967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9.7</v>
      </c>
      <c r="G18" s="39" t="n">
        <f aca="false">G13+G14+G15+G16-G17</f>
        <v>9.409</v>
      </c>
      <c r="H18" s="39" t="n">
        <f aca="false">H13+H14+H15+H16-H17</f>
        <v>9.12673</v>
      </c>
      <c r="I18" s="39" t="n">
        <f aca="false">I13+I14+I15+I16-I17</f>
        <v>29.0354627</v>
      </c>
      <c r="J18" s="39" t="n">
        <f aca="false">J13+J14+J15+J16-J17</f>
        <v>48.745108073</v>
      </c>
      <c r="K18" s="39" t="n">
        <f aca="false">K13+K14+K15+K16-K17</f>
        <v>68.25765699227</v>
      </c>
      <c r="L18" s="39" t="n">
        <f aca="false">L13+L14+L15+L16-L17</f>
        <v>87.5750804223473</v>
      </c>
      <c r="M18" s="39" t="n">
        <f aca="false">M13+M14+M15+M16-M17</f>
        <v>106.699329618124</v>
      </c>
      <c r="N18" s="39" t="n">
        <f aca="false">N13+N14+N15+N16-N17</f>
        <v>125.632336321943</v>
      </c>
      <c r="O18" s="39" t="n">
        <f aca="false">O13+O14+O15+O16-O17</f>
        <v>191.04267962539</v>
      </c>
      <c r="P18" s="39" t="n">
        <f aca="false">P13+P14+P15+P16-P17</f>
        <v>255.798919495803</v>
      </c>
      <c r="Q18" s="39" t="n">
        <f aca="false">Q13+Q14+Q15+Q16-Q17</f>
        <v>319.907596967511</v>
      </c>
      <c r="R18" s="39" t="n">
        <f aca="false">R13+R14+R15+R16-R17</f>
        <v>383.375187664503</v>
      </c>
      <c r="S18" s="39" t="n">
        <f aca="false">S13+S14+S15+S16-S17</f>
        <v>446.208102454524</v>
      </c>
      <c r="T18" s="39" t="n">
        <f aca="false">T13+T14+T15+T16-T17</f>
        <v>508.412688096646</v>
      </c>
      <c r="U18" s="39" t="n">
        <f aca="false">U13+U14+U15+U16-U17</f>
        <v>569.995227882346</v>
      </c>
      <c r="V18" s="39" t="n">
        <f aca="false">V13+V14+V15+V16-V17</f>
        <v>630.961942270189</v>
      </c>
      <c r="W18" s="39" t="n">
        <f aca="false">W13+W14+W15+W16-W17</f>
        <v>691.318989514154</v>
      </c>
      <c r="X18" s="39" t="n">
        <f aca="false">X13+X14+X15+X16-X17</f>
        <v>751.072466285679</v>
      </c>
      <c r="Y18" s="39" t="n">
        <f aca="false">Y13+Y14+Y15+Y16-Y17</f>
        <v>810.228408289489</v>
      </c>
      <c r="Z18" s="39" t="n">
        <f aca="false">Z13+Z14+Z15+Z16-Z17</f>
        <v>868.792790873261</v>
      </c>
      <c r="AA18" s="39" t="n">
        <f aca="false">AA13+AA14+AA15+AA16-AA17</f>
        <v>1026.77152963119</v>
      </c>
      <c r="AB18" s="39" t="n">
        <f aca="false">AB13+AB14+AB15+AB16-AB17</f>
        <v>1183.17048100155</v>
      </c>
      <c r="AC18" s="39" t="n">
        <f aca="false">AC13+AC14+AC15+AC16-AC17</f>
        <v>1338.0054428582</v>
      </c>
      <c r="AD18" s="39" t="n">
        <f aca="false">AD13+AD14+AD15+AD16-AD17</f>
        <v>1491.29205509629</v>
      </c>
      <c r="AE18" s="39" t="n">
        <f aca="false">AE13+AE14+AE15+AE16-AE17</f>
        <v>1643.04580121199</v>
      </c>
      <c r="AF18" s="39" t="n">
        <f aca="false">AF13+AF14+AF15+AF16-AF17</f>
        <v>1793.28200986654</v>
      </c>
      <c r="AG18" s="39" t="n">
        <f aca="false">AG13+AG14+AG15+AG16-AG17</f>
        <v>1942.01585643454</v>
      </c>
      <c r="AH18" s="39" t="n">
        <f aca="false">AH13+AH14+AH15+AH16-AH17</f>
        <v>2089.26236453686</v>
      </c>
      <c r="AI18" s="39" t="n">
        <f aca="false">AI13+AI14+AI15+AI16-AI17</f>
        <v>2235.03640755816</v>
      </c>
      <c r="AJ18" s="39" t="n">
        <f aca="false">AJ13+AJ14+AJ15+AJ16-AJ17</f>
        <v>2379.35271014924</v>
      </c>
      <c r="AK18" s="39" t="n">
        <f aca="false">AK13+AK14+AK15+AK16-AK17</f>
        <v>2522.22584971442</v>
      </c>
      <c r="AL18" s="39" t="n">
        <f aca="false">AL13+AL14+AL15+AL16-AL17</f>
        <v>2663.67025788394</v>
      </c>
      <c r="AN18" s="39" t="n">
        <f aca="false">N18</f>
        <v>125.632336321943</v>
      </c>
      <c r="AO18" s="39" t="n">
        <f aca="false">Z18</f>
        <v>868.792790873261</v>
      </c>
      <c r="AP18" s="39" t="n">
        <f aca="false">AL18</f>
        <v>2663.67025788394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2.425</v>
      </c>
      <c r="G19" s="38" t="n">
        <f aca="false">G18*Hypothèses!$D$16</f>
        <v>2.35225</v>
      </c>
      <c r="H19" s="38" t="n">
        <f aca="false">H18*Hypothèses!$D$16</f>
        <v>2.2816825</v>
      </c>
      <c r="I19" s="38" t="n">
        <f aca="false">I18*Hypothèses!$D$16</f>
        <v>7.258865675</v>
      </c>
      <c r="J19" s="38" t="n">
        <f aca="false">J18*Hypothèses!$D$16</f>
        <v>12.18627701825</v>
      </c>
      <c r="K19" s="38" t="n">
        <f aca="false">K18*Hypothèses!$D$16</f>
        <v>17.0644142480675</v>
      </c>
      <c r="L19" s="38" t="n">
        <f aca="false">L18*Hypothèses!$D$16</f>
        <v>21.8937701055868</v>
      </c>
      <c r="M19" s="38" t="n">
        <f aca="false">M18*Hypothèses!$D$16</f>
        <v>26.674832404531</v>
      </c>
      <c r="N19" s="38" t="n">
        <f aca="false">N18*Hypothèses!$D$16</f>
        <v>31.4080840804856</v>
      </c>
      <c r="O19" s="38" t="n">
        <f aca="false">O18*Hypothèses!$D$16</f>
        <v>47.7606699063475</v>
      </c>
      <c r="P19" s="38" t="n">
        <f aca="false">P18*Hypothèses!$D$16</f>
        <v>63.9497298739506</v>
      </c>
      <c r="Q19" s="38" t="n">
        <f aca="false">Q18*Hypothèses!$D$16</f>
        <v>79.9768992418778</v>
      </c>
      <c r="R19" s="38" t="n">
        <f aca="false">R18*Hypothèses!$D$16</f>
        <v>95.8437969161257</v>
      </c>
      <c r="S19" s="38" t="n">
        <f aca="false">S18*Hypothèses!$D$16</f>
        <v>111.552025613631</v>
      </c>
      <c r="T19" s="38" t="n">
        <f aca="false">T18*Hypothèses!$D$16</f>
        <v>127.103172024161</v>
      </c>
      <c r="U19" s="38" t="n">
        <f aca="false">U18*Hypothèses!$D$16</f>
        <v>142.498806970587</v>
      </c>
      <c r="V19" s="38" t="n">
        <f aca="false">V18*Hypothèses!$D$16</f>
        <v>157.740485567547</v>
      </c>
      <c r="W19" s="38" t="n">
        <f aca="false">W18*Hypothèses!$D$16</f>
        <v>172.829747378538</v>
      </c>
      <c r="X19" s="38" t="n">
        <f aca="false">X18*Hypothèses!$D$16</f>
        <v>187.76811657142</v>
      </c>
      <c r="Y19" s="38" t="n">
        <f aca="false">Y18*Hypothèses!$D$16</f>
        <v>202.557102072372</v>
      </c>
      <c r="Z19" s="38" t="n">
        <f aca="false">Z18*Hypothèses!$D$16</f>
        <v>217.198197718315</v>
      </c>
      <c r="AA19" s="38" t="n">
        <f aca="false">AA18*Hypothèses!$D$16</f>
        <v>256.692882407799</v>
      </c>
      <c r="AB19" s="38" t="n">
        <f aca="false">AB18*Hypothèses!$D$16</f>
        <v>295.792620250387</v>
      </c>
      <c r="AC19" s="38" t="n">
        <f aca="false">AC18*Hypothèses!$D$16</f>
        <v>334.50136071455</v>
      </c>
      <c r="AD19" s="38" t="n">
        <f aca="false">AD18*Hypothèses!$D$16</f>
        <v>372.823013774071</v>
      </c>
      <c r="AE19" s="38" t="n">
        <f aca="false">AE18*Hypothèses!$D$16</f>
        <v>410.761450302997</v>
      </c>
      <c r="AF19" s="38" t="n">
        <f aca="false">AF18*Hypothèses!$D$16</f>
        <v>448.320502466634</v>
      </c>
      <c r="AG19" s="38" t="n">
        <f aca="false">AG18*Hypothèses!$D$16</f>
        <v>485.503964108634</v>
      </c>
      <c r="AH19" s="38" t="n">
        <f aca="false">AH18*Hypothèses!$D$16</f>
        <v>522.315591134215</v>
      </c>
      <c r="AI19" s="38" t="n">
        <f aca="false">AI18*Hypothèses!$D$16</f>
        <v>558.759101889539</v>
      </c>
      <c r="AJ19" s="38" t="n">
        <f aca="false">AJ18*Hypothèses!$D$16</f>
        <v>594.838177537311</v>
      </c>
      <c r="AK19" s="38" t="n">
        <f aca="false">AK18*Hypothèses!$D$16</f>
        <v>630.556462428604</v>
      </c>
      <c r="AL19" s="38" t="n">
        <f aca="false">AL18*Hypothèses!$D$16</f>
        <v>665.917564470985</v>
      </c>
      <c r="AN19" s="38" t="n">
        <f aca="false">N19</f>
        <v>31.4080840804856</v>
      </c>
      <c r="AO19" s="38" t="n">
        <f aca="false">Z19</f>
        <v>217.198197718315</v>
      </c>
      <c r="AP19" s="38" t="n">
        <f aca="false">AL19</f>
        <v>665.917564470985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5.82</v>
      </c>
      <c r="G20" s="38" t="n">
        <f aca="false">G18*Hypothèses!$D$17</f>
        <v>5.6454</v>
      </c>
      <c r="H20" s="38" t="n">
        <f aca="false">H18*Hypothèses!$D$17</f>
        <v>5.476038</v>
      </c>
      <c r="I20" s="38" t="n">
        <f aca="false">I18*Hypothèses!$D$17</f>
        <v>17.42127762</v>
      </c>
      <c r="J20" s="38" t="n">
        <f aca="false">J18*Hypothèses!$D$17</f>
        <v>29.2470648438</v>
      </c>
      <c r="K20" s="38" t="n">
        <f aca="false">K18*Hypothèses!$D$17</f>
        <v>40.954594195362</v>
      </c>
      <c r="L20" s="38" t="n">
        <f aca="false">L18*Hypothèses!$D$17</f>
        <v>52.5450482534084</v>
      </c>
      <c r="M20" s="38" t="n">
        <f aca="false">M18*Hypothèses!$D$17</f>
        <v>64.0195977708743</v>
      </c>
      <c r="N20" s="38" t="n">
        <f aca="false">N18*Hypothèses!$D$17</f>
        <v>75.3794017931655</v>
      </c>
      <c r="O20" s="38" t="n">
        <f aca="false">O18*Hypothèses!$D$17</f>
        <v>114.625607775234</v>
      </c>
      <c r="P20" s="38" t="n">
        <f aca="false">P18*Hypothèses!$D$17</f>
        <v>153.479351697482</v>
      </c>
      <c r="Q20" s="38" t="n">
        <f aca="false">Q18*Hypothèses!$D$17</f>
        <v>191.944558180507</v>
      </c>
      <c r="R20" s="38" t="n">
        <f aca="false">R18*Hypothèses!$D$17</f>
        <v>230.025112598702</v>
      </c>
      <c r="S20" s="38" t="n">
        <f aca="false">S18*Hypothèses!$D$17</f>
        <v>267.724861472715</v>
      </c>
      <c r="T20" s="38" t="n">
        <f aca="false">T18*Hypothèses!$D$17</f>
        <v>305.047612857988</v>
      </c>
      <c r="U20" s="38" t="n">
        <f aca="false">U18*Hypothèses!$D$17</f>
        <v>341.997136729408</v>
      </c>
      <c r="V20" s="38" t="n">
        <f aca="false">V18*Hypothèses!$D$17</f>
        <v>378.577165362113</v>
      </c>
      <c r="W20" s="38" t="n">
        <f aca="false">W18*Hypothèses!$D$17</f>
        <v>414.791393708492</v>
      </c>
      <c r="X20" s="38" t="n">
        <f aca="false">X18*Hypothèses!$D$17</f>
        <v>450.643479771407</v>
      </c>
      <c r="Y20" s="38" t="n">
        <f aca="false">Y18*Hypothèses!$D$17</f>
        <v>486.137044973693</v>
      </c>
      <c r="Z20" s="38" t="n">
        <f aca="false">Z18*Hypothèses!$D$17</f>
        <v>521.275674523956</v>
      </c>
      <c r="AA20" s="38" t="n">
        <f aca="false">AA18*Hypothèses!$D$17</f>
        <v>616.062917778717</v>
      </c>
      <c r="AB20" s="38" t="n">
        <f aca="false">AB18*Hypothèses!$D$17</f>
        <v>709.90228860093</v>
      </c>
      <c r="AC20" s="38" t="n">
        <f aca="false">AC18*Hypothèses!$D$17</f>
        <v>802.80326571492</v>
      </c>
      <c r="AD20" s="38" t="n">
        <f aca="false">AD18*Hypothèses!$D$17</f>
        <v>894.775233057771</v>
      </c>
      <c r="AE20" s="38" t="n">
        <f aca="false">AE18*Hypothèses!$D$17</f>
        <v>985.827480727194</v>
      </c>
      <c r="AF20" s="38" t="n">
        <f aca="false">AF18*Hypothèses!$D$17</f>
        <v>1075.96920591992</v>
      </c>
      <c r="AG20" s="38" t="n">
        <f aca="false">AG18*Hypothèses!$D$17</f>
        <v>1165.20951386072</v>
      </c>
      <c r="AH20" s="38" t="n">
        <f aca="false">AH18*Hypothèses!$D$17</f>
        <v>1253.55741872212</v>
      </c>
      <c r="AI20" s="38" t="n">
        <f aca="false">AI18*Hypothèses!$D$17</f>
        <v>1341.02184453489</v>
      </c>
      <c r="AJ20" s="38" t="n">
        <f aca="false">AJ18*Hypothèses!$D$17</f>
        <v>1427.61162608955</v>
      </c>
      <c r="AK20" s="38" t="n">
        <f aca="false">AK18*Hypothèses!$D$17</f>
        <v>1513.33550982865</v>
      </c>
      <c r="AL20" s="38" t="n">
        <f aca="false">AL18*Hypothèses!$D$17</f>
        <v>1598.20215473036</v>
      </c>
      <c r="AN20" s="38" t="n">
        <f aca="false">N20</f>
        <v>75.3794017931655</v>
      </c>
      <c r="AO20" s="38" t="n">
        <f aca="false">Z20</f>
        <v>521.275674523956</v>
      </c>
      <c r="AP20" s="38" t="n">
        <f aca="false">AL20</f>
        <v>1598.20215473036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1.455</v>
      </c>
      <c r="G21" s="38" t="n">
        <f aca="false">G18*Hypothèses!$D$18</f>
        <v>1.41135</v>
      </c>
      <c r="H21" s="38" t="n">
        <f aca="false">H18*Hypothèses!$D$18</f>
        <v>1.3690095</v>
      </c>
      <c r="I21" s="38" t="n">
        <f aca="false">I18*Hypothèses!$D$18</f>
        <v>4.355319405</v>
      </c>
      <c r="J21" s="38" t="n">
        <f aca="false">J18*Hypothèses!$D$18</f>
        <v>7.31176621095</v>
      </c>
      <c r="K21" s="38" t="n">
        <f aca="false">K18*Hypothèses!$D$18</f>
        <v>10.2386485488405</v>
      </c>
      <c r="L21" s="38" t="n">
        <f aca="false">L18*Hypothèses!$D$18</f>
        <v>13.1362620633521</v>
      </c>
      <c r="M21" s="38" t="n">
        <f aca="false">M18*Hypothèses!$D$18</f>
        <v>16.0048994427186</v>
      </c>
      <c r="N21" s="38" t="n">
        <f aca="false">N18*Hypothèses!$D$18</f>
        <v>18.8448504482914</v>
      </c>
      <c r="O21" s="38" t="n">
        <f aca="false">O18*Hypothèses!$D$18</f>
        <v>28.6564019438085</v>
      </c>
      <c r="P21" s="38" t="n">
        <f aca="false">P18*Hypothèses!$D$18</f>
        <v>38.3698379243704</v>
      </c>
      <c r="Q21" s="38" t="n">
        <f aca="false">Q18*Hypothèses!$D$18</f>
        <v>47.9861395451267</v>
      </c>
      <c r="R21" s="38" t="n">
        <f aca="false">R18*Hypothèses!$D$18</f>
        <v>57.5062781496754</v>
      </c>
      <c r="S21" s="38" t="n">
        <f aca="false">S18*Hypothèses!$D$18</f>
        <v>66.9312153681787</v>
      </c>
      <c r="T21" s="38" t="n">
        <f aca="false">T18*Hypothèses!$D$18</f>
        <v>76.2619032144969</v>
      </c>
      <c r="U21" s="38" t="n">
        <f aca="false">U18*Hypothèses!$D$18</f>
        <v>85.4992841823519</v>
      </c>
      <c r="V21" s="38" t="n">
        <f aca="false">V18*Hypothèses!$D$18</f>
        <v>94.6442913405284</v>
      </c>
      <c r="W21" s="38" t="n">
        <f aca="false">W18*Hypothèses!$D$18</f>
        <v>103.697848427123</v>
      </c>
      <c r="X21" s="38" t="n">
        <f aca="false">X18*Hypothèses!$D$18</f>
        <v>112.660869942852</v>
      </c>
      <c r="Y21" s="38" t="n">
        <f aca="false">Y18*Hypothèses!$D$18</f>
        <v>121.534261243423</v>
      </c>
      <c r="Z21" s="38" t="n">
        <f aca="false">Z18*Hypothèses!$D$18</f>
        <v>130.318918630989</v>
      </c>
      <c r="AA21" s="38" t="n">
        <f aca="false">AA18*Hypothèses!$D$18</f>
        <v>154.015729444679</v>
      </c>
      <c r="AB21" s="38" t="n">
        <f aca="false">AB18*Hypothèses!$D$18</f>
        <v>177.475572150232</v>
      </c>
      <c r="AC21" s="38" t="n">
        <f aca="false">AC18*Hypothèses!$D$18</f>
        <v>200.70081642873</v>
      </c>
      <c r="AD21" s="38" t="n">
        <f aca="false">AD18*Hypothèses!$D$18</f>
        <v>223.693808264443</v>
      </c>
      <c r="AE21" s="38" t="n">
        <f aca="false">AE18*Hypothèses!$D$18</f>
        <v>246.456870181798</v>
      </c>
      <c r="AF21" s="38" t="n">
        <f aca="false">AF18*Hypothèses!$D$18</f>
        <v>268.99230147998</v>
      </c>
      <c r="AG21" s="38" t="n">
        <f aca="false">AG18*Hypothèses!$D$18</f>
        <v>291.302378465181</v>
      </c>
      <c r="AH21" s="38" t="n">
        <f aca="false">AH18*Hypothèses!$D$18</f>
        <v>313.389354680529</v>
      </c>
      <c r="AI21" s="38" t="n">
        <f aca="false">AI18*Hypothèses!$D$18</f>
        <v>335.255461133724</v>
      </c>
      <c r="AJ21" s="38" t="n">
        <f aca="false">AJ18*Hypothèses!$D$18</f>
        <v>356.902906522386</v>
      </c>
      <c r="AK21" s="38" t="n">
        <f aca="false">AK18*Hypothèses!$D$18</f>
        <v>378.333877457162</v>
      </c>
      <c r="AL21" s="38" t="n">
        <f aca="false">AL18*Hypothèses!$D$18</f>
        <v>399.550538682591</v>
      </c>
      <c r="AN21" s="38" t="n">
        <f aca="false">N21</f>
        <v>18.8448504482914</v>
      </c>
      <c r="AO21" s="38" t="n">
        <f aca="false">Z21</f>
        <v>130.318918630989</v>
      </c>
      <c r="AP21" s="38" t="n">
        <f aca="false">AL21</f>
        <v>399.550538682591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70.325</v>
      </c>
      <c r="G23" s="15" t="n">
        <f aca="false">G19*Hypothèses!$D$12*$C$4</f>
        <v>68.21525</v>
      </c>
      <c r="H23" s="15" t="n">
        <f aca="false">H19*Hypothèses!$D$12*$C$4</f>
        <v>66.1687925</v>
      </c>
      <c r="I23" s="15" t="n">
        <f aca="false">I19*Hypothèses!$D$12*$C$4</f>
        <v>210.507104575</v>
      </c>
      <c r="J23" s="15" t="n">
        <f aca="false">J19*Hypothèses!$D$12*$C$4</f>
        <v>353.40203352925</v>
      </c>
      <c r="K23" s="15" t="n">
        <f aca="false">K19*Hypothèses!$D$12*$C$4</f>
        <v>494.868013193957</v>
      </c>
      <c r="L23" s="15" t="n">
        <f aca="false">L19*Hypothèses!$D$12*$C$4</f>
        <v>634.919333062018</v>
      </c>
      <c r="M23" s="15" t="n">
        <f aca="false">M19*Hypothèses!$D$12*$C$4</f>
        <v>773.570139731398</v>
      </c>
      <c r="N23" s="15" t="n">
        <f aca="false">N19*Hypothèses!$D$12*$C$4</f>
        <v>910.834438334084</v>
      </c>
      <c r="O23" s="15" t="n">
        <f aca="false">O19*Hypothèses!$D$12*$C$4</f>
        <v>1385.05942728408</v>
      </c>
      <c r="P23" s="15" t="n">
        <f aca="false">P19*Hypothèses!$D$12*$C$4</f>
        <v>1854.54216634457</v>
      </c>
      <c r="Q23" s="15" t="n">
        <f aca="false">Q19*Hypothèses!$D$12*$C$4</f>
        <v>2319.33007801446</v>
      </c>
      <c r="R23" s="15" t="n">
        <f aca="false">R19*Hypothèses!$D$12*$C$4</f>
        <v>2779.47011056765</v>
      </c>
      <c r="S23" s="15" t="n">
        <f aca="false">S19*Hypothèses!$D$12*$C$4</f>
        <v>3235.0087427953</v>
      </c>
      <c r="T23" s="15" t="n">
        <f aca="false">T19*Hypothèses!$D$12*$C$4</f>
        <v>3685.99198870068</v>
      </c>
      <c r="U23" s="15" t="n">
        <f aca="false">U19*Hypothèses!$D$12*$C$4</f>
        <v>4132.46540214701</v>
      </c>
      <c r="V23" s="15" t="n">
        <f aca="false">V19*Hypothèses!$D$12*$C$4</f>
        <v>4574.47408145887</v>
      </c>
      <c r="W23" s="15" t="n">
        <f aca="false">W19*Hypothèses!$D$12*$C$4</f>
        <v>5012.06267397762</v>
      </c>
      <c r="X23" s="15" t="n">
        <f aca="false">X19*Hypothèses!$D$12*$C$4</f>
        <v>5445.27538057117</v>
      </c>
      <c r="Y23" s="15" t="n">
        <f aca="false">Y19*Hypothèses!$D$12*$C$4</f>
        <v>5874.15596009879</v>
      </c>
      <c r="Z23" s="15" t="n">
        <f aca="false">Z19*Hypothèses!$D$12*$C$4</f>
        <v>6298.74773383114</v>
      </c>
      <c r="AA23" s="15" t="n">
        <f aca="false">AA19*Hypothèses!$D$12*$C$4</f>
        <v>7444.09358982616</v>
      </c>
      <c r="AB23" s="15" t="n">
        <f aca="false">AB19*Hypothèses!$D$12*$C$4</f>
        <v>8577.98598726123</v>
      </c>
      <c r="AC23" s="15" t="n">
        <f aca="false">AC19*Hypothèses!$D$12*$C$4</f>
        <v>9700.53946072195</v>
      </c>
      <c r="AD23" s="15" t="n">
        <f aca="false">AD19*Hypothèses!$D$12*$C$4</f>
        <v>10811.8673994481</v>
      </c>
      <c r="AE23" s="15" t="n">
        <f aca="false">AE19*Hypothèses!$D$12*$C$4</f>
        <v>11912.0820587869</v>
      </c>
      <c r="AF23" s="15" t="n">
        <f aca="false">AF19*Hypothèses!$D$12*$C$4</f>
        <v>13001.2945715324</v>
      </c>
      <c r="AG23" s="15" t="n">
        <f aca="false">AG19*Hypothèses!$D$12*$C$4</f>
        <v>14079.6149591504</v>
      </c>
      <c r="AH23" s="15" t="n">
        <f aca="false">AH19*Hypothèses!$D$12*$C$4</f>
        <v>15147.1521428922</v>
      </c>
      <c r="AI23" s="15" t="n">
        <f aca="false">AI19*Hypothèses!$D$12*$C$4</f>
        <v>16204.0139547966</v>
      </c>
      <c r="AJ23" s="15" t="n">
        <f aca="false">AJ19*Hypothèses!$D$12*$C$4</f>
        <v>17250.307148582</v>
      </c>
      <c r="AK23" s="15" t="n">
        <f aca="false">AK19*Hypothèses!$D$12*$C$4</f>
        <v>18286.1374104295</v>
      </c>
      <c r="AL23" s="15" t="n">
        <f aca="false">AL19*Hypothèses!$D$12*$C$4</f>
        <v>19311.6093696586</v>
      </c>
      <c r="AN23" s="15" t="n">
        <f aca="false">SUM(C23:N23)</f>
        <v>3655.31010492571</v>
      </c>
      <c r="AO23" s="15" t="n">
        <f aca="false">SUM(O23:Z23)</f>
        <v>46596.5837457913</v>
      </c>
      <c r="AP23" s="15" t="n">
        <f aca="false">SUM(AA23:AL23)</f>
        <v>161726.698053086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459.78</v>
      </c>
      <c r="G24" s="15" t="n">
        <f aca="false">G20*Hypothèses!$D$13*$C$4</f>
        <v>445.9866</v>
      </c>
      <c r="H24" s="15" t="n">
        <f aca="false">H20*Hypothèses!$D$13*$C$4</f>
        <v>432.607002</v>
      </c>
      <c r="I24" s="15" t="n">
        <f aca="false">I20*Hypothèses!$D$13*$C$4</f>
        <v>1376.28093198</v>
      </c>
      <c r="J24" s="15" t="n">
        <f aca="false">J20*Hypothèses!$D$13*$C$4</f>
        <v>2310.5181226602</v>
      </c>
      <c r="K24" s="15" t="n">
        <f aca="false">K20*Hypothèses!$D$13*$C$4</f>
        <v>3235.4129414336</v>
      </c>
      <c r="L24" s="15" t="n">
        <f aca="false">L20*Hypothèses!$D$13*$C$4</f>
        <v>4151.05881201926</v>
      </c>
      <c r="M24" s="15" t="n">
        <f aca="false">M20*Hypothèses!$D$13*$C$4</f>
        <v>5057.54822389907</v>
      </c>
      <c r="N24" s="15" t="n">
        <f aca="false">N20*Hypothèses!$D$13*$C$4</f>
        <v>5954.97274166008</v>
      </c>
      <c r="O24" s="15" t="n">
        <f aca="false">O20*Hypothèses!$D$13*$C$4</f>
        <v>9055.42301424348</v>
      </c>
      <c r="P24" s="15" t="n">
        <f aca="false">P20*Hypothèses!$D$13*$C$4</f>
        <v>12124.868784101</v>
      </c>
      <c r="Q24" s="15" t="n">
        <f aca="false">Q20*Hypothèses!$D$13*$C$4</f>
        <v>15163.62009626</v>
      </c>
      <c r="R24" s="15" t="n">
        <f aca="false">R20*Hypothèses!$D$13*$C$4</f>
        <v>18171.9838952974</v>
      </c>
      <c r="S24" s="15" t="n">
        <f aca="false">S20*Hypothèses!$D$13*$C$4</f>
        <v>21150.2640563445</v>
      </c>
      <c r="T24" s="15" t="n">
        <f aca="false">T20*Hypothèses!$D$13*$C$4</f>
        <v>24098.761415781</v>
      </c>
      <c r="U24" s="15" t="n">
        <f aca="false">U20*Hypothèses!$D$13*$C$4</f>
        <v>27017.7738016232</v>
      </c>
      <c r="V24" s="15" t="n">
        <f aca="false">V20*Hypothèses!$D$13*$C$4</f>
        <v>29907.596063607</v>
      </c>
      <c r="W24" s="15" t="n">
        <f aca="false">W20*Hypothèses!$D$13*$C$4</f>
        <v>32768.5201029709</v>
      </c>
      <c r="X24" s="15" t="n">
        <f aca="false">X20*Hypothèses!$D$13*$C$4</f>
        <v>35600.8349019412</v>
      </c>
      <c r="Y24" s="15" t="n">
        <f aca="false">Y20*Hypothèses!$D$13*$C$4</f>
        <v>38404.8265529218</v>
      </c>
      <c r="Z24" s="15" t="n">
        <f aca="false">Z20*Hypothèses!$D$13*$C$4</f>
        <v>41180.7782873925</v>
      </c>
      <c r="AA24" s="15" t="n">
        <f aca="false">AA20*Hypothèses!$D$13*$C$4</f>
        <v>48668.9705045186</v>
      </c>
      <c r="AB24" s="15" t="n">
        <f aca="false">AB20*Hypothèses!$D$13*$C$4</f>
        <v>56082.2807994734</v>
      </c>
      <c r="AC24" s="15" t="n">
        <f aca="false">AC20*Hypothèses!$D$13*$C$4</f>
        <v>63421.4579914787</v>
      </c>
      <c r="AD24" s="15" t="n">
        <f aca="false">AD20*Hypothèses!$D$13*$C$4</f>
        <v>70687.2434115639</v>
      </c>
      <c r="AE24" s="15" t="n">
        <f aca="false">AE20*Hypothèses!$D$13*$C$4</f>
        <v>77880.3709774483</v>
      </c>
      <c r="AF24" s="15" t="n">
        <f aca="false">AF20*Hypothèses!$D$13*$C$4</f>
        <v>85001.5672676738</v>
      </c>
      <c r="AG24" s="15" t="n">
        <f aca="false">AG20*Hypothèses!$D$13*$C$4</f>
        <v>92051.5515949971</v>
      </c>
      <c r="AH24" s="15" t="n">
        <f aca="false">AH20*Hypothèses!$D$13*$C$4</f>
        <v>99031.0360790471</v>
      </c>
      <c r="AI24" s="15" t="n">
        <f aca="false">AI20*Hypothèses!$D$13*$C$4</f>
        <v>105940.725718257</v>
      </c>
      <c r="AJ24" s="15" t="n">
        <f aca="false">AJ20*Hypothèses!$D$13*$C$4</f>
        <v>112781.318461074</v>
      </c>
      <c r="AK24" s="15" t="n">
        <f aca="false">AK20*Hypothèses!$D$13*$C$4</f>
        <v>119553.505276463</v>
      </c>
      <c r="AL24" s="15" t="n">
        <f aca="false">AL20*Hypothèses!$D$13*$C$4</f>
        <v>126257.970223699</v>
      </c>
      <c r="AN24" s="15" t="n">
        <f aca="false">SUM(C24:N24)</f>
        <v>23898.1653756522</v>
      </c>
      <c r="AO24" s="15" t="n">
        <f aca="false">SUM(O24:Z24)</f>
        <v>304645.250972484</v>
      </c>
      <c r="AP24" s="15" t="n">
        <f aca="false">SUM(AA24:AL24)</f>
        <v>1057357.99830569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187.695</v>
      </c>
      <c r="G25" s="15" t="n">
        <f aca="false">G21*Hypothèses!$D$14*$C$4</f>
        <v>182.06415</v>
      </c>
      <c r="H25" s="15" t="n">
        <f aca="false">H21*Hypothèses!$D$14*$C$4</f>
        <v>176.6022255</v>
      </c>
      <c r="I25" s="15" t="n">
        <f aca="false">I21*Hypothèses!$D$14*$C$4</f>
        <v>561.836203245</v>
      </c>
      <c r="J25" s="15" t="n">
        <f aca="false">J21*Hypothèses!$D$14*$C$4</f>
        <v>943.21784121255</v>
      </c>
      <c r="K25" s="15" t="n">
        <f aca="false">K21*Hypothèses!$D$14*$C$4</f>
        <v>1320.78566280042</v>
      </c>
      <c r="L25" s="15" t="n">
        <f aca="false">L21*Hypothèses!$D$14*$C$4</f>
        <v>1694.57780617242</v>
      </c>
      <c r="M25" s="15" t="n">
        <f aca="false">M21*Hypothèses!$D$14*$C$4</f>
        <v>2064.6320281107</v>
      </c>
      <c r="N25" s="15" t="n">
        <f aca="false">N21*Hypothèses!$D$14*$C$4</f>
        <v>2430.98570782959</v>
      </c>
      <c r="O25" s="15" t="n">
        <f aca="false">O21*Hypothèses!$D$14*$C$4</f>
        <v>3696.67585075129</v>
      </c>
      <c r="P25" s="15" t="n">
        <f aca="false">P21*Hypothèses!$D$14*$C$4</f>
        <v>4949.70909224378</v>
      </c>
      <c r="Q25" s="15" t="n">
        <f aca="false">Q21*Hypothèses!$D$14*$C$4</f>
        <v>6190.21200132134</v>
      </c>
      <c r="R25" s="15" t="n">
        <f aca="false">R21*Hypothèses!$D$14*$C$4</f>
        <v>7418.30988130813</v>
      </c>
      <c r="S25" s="15" t="n">
        <f aca="false">S21*Hypothèses!$D$14*$C$4</f>
        <v>8634.12678249505</v>
      </c>
      <c r="T25" s="15" t="n">
        <f aca="false">T21*Hypothèses!$D$14*$C$4</f>
        <v>9837.7855146701</v>
      </c>
      <c r="U25" s="15" t="n">
        <f aca="false">U21*Hypothèses!$D$14*$C$4</f>
        <v>11029.4076595234</v>
      </c>
      <c r="V25" s="15" t="n">
        <f aca="false">V21*Hypothèses!$D$14*$C$4</f>
        <v>12209.1135829282</v>
      </c>
      <c r="W25" s="15" t="n">
        <f aca="false">W21*Hypothèses!$D$14*$C$4</f>
        <v>13377.0224470989</v>
      </c>
      <c r="X25" s="15" t="n">
        <f aca="false">X21*Hypothèses!$D$14*$C$4</f>
        <v>14533.2522226279</v>
      </c>
      <c r="Y25" s="15" t="n">
        <f aca="false">Y21*Hypothèses!$D$14*$C$4</f>
        <v>15677.9197004016</v>
      </c>
      <c r="Z25" s="15" t="n">
        <f aca="false">Z21*Hypothèses!$D$14*$C$4</f>
        <v>16811.1405033976</v>
      </c>
      <c r="AA25" s="15" t="n">
        <f aca="false">AA21*Hypothèses!$D$14*$C$4</f>
        <v>19868.0290983636</v>
      </c>
      <c r="AB25" s="15" t="n">
        <f aca="false">AB21*Hypothèses!$D$14*$C$4</f>
        <v>22894.34880738</v>
      </c>
      <c r="AC25" s="15" t="n">
        <f aca="false">AC21*Hypothèses!$D$14*$C$4</f>
        <v>25890.4053193062</v>
      </c>
      <c r="AD25" s="15" t="n">
        <f aca="false">AD21*Hypothèses!$D$14*$C$4</f>
        <v>28856.5012661131</v>
      </c>
      <c r="AE25" s="15" t="n">
        <f aca="false">AE21*Hypothèses!$D$14*$C$4</f>
        <v>31792.936253452</v>
      </c>
      <c r="AF25" s="15" t="n">
        <f aca="false">AF21*Hypothèses!$D$14*$C$4</f>
        <v>34700.0068909175</v>
      </c>
      <c r="AG25" s="15" t="n">
        <f aca="false">AG21*Hypothèses!$D$14*$C$4</f>
        <v>37578.0068220083</v>
      </c>
      <c r="AH25" s="15" t="n">
        <f aca="false">AH21*Hypothèses!$D$14*$C$4</f>
        <v>40427.2267537882</v>
      </c>
      <c r="AI25" s="15" t="n">
        <f aca="false">AI21*Hypothèses!$D$14*$C$4</f>
        <v>43247.9544862503</v>
      </c>
      <c r="AJ25" s="15" t="n">
        <f aca="false">AJ21*Hypothèses!$D$14*$C$4</f>
        <v>46040.4749413878</v>
      </c>
      <c r="AK25" s="15" t="n">
        <f aca="false">AK21*Hypothèses!$D$14*$C$4</f>
        <v>48805.0701919739</v>
      </c>
      <c r="AL25" s="15" t="n">
        <f aca="false">AL21*Hypothèses!$D$14*$C$4</f>
        <v>51542.0194900542</v>
      </c>
      <c r="AN25" s="15" t="n">
        <f aca="false">SUM(C25:N25)</f>
        <v>9755.89662487068</v>
      </c>
      <c r="AO25" s="15" t="n">
        <f aca="false">SUM(O25:Z25)</f>
        <v>124364.675238767</v>
      </c>
      <c r="AP25" s="15" t="n">
        <f aca="false">SUM(AA25:AL25)</f>
        <v>431642.980320995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717.8</v>
      </c>
      <c r="G26" s="40" t="n">
        <f aca="false">G23+G24+G25</f>
        <v>696.266</v>
      </c>
      <c r="H26" s="40" t="n">
        <f aca="false">H23+H24+H25</f>
        <v>675.37802</v>
      </c>
      <c r="I26" s="40" t="n">
        <f aca="false">I23+I24+I25</f>
        <v>2148.6242398</v>
      </c>
      <c r="J26" s="40" t="n">
        <f aca="false">J23+J24+J25</f>
        <v>3607.137997402</v>
      </c>
      <c r="K26" s="40" t="n">
        <f aca="false">K23+K24+K25</f>
        <v>5051.06661742798</v>
      </c>
      <c r="L26" s="40" t="n">
        <f aca="false">L23+L24+L25</f>
        <v>6480.5559512537</v>
      </c>
      <c r="M26" s="40" t="n">
        <f aca="false">M23+M24+M25</f>
        <v>7895.75039174116</v>
      </c>
      <c r="N26" s="40" t="n">
        <f aca="false">N23+N24+N25</f>
        <v>9296.79288782375</v>
      </c>
      <c r="O26" s="40" t="n">
        <f aca="false">O23+O24+O25</f>
        <v>14137.1582922788</v>
      </c>
      <c r="P26" s="40" t="n">
        <f aca="false">P23+P24+P25</f>
        <v>18929.1200426894</v>
      </c>
      <c r="Q26" s="40" t="n">
        <f aca="false">Q23+Q24+Q25</f>
        <v>23673.1621755958</v>
      </c>
      <c r="R26" s="40" t="n">
        <f aca="false">R23+R24+R25</f>
        <v>28369.7638871732</v>
      </c>
      <c r="S26" s="40" t="n">
        <f aca="false">S23+S24+S25</f>
        <v>33019.3995816348</v>
      </c>
      <c r="T26" s="40" t="n">
        <f aca="false">T23+T24+T25</f>
        <v>37622.5389191518</v>
      </c>
      <c r="U26" s="40" t="n">
        <f aca="false">U23+U24+U25</f>
        <v>42179.6468632936</v>
      </c>
      <c r="V26" s="40" t="n">
        <f aca="false">V23+V24+V25</f>
        <v>46691.183727994</v>
      </c>
      <c r="W26" s="40" t="n">
        <f aca="false">W23+W24+W25</f>
        <v>51157.6052240474</v>
      </c>
      <c r="X26" s="40" t="n">
        <f aca="false">X23+X24+X25</f>
        <v>55579.3625051402</v>
      </c>
      <c r="Y26" s="40" t="n">
        <f aca="false">Y23+Y24+Y25</f>
        <v>59956.9022134222</v>
      </c>
      <c r="Z26" s="40" t="n">
        <f aca="false">Z23+Z24+Z25</f>
        <v>64290.6665246213</v>
      </c>
      <c r="AA26" s="40" t="n">
        <f aca="false">AA23+AA24+AA25</f>
        <v>75981.0931927084</v>
      </c>
      <c r="AB26" s="40" t="n">
        <f aca="false">AB23+AB24+AB25</f>
        <v>87554.6155941146</v>
      </c>
      <c r="AC26" s="40" t="n">
        <f aca="false">AC23+AC24+AC25</f>
        <v>99012.4027715068</v>
      </c>
      <c r="AD26" s="40" t="n">
        <f aca="false">AD23+AD24+AD25</f>
        <v>110355.612077125</v>
      </c>
      <c r="AE26" s="40" t="n">
        <f aca="false">AE23+AE24+AE25</f>
        <v>121585.389289687</v>
      </c>
      <c r="AF26" s="40" t="n">
        <f aca="false">AF23+AF24+AF25</f>
        <v>132702.868730124</v>
      </c>
      <c r="AG26" s="40" t="n">
        <f aca="false">AG23+AG24+AG25</f>
        <v>143709.173376156</v>
      </c>
      <c r="AH26" s="40" t="n">
        <f aca="false">AH23+AH24+AH25</f>
        <v>154605.414975728</v>
      </c>
      <c r="AI26" s="40" t="n">
        <f aca="false">AI23+AI24+AI25</f>
        <v>165392.694159304</v>
      </c>
      <c r="AJ26" s="40" t="n">
        <f aca="false">AJ23+AJ24+AJ25</f>
        <v>176072.100551044</v>
      </c>
      <c r="AK26" s="40" t="n">
        <f aca="false">AK23+AK24+AK25</f>
        <v>186644.712878867</v>
      </c>
      <c r="AL26" s="40" t="n">
        <f aca="false">AL23+AL24+AL25</f>
        <v>197111.599083411</v>
      </c>
      <c r="AN26" s="40" t="n">
        <f aca="false">SUM(C26:N26)</f>
        <v>37309.3721054486</v>
      </c>
      <c r="AO26" s="40" t="n">
        <f aca="false">SUM(O26:Z26)</f>
        <v>475606.509957043</v>
      </c>
      <c r="AP26" s="40" t="n">
        <f aca="false">SUM(AA26:AL26)</f>
        <v>1650727.67667978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119.633333333333</v>
      </c>
      <c r="G27" s="15" t="n">
        <f aca="false">G26*Hypothèses!$D$15/(1+Hypothèses!$D$15)</f>
        <v>116.044333333333</v>
      </c>
      <c r="H27" s="15" t="n">
        <f aca="false">H26*Hypothèses!$D$15/(1+Hypothèses!$D$15)</f>
        <v>112.563003333333</v>
      </c>
      <c r="I27" s="15" t="n">
        <f aca="false">I26*Hypothèses!$D$15/(1+Hypothèses!$D$15)</f>
        <v>358.104039966667</v>
      </c>
      <c r="J27" s="15" t="n">
        <f aca="false">J26*Hypothèses!$D$15/(1+Hypothèses!$D$15)</f>
        <v>601.189666233667</v>
      </c>
      <c r="K27" s="15" t="n">
        <f aca="false">K26*Hypothèses!$D$15/(1+Hypothèses!$D$15)</f>
        <v>841.844436237997</v>
      </c>
      <c r="L27" s="15" t="n">
        <f aca="false">L26*Hypothèses!$D$15/(1+Hypothèses!$D$15)</f>
        <v>1080.09265854228</v>
      </c>
      <c r="M27" s="15" t="n">
        <f aca="false">M26*Hypothèses!$D$15/(1+Hypothèses!$D$15)</f>
        <v>1315.95839862353</v>
      </c>
      <c r="N27" s="15" t="n">
        <f aca="false">N26*Hypothèses!$D$15/(1+Hypothèses!$D$15)</f>
        <v>1549.46548130396</v>
      </c>
      <c r="O27" s="15" t="n">
        <f aca="false">O26*Hypothèses!$D$15/(1+Hypothèses!$D$15)</f>
        <v>2356.19304871314</v>
      </c>
      <c r="P27" s="15" t="n">
        <f aca="false">P26*Hypothèses!$D$15/(1+Hypothèses!$D$15)</f>
        <v>3154.85334044823</v>
      </c>
      <c r="Q27" s="15" t="n">
        <f aca="false">Q26*Hypothèses!$D$15/(1+Hypothèses!$D$15)</f>
        <v>3945.52702926597</v>
      </c>
      <c r="R27" s="15" t="n">
        <f aca="false">R26*Hypothèses!$D$15/(1+Hypothèses!$D$15)</f>
        <v>4728.29398119554</v>
      </c>
      <c r="S27" s="15" t="n">
        <f aca="false">S26*Hypothèses!$D$15/(1+Hypothèses!$D$15)</f>
        <v>5503.2332636058</v>
      </c>
      <c r="T27" s="15" t="n">
        <f aca="false">T26*Hypothèses!$D$15/(1+Hypothèses!$D$15)</f>
        <v>6270.42315319197</v>
      </c>
      <c r="U27" s="15" t="n">
        <f aca="false">U26*Hypothèses!$D$15/(1+Hypothèses!$D$15)</f>
        <v>7029.94114388227</v>
      </c>
      <c r="V27" s="15" t="n">
        <f aca="false">V26*Hypothèses!$D$15/(1+Hypothèses!$D$15)</f>
        <v>7781.86395466566</v>
      </c>
      <c r="W27" s="15" t="n">
        <f aca="false">W26*Hypothèses!$D$15/(1+Hypothèses!$D$15)</f>
        <v>8526.26753734123</v>
      </c>
      <c r="X27" s="15" t="n">
        <f aca="false">X26*Hypothèses!$D$15/(1+Hypothèses!$D$15)</f>
        <v>9263.22708419004</v>
      </c>
      <c r="Y27" s="15" t="n">
        <f aca="false">Y26*Hypothèses!$D$15/(1+Hypothèses!$D$15)</f>
        <v>9992.81703557036</v>
      </c>
      <c r="Z27" s="15" t="n">
        <f aca="false">Z26*Hypothèses!$D$15/(1+Hypothèses!$D$15)</f>
        <v>10715.1110874369</v>
      </c>
      <c r="AA27" s="15" t="n">
        <f aca="false">AA26*Hypothèses!$D$15/(1+Hypothèses!$D$15)</f>
        <v>12663.5155321181</v>
      </c>
      <c r="AB27" s="15" t="n">
        <f aca="false">AB26*Hypothèses!$D$15/(1+Hypothèses!$D$15)</f>
        <v>14592.4359323524</v>
      </c>
      <c r="AC27" s="15" t="n">
        <f aca="false">AC26*Hypothèses!$D$15/(1+Hypothèses!$D$15)</f>
        <v>16502.0671285845</v>
      </c>
      <c r="AD27" s="15" t="n">
        <f aca="false">AD26*Hypothèses!$D$15/(1+Hypothèses!$D$15)</f>
        <v>18392.6020128542</v>
      </c>
      <c r="AE27" s="15" t="n">
        <f aca="false">AE26*Hypothèses!$D$15/(1+Hypothèses!$D$15)</f>
        <v>20264.2315482812</v>
      </c>
      <c r="AF27" s="15" t="n">
        <f aca="false">AF26*Hypothèses!$D$15/(1+Hypothèses!$D$15)</f>
        <v>22117.1447883539</v>
      </c>
      <c r="AG27" s="15" t="n">
        <f aca="false">AG26*Hypothèses!$D$15/(1+Hypothèses!$D$15)</f>
        <v>23951.528896026</v>
      </c>
      <c r="AH27" s="15" t="n">
        <f aca="false">AH26*Hypothèses!$D$15/(1+Hypothèses!$D$15)</f>
        <v>25767.5691626213</v>
      </c>
      <c r="AI27" s="15" t="n">
        <f aca="false">AI26*Hypothèses!$D$15/(1+Hypothèses!$D$15)</f>
        <v>27565.4490265506</v>
      </c>
      <c r="AJ27" s="15" t="n">
        <f aca="false">AJ26*Hypothèses!$D$15/(1+Hypothèses!$D$15)</f>
        <v>29345.3500918407</v>
      </c>
      <c r="AK27" s="15" t="n">
        <f aca="false">AK26*Hypothèses!$D$15/(1+Hypothèses!$D$15)</f>
        <v>31107.4521464778</v>
      </c>
      <c r="AL27" s="15" t="n">
        <f aca="false">AL26*Hypothèses!$D$15/(1+Hypothèses!$D$15)</f>
        <v>32851.9331805686</v>
      </c>
      <c r="AN27" s="15" t="n">
        <f aca="false">SUM(C27:N27)</f>
        <v>6218.22868424143</v>
      </c>
      <c r="AO27" s="15" t="n">
        <f aca="false">SUM(O27:Z27)</f>
        <v>79267.7516595071</v>
      </c>
      <c r="AP27" s="15" t="n">
        <f aca="false">SUM(AA27:AL27)</f>
        <v>275121.279446629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598.166666666667</v>
      </c>
      <c r="G28" s="40" t="n">
        <f aca="false">G26-G27</f>
        <v>580.221666666667</v>
      </c>
      <c r="H28" s="40" t="n">
        <f aca="false">H26-H27</f>
        <v>562.815016666667</v>
      </c>
      <c r="I28" s="40" t="n">
        <f aca="false">I26-I27</f>
        <v>1790.52019983333</v>
      </c>
      <c r="J28" s="40" t="n">
        <f aca="false">J26-J27</f>
        <v>3005.94833116833</v>
      </c>
      <c r="K28" s="40" t="n">
        <f aca="false">K26-K27</f>
        <v>4209.22218118998</v>
      </c>
      <c r="L28" s="40" t="n">
        <f aca="false">L26-L27</f>
        <v>5400.46329271142</v>
      </c>
      <c r="M28" s="40" t="n">
        <f aca="false">M26-M27</f>
        <v>6579.79199311764</v>
      </c>
      <c r="N28" s="40" t="n">
        <f aca="false">N26-N27</f>
        <v>7747.32740651979</v>
      </c>
      <c r="O28" s="40" t="n">
        <f aca="false">O26-O27</f>
        <v>11780.9652435657</v>
      </c>
      <c r="P28" s="40" t="n">
        <f aca="false">P26-P27</f>
        <v>15774.2667022412</v>
      </c>
      <c r="Q28" s="40" t="n">
        <f aca="false">Q26-Q27</f>
        <v>19727.6351463299</v>
      </c>
      <c r="R28" s="40" t="n">
        <f aca="false">R26-R27</f>
        <v>23641.4699059777</v>
      </c>
      <c r="S28" s="40" t="n">
        <f aca="false">S26-S27</f>
        <v>27516.166318029</v>
      </c>
      <c r="T28" s="40" t="n">
        <f aca="false">T26-T27</f>
        <v>31352.1157659598</v>
      </c>
      <c r="U28" s="40" t="n">
        <f aca="false">U26-U27</f>
        <v>35149.7057194113</v>
      </c>
      <c r="V28" s="40" t="n">
        <f aca="false">V26-V27</f>
        <v>38909.3197733283</v>
      </c>
      <c r="W28" s="40" t="n">
        <f aca="false">W26-W27</f>
        <v>42631.3376867061</v>
      </c>
      <c r="X28" s="40" t="n">
        <f aca="false">X26-X27</f>
        <v>46316.1354209502</v>
      </c>
      <c r="Y28" s="40" t="n">
        <f aca="false">Y26-Y27</f>
        <v>49964.0851778518</v>
      </c>
      <c r="Z28" s="40" t="n">
        <f aca="false">Z26-Z27</f>
        <v>53575.5554371844</v>
      </c>
      <c r="AA28" s="40" t="n">
        <f aca="false">AA26-AA27</f>
        <v>63317.5776605903</v>
      </c>
      <c r="AB28" s="40" t="n">
        <f aca="false">AB26-AB27</f>
        <v>72962.1796617622</v>
      </c>
      <c r="AC28" s="40" t="n">
        <f aca="false">AC26-AC27</f>
        <v>82510.3356429224</v>
      </c>
      <c r="AD28" s="40" t="n">
        <f aca="false">AD26-AD27</f>
        <v>91963.0100642709</v>
      </c>
      <c r="AE28" s="40" t="n">
        <f aca="false">AE26-AE27</f>
        <v>101321.157741406</v>
      </c>
      <c r="AF28" s="40" t="n">
        <f aca="false">AF26-AF27</f>
        <v>110585.72394177</v>
      </c>
      <c r="AG28" s="40" t="n">
        <f aca="false">AG26-AG27</f>
        <v>119757.64448013</v>
      </c>
      <c r="AH28" s="40" t="n">
        <f aca="false">AH26-AH27</f>
        <v>128837.845813106</v>
      </c>
      <c r="AI28" s="40" t="n">
        <f aca="false">AI26-AI27</f>
        <v>137827.245132753</v>
      </c>
      <c r="AJ28" s="40" t="n">
        <f aca="false">AJ26-AJ27</f>
        <v>146726.750459203</v>
      </c>
      <c r="AK28" s="40" t="n">
        <f aca="false">AK26-AK27</f>
        <v>155537.260732389</v>
      </c>
      <c r="AL28" s="40" t="n">
        <f aca="false">AL26-AL27</f>
        <v>164259.665902843</v>
      </c>
      <c r="AN28" s="40" t="n">
        <f aca="false">SUM(C28:N28)</f>
        <v>31091.1434212072</v>
      </c>
      <c r="AO28" s="40" t="n">
        <f aca="false">SUM(O28:Z28)</f>
        <v>396338.758297536</v>
      </c>
      <c r="AP28" s="40" t="n">
        <f aca="false">SUM(AA28:AL28)</f>
        <v>1375606.39723315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7.178</v>
      </c>
      <c r="G29" s="15" t="n">
        <f aca="false">G26*Hypothèses!$D$27</f>
        <v>6.96266</v>
      </c>
      <c r="H29" s="15" t="n">
        <f aca="false">H26*Hypothèses!$D$27</f>
        <v>6.7537802</v>
      </c>
      <c r="I29" s="15" t="n">
        <f aca="false">I26*Hypothèses!$D$27</f>
        <v>21.486242398</v>
      </c>
      <c r="J29" s="15" t="n">
        <f aca="false">J26*Hypothèses!$D$27</f>
        <v>36.07137997402</v>
      </c>
      <c r="K29" s="15" t="n">
        <f aca="false">K26*Hypothèses!$D$27</f>
        <v>50.5106661742798</v>
      </c>
      <c r="L29" s="15" t="n">
        <f aca="false">L26*Hypothèses!$D$27</f>
        <v>64.805559512537</v>
      </c>
      <c r="M29" s="15" t="n">
        <f aca="false">M26*Hypothèses!$D$27</f>
        <v>78.9575039174116</v>
      </c>
      <c r="N29" s="15" t="n">
        <f aca="false">N26*Hypothèses!$D$27</f>
        <v>92.9679288782375</v>
      </c>
      <c r="O29" s="15" t="n">
        <f aca="false">O26*Hypothèses!$D$27</f>
        <v>141.371582922788</v>
      </c>
      <c r="P29" s="15" t="n">
        <f aca="false">P26*Hypothèses!$D$27</f>
        <v>189.291200426894</v>
      </c>
      <c r="Q29" s="15" t="n">
        <f aca="false">Q26*Hypothèses!$D$27</f>
        <v>236.731621755958</v>
      </c>
      <c r="R29" s="15" t="n">
        <f aca="false">R26*Hypothèses!$D$27</f>
        <v>283.697638871732</v>
      </c>
      <c r="S29" s="15" t="n">
        <f aca="false">S26*Hypothèses!$D$27</f>
        <v>330.193995816348</v>
      </c>
      <c r="T29" s="15" t="n">
        <f aca="false">T26*Hypothèses!$D$27</f>
        <v>376.225389191518</v>
      </c>
      <c r="U29" s="15" t="n">
        <f aca="false">U26*Hypothèses!$D$27</f>
        <v>421.796468632936</v>
      </c>
      <c r="V29" s="15" t="n">
        <f aca="false">V26*Hypothèses!$D$27</f>
        <v>466.91183727994</v>
      </c>
      <c r="W29" s="15" t="n">
        <f aca="false">W26*Hypothèses!$D$27</f>
        <v>511.576052240474</v>
      </c>
      <c r="X29" s="15" t="n">
        <f aca="false">X26*Hypothèses!$D$27</f>
        <v>555.793625051402</v>
      </c>
      <c r="Y29" s="15" t="n">
        <f aca="false">Y26*Hypothèses!$D$27</f>
        <v>599.569022134222</v>
      </c>
      <c r="Z29" s="15" t="n">
        <f aca="false">Z26*Hypothèses!$D$27</f>
        <v>642.906665246213</v>
      </c>
      <c r="AA29" s="15" t="n">
        <f aca="false">AA26*Hypothèses!$D$27</f>
        <v>759.810931927084</v>
      </c>
      <c r="AB29" s="15" t="n">
        <f aca="false">AB26*Hypothèses!$D$27</f>
        <v>875.546155941147</v>
      </c>
      <c r="AC29" s="15" t="n">
        <f aca="false">AC26*Hypothèses!$D$27</f>
        <v>990.124027715068</v>
      </c>
      <c r="AD29" s="15" t="n">
        <f aca="false">AD26*Hypothèses!$D$27</f>
        <v>1103.55612077125</v>
      </c>
      <c r="AE29" s="15" t="n">
        <f aca="false">AE26*Hypothèses!$D$27</f>
        <v>1215.85389289687</v>
      </c>
      <c r="AF29" s="15" t="n">
        <f aca="false">AF26*Hypothèses!$D$27</f>
        <v>1327.02868730124</v>
      </c>
      <c r="AG29" s="15" t="n">
        <f aca="false">AG26*Hypothèses!$D$27</f>
        <v>1437.09173376156</v>
      </c>
      <c r="AH29" s="15" t="n">
        <f aca="false">AH26*Hypothèses!$D$27</f>
        <v>1546.05414975728</v>
      </c>
      <c r="AI29" s="15" t="n">
        <f aca="false">AI26*Hypothèses!$D$27</f>
        <v>1653.92694159304</v>
      </c>
      <c r="AJ29" s="15" t="n">
        <f aca="false">AJ26*Hypothèses!$D$27</f>
        <v>1760.72100551044</v>
      </c>
      <c r="AK29" s="15" t="n">
        <f aca="false">AK26*Hypothèses!$D$27</f>
        <v>1866.44712878867</v>
      </c>
      <c r="AL29" s="15" t="n">
        <f aca="false">AL26*Hypothèses!$D$27</f>
        <v>1971.11599083411</v>
      </c>
      <c r="AN29" s="15" t="n">
        <f aca="false">SUM(C29:N29)</f>
        <v>373.093721054486</v>
      </c>
      <c r="AO29" s="15" t="n">
        <f aca="false">SUM(O29:Z29)</f>
        <v>4756.06509957043</v>
      </c>
      <c r="AP29" s="15" t="n">
        <f aca="false">SUM(AA29:AL29)</f>
        <v>16507.2767667977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13.08433</v>
      </c>
      <c r="G30" s="15" t="n">
        <f aca="false">(G26-G29)*Hypothèses!$D$28+G18*Hypothèses!$D$29</f>
        <v>12.6918001</v>
      </c>
      <c r="H30" s="15" t="n">
        <f aca="false">(H26-H29)*Hypothèses!$D$28+H18*Hypothèses!$D$29</f>
        <v>12.311046097</v>
      </c>
      <c r="I30" s="15" t="n">
        <f aca="false">(I26-I29)*Hypothèses!$D$28+I18*Hypothèses!$D$29</f>
        <v>39.16593563603</v>
      </c>
      <c r="J30" s="15" t="n">
        <f aca="false">(J26-J29)*Hypothèses!$D$28+J18*Hypothèses!$D$29</f>
        <v>65.7522762796697</v>
      </c>
      <c r="K30" s="15" t="n">
        <f aca="false">(K26-K29)*Hypothèses!$D$28+K18*Hypothèses!$D$29</f>
        <v>92.072753516873</v>
      </c>
      <c r="L30" s="15" t="n">
        <f aca="false">(L26-L29)*Hypothèses!$D$28+L18*Hypothèses!$D$29</f>
        <v>118.130025981704</v>
      </c>
      <c r="M30" s="15" t="n">
        <f aca="false">(M26-M29)*Hypothèses!$D$28+M18*Hypothèses!$D$29</f>
        <v>143.926725721887</v>
      </c>
      <c r="N30" s="15" t="n">
        <f aca="false">(N26-N29)*Hypothèses!$D$28+N18*Hypothèses!$D$29</f>
        <v>169.465458464668</v>
      </c>
      <c r="O30" s="15" t="n">
        <f aca="false">(O26-O29)*Hypothèses!$D$28+O18*Hypothèses!$D$29</f>
        <v>257.697470546688</v>
      </c>
      <c r="P30" s="15" t="n">
        <f aca="false">(P26-P29)*Hypothèses!$D$28+P18*Hypothèses!$D$29</f>
        <v>345.047162507888</v>
      </c>
      <c r="Q30" s="15" t="n">
        <f aca="false">(Q26-Q29)*Hypothèses!$D$28+Q18*Hypothèses!$D$29</f>
        <v>431.523357549476</v>
      </c>
      <c r="R30" s="15" t="n">
        <f aca="false">(R26-R29)*Hypothèses!$D$28+R18*Hypothèses!$D$29</f>
        <v>517.134790640648</v>
      </c>
      <c r="S30" s="15" t="n">
        <f aca="false">(S26-S29)*Hypothèses!$D$28+S18*Hypothèses!$D$29</f>
        <v>601.890109400908</v>
      </c>
      <c r="T30" s="15" t="n">
        <f aca="false">(T26-T29)*Hypothèses!$D$28+T18*Hypothèses!$D$29</f>
        <v>685.797874973566</v>
      </c>
      <c r="U30" s="15" t="n">
        <f aca="false">(U26-U29)*Hypothèses!$D$28+U18*Hypothèses!$D$29</f>
        <v>768.866562890496</v>
      </c>
      <c r="V30" s="15" t="n">
        <f aca="false">(V26-V29)*Hypothèses!$D$28+V18*Hypothèses!$D$29</f>
        <v>851.104563928258</v>
      </c>
      <c r="W30" s="15" t="n">
        <f aca="false">(W26-W29)*Hypothèses!$D$28+W18*Hypothèses!$D$29</f>
        <v>932.520184955642</v>
      </c>
      <c r="X30" s="15" t="n">
        <f aca="false">(X26-X29)*Hypothèses!$D$28+X18*Hypothèses!$D$29</f>
        <v>1013.12164977275</v>
      </c>
      <c r="Y30" s="15" t="n">
        <f aca="false">(Y26-Y29)*Hypothèses!$D$28+Y18*Hypothèses!$D$29</f>
        <v>1092.91709994169</v>
      </c>
      <c r="Z30" s="15" t="n">
        <f aca="false">(Z26-Z29)*Hypothèses!$D$28+Z18*Hypothèses!$D$29</f>
        <v>1171.91459560894</v>
      </c>
      <c r="AA30" s="15" t="n">
        <f aca="false">(AA26-AA29)*Hypothèses!$D$28+AA18*Hypothèses!$D$29</f>
        <v>1385.01211631952</v>
      </c>
      <c r="AB30" s="15" t="n">
        <f aca="false">(AB26-AB29)*Hypothèses!$D$28+AB18*Hypothèses!$D$29</f>
        <v>1595.97866182299</v>
      </c>
      <c r="AC30" s="15" t="n">
        <f aca="false">(AC26-AC29)*Hypothèses!$D$28+AC18*Hypothèses!$D$29</f>
        <v>1804.83554187143</v>
      </c>
      <c r="AD30" s="15" t="n">
        <f aca="false">(AD26-AD29)*Hypothèses!$D$28+AD18*Hypothèses!$D$29</f>
        <v>2011.60385311938</v>
      </c>
      <c r="AE30" s="15" t="n">
        <f aca="false">(AE26-AE29)*Hypothèses!$D$28+AE18*Hypothèses!$D$29</f>
        <v>2216.30448125485</v>
      </c>
      <c r="AF30" s="15" t="n">
        <f aca="false">(AF26-AF29)*Hypothèses!$D$28+AF18*Hypothèses!$D$29</f>
        <v>2418.95810310897</v>
      </c>
      <c r="AG30" s="15" t="n">
        <f aca="false">(AG26-AG29)*Hypothèses!$D$28+AG18*Hypothèses!$D$29</f>
        <v>2619.58518874455</v>
      </c>
      <c r="AH30" s="15" t="n">
        <f aca="false">(AH26-AH29)*Hypothèses!$D$28+AH18*Hypothèses!$D$29</f>
        <v>2818.20600352377</v>
      </c>
      <c r="AI30" s="15" t="n">
        <f aca="false">(AI26-AI29)*Hypothèses!$D$28+AI18*Hypothèses!$D$29</f>
        <v>3014.8406101552</v>
      </c>
      <c r="AJ30" s="15" t="n">
        <f aca="false">(AJ26-AJ29)*Hypothèses!$D$28+AJ18*Hypothèses!$D$29</f>
        <v>3209.50887072031</v>
      </c>
      <c r="AK30" s="15" t="n">
        <f aca="false">(AK26-AK29)*Hypothèses!$D$28+AK18*Hypothèses!$D$29</f>
        <v>3402.23044867978</v>
      </c>
      <c r="AL30" s="15" t="n">
        <f aca="false">(AL26-AL29)*Hypothèses!$D$28+AL18*Hypothèses!$D$29</f>
        <v>3593.02481085964</v>
      </c>
      <c r="AN30" s="15" t="n">
        <f aca="false">SUM(C30:N30)</f>
        <v>680.089351797833</v>
      </c>
      <c r="AO30" s="15" t="n">
        <f aca="false">SUM(O30:Z30)</f>
        <v>8669.53542271696</v>
      </c>
      <c r="AP30" s="15" t="n">
        <f aca="false">SUM(AA30:AL30)</f>
        <v>30090.0886901804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697.53767</v>
      </c>
      <c r="G31" s="40" t="n">
        <f aca="false">G26-G29-G30</f>
        <v>676.6115399</v>
      </c>
      <c r="H31" s="40" t="n">
        <f aca="false">H26-H29-H30</f>
        <v>656.313193703</v>
      </c>
      <c r="I31" s="40" t="n">
        <f aca="false">I26-I29-I30</f>
        <v>2087.97206176597</v>
      </c>
      <c r="J31" s="40" t="n">
        <f aca="false">J26-J29-J30</f>
        <v>3505.31434114831</v>
      </c>
      <c r="K31" s="40" t="n">
        <f aca="false">K26-K29-K30</f>
        <v>4908.48319773683</v>
      </c>
      <c r="L31" s="40" t="n">
        <f aca="false">L26-L29-L30</f>
        <v>6297.62036575946</v>
      </c>
      <c r="M31" s="40" t="n">
        <f aca="false">M26-M29-M30</f>
        <v>7672.86616210186</v>
      </c>
      <c r="N31" s="40" t="n">
        <f aca="false">N26-N29-N30</f>
        <v>9034.35950048085</v>
      </c>
      <c r="O31" s="40" t="n">
        <f aca="false">O26-O29-O30</f>
        <v>13738.0892388094</v>
      </c>
      <c r="P31" s="40" t="n">
        <f aca="false">P26-P29-P30</f>
        <v>18394.7816797546</v>
      </c>
      <c r="Q31" s="40" t="n">
        <f aca="false">Q26-Q29-Q30</f>
        <v>23004.9071962904</v>
      </c>
      <c r="R31" s="40" t="n">
        <f aca="false">R26-R29-R30</f>
        <v>27568.9314576608</v>
      </c>
      <c r="S31" s="40" t="n">
        <f aca="false">S26-S29-S30</f>
        <v>32087.3154764176</v>
      </c>
      <c r="T31" s="40" t="n">
        <f aca="false">T26-T29-T30</f>
        <v>36560.5156549867</v>
      </c>
      <c r="U31" s="40" t="n">
        <f aca="false">U26-U29-U30</f>
        <v>40988.9838317702</v>
      </c>
      <c r="V31" s="40" t="n">
        <f aca="false">V26-V29-V30</f>
        <v>45373.1673267858</v>
      </c>
      <c r="W31" s="40" t="n">
        <f aca="false">W26-W29-W30</f>
        <v>49713.5089868513</v>
      </c>
      <c r="X31" s="40" t="n">
        <f aca="false">X26-X29-X30</f>
        <v>54010.4472303161</v>
      </c>
      <c r="Y31" s="40" t="n">
        <f aca="false">Y26-Y29-Y30</f>
        <v>58264.4160913463</v>
      </c>
      <c r="Z31" s="40" t="n">
        <f aca="false">Z26-Z29-Z30</f>
        <v>62475.8452637661</v>
      </c>
      <c r="AA31" s="40" t="n">
        <f aca="false">AA26-AA29-AA30</f>
        <v>73836.2701444618</v>
      </c>
      <c r="AB31" s="40" t="n">
        <f aca="false">AB26-AB29-AB30</f>
        <v>85083.0907763505</v>
      </c>
      <c r="AC31" s="40" t="n">
        <f aca="false">AC26-AC29-AC30</f>
        <v>96217.4432019204</v>
      </c>
      <c r="AD31" s="40" t="n">
        <f aca="false">AD26-AD29-AD30</f>
        <v>107240.452103234</v>
      </c>
      <c r="AE31" s="40" t="n">
        <f aca="false">AE26-AE29-AE30</f>
        <v>118153.230915535</v>
      </c>
      <c r="AF31" s="40" t="n">
        <f aca="false">AF26-AF29-AF30</f>
        <v>128956.881939713</v>
      </c>
      <c r="AG31" s="40" t="n">
        <f aca="false">AG26-AG29-AG30</f>
        <v>139652.49645365</v>
      </c>
      <c r="AH31" s="40" t="n">
        <f aca="false">AH26-AH29-AH30</f>
        <v>150241.154822447</v>
      </c>
      <c r="AI31" s="40" t="n">
        <f aca="false">AI26-AI29-AI30</f>
        <v>160723.926607555</v>
      </c>
      <c r="AJ31" s="40" t="n">
        <f aca="false">AJ26-AJ29-AJ30</f>
        <v>171101.870674813</v>
      </c>
      <c r="AK31" s="40" t="n">
        <f aca="false">AK26-AK29-AK30</f>
        <v>181376.035301398</v>
      </c>
      <c r="AL31" s="40" t="n">
        <f aca="false">AL26-AL29-AL30</f>
        <v>191547.458281718</v>
      </c>
      <c r="AN31" s="40" t="n">
        <f aca="false">SUM(C31:N31)</f>
        <v>36256.1890325963</v>
      </c>
      <c r="AO31" s="40" t="n">
        <f aca="false">SUM(O31:Z31)</f>
        <v>462180.909434755</v>
      </c>
      <c r="AP31" s="40" t="n">
        <f aca="false">SUM(AA31:AL31)</f>
        <v>1604130.3112228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95.157</v>
      </c>
      <c r="G33" s="15" t="n">
        <f aca="false">(G19*Hypothèses!$D$31+G20*Hypothèses!$D$32+G21*Hypothèses!$D$33)*Hypothèses!$D$34*$F$4</f>
        <v>92.30229</v>
      </c>
      <c r="H33" s="15" t="n">
        <f aca="false">(H19*Hypothèses!$D$31+H20*Hypothèses!$D$32+H21*Hypothèses!$D$33)*Hypothèses!$D$34*$F$4</f>
        <v>89.5332213</v>
      </c>
      <c r="I33" s="15" t="n">
        <f aca="false">(I19*Hypothèses!$D$31+I20*Hypothèses!$D$32+I21*Hypothèses!$D$33)*Hypothèses!$D$34*$F$4</f>
        <v>284.837889087</v>
      </c>
      <c r="J33" s="15" t="n">
        <f aca="false">(J19*Hypothèses!$D$31+J20*Hypothèses!$D$32+J21*Hypothèses!$D$33)*Hypothèses!$D$34*$F$4</f>
        <v>478.18951019613</v>
      </c>
      <c r="K33" s="15" t="n">
        <f aca="false">(K19*Hypothèses!$D$31+K20*Hypothèses!$D$32+K21*Hypothèses!$D$33)*Hypothèses!$D$34*$F$4</f>
        <v>669.607615094169</v>
      </c>
      <c r="L33" s="15" t="n">
        <f aca="false">(L19*Hypothèses!$D$31+L20*Hypothèses!$D$32+L21*Hypothèses!$D$33)*Hypothèses!$D$34*$F$4</f>
        <v>859.111538943227</v>
      </c>
      <c r="M33" s="15" t="n">
        <f aca="false">(M19*Hypothèses!$D$31+M20*Hypothèses!$D$32+M21*Hypothèses!$D$33)*Hypothèses!$D$34*$F$4</f>
        <v>1046.72042355379</v>
      </c>
      <c r="N33" s="15" t="n">
        <f aca="false">(N19*Hypothèses!$D$31+N20*Hypothèses!$D$32+N21*Hypothèses!$D$33)*Hypothèses!$D$34*$F$4</f>
        <v>1232.45321931826</v>
      </c>
      <c r="O33" s="15" t="n">
        <f aca="false">(O19*Hypothèses!$D$31+O20*Hypothèses!$D$32+O21*Hypothèses!$D$33)*Hypothèses!$D$34*$F$4</f>
        <v>1874.12868712507</v>
      </c>
      <c r="P33" s="15" t="n">
        <f aca="false">(P19*Hypothèses!$D$31+P20*Hypothèses!$D$32+P21*Hypothèses!$D$33)*Hypothèses!$D$34*$F$4</f>
        <v>2509.38740025382</v>
      </c>
      <c r="Q33" s="15" t="n">
        <f aca="false">(Q19*Hypothèses!$D$31+Q20*Hypothèses!$D$32+Q21*Hypothèses!$D$33)*Hypothèses!$D$34*$F$4</f>
        <v>3138.29352625128</v>
      </c>
      <c r="R33" s="15" t="n">
        <f aca="false">(R19*Hypothèses!$D$31+R20*Hypothèses!$D$32+R21*Hypothèses!$D$33)*Hypothèses!$D$34*$F$4</f>
        <v>3760.91059098877</v>
      </c>
      <c r="S33" s="15" t="n">
        <f aca="false">(S19*Hypothèses!$D$31+S20*Hypothèses!$D$32+S21*Hypothèses!$D$33)*Hypothèses!$D$34*$F$4</f>
        <v>4377.30148507889</v>
      </c>
      <c r="T33" s="15" t="n">
        <f aca="false">(T19*Hypothèses!$D$31+T20*Hypothèses!$D$32+T21*Hypothèses!$D$33)*Hypothèses!$D$34*$F$4</f>
        <v>4987.52847022809</v>
      </c>
      <c r="U33" s="15" t="n">
        <f aca="false">(U19*Hypothèses!$D$31+U20*Hypothèses!$D$32+U21*Hypothèses!$D$33)*Hypothèses!$D$34*$F$4</f>
        <v>5591.65318552581</v>
      </c>
      <c r="V33" s="15" t="n">
        <f aca="false">(V19*Hypothèses!$D$31+V20*Hypothèses!$D$32+V21*Hypothèses!$D$33)*Hypothèses!$D$34*$F$4</f>
        <v>6189.73665367056</v>
      </c>
      <c r="W33" s="15" t="n">
        <f aca="false">(W19*Hypothèses!$D$31+W20*Hypothèses!$D$32+W21*Hypothèses!$D$33)*Hypothèses!$D$34*$F$4</f>
        <v>6781.83928713385</v>
      </c>
      <c r="X33" s="15" t="n">
        <f aca="false">(X19*Hypothèses!$D$31+X20*Hypothèses!$D$32+X21*Hypothèses!$D$33)*Hypothèses!$D$34*$F$4</f>
        <v>7368.02089426251</v>
      </c>
      <c r="Y33" s="15" t="n">
        <f aca="false">(Y19*Hypothèses!$D$31+Y20*Hypothèses!$D$32+Y21*Hypothèses!$D$33)*Hypothèses!$D$34*$F$4</f>
        <v>7948.34068531989</v>
      </c>
      <c r="Z33" s="15" t="n">
        <f aca="false">(Z19*Hypothèses!$D$31+Z20*Hypothèses!$D$32+Z21*Hypothèses!$D$33)*Hypothèses!$D$34*$F$4</f>
        <v>8522.85727846668</v>
      </c>
      <c r="AA33" s="15" t="n">
        <f aca="false">(AA19*Hypothèses!$D$31+AA20*Hypothèses!$D$32+AA21*Hypothèses!$D$33)*Hypothèses!$D$34*$F$4</f>
        <v>10072.628705682</v>
      </c>
      <c r="AB33" s="15" t="n">
        <f aca="false">(AB19*Hypothèses!$D$31+AB20*Hypothèses!$D$32+AB21*Hypothèses!$D$33)*Hypothèses!$D$34*$F$4</f>
        <v>11606.9024186252</v>
      </c>
      <c r="AC33" s="15" t="n">
        <f aca="false">(AC19*Hypothèses!$D$31+AC20*Hypothèses!$D$32+AC21*Hypothèses!$D$33)*Hypothèses!$D$34*$F$4</f>
        <v>13125.8333944389</v>
      </c>
      <c r="AD33" s="15" t="n">
        <f aca="false">(AD19*Hypothèses!$D$31+AD20*Hypothèses!$D$32+AD21*Hypothèses!$D$33)*Hypothèses!$D$34*$F$4</f>
        <v>14629.5750604946</v>
      </c>
      <c r="AE33" s="15" t="n">
        <f aca="false">(AE19*Hypothèses!$D$31+AE20*Hypothèses!$D$32+AE21*Hypothèses!$D$33)*Hypothèses!$D$34*$F$4</f>
        <v>16118.2793098896</v>
      </c>
      <c r="AF33" s="15" t="n">
        <f aca="false">(AF19*Hypothèses!$D$31+AF20*Hypothèses!$D$32+AF21*Hypothèses!$D$33)*Hypothèses!$D$34*$F$4</f>
        <v>17592.0965167907</v>
      </c>
      <c r="AG33" s="15" t="n">
        <f aca="false">(AG19*Hypothèses!$D$31+AG20*Hypothèses!$D$32+AG21*Hypothèses!$D$33)*Hypothèses!$D$34*$F$4</f>
        <v>19051.1755516228</v>
      </c>
      <c r="AH33" s="15" t="n">
        <f aca="false">(AH19*Hypothèses!$D$31+AH20*Hypothèses!$D$32+AH21*Hypothèses!$D$33)*Hypothèses!$D$34*$F$4</f>
        <v>20495.6637961066</v>
      </c>
      <c r="AI33" s="15" t="n">
        <f aca="false">(AI19*Hypothèses!$D$31+AI20*Hypothèses!$D$32+AI21*Hypothèses!$D$33)*Hypothèses!$D$34*$F$4</f>
        <v>21925.7071581455</v>
      </c>
      <c r="AJ33" s="15" t="n">
        <f aca="false">(AJ19*Hypothèses!$D$31+AJ20*Hypothèses!$D$32+AJ21*Hypothèses!$D$33)*Hypothèses!$D$34*$F$4</f>
        <v>23341.4500865641</v>
      </c>
      <c r="AK33" s="15" t="n">
        <f aca="false">(AK19*Hypothèses!$D$31+AK20*Hypothèses!$D$32+AK21*Hypothèses!$D$33)*Hypothèses!$D$34*$F$4</f>
        <v>24743.0355856984</v>
      </c>
      <c r="AL33" s="15" t="n">
        <f aca="false">(AL19*Hypothèses!$D$31+AL20*Hypothèses!$D$32+AL21*Hypothèses!$D$33)*Hypothèses!$D$34*$F$4</f>
        <v>26130.6052298414</v>
      </c>
      <c r="AN33" s="15" t="n">
        <f aca="false">SUM(C33:N33)</f>
        <v>4946.01270749258</v>
      </c>
      <c r="AO33" s="15" t="n">
        <f aca="false">SUM(O33:Z33)</f>
        <v>63049.9981443052</v>
      </c>
      <c r="AP33" s="15" t="n">
        <f aca="false">SUM(AA33:AL33)</f>
        <v>218832.9528139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14.55</v>
      </c>
      <c r="G34" s="15" t="n">
        <f aca="false">G18*Hypothèses!$D$35</f>
        <v>14.1135</v>
      </c>
      <c r="H34" s="15" t="n">
        <f aca="false">H18*Hypothèses!$D$35</f>
        <v>13.690095</v>
      </c>
      <c r="I34" s="15" t="n">
        <f aca="false">I18*Hypothèses!$D$35</f>
        <v>43.55319405</v>
      </c>
      <c r="J34" s="15" t="n">
        <f aca="false">J18*Hypothèses!$D$35</f>
        <v>73.1176621095</v>
      </c>
      <c r="K34" s="15" t="n">
        <f aca="false">K18*Hypothèses!$D$35</f>
        <v>102.386485488405</v>
      </c>
      <c r="L34" s="15" t="n">
        <f aca="false">L18*Hypothèses!$D$35</f>
        <v>131.362620633521</v>
      </c>
      <c r="M34" s="15" t="n">
        <f aca="false">M18*Hypothèses!$D$35</f>
        <v>160.048994427186</v>
      </c>
      <c r="N34" s="15" t="n">
        <f aca="false">N18*Hypothèses!$D$35</f>
        <v>188.448504482914</v>
      </c>
      <c r="O34" s="15" t="n">
        <f aca="false">O18*Hypothèses!$D$35</f>
        <v>286.564019438085</v>
      </c>
      <c r="P34" s="15" t="n">
        <f aca="false">P18*Hypothèses!$D$35</f>
        <v>383.698379243704</v>
      </c>
      <c r="Q34" s="15" t="n">
        <f aca="false">Q18*Hypothèses!$D$35</f>
        <v>479.861395451267</v>
      </c>
      <c r="R34" s="15" t="n">
        <f aca="false">R18*Hypothèses!$D$35</f>
        <v>575.062781496754</v>
      </c>
      <c r="S34" s="15" t="n">
        <f aca="false">S18*Hypothèses!$D$35</f>
        <v>669.312153681787</v>
      </c>
      <c r="T34" s="15" t="n">
        <f aca="false">T18*Hypothèses!$D$35</f>
        <v>762.619032144969</v>
      </c>
      <c r="U34" s="15" t="n">
        <f aca="false">U18*Hypothèses!$D$35</f>
        <v>854.992841823519</v>
      </c>
      <c r="V34" s="15" t="n">
        <f aca="false">V18*Hypothèses!$D$35</f>
        <v>946.442913405284</v>
      </c>
      <c r="W34" s="15" t="n">
        <f aca="false">W18*Hypothèses!$D$35</f>
        <v>1036.97848427123</v>
      </c>
      <c r="X34" s="15" t="n">
        <f aca="false">X18*Hypothèses!$D$35</f>
        <v>1126.60869942852</v>
      </c>
      <c r="Y34" s="15" t="n">
        <f aca="false">Y18*Hypothèses!$D$35</f>
        <v>1215.34261243423</v>
      </c>
      <c r="Z34" s="15" t="n">
        <f aca="false">Z18*Hypothèses!$D$35</f>
        <v>1303.18918630989</v>
      </c>
      <c r="AA34" s="15" t="n">
        <f aca="false">AA18*Hypothèses!$D$35</f>
        <v>1540.15729444679</v>
      </c>
      <c r="AB34" s="15" t="n">
        <f aca="false">AB18*Hypothèses!$D$35</f>
        <v>1774.75572150232</v>
      </c>
      <c r="AC34" s="15" t="n">
        <f aca="false">AC18*Hypothèses!$D$35</f>
        <v>2007.0081642873</v>
      </c>
      <c r="AD34" s="15" t="n">
        <f aca="false">AD18*Hypothèses!$D$35</f>
        <v>2236.93808264443</v>
      </c>
      <c r="AE34" s="15" t="n">
        <f aca="false">AE18*Hypothèses!$D$35</f>
        <v>2464.56870181798</v>
      </c>
      <c r="AF34" s="15" t="n">
        <f aca="false">AF18*Hypothèses!$D$35</f>
        <v>2689.9230147998</v>
      </c>
      <c r="AG34" s="15" t="n">
        <f aca="false">AG18*Hypothèses!$D$35</f>
        <v>2913.02378465181</v>
      </c>
      <c r="AH34" s="15" t="n">
        <f aca="false">AH18*Hypothèses!$D$35</f>
        <v>3133.89354680529</v>
      </c>
      <c r="AI34" s="15" t="n">
        <f aca="false">AI18*Hypothèses!$D$35</f>
        <v>3352.55461133724</v>
      </c>
      <c r="AJ34" s="15" t="n">
        <f aca="false">AJ18*Hypothèses!$D$35</f>
        <v>3569.02906522386</v>
      </c>
      <c r="AK34" s="15" t="n">
        <f aca="false">AK18*Hypothèses!$D$35</f>
        <v>3783.33877457162</v>
      </c>
      <c r="AL34" s="15" t="n">
        <f aca="false">AL18*Hypothèses!$D$35</f>
        <v>3995.50538682591</v>
      </c>
      <c r="AN34" s="15" t="n">
        <f aca="false">SUM(C34:N34)</f>
        <v>756.271056191526</v>
      </c>
      <c r="AO34" s="15" t="n">
        <f aca="false">SUM(O34:Z34)</f>
        <v>9640.67249912924</v>
      </c>
      <c r="AP34" s="15" t="n">
        <f aca="false">SUM(AA34:AL34)</f>
        <v>33460.6961489144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29.1</v>
      </c>
      <c r="G35" s="15" t="n">
        <f aca="false">G18*Hypothèses!$D$36</f>
        <v>28.227</v>
      </c>
      <c r="H35" s="15" t="n">
        <f aca="false">H18*Hypothèses!$D$36</f>
        <v>27.38019</v>
      </c>
      <c r="I35" s="15" t="n">
        <f aca="false">I18*Hypothèses!$D$36</f>
        <v>87.1063881</v>
      </c>
      <c r="J35" s="15" t="n">
        <f aca="false">J18*Hypothèses!$D$36</f>
        <v>146.235324219</v>
      </c>
      <c r="K35" s="15" t="n">
        <f aca="false">K18*Hypothèses!$D$36</f>
        <v>204.77297097681</v>
      </c>
      <c r="L35" s="15" t="n">
        <f aca="false">L18*Hypothèses!$D$36</f>
        <v>262.725241267042</v>
      </c>
      <c r="M35" s="15" t="n">
        <f aca="false">M18*Hypothèses!$D$36</f>
        <v>320.097988854371</v>
      </c>
      <c r="N35" s="15" t="n">
        <f aca="false">N18*Hypothèses!$D$36</f>
        <v>376.897008965828</v>
      </c>
      <c r="O35" s="15" t="n">
        <f aca="false">O18*Hypothèses!$D$36</f>
        <v>573.128038876169</v>
      </c>
      <c r="P35" s="15" t="n">
        <f aca="false">P18*Hypothèses!$D$36</f>
        <v>767.396758487408</v>
      </c>
      <c r="Q35" s="15" t="n">
        <f aca="false">Q18*Hypothèses!$D$36</f>
        <v>959.722790902534</v>
      </c>
      <c r="R35" s="15" t="n">
        <f aca="false">R18*Hypothèses!$D$36</f>
        <v>1150.12556299351</v>
      </c>
      <c r="S35" s="15" t="n">
        <f aca="false">S18*Hypothèses!$D$36</f>
        <v>1338.62430736357</v>
      </c>
      <c r="T35" s="15" t="n">
        <f aca="false">T18*Hypothèses!$D$36</f>
        <v>1525.23806428994</v>
      </c>
      <c r="U35" s="15" t="n">
        <f aca="false">U18*Hypothèses!$D$36</f>
        <v>1709.98568364704</v>
      </c>
      <c r="V35" s="15" t="n">
        <f aca="false">V18*Hypothèses!$D$36</f>
        <v>1892.88582681057</v>
      </c>
      <c r="W35" s="15" t="n">
        <f aca="false">W18*Hypothèses!$D$36</f>
        <v>2073.95696854246</v>
      </c>
      <c r="X35" s="15" t="n">
        <f aca="false">X18*Hypothèses!$D$36</f>
        <v>2253.21739885704</v>
      </c>
      <c r="Y35" s="15" t="n">
        <f aca="false">Y18*Hypothèses!$D$36</f>
        <v>2430.68522486847</v>
      </c>
      <c r="Z35" s="15" t="n">
        <f aca="false">Z18*Hypothèses!$D$36</f>
        <v>2606.37837261978</v>
      </c>
      <c r="AA35" s="15" t="n">
        <f aca="false">AA18*Hypothèses!$D$36</f>
        <v>3080.31458889358</v>
      </c>
      <c r="AB35" s="15" t="n">
        <f aca="false">AB18*Hypothèses!$D$36</f>
        <v>3549.51144300465</v>
      </c>
      <c r="AC35" s="15" t="n">
        <f aca="false">AC18*Hypothèses!$D$36</f>
        <v>4014.0163285746</v>
      </c>
      <c r="AD35" s="15" t="n">
        <f aca="false">AD18*Hypothèses!$D$36</f>
        <v>4473.87616528886</v>
      </c>
      <c r="AE35" s="15" t="n">
        <f aca="false">AE18*Hypothèses!$D$36</f>
        <v>4929.13740363597</v>
      </c>
      <c r="AF35" s="15" t="n">
        <f aca="false">AF18*Hypothèses!$D$36</f>
        <v>5379.84602959961</v>
      </c>
      <c r="AG35" s="15" t="n">
        <f aca="false">AG18*Hypothèses!$D$36</f>
        <v>5826.04756930361</v>
      </c>
      <c r="AH35" s="15" t="n">
        <f aca="false">AH18*Hypothèses!$D$36</f>
        <v>6267.78709361058</v>
      </c>
      <c r="AI35" s="15" t="n">
        <f aca="false">AI18*Hypothèses!$D$36</f>
        <v>6705.10922267447</v>
      </c>
      <c r="AJ35" s="15" t="n">
        <f aca="false">AJ18*Hypothèses!$D$36</f>
        <v>7138.05813044773</v>
      </c>
      <c r="AK35" s="15" t="n">
        <f aca="false">AK18*Hypothèses!$D$36</f>
        <v>7566.67754914325</v>
      </c>
      <c r="AL35" s="15" t="n">
        <f aca="false">AL18*Hypothèses!$D$36</f>
        <v>7991.01077365182</v>
      </c>
      <c r="AN35" s="15" t="n">
        <f aca="false">SUM(C35:N35)</f>
        <v>1512.54211238305</v>
      </c>
      <c r="AO35" s="15" t="n">
        <f aca="false">SUM(O35:Z35)</f>
        <v>19281.3449982585</v>
      </c>
      <c r="AP35" s="15" t="n">
        <f aca="false">SUM(AA35:AL35)</f>
        <v>66921.3922978287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138.807</v>
      </c>
      <c r="G36" s="40" t="n">
        <f aca="false">G33+G34+G35</f>
        <v>134.64279</v>
      </c>
      <c r="H36" s="40" t="n">
        <f aca="false">H33+H34+H35</f>
        <v>130.6035063</v>
      </c>
      <c r="I36" s="40" t="n">
        <f aca="false">I33+I34+I35</f>
        <v>415.497471237</v>
      </c>
      <c r="J36" s="40" t="n">
        <f aca="false">J33+J34+J35</f>
        <v>697.54249652463</v>
      </c>
      <c r="K36" s="40" t="n">
        <f aca="false">K33+K34+K35</f>
        <v>976.767071559384</v>
      </c>
      <c r="L36" s="40" t="n">
        <f aca="false">L33+L34+L35</f>
        <v>1253.19940084379</v>
      </c>
      <c r="M36" s="40" t="n">
        <f aca="false">M33+M34+M35</f>
        <v>1526.86740683535</v>
      </c>
      <c r="N36" s="40" t="n">
        <f aca="false">N33+N34+N35</f>
        <v>1797.798732767</v>
      </c>
      <c r="O36" s="40" t="n">
        <f aca="false">O33+O34+O35</f>
        <v>2733.82074543933</v>
      </c>
      <c r="P36" s="40" t="n">
        <f aca="false">P33+P34+P35</f>
        <v>3660.48253798494</v>
      </c>
      <c r="Q36" s="40" t="n">
        <f aca="false">Q33+Q34+Q35</f>
        <v>4577.87771260508</v>
      </c>
      <c r="R36" s="40" t="n">
        <f aca="false">R33+R34+R35</f>
        <v>5486.09893547903</v>
      </c>
      <c r="S36" s="40" t="n">
        <f aca="false">S33+S34+S35</f>
        <v>6385.23794612425</v>
      </c>
      <c r="T36" s="40" t="n">
        <f aca="false">T33+T34+T35</f>
        <v>7275.385566663</v>
      </c>
      <c r="U36" s="40" t="n">
        <f aca="false">U33+U34+U35</f>
        <v>8156.63171099637</v>
      </c>
      <c r="V36" s="40" t="n">
        <f aca="false">V33+V34+V35</f>
        <v>9029.06539388641</v>
      </c>
      <c r="W36" s="40" t="n">
        <f aca="false">W33+W34+W35</f>
        <v>9892.77473994754</v>
      </c>
      <c r="X36" s="40" t="n">
        <f aca="false">X33+X34+X35</f>
        <v>10747.8469925481</v>
      </c>
      <c r="Y36" s="40" t="n">
        <f aca="false">Y33+Y34+Y35</f>
        <v>11594.3685226226</v>
      </c>
      <c r="Z36" s="40" t="n">
        <f aca="false">Z33+Z34+Z35</f>
        <v>12432.4248373964</v>
      </c>
      <c r="AA36" s="40" t="n">
        <f aca="false">AA33+AA34+AA35</f>
        <v>14693.1005890224</v>
      </c>
      <c r="AB36" s="40" t="n">
        <f aca="false">AB33+AB34+AB35</f>
        <v>16931.1695831322</v>
      </c>
      <c r="AC36" s="40" t="n">
        <f aca="false">AC33+AC34+AC35</f>
        <v>19146.8578873009</v>
      </c>
      <c r="AD36" s="40" t="n">
        <f aca="false">AD33+AD34+AD35</f>
        <v>21340.3893084278</v>
      </c>
      <c r="AE36" s="40" t="n">
        <f aca="false">AE33+AE34+AE35</f>
        <v>23511.9854153436</v>
      </c>
      <c r="AF36" s="40" t="n">
        <f aca="false">AF33+AF34+AF35</f>
        <v>25661.8655611901</v>
      </c>
      <c r="AG36" s="40" t="n">
        <f aca="false">AG33+AG34+AG35</f>
        <v>27790.2469055782</v>
      </c>
      <c r="AH36" s="40" t="n">
        <f aca="false">AH33+AH34+AH35</f>
        <v>29897.3444365225</v>
      </c>
      <c r="AI36" s="40" t="n">
        <f aca="false">AI33+AI34+AI35</f>
        <v>31983.3709921572</v>
      </c>
      <c r="AJ36" s="40" t="n">
        <f aca="false">AJ33+AJ34+AJ35</f>
        <v>34048.5372822357</v>
      </c>
      <c r="AK36" s="40" t="n">
        <f aca="false">AK33+AK34+AK35</f>
        <v>36093.0519094133</v>
      </c>
      <c r="AL36" s="40" t="n">
        <f aca="false">AL33+AL34+AL35</f>
        <v>38117.1213903192</v>
      </c>
      <c r="AN36" s="40" t="n">
        <f aca="false">SUM(C36:N36)</f>
        <v>7214.82587606715</v>
      </c>
      <c r="AO36" s="40" t="n">
        <f aca="false">SUM(O36:Z36)</f>
        <v>91972.0156416929</v>
      </c>
      <c r="AP36" s="40" t="n">
        <f aca="false">SUM(AA36:AL36)</f>
        <v>319215.041260643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440.29367</v>
      </c>
      <c r="G37" s="40" t="n">
        <f aca="false">G28-G36-G30-G29/(1+Hypothèses!$D$15)</f>
        <v>427.0848599</v>
      </c>
      <c r="H37" s="40" t="n">
        <f aca="false">H28-H36-H30-H29/(1+Hypothèses!$D$15)</f>
        <v>414.272314103</v>
      </c>
      <c r="I37" s="40" t="n">
        <f aca="false">I28-I36-I30-I29/(1+Hypothèses!$D$15)</f>
        <v>1317.95159096197</v>
      </c>
      <c r="J37" s="40" t="n">
        <f aca="false">J28-J36-J30-J29/(1+Hypothèses!$D$15)</f>
        <v>2212.59407505235</v>
      </c>
      <c r="K37" s="40" t="n">
        <f aca="false">K28-K36-K30-K29/(1+Hypothèses!$D$15)</f>
        <v>3098.29013430183</v>
      </c>
      <c r="L37" s="40" t="n">
        <f aca="false">L28-L36-L30-L29/(1+Hypothèses!$D$15)</f>
        <v>3975.12923295881</v>
      </c>
      <c r="M37" s="40" t="n">
        <f aca="false">M28-M36-M30-M29/(1+Hypothèses!$D$15)</f>
        <v>4843.19994062922</v>
      </c>
      <c r="N37" s="40" t="n">
        <f aca="false">N28-N36-N30-N29/(1+Hypothèses!$D$15)</f>
        <v>5702.58994122293</v>
      </c>
      <c r="O37" s="40" t="n">
        <f aca="false">O28-O36-O30-O29/(1+Hypothèses!$D$15)</f>
        <v>8671.63737514403</v>
      </c>
      <c r="P37" s="40" t="n">
        <f aca="false">P28-P36-P30-P29/(1+Hypothèses!$D$15)</f>
        <v>11610.9943347259</v>
      </c>
      <c r="Q37" s="40" t="n">
        <f aca="false">Q28-Q36-Q30-Q29/(1+Hypothèses!$D$15)</f>
        <v>14520.957724712</v>
      </c>
      <c r="R37" s="40" t="n">
        <f aca="false">R28-R36-R30-R29/(1+Hypothèses!$D$15)</f>
        <v>17401.8214807982</v>
      </c>
      <c r="S37" s="40" t="n">
        <f aca="false">S28-S36-S30-S29/(1+Hypothèses!$D$15)</f>
        <v>20253.8765993236</v>
      </c>
      <c r="T37" s="40" t="n">
        <f aca="false">T28-T36-T30-T29/(1+Hypothèses!$D$15)</f>
        <v>23077.4111666637</v>
      </c>
      <c r="U37" s="40" t="n">
        <f aca="false">U28-U36-U30-U29/(1+Hypothèses!$D$15)</f>
        <v>25872.7103883304</v>
      </c>
      <c r="V37" s="40" t="n">
        <f aca="false">V28-V36-V30-V29/(1+Hypothèses!$D$15)</f>
        <v>28640.0566177804</v>
      </c>
      <c r="W37" s="40" t="n">
        <f aca="false">W28-W36-W30-W29/(1+Hypothèses!$D$15)</f>
        <v>31379.7293849359</v>
      </c>
      <c r="X37" s="40" t="n">
        <f aca="false">X28-X36-X30-X29/(1+Hypothèses!$D$15)</f>
        <v>34092.0054244199</v>
      </c>
      <c r="Y37" s="40" t="n">
        <f aca="false">Y28-Y36-Y30-Y29/(1+Hypothèses!$D$15)</f>
        <v>36777.158703509</v>
      </c>
      <c r="Z37" s="40" t="n">
        <f aca="false">Z28-Z36-Z30-Z29/(1+Hypothèses!$D$15)</f>
        <v>39435.4604498073</v>
      </c>
      <c r="AA37" s="40" t="n">
        <f aca="false">AA28-AA36-AA30-AA29/(1+Hypothèses!$D$15)</f>
        <v>46606.2891786425</v>
      </c>
      <c r="AB37" s="40" t="n">
        <f aca="false">AB28-AB36-AB30-AB29/(1+Hypothèses!$D$15)</f>
        <v>53705.4096201894</v>
      </c>
      <c r="AC37" s="40" t="n">
        <f aca="false">AC28-AC36-AC30-AC29/(1+Hypothèses!$D$15)</f>
        <v>60733.5388573209</v>
      </c>
      <c r="AD37" s="40" t="n">
        <f aca="false">AD28-AD36-AD30-AD29/(1+Hypothèses!$D$15)</f>
        <v>67691.386802081</v>
      </c>
      <c r="AE37" s="40" t="n">
        <f aca="false">AE28-AE36-AE30-AE29/(1+Hypothèses!$D$15)</f>
        <v>74579.6562673935</v>
      </c>
      <c r="AF37" s="40" t="n">
        <f aca="false">AF28-AF36-AF30-AF29/(1+Hypothèses!$D$15)</f>
        <v>81399.0430380529</v>
      </c>
      <c r="AG37" s="40" t="n">
        <f aca="false">AG28-AG36-AG30-AG29/(1+Hypothèses!$D$15)</f>
        <v>88150.2359410057</v>
      </c>
      <c r="AH37" s="40" t="n">
        <f aca="false">AH28-AH36-AH30-AH29/(1+Hypothèses!$D$15)</f>
        <v>94833.916914929</v>
      </c>
      <c r="AI37" s="40" t="n">
        <f aca="false">AI28-AI36-AI30-AI29/(1+Hypothèses!$D$15)</f>
        <v>101450.761079113</v>
      </c>
      <c r="AJ37" s="40" t="n">
        <f aca="false">AJ28-AJ36-AJ30-AJ29/(1+Hypothèses!$D$15)</f>
        <v>108001.436801655</v>
      </c>
      <c r="AK37" s="40" t="n">
        <f aca="false">AK28-AK36-AK30-AK29/(1+Hypothèses!$D$15)</f>
        <v>114486.605766972</v>
      </c>
      <c r="AL37" s="40" t="n">
        <f aca="false">AL28-AL36-AL30-AL29/(1+Hypothèses!$D$15)</f>
        <v>120906.923042636</v>
      </c>
      <c r="AN37" s="40" t="n">
        <f aca="false">SUM(C37:N37)</f>
        <v>22885.3167591301</v>
      </c>
      <c r="AO37" s="40" t="n">
        <f aca="false">SUM(O37:Z37)</f>
        <v>291733.81965015</v>
      </c>
      <c r="AP37" s="40" t="n">
        <f aca="false">SUM(AA37:AL37)</f>
        <v>1012545.20330999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13000</v>
      </c>
      <c r="P40" s="15" t="n">
        <f aca="false">IF(P7&gt;=Hypothèses!$D$39,Hypothèses!$D$38*Hypothèses!$D$40,0)*$G$4</f>
        <v>13000</v>
      </c>
      <c r="Q40" s="15" t="n">
        <f aca="false">IF(Q7&gt;=Hypothèses!$D$39,Hypothèses!$D$38*Hypothèses!$D$40,0)*$G$4</f>
        <v>13000</v>
      </c>
      <c r="R40" s="15" t="n">
        <f aca="false">IF(R7&gt;=Hypothèses!$D$39,Hypothèses!$D$38*Hypothèses!$D$40,0)*$G$4</f>
        <v>13000</v>
      </c>
      <c r="S40" s="15" t="n">
        <f aca="false">IF(S7&gt;=Hypothèses!$D$39,Hypothèses!$D$38*Hypothèses!$D$40,0)*$G$4</f>
        <v>13000</v>
      </c>
      <c r="T40" s="15" t="n">
        <f aca="false">IF(T7&gt;=Hypothèses!$D$39,Hypothèses!$D$38*Hypothèses!$D$40,0)*$G$4</f>
        <v>13000</v>
      </c>
      <c r="U40" s="15" t="n">
        <f aca="false">IF(U7&gt;=Hypothèses!$D$39,Hypothèses!$D$38*Hypothèses!$D$40,0)*$G$4</f>
        <v>13000</v>
      </c>
      <c r="V40" s="15" t="n">
        <f aca="false">IF(V7&gt;=Hypothèses!$D$39,Hypothèses!$D$38*Hypothèses!$D$40,0)*$G$4</f>
        <v>13000</v>
      </c>
      <c r="W40" s="15" t="n">
        <f aca="false">IF(W7&gt;=Hypothèses!$D$39,Hypothèses!$D$38*Hypothèses!$D$40,0)*$G$4</f>
        <v>13000</v>
      </c>
      <c r="X40" s="15" t="n">
        <f aca="false">IF(X7&gt;=Hypothèses!$D$39,Hypothèses!$D$38*Hypothèses!$D$40,0)*$G$4</f>
        <v>13000</v>
      </c>
      <c r="Y40" s="15" t="n">
        <f aca="false">IF(Y7&gt;=Hypothèses!$D$39,Hypothèses!$D$38*Hypothèses!$D$40,0)*$G$4</f>
        <v>13000</v>
      </c>
      <c r="Z40" s="15" t="n">
        <f aca="false">IF(Z7&gt;=Hypothèses!$D$39,Hypothèses!$D$38*Hypothèses!$D$40,0)*$G$4</f>
        <v>13000</v>
      </c>
      <c r="AA40" s="15" t="n">
        <f aca="false">IF(AA7&gt;=Hypothèses!$D$39,Hypothèses!$D$38*Hypothèses!$D$40,0)*$G$4</f>
        <v>13000</v>
      </c>
      <c r="AB40" s="15" t="n">
        <f aca="false">IF(AB7&gt;=Hypothèses!$D$39,Hypothèses!$D$38*Hypothèses!$D$40,0)*$G$4</f>
        <v>13000</v>
      </c>
      <c r="AC40" s="15" t="n">
        <f aca="false">IF(AC7&gt;=Hypothèses!$D$39,Hypothèses!$D$38*Hypothèses!$D$40,0)*$G$4</f>
        <v>13000</v>
      </c>
      <c r="AD40" s="15" t="n">
        <f aca="false">IF(AD7&gt;=Hypothèses!$D$39,Hypothèses!$D$38*Hypothèses!$D$40,0)*$G$4</f>
        <v>13000</v>
      </c>
      <c r="AE40" s="15" t="n">
        <f aca="false">IF(AE7&gt;=Hypothèses!$D$39,Hypothèses!$D$38*Hypothèses!$D$40,0)*$G$4</f>
        <v>13000</v>
      </c>
      <c r="AF40" s="15" t="n">
        <f aca="false">IF(AF7&gt;=Hypothèses!$D$39,Hypothèses!$D$38*Hypothèses!$D$40,0)*$G$4</f>
        <v>13000</v>
      </c>
      <c r="AG40" s="15" t="n">
        <f aca="false">IF(AG7&gt;=Hypothèses!$D$39,Hypothèses!$D$38*Hypothèses!$D$40,0)*$G$4</f>
        <v>13000</v>
      </c>
      <c r="AH40" s="15" t="n">
        <f aca="false">IF(AH7&gt;=Hypothèses!$D$39,Hypothèses!$D$38*Hypothèses!$D$40,0)*$G$4</f>
        <v>13000</v>
      </c>
      <c r="AI40" s="15" t="n">
        <f aca="false">IF(AI7&gt;=Hypothèses!$D$39,Hypothèses!$D$38*Hypothèses!$D$40,0)*$G$4</f>
        <v>13000</v>
      </c>
      <c r="AJ40" s="15" t="n">
        <f aca="false">IF(AJ7&gt;=Hypothèses!$D$39,Hypothèses!$D$38*Hypothèses!$D$40,0)*$G$4</f>
        <v>13000</v>
      </c>
      <c r="AK40" s="15" t="n">
        <f aca="false">IF(AK7&gt;=Hypothèses!$D$39,Hypothèses!$D$38*Hypothèses!$D$40,0)*$G$4</f>
        <v>13000</v>
      </c>
      <c r="AL40" s="15" t="n">
        <f aca="false">IF(AL7&gt;=Hypothèses!$D$39,Hypothèses!$D$38*Hypothèses!$D$40,0)*$G$4</f>
        <v>13000</v>
      </c>
      <c r="AN40" s="15" t="n">
        <f aca="false">SUM(C40:N40)</f>
        <v>0</v>
      </c>
      <c r="AO40" s="15" t="n">
        <f aca="false">SUM(O40:Z40)</f>
        <v>156000</v>
      </c>
      <c r="AP40" s="15" t="n">
        <f aca="false">SUM(AA40:AL40)</f>
        <v>156000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5850</v>
      </c>
      <c r="P41" s="15" t="n">
        <f aca="false">IF(P7&gt;=Hypothèses!$D$41,Hypothèses!$D$42,0)*$G$4</f>
        <v>5850</v>
      </c>
      <c r="Q41" s="15" t="n">
        <f aca="false">IF(Q7&gt;=Hypothèses!$D$41,Hypothèses!$D$42,0)*$G$4</f>
        <v>5850</v>
      </c>
      <c r="R41" s="15" t="n">
        <f aca="false">IF(R7&gt;=Hypothèses!$D$41,Hypothèses!$D$42,0)*$G$4</f>
        <v>5850</v>
      </c>
      <c r="S41" s="15" t="n">
        <f aca="false">IF(S7&gt;=Hypothèses!$D$41,Hypothèses!$D$42,0)*$G$4</f>
        <v>5850</v>
      </c>
      <c r="T41" s="15" t="n">
        <f aca="false">IF(T7&gt;=Hypothèses!$D$41,Hypothèses!$D$42,0)*$G$4</f>
        <v>5850</v>
      </c>
      <c r="U41" s="15" t="n">
        <f aca="false">IF(U7&gt;=Hypothèses!$D$41,Hypothèses!$D$42,0)*$G$4</f>
        <v>5850</v>
      </c>
      <c r="V41" s="15" t="n">
        <f aca="false">IF(V7&gt;=Hypothèses!$D$41,Hypothèses!$D$42,0)*$G$4</f>
        <v>5850</v>
      </c>
      <c r="W41" s="15" t="n">
        <f aca="false">IF(W7&gt;=Hypothèses!$D$41,Hypothèses!$D$42,0)*$G$4</f>
        <v>5850</v>
      </c>
      <c r="X41" s="15" t="n">
        <f aca="false">IF(X7&gt;=Hypothèses!$D$41,Hypothèses!$D$42,0)*$G$4</f>
        <v>5850</v>
      </c>
      <c r="Y41" s="15" t="n">
        <f aca="false">IF(Y7&gt;=Hypothèses!$D$41,Hypothèses!$D$42,0)*$G$4</f>
        <v>5850</v>
      </c>
      <c r="Z41" s="15" t="n">
        <f aca="false">IF(Z7&gt;=Hypothèses!$D$41,Hypothèses!$D$42,0)*$G$4</f>
        <v>5850</v>
      </c>
      <c r="AA41" s="15" t="n">
        <f aca="false">IF(AA7&gt;=Hypothèses!$D$41,Hypothèses!$D$42,0)*$G$4</f>
        <v>5850</v>
      </c>
      <c r="AB41" s="15" t="n">
        <f aca="false">IF(AB7&gt;=Hypothèses!$D$41,Hypothèses!$D$42,0)*$G$4</f>
        <v>5850</v>
      </c>
      <c r="AC41" s="15" t="n">
        <f aca="false">IF(AC7&gt;=Hypothèses!$D$41,Hypothèses!$D$42,0)*$G$4</f>
        <v>5850</v>
      </c>
      <c r="AD41" s="15" t="n">
        <f aca="false">IF(AD7&gt;=Hypothèses!$D$41,Hypothèses!$D$42,0)*$G$4</f>
        <v>5850</v>
      </c>
      <c r="AE41" s="15" t="n">
        <f aca="false">IF(AE7&gt;=Hypothèses!$D$41,Hypothèses!$D$42,0)*$G$4</f>
        <v>5850</v>
      </c>
      <c r="AF41" s="15" t="n">
        <f aca="false">IF(AF7&gt;=Hypothèses!$D$41,Hypothèses!$D$42,0)*$G$4</f>
        <v>5850</v>
      </c>
      <c r="AG41" s="15" t="n">
        <f aca="false">IF(AG7&gt;=Hypothèses!$D$41,Hypothèses!$D$42,0)*$G$4</f>
        <v>5850</v>
      </c>
      <c r="AH41" s="15" t="n">
        <f aca="false">IF(AH7&gt;=Hypothèses!$D$41,Hypothèses!$D$42,0)*$G$4</f>
        <v>5850</v>
      </c>
      <c r="AI41" s="15" t="n">
        <f aca="false">IF(AI7&gt;=Hypothèses!$D$41,Hypothèses!$D$42,0)*$G$4</f>
        <v>5850</v>
      </c>
      <c r="AJ41" s="15" t="n">
        <f aca="false">IF(AJ7&gt;=Hypothèses!$D$41,Hypothèses!$D$42,0)*$G$4</f>
        <v>5850</v>
      </c>
      <c r="AK41" s="15" t="n">
        <f aca="false">IF(AK7&gt;=Hypothèses!$D$41,Hypothèses!$D$42,0)*$G$4</f>
        <v>5850</v>
      </c>
      <c r="AL41" s="15" t="n">
        <f aca="false">IF(AL7&gt;=Hypothèses!$D$41,Hypothèses!$D$42,0)*$G$4</f>
        <v>5850</v>
      </c>
      <c r="AN41" s="15" t="n">
        <f aca="false">SUM(C41:N41)</f>
        <v>0</v>
      </c>
      <c r="AO41" s="15" t="n">
        <f aca="false">SUM(O41:Z41)</f>
        <v>70200</v>
      </c>
      <c r="AP41" s="15" t="n">
        <f aca="false">SUM(AA41:AL41)</f>
        <v>70200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8450</v>
      </c>
      <c r="V42" s="15" t="n">
        <f aca="false">IF(V7&gt;=Hypothèses!$D$43,Hypothèses!$D$44,0)*$G$4</f>
        <v>8450</v>
      </c>
      <c r="W42" s="15" t="n">
        <f aca="false">IF(W7&gt;=Hypothèses!$D$43,Hypothèses!$D$44,0)*$G$4</f>
        <v>8450</v>
      </c>
      <c r="X42" s="15" t="n">
        <f aca="false">IF(X7&gt;=Hypothèses!$D$43,Hypothèses!$D$44,0)*$G$4</f>
        <v>8450</v>
      </c>
      <c r="Y42" s="15" t="n">
        <f aca="false">IF(Y7&gt;=Hypothèses!$D$43,Hypothèses!$D$44,0)*$G$4</f>
        <v>8450</v>
      </c>
      <c r="Z42" s="15" t="n">
        <f aca="false">IF(Z7&gt;=Hypothèses!$D$43,Hypothèses!$D$44,0)*$G$4</f>
        <v>8450</v>
      </c>
      <c r="AA42" s="15" t="n">
        <f aca="false">IF(AA7&gt;=Hypothèses!$D$43,Hypothèses!$D$44,0)*$G$4</f>
        <v>8450</v>
      </c>
      <c r="AB42" s="15" t="n">
        <f aca="false">IF(AB7&gt;=Hypothèses!$D$43,Hypothèses!$D$44,0)*$G$4</f>
        <v>8450</v>
      </c>
      <c r="AC42" s="15" t="n">
        <f aca="false">IF(AC7&gt;=Hypothèses!$D$43,Hypothèses!$D$44,0)*$G$4</f>
        <v>8450</v>
      </c>
      <c r="AD42" s="15" t="n">
        <f aca="false">IF(AD7&gt;=Hypothèses!$D$43,Hypothèses!$D$44,0)*$G$4</f>
        <v>8450</v>
      </c>
      <c r="AE42" s="15" t="n">
        <f aca="false">IF(AE7&gt;=Hypothèses!$D$43,Hypothèses!$D$44,0)*$G$4</f>
        <v>8450</v>
      </c>
      <c r="AF42" s="15" t="n">
        <f aca="false">IF(AF7&gt;=Hypothèses!$D$43,Hypothèses!$D$44,0)*$G$4</f>
        <v>8450</v>
      </c>
      <c r="AG42" s="15" t="n">
        <f aca="false">IF(AG7&gt;=Hypothèses!$D$43,Hypothèses!$D$44,0)*$G$4</f>
        <v>8450</v>
      </c>
      <c r="AH42" s="15" t="n">
        <f aca="false">IF(AH7&gt;=Hypothèses!$D$43,Hypothèses!$D$44,0)*$G$4</f>
        <v>8450</v>
      </c>
      <c r="AI42" s="15" t="n">
        <f aca="false">IF(AI7&gt;=Hypothèses!$D$43,Hypothèses!$D$44,0)*$G$4</f>
        <v>8450</v>
      </c>
      <c r="AJ42" s="15" t="n">
        <f aca="false">IF(AJ7&gt;=Hypothèses!$D$43,Hypothèses!$D$44,0)*$G$4</f>
        <v>8450</v>
      </c>
      <c r="AK42" s="15" t="n">
        <f aca="false">IF(AK7&gt;=Hypothèses!$D$43,Hypothèses!$D$44,0)*$G$4</f>
        <v>8450</v>
      </c>
      <c r="AL42" s="15" t="n">
        <f aca="false">IF(AL7&gt;=Hypothèses!$D$43,Hypothèses!$D$44,0)*$G$4</f>
        <v>8450</v>
      </c>
      <c r="AN42" s="15" t="n">
        <f aca="false">SUM(C42:N42)</f>
        <v>0</v>
      </c>
      <c r="AO42" s="15" t="n">
        <f aca="false">SUM(O42:Z42)</f>
        <v>50700</v>
      </c>
      <c r="AP42" s="15" t="n">
        <f aca="false">SUM(AA42:AL42)</f>
        <v>101400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520</v>
      </c>
      <c r="D44" s="15" t="n">
        <f aca="false">Hypothèses!$D$46*$G$4</f>
        <v>520</v>
      </c>
      <c r="E44" s="15" t="n">
        <f aca="false">Hypothèses!$D$46*$G$4</f>
        <v>520</v>
      </c>
      <c r="F44" s="15" t="n">
        <f aca="false">Hypothèses!$D$46*$G$4</f>
        <v>520</v>
      </c>
      <c r="G44" s="15" t="n">
        <f aca="false">Hypothèses!$D$46*$G$4</f>
        <v>520</v>
      </c>
      <c r="H44" s="15" t="n">
        <f aca="false">Hypothèses!$D$46*$G$4</f>
        <v>520</v>
      </c>
      <c r="I44" s="15" t="n">
        <f aca="false">Hypothèses!$D$46*$G$4</f>
        <v>520</v>
      </c>
      <c r="J44" s="15" t="n">
        <f aca="false">Hypothèses!$D$46*$G$4</f>
        <v>520</v>
      </c>
      <c r="K44" s="15" t="n">
        <f aca="false">Hypothèses!$D$46*$G$4</f>
        <v>520</v>
      </c>
      <c r="L44" s="15" t="n">
        <f aca="false">Hypothèses!$D$46*$G$4</f>
        <v>520</v>
      </c>
      <c r="M44" s="15" t="n">
        <f aca="false">Hypothèses!$D$46*$G$4</f>
        <v>520</v>
      </c>
      <c r="N44" s="15" t="n">
        <f aca="false">Hypothèses!$D$46*$G$4</f>
        <v>520</v>
      </c>
      <c r="O44" s="15" t="n">
        <f aca="false">Hypothèses!$D$46*$G$4</f>
        <v>520</v>
      </c>
      <c r="P44" s="15" t="n">
        <f aca="false">Hypothèses!$D$46*$G$4</f>
        <v>520</v>
      </c>
      <c r="Q44" s="15" t="n">
        <f aca="false">Hypothèses!$D$46*$G$4</f>
        <v>520</v>
      </c>
      <c r="R44" s="15" t="n">
        <f aca="false">Hypothèses!$D$46*$G$4</f>
        <v>520</v>
      </c>
      <c r="S44" s="15" t="n">
        <f aca="false">Hypothèses!$D$46*$G$4</f>
        <v>520</v>
      </c>
      <c r="T44" s="15" t="n">
        <f aca="false">Hypothèses!$D$46*$G$4</f>
        <v>520</v>
      </c>
      <c r="U44" s="15" t="n">
        <f aca="false">Hypothèses!$D$46*$G$4</f>
        <v>520</v>
      </c>
      <c r="V44" s="15" t="n">
        <f aca="false">Hypothèses!$D$46*$G$4</f>
        <v>520</v>
      </c>
      <c r="W44" s="15" t="n">
        <f aca="false">Hypothèses!$D$46*$G$4</f>
        <v>520</v>
      </c>
      <c r="X44" s="15" t="n">
        <f aca="false">Hypothèses!$D$46*$G$4</f>
        <v>520</v>
      </c>
      <c r="Y44" s="15" t="n">
        <f aca="false">Hypothèses!$D$46*$G$4</f>
        <v>520</v>
      </c>
      <c r="Z44" s="15" t="n">
        <f aca="false">Hypothèses!$D$46*$G$4</f>
        <v>520</v>
      </c>
      <c r="AA44" s="15" t="n">
        <f aca="false">Hypothèses!$D$46*$G$4</f>
        <v>520</v>
      </c>
      <c r="AB44" s="15" t="n">
        <f aca="false">Hypothèses!$D$46*$G$4</f>
        <v>520</v>
      </c>
      <c r="AC44" s="15" t="n">
        <f aca="false">Hypothèses!$D$46*$G$4</f>
        <v>520</v>
      </c>
      <c r="AD44" s="15" t="n">
        <f aca="false">Hypothèses!$D$46*$G$4</f>
        <v>520</v>
      </c>
      <c r="AE44" s="15" t="n">
        <f aca="false">Hypothèses!$D$46*$G$4</f>
        <v>520</v>
      </c>
      <c r="AF44" s="15" t="n">
        <f aca="false">Hypothèses!$D$46*$G$4</f>
        <v>520</v>
      </c>
      <c r="AG44" s="15" t="n">
        <f aca="false">Hypothèses!$D$46*$G$4</f>
        <v>520</v>
      </c>
      <c r="AH44" s="15" t="n">
        <f aca="false">Hypothèses!$D$46*$G$4</f>
        <v>520</v>
      </c>
      <c r="AI44" s="15" t="n">
        <f aca="false">Hypothèses!$D$46*$G$4</f>
        <v>520</v>
      </c>
      <c r="AJ44" s="15" t="n">
        <f aca="false">Hypothèses!$D$46*$G$4</f>
        <v>520</v>
      </c>
      <c r="AK44" s="15" t="n">
        <f aca="false">Hypothèses!$D$46*$G$4</f>
        <v>520</v>
      </c>
      <c r="AL44" s="15" t="n">
        <f aca="false">Hypothèses!$D$46*$G$4</f>
        <v>520</v>
      </c>
      <c r="AN44" s="15" t="n">
        <f aca="false">SUM(C44:N44)</f>
        <v>6240</v>
      </c>
      <c r="AO44" s="15" t="n">
        <f aca="false">SUM(O44:Z44)</f>
        <v>6240</v>
      </c>
      <c r="AP44" s="15" t="n">
        <f aca="false">SUM(AA44:AL44)</f>
        <v>6240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1040</v>
      </c>
      <c r="D45" s="15" t="n">
        <f aca="false">Hypothèses!$D$47*$G$4</f>
        <v>1040</v>
      </c>
      <c r="E45" s="15" t="n">
        <f aca="false">Hypothèses!$D$47*$G$4</f>
        <v>1040</v>
      </c>
      <c r="F45" s="15" t="n">
        <f aca="false">Hypothèses!$D$47*$G$4</f>
        <v>1040</v>
      </c>
      <c r="G45" s="15" t="n">
        <f aca="false">Hypothèses!$D$47*$G$4</f>
        <v>1040</v>
      </c>
      <c r="H45" s="15" t="n">
        <f aca="false">Hypothèses!$D$47*$G$4</f>
        <v>1040</v>
      </c>
      <c r="I45" s="15" t="n">
        <f aca="false">Hypothèses!$D$47*$G$4</f>
        <v>1040</v>
      </c>
      <c r="J45" s="15" t="n">
        <f aca="false">Hypothèses!$D$47*$G$4</f>
        <v>1040</v>
      </c>
      <c r="K45" s="15" t="n">
        <f aca="false">Hypothèses!$D$47*$G$4</f>
        <v>1040</v>
      </c>
      <c r="L45" s="15" t="n">
        <f aca="false">Hypothèses!$D$47*$G$4</f>
        <v>1040</v>
      </c>
      <c r="M45" s="15" t="n">
        <f aca="false">Hypothèses!$D$47*$G$4</f>
        <v>1040</v>
      </c>
      <c r="N45" s="15" t="n">
        <f aca="false">Hypothèses!$D$47*$G$4</f>
        <v>1040</v>
      </c>
      <c r="O45" s="15" t="n">
        <f aca="false">Hypothèses!$D$47*$G$4</f>
        <v>1040</v>
      </c>
      <c r="P45" s="15" t="n">
        <f aca="false">Hypothèses!$D$47*$G$4</f>
        <v>1040</v>
      </c>
      <c r="Q45" s="15" t="n">
        <f aca="false">Hypothèses!$D$47*$G$4</f>
        <v>1040</v>
      </c>
      <c r="R45" s="15" t="n">
        <f aca="false">Hypothèses!$D$47*$G$4</f>
        <v>1040</v>
      </c>
      <c r="S45" s="15" t="n">
        <f aca="false">Hypothèses!$D$47*$G$4</f>
        <v>1040</v>
      </c>
      <c r="T45" s="15" t="n">
        <f aca="false">Hypothèses!$D$47*$G$4</f>
        <v>1040</v>
      </c>
      <c r="U45" s="15" t="n">
        <f aca="false">Hypothèses!$D$47*$G$4</f>
        <v>1040</v>
      </c>
      <c r="V45" s="15" t="n">
        <f aca="false">Hypothèses!$D$47*$G$4</f>
        <v>1040</v>
      </c>
      <c r="W45" s="15" t="n">
        <f aca="false">Hypothèses!$D$47*$G$4</f>
        <v>1040</v>
      </c>
      <c r="X45" s="15" t="n">
        <f aca="false">Hypothèses!$D$47*$G$4</f>
        <v>1040</v>
      </c>
      <c r="Y45" s="15" t="n">
        <f aca="false">Hypothèses!$D$47*$G$4</f>
        <v>1040</v>
      </c>
      <c r="Z45" s="15" t="n">
        <f aca="false">Hypothèses!$D$47*$G$4</f>
        <v>1040</v>
      </c>
      <c r="AA45" s="15" t="n">
        <f aca="false">Hypothèses!$D$47*$G$4</f>
        <v>1040</v>
      </c>
      <c r="AB45" s="15" t="n">
        <f aca="false">Hypothèses!$D$47*$G$4</f>
        <v>1040</v>
      </c>
      <c r="AC45" s="15" t="n">
        <f aca="false">Hypothèses!$D$47*$G$4</f>
        <v>1040</v>
      </c>
      <c r="AD45" s="15" t="n">
        <f aca="false">Hypothèses!$D$47*$G$4</f>
        <v>1040</v>
      </c>
      <c r="AE45" s="15" t="n">
        <f aca="false">Hypothèses!$D$47*$G$4</f>
        <v>1040</v>
      </c>
      <c r="AF45" s="15" t="n">
        <f aca="false">Hypothèses!$D$47*$G$4</f>
        <v>1040</v>
      </c>
      <c r="AG45" s="15" t="n">
        <f aca="false">Hypothèses!$D$47*$G$4</f>
        <v>1040</v>
      </c>
      <c r="AH45" s="15" t="n">
        <f aca="false">Hypothèses!$D$47*$G$4</f>
        <v>1040</v>
      </c>
      <c r="AI45" s="15" t="n">
        <f aca="false">Hypothèses!$D$47*$G$4</f>
        <v>1040</v>
      </c>
      <c r="AJ45" s="15" t="n">
        <f aca="false">Hypothèses!$D$47*$G$4</f>
        <v>1040</v>
      </c>
      <c r="AK45" s="15" t="n">
        <f aca="false">Hypothèses!$D$47*$G$4</f>
        <v>1040</v>
      </c>
      <c r="AL45" s="15" t="n">
        <f aca="false">Hypothèses!$D$47*$G$4</f>
        <v>1040</v>
      </c>
      <c r="AN45" s="15" t="n">
        <f aca="false">SUM(C45:N45)</f>
        <v>12480</v>
      </c>
      <c r="AO45" s="15" t="n">
        <f aca="false">SUM(O45:Z45)</f>
        <v>12480</v>
      </c>
      <c r="AP45" s="15" t="n">
        <f aca="false">SUM(AA45:AL45)</f>
        <v>12480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195</v>
      </c>
      <c r="J46" s="15" t="n">
        <f aca="false">J9*Hypothèses!$D$48*$G$4</f>
        <v>195</v>
      </c>
      <c r="K46" s="15" t="n">
        <f aca="false">K9*Hypothèses!$D$48*$G$4</f>
        <v>195</v>
      </c>
      <c r="L46" s="15" t="n">
        <f aca="false">L9*Hypothèses!$D$48*$G$4</f>
        <v>195</v>
      </c>
      <c r="M46" s="15" t="n">
        <f aca="false">M9*Hypothèses!$D$48*$G$4</f>
        <v>195</v>
      </c>
      <c r="N46" s="15" t="n">
        <f aca="false">N9*Hypothèses!$D$48*$G$4</f>
        <v>195</v>
      </c>
      <c r="O46" s="15" t="n">
        <f aca="false">O9*Hypothèses!$D$48*$G$4</f>
        <v>195</v>
      </c>
      <c r="P46" s="15" t="n">
        <f aca="false">P9*Hypothèses!$D$48*$G$4</f>
        <v>195</v>
      </c>
      <c r="Q46" s="15" t="n">
        <f aca="false">Q9*Hypothèses!$D$48*$G$4</f>
        <v>195</v>
      </c>
      <c r="R46" s="15" t="n">
        <f aca="false">R9*Hypothèses!$D$48*$G$4</f>
        <v>195</v>
      </c>
      <c r="S46" s="15" t="n">
        <f aca="false">S9*Hypothèses!$D$48*$G$4</f>
        <v>195</v>
      </c>
      <c r="T46" s="15" t="n">
        <f aca="false">T9*Hypothèses!$D$48*$G$4</f>
        <v>195</v>
      </c>
      <c r="U46" s="15" t="n">
        <f aca="false">U9*Hypothèses!$D$48*$G$4</f>
        <v>195</v>
      </c>
      <c r="V46" s="15" t="n">
        <f aca="false">V9*Hypothèses!$D$48*$G$4</f>
        <v>195</v>
      </c>
      <c r="W46" s="15" t="n">
        <f aca="false">W9*Hypothèses!$D$48*$G$4</f>
        <v>195</v>
      </c>
      <c r="X46" s="15" t="n">
        <f aca="false">X9*Hypothèses!$D$48*$G$4</f>
        <v>195</v>
      </c>
      <c r="Y46" s="15" t="n">
        <f aca="false">Y9*Hypothèses!$D$48*$G$4</f>
        <v>195</v>
      </c>
      <c r="Z46" s="15" t="n">
        <f aca="false">Z9*Hypothèses!$D$48*$G$4</f>
        <v>195</v>
      </c>
      <c r="AA46" s="15" t="n">
        <f aca="false">AA9*Hypothèses!$D$48*$G$4</f>
        <v>195</v>
      </c>
      <c r="AB46" s="15" t="n">
        <f aca="false">AB9*Hypothèses!$D$48*$G$4</f>
        <v>195</v>
      </c>
      <c r="AC46" s="15" t="n">
        <f aca="false">AC9*Hypothèses!$D$48*$G$4</f>
        <v>195</v>
      </c>
      <c r="AD46" s="15" t="n">
        <f aca="false">AD9*Hypothèses!$D$48*$G$4</f>
        <v>195</v>
      </c>
      <c r="AE46" s="15" t="n">
        <f aca="false">AE9*Hypothèses!$D$48*$G$4</f>
        <v>195</v>
      </c>
      <c r="AF46" s="15" t="n">
        <f aca="false">AF9*Hypothèses!$D$48*$G$4</f>
        <v>195</v>
      </c>
      <c r="AG46" s="15" t="n">
        <f aca="false">AG9*Hypothèses!$D$48*$G$4</f>
        <v>195</v>
      </c>
      <c r="AH46" s="15" t="n">
        <f aca="false">AH9*Hypothèses!$D$48*$G$4</f>
        <v>195</v>
      </c>
      <c r="AI46" s="15" t="n">
        <f aca="false">AI9*Hypothèses!$D$48*$G$4</f>
        <v>195</v>
      </c>
      <c r="AJ46" s="15" t="n">
        <f aca="false">AJ9*Hypothèses!$D$48*$G$4</f>
        <v>195</v>
      </c>
      <c r="AK46" s="15" t="n">
        <f aca="false">AK9*Hypothèses!$D$48*$G$4</f>
        <v>195</v>
      </c>
      <c r="AL46" s="15" t="n">
        <f aca="false">AL9*Hypothèses!$D$48*$G$4</f>
        <v>195</v>
      </c>
      <c r="AN46" s="15" t="n">
        <f aca="false">SUM(C46:N46)</f>
        <v>1170</v>
      </c>
      <c r="AO46" s="15" t="n">
        <f aca="false">SUM(O46:Z46)</f>
        <v>2340</v>
      </c>
      <c r="AP46" s="15" t="n">
        <f aca="false">SUM(AA46:AL46)</f>
        <v>2340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1300</v>
      </c>
      <c r="J47" s="15" t="n">
        <f aca="false">J9*Hypothèses!$D$49*$G$4</f>
        <v>1300</v>
      </c>
      <c r="K47" s="15" t="n">
        <f aca="false">K9*Hypothèses!$D$49*$G$4</f>
        <v>1300</v>
      </c>
      <c r="L47" s="15" t="n">
        <f aca="false">L9*Hypothèses!$D$49*$G$4</f>
        <v>1300</v>
      </c>
      <c r="M47" s="15" t="n">
        <f aca="false">M9*Hypothèses!$D$49*$G$4</f>
        <v>1300</v>
      </c>
      <c r="N47" s="15" t="n">
        <f aca="false">N9*Hypothèses!$D$49*$G$4</f>
        <v>1300</v>
      </c>
      <c r="O47" s="15" t="n">
        <f aca="false">O9*Hypothèses!$D$49*$G$4</f>
        <v>1300</v>
      </c>
      <c r="P47" s="15" t="n">
        <f aca="false">P9*Hypothèses!$D$49*$G$4</f>
        <v>1300</v>
      </c>
      <c r="Q47" s="15" t="n">
        <f aca="false">Q9*Hypothèses!$D$49*$G$4</f>
        <v>1300</v>
      </c>
      <c r="R47" s="15" t="n">
        <f aca="false">R9*Hypothèses!$D$49*$G$4</f>
        <v>1300</v>
      </c>
      <c r="S47" s="15" t="n">
        <f aca="false">S9*Hypothèses!$D$49*$G$4</f>
        <v>1300</v>
      </c>
      <c r="T47" s="15" t="n">
        <f aca="false">T9*Hypothèses!$D$49*$G$4</f>
        <v>1300</v>
      </c>
      <c r="U47" s="15" t="n">
        <f aca="false">U9*Hypothèses!$D$49*$G$4</f>
        <v>1300</v>
      </c>
      <c r="V47" s="15" t="n">
        <f aca="false">V9*Hypothèses!$D$49*$G$4</f>
        <v>1300</v>
      </c>
      <c r="W47" s="15" t="n">
        <f aca="false">W9*Hypothèses!$D$49*$G$4</f>
        <v>1300</v>
      </c>
      <c r="X47" s="15" t="n">
        <f aca="false">X9*Hypothèses!$D$49*$G$4</f>
        <v>1300</v>
      </c>
      <c r="Y47" s="15" t="n">
        <f aca="false">Y9*Hypothèses!$D$49*$G$4</f>
        <v>1300</v>
      </c>
      <c r="Z47" s="15" t="n">
        <f aca="false">Z9*Hypothèses!$D$49*$G$4</f>
        <v>1300</v>
      </c>
      <c r="AA47" s="15" t="n">
        <f aca="false">AA9*Hypothèses!$D$49*$G$4</f>
        <v>1300</v>
      </c>
      <c r="AB47" s="15" t="n">
        <f aca="false">AB9*Hypothèses!$D$49*$G$4</f>
        <v>1300</v>
      </c>
      <c r="AC47" s="15" t="n">
        <f aca="false">AC9*Hypothèses!$D$49*$G$4</f>
        <v>1300</v>
      </c>
      <c r="AD47" s="15" t="n">
        <f aca="false">AD9*Hypothèses!$D$49*$G$4</f>
        <v>1300</v>
      </c>
      <c r="AE47" s="15" t="n">
        <f aca="false">AE9*Hypothèses!$D$49*$G$4</f>
        <v>1300</v>
      </c>
      <c r="AF47" s="15" t="n">
        <f aca="false">AF9*Hypothèses!$D$49*$G$4</f>
        <v>1300</v>
      </c>
      <c r="AG47" s="15" t="n">
        <f aca="false">AG9*Hypothèses!$D$49*$G$4</f>
        <v>1300</v>
      </c>
      <c r="AH47" s="15" t="n">
        <f aca="false">AH9*Hypothèses!$D$49*$G$4</f>
        <v>1300</v>
      </c>
      <c r="AI47" s="15" t="n">
        <f aca="false">AI9*Hypothèses!$D$49*$G$4</f>
        <v>1300</v>
      </c>
      <c r="AJ47" s="15" t="n">
        <f aca="false">AJ9*Hypothèses!$D$49*$G$4</f>
        <v>1300</v>
      </c>
      <c r="AK47" s="15" t="n">
        <f aca="false">AK9*Hypothèses!$D$49*$G$4</f>
        <v>1300</v>
      </c>
      <c r="AL47" s="15" t="n">
        <f aca="false">AL9*Hypothèses!$D$49*$G$4</f>
        <v>1300</v>
      </c>
      <c r="AN47" s="15" t="n">
        <f aca="false">SUM(C47:N47)</f>
        <v>7800</v>
      </c>
      <c r="AO47" s="15" t="n">
        <f aca="false">SUM(O47:Z47)</f>
        <v>15600</v>
      </c>
      <c r="AP47" s="15" t="n">
        <f aca="false">SUM(AA47:AL47)</f>
        <v>15600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390</v>
      </c>
      <c r="D48" s="15" t="n">
        <f aca="false">Hypothèses!$D$50*$G$4</f>
        <v>390</v>
      </c>
      <c r="E48" s="15" t="n">
        <f aca="false">Hypothèses!$D$50*$G$4</f>
        <v>390</v>
      </c>
      <c r="F48" s="15" t="n">
        <f aca="false">Hypothèses!$D$50*$G$4</f>
        <v>390</v>
      </c>
      <c r="G48" s="15" t="n">
        <f aca="false">Hypothèses!$D$50*$G$4</f>
        <v>390</v>
      </c>
      <c r="H48" s="15" t="n">
        <f aca="false">Hypothèses!$D$50*$G$4</f>
        <v>390</v>
      </c>
      <c r="I48" s="15" t="n">
        <f aca="false">Hypothèses!$D$50*$G$4</f>
        <v>390</v>
      </c>
      <c r="J48" s="15" t="n">
        <f aca="false">Hypothèses!$D$50*$G$4</f>
        <v>390</v>
      </c>
      <c r="K48" s="15" t="n">
        <f aca="false">Hypothèses!$D$50*$G$4</f>
        <v>390</v>
      </c>
      <c r="L48" s="15" t="n">
        <f aca="false">Hypothèses!$D$50*$G$4</f>
        <v>390</v>
      </c>
      <c r="M48" s="15" t="n">
        <f aca="false">Hypothèses!$D$50*$G$4</f>
        <v>390</v>
      </c>
      <c r="N48" s="15" t="n">
        <f aca="false">Hypothèses!$D$50*$G$4</f>
        <v>390</v>
      </c>
      <c r="O48" s="15" t="n">
        <f aca="false">Hypothèses!$D$50*$G$4</f>
        <v>390</v>
      </c>
      <c r="P48" s="15" t="n">
        <f aca="false">Hypothèses!$D$50*$G$4</f>
        <v>390</v>
      </c>
      <c r="Q48" s="15" t="n">
        <f aca="false">Hypothèses!$D$50*$G$4</f>
        <v>390</v>
      </c>
      <c r="R48" s="15" t="n">
        <f aca="false">Hypothèses!$D$50*$G$4</f>
        <v>390</v>
      </c>
      <c r="S48" s="15" t="n">
        <f aca="false">Hypothèses!$D$50*$G$4</f>
        <v>390</v>
      </c>
      <c r="T48" s="15" t="n">
        <f aca="false">Hypothèses!$D$50*$G$4</f>
        <v>390</v>
      </c>
      <c r="U48" s="15" t="n">
        <f aca="false">Hypothèses!$D$50*$G$4</f>
        <v>390</v>
      </c>
      <c r="V48" s="15" t="n">
        <f aca="false">Hypothèses!$D$50*$G$4</f>
        <v>390</v>
      </c>
      <c r="W48" s="15" t="n">
        <f aca="false">Hypothèses!$D$50*$G$4</f>
        <v>390</v>
      </c>
      <c r="X48" s="15" t="n">
        <f aca="false">Hypothèses!$D$50*$G$4</f>
        <v>390</v>
      </c>
      <c r="Y48" s="15" t="n">
        <f aca="false">Hypothèses!$D$50*$G$4</f>
        <v>390</v>
      </c>
      <c r="Z48" s="15" t="n">
        <f aca="false">Hypothèses!$D$50*$G$4</f>
        <v>390</v>
      </c>
      <c r="AA48" s="15" t="n">
        <f aca="false">Hypothèses!$D$50*$G$4</f>
        <v>390</v>
      </c>
      <c r="AB48" s="15" t="n">
        <f aca="false">Hypothèses!$D$50*$G$4</f>
        <v>390</v>
      </c>
      <c r="AC48" s="15" t="n">
        <f aca="false">Hypothèses!$D$50*$G$4</f>
        <v>390</v>
      </c>
      <c r="AD48" s="15" t="n">
        <f aca="false">Hypothèses!$D$50*$G$4</f>
        <v>390</v>
      </c>
      <c r="AE48" s="15" t="n">
        <f aca="false">Hypothèses!$D$50*$G$4</f>
        <v>390</v>
      </c>
      <c r="AF48" s="15" t="n">
        <f aca="false">Hypothèses!$D$50*$G$4</f>
        <v>390</v>
      </c>
      <c r="AG48" s="15" t="n">
        <f aca="false">Hypothèses!$D$50*$G$4</f>
        <v>390</v>
      </c>
      <c r="AH48" s="15" t="n">
        <f aca="false">Hypothèses!$D$50*$G$4</f>
        <v>390</v>
      </c>
      <c r="AI48" s="15" t="n">
        <f aca="false">Hypothèses!$D$50*$G$4</f>
        <v>390</v>
      </c>
      <c r="AJ48" s="15" t="n">
        <f aca="false">Hypothèses!$D$50*$G$4</f>
        <v>390</v>
      </c>
      <c r="AK48" s="15" t="n">
        <f aca="false">Hypothèses!$D$50*$G$4</f>
        <v>390</v>
      </c>
      <c r="AL48" s="15" t="n">
        <f aca="false">Hypothèses!$D$50*$G$4</f>
        <v>390</v>
      </c>
      <c r="AN48" s="15" t="n">
        <f aca="false">SUM(C48:N48)</f>
        <v>4680</v>
      </c>
      <c r="AO48" s="15" t="n">
        <f aca="false">SUM(O48:Z48)</f>
        <v>4680</v>
      </c>
      <c r="AP48" s="15" t="n">
        <f aca="false">SUM(AA48:AL48)</f>
        <v>4680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6500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6500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6500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6500</v>
      </c>
      <c r="AO49" s="15" t="n">
        <f aca="false">SUM(O49:Z49)</f>
        <v>6500</v>
      </c>
      <c r="AP49" s="15" t="n">
        <f aca="false">SUM(AA49:AL49)</f>
        <v>6500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14791.6666666667</v>
      </c>
      <c r="D51" s="40" t="n">
        <f aca="false">SUM(D40:D50)</f>
        <v>17291.6666666667</v>
      </c>
      <c r="E51" s="40" t="n">
        <f aca="false">SUM(E40:E50)</f>
        <v>14791.6666666667</v>
      </c>
      <c r="F51" s="40" t="n">
        <f aca="false">SUM(F40:F50)</f>
        <v>14791.6666666667</v>
      </c>
      <c r="G51" s="40" t="n">
        <f aca="false">SUM(G40:G50)</f>
        <v>14791.6666666667</v>
      </c>
      <c r="H51" s="40" t="n">
        <f aca="false">SUM(H40:H50)</f>
        <v>14791.6666666667</v>
      </c>
      <c r="I51" s="40" t="n">
        <f aca="false">SUM(I40:I50)</f>
        <v>9945</v>
      </c>
      <c r="J51" s="40" t="n">
        <f aca="false">SUM(J40:J50)</f>
        <v>3445</v>
      </c>
      <c r="K51" s="40" t="n">
        <f aca="false">SUM(K40:K50)</f>
        <v>3445</v>
      </c>
      <c r="L51" s="40" t="n">
        <f aca="false">SUM(L40:L50)</f>
        <v>3445</v>
      </c>
      <c r="M51" s="40" t="n">
        <f aca="false">SUM(M40:M50)</f>
        <v>3445</v>
      </c>
      <c r="N51" s="40" t="n">
        <f aca="false">SUM(N40:N50)</f>
        <v>3445</v>
      </c>
      <c r="O51" s="40" t="n">
        <f aca="false">SUM(O40:O50)</f>
        <v>22295</v>
      </c>
      <c r="P51" s="40" t="n">
        <f aca="false">SUM(P40:P50)</f>
        <v>22295</v>
      </c>
      <c r="Q51" s="40" t="n">
        <f aca="false">SUM(Q40:Q50)</f>
        <v>22295</v>
      </c>
      <c r="R51" s="40" t="n">
        <f aca="false">SUM(R40:R50)</f>
        <v>22295</v>
      </c>
      <c r="S51" s="40" t="n">
        <f aca="false">SUM(S40:S50)</f>
        <v>22295</v>
      </c>
      <c r="T51" s="40" t="n">
        <f aca="false">SUM(T40:T50)</f>
        <v>22295</v>
      </c>
      <c r="U51" s="40" t="n">
        <f aca="false">SUM(U40:U50)</f>
        <v>37245</v>
      </c>
      <c r="V51" s="40" t="n">
        <f aca="false">SUM(V40:V50)</f>
        <v>30745</v>
      </c>
      <c r="W51" s="40" t="n">
        <f aca="false">SUM(W40:W50)</f>
        <v>30745</v>
      </c>
      <c r="X51" s="40" t="n">
        <f aca="false">SUM(X40:X50)</f>
        <v>30745</v>
      </c>
      <c r="Y51" s="40" t="n">
        <f aca="false">SUM(Y40:Y50)</f>
        <v>30745</v>
      </c>
      <c r="Z51" s="40" t="n">
        <f aca="false">SUM(Z40:Z50)</f>
        <v>30745</v>
      </c>
      <c r="AA51" s="40" t="n">
        <f aca="false">SUM(AA40:AA50)</f>
        <v>30745</v>
      </c>
      <c r="AB51" s="40" t="n">
        <f aca="false">SUM(AB40:AB50)</f>
        <v>30745</v>
      </c>
      <c r="AC51" s="40" t="n">
        <f aca="false">SUM(AC40:AC50)</f>
        <v>30745</v>
      </c>
      <c r="AD51" s="40" t="n">
        <f aca="false">SUM(AD40:AD50)</f>
        <v>30745</v>
      </c>
      <c r="AE51" s="40" t="n">
        <f aca="false">SUM(AE40:AE50)</f>
        <v>30745</v>
      </c>
      <c r="AF51" s="40" t="n">
        <f aca="false">SUM(AF40:AF50)</f>
        <v>30745</v>
      </c>
      <c r="AG51" s="40" t="n">
        <f aca="false">SUM(AG40:AG50)</f>
        <v>37245</v>
      </c>
      <c r="AH51" s="40" t="n">
        <f aca="false">SUM(AH40:AH50)</f>
        <v>30745</v>
      </c>
      <c r="AI51" s="40" t="n">
        <f aca="false">SUM(AI40:AI50)</f>
        <v>30745</v>
      </c>
      <c r="AJ51" s="40" t="n">
        <f aca="false">SUM(AJ40:AJ50)</f>
        <v>30745</v>
      </c>
      <c r="AK51" s="40" t="n">
        <f aca="false">SUM(AK40:AK50)</f>
        <v>30745</v>
      </c>
      <c r="AL51" s="40" t="n">
        <f aca="false">SUM(AL40:AL50)</f>
        <v>30745</v>
      </c>
      <c r="AN51" s="40" t="n">
        <f aca="false">SUM(C51:N51)</f>
        <v>118420</v>
      </c>
      <c r="AO51" s="40" t="n">
        <f aca="false">SUM(O51:Z51)</f>
        <v>324740</v>
      </c>
      <c r="AP51" s="40" t="n">
        <f aca="false">SUM(AA51:AL51)</f>
        <v>375440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-14791.6666666667</v>
      </c>
      <c r="D52" s="40" t="n">
        <f aca="false">D37-D39-D51</f>
        <v>-17291.6666666667</v>
      </c>
      <c r="E52" s="40" t="n">
        <f aca="false">E37-E39-E51</f>
        <v>-14337.7556666667</v>
      </c>
      <c r="F52" s="40" t="n">
        <f aca="false">F37-F39-F51</f>
        <v>-14351.3729966667</v>
      </c>
      <c r="G52" s="40" t="n">
        <f aca="false">G37-G39-G51</f>
        <v>-14364.5818067667</v>
      </c>
      <c r="H52" s="40" t="n">
        <f aca="false">H37-H39-H51</f>
        <v>-14377.3943525637</v>
      </c>
      <c r="I52" s="40" t="n">
        <f aca="false">I37-I39-I51</f>
        <v>-11627.048409038</v>
      </c>
      <c r="J52" s="40" t="n">
        <f aca="false">J37-J39-J51</f>
        <v>-4232.40592494765</v>
      </c>
      <c r="K52" s="40" t="n">
        <f aca="false">K37-K39-K51</f>
        <v>-3346.70986569817</v>
      </c>
      <c r="L52" s="40" t="n">
        <f aca="false">L37-L39-L51</f>
        <v>-2469.87076704119</v>
      </c>
      <c r="M52" s="40" t="n">
        <f aca="false">M37-M39-M51</f>
        <v>-1601.80005937078</v>
      </c>
      <c r="N52" s="40" t="n">
        <f aca="false">N37-N39-N51</f>
        <v>-742.410058777074</v>
      </c>
      <c r="O52" s="40" t="n">
        <f aca="false">O37-O39-O51</f>
        <v>-23623.362624856</v>
      </c>
      <c r="P52" s="40" t="n">
        <f aca="false">P37-P39-P51</f>
        <v>-20684.0056652741</v>
      </c>
      <c r="Q52" s="40" t="n">
        <f aca="false">Q37-Q39-Q51</f>
        <v>-17774.042275288</v>
      </c>
      <c r="R52" s="40" t="n">
        <f aca="false">R37-R39-R51</f>
        <v>-14893.1785192018</v>
      </c>
      <c r="S52" s="40" t="n">
        <f aca="false">S37-S39-S51</f>
        <v>-12041.1234006764</v>
      </c>
      <c r="T52" s="40" t="n">
        <f aca="false">T37-T39-T51</f>
        <v>-9217.58883333634</v>
      </c>
      <c r="U52" s="40" t="n">
        <f aca="false">U37-U39-U51</f>
        <v>-21372.2896116696</v>
      </c>
      <c r="V52" s="40" t="n">
        <f aca="false">V37-V39-V51</f>
        <v>-12104.9433822196</v>
      </c>
      <c r="W52" s="40" t="n">
        <f aca="false">W37-W39-W51</f>
        <v>-9365.2706150641</v>
      </c>
      <c r="X52" s="40" t="n">
        <f aca="false">X37-X39-X51</f>
        <v>-6652.99457558011</v>
      </c>
      <c r="Y52" s="40" t="n">
        <f aca="false">Y37-Y39-Y51</f>
        <v>-3967.84129649098</v>
      </c>
      <c r="Z52" s="40" t="n">
        <f aca="false">Z37-Z39-Z51</f>
        <v>-1309.53955019275</v>
      </c>
      <c r="AA52" s="40" t="n">
        <f aca="false">AA37-AA39-AA51</f>
        <v>-9138.71082135748</v>
      </c>
      <c r="AB52" s="40" t="n">
        <f aca="false">AB37-AB39-AB51</f>
        <v>-2039.59037981058</v>
      </c>
      <c r="AC52" s="40" t="n">
        <f aca="false">AC37-AC39-AC51</f>
        <v>4988.53885732086</v>
      </c>
      <c r="AD52" s="40" t="n">
        <f aca="false">AD37-AD39-AD51</f>
        <v>11946.386802081</v>
      </c>
      <c r="AE52" s="40" t="n">
        <f aca="false">AE37-AE39-AE51</f>
        <v>18834.6562673935</v>
      </c>
      <c r="AF52" s="40" t="n">
        <f aca="false">AF37-AF39-AF51</f>
        <v>25654.0430380529</v>
      </c>
      <c r="AG52" s="40" t="n">
        <f aca="false">AG37-AG39-AG51</f>
        <v>25905.2359410057</v>
      </c>
      <c r="AH52" s="40" t="n">
        <f aca="false">AH37-AH39-AH51</f>
        <v>39088.916914929</v>
      </c>
      <c r="AI52" s="40" t="n">
        <f aca="false">AI37-AI39-AI51</f>
        <v>45705.7610791131</v>
      </c>
      <c r="AJ52" s="40" t="n">
        <f aca="false">AJ37-AJ39-AJ51</f>
        <v>52256.4368016552</v>
      </c>
      <c r="AK52" s="40" t="n">
        <f aca="false">AK37-AK39-AK51</f>
        <v>58741.605766972</v>
      </c>
      <c r="AL52" s="40" t="n">
        <f aca="false">AL37-AL39-AL51</f>
        <v>65161.9230426356</v>
      </c>
      <c r="AN52" s="40" t="n">
        <f aca="false">SUM(C52:N52)</f>
        <v>-113534.68324087</v>
      </c>
      <c r="AO52" s="40" t="n">
        <f aca="false">SUM(O52:Z52)</f>
        <v>-153006.18034985</v>
      </c>
      <c r="AP52" s="40" t="n">
        <f aca="false">SUM(AA52:AL52)</f>
        <v>337105.203309991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0</v>
      </c>
      <c r="Z53" s="13" t="n">
        <f aca="false">IF(Z52&gt;0,1,0)</f>
        <v>0</v>
      </c>
      <c r="AA53" s="13" t="n">
        <f aca="false">IF(AA52&gt;0,1,0)</f>
        <v>0</v>
      </c>
      <c r="AB53" s="13" t="n">
        <f aca="false">IF(AB52&gt;0,1,0)</f>
        <v>0</v>
      </c>
      <c r="AC53" s="13" t="n">
        <f aca="false">IF(AC52&gt;0,1,0)</f>
        <v>1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119.633333333333</v>
      </c>
      <c r="H55" s="15" t="n">
        <f aca="false">G27</f>
        <v>116.044333333333</v>
      </c>
      <c r="I55" s="15" t="n">
        <f aca="false">H27</f>
        <v>112.563003333333</v>
      </c>
      <c r="J55" s="15" t="n">
        <f aca="false">I27</f>
        <v>358.104039966667</v>
      </c>
      <c r="K55" s="15" t="n">
        <f aca="false">J27</f>
        <v>601.189666233667</v>
      </c>
      <c r="L55" s="15" t="n">
        <f aca="false">K27</f>
        <v>841.844436237997</v>
      </c>
      <c r="M55" s="15" t="n">
        <f aca="false">L27</f>
        <v>1080.09265854228</v>
      </c>
      <c r="N55" s="15" t="n">
        <f aca="false">M27</f>
        <v>1315.95839862353</v>
      </c>
      <c r="O55" s="15" t="n">
        <f aca="false">N27</f>
        <v>1549.46548130396</v>
      </c>
      <c r="P55" s="15" t="n">
        <f aca="false">O27</f>
        <v>2356.19304871314</v>
      </c>
      <c r="Q55" s="15" t="n">
        <f aca="false">P27</f>
        <v>3154.85334044823</v>
      </c>
      <c r="R55" s="15" t="n">
        <f aca="false">Q27</f>
        <v>3945.52702926597</v>
      </c>
      <c r="S55" s="15" t="n">
        <f aca="false">R27</f>
        <v>4728.29398119554</v>
      </c>
      <c r="T55" s="15" t="n">
        <f aca="false">S27</f>
        <v>5503.2332636058</v>
      </c>
      <c r="U55" s="15" t="n">
        <f aca="false">T27</f>
        <v>6270.42315319197</v>
      </c>
      <c r="V55" s="15" t="n">
        <f aca="false">U27</f>
        <v>7029.94114388227</v>
      </c>
      <c r="W55" s="15" t="n">
        <f aca="false">V27</f>
        <v>7781.86395466566</v>
      </c>
      <c r="X55" s="15" t="n">
        <f aca="false">W27</f>
        <v>8526.26753734123</v>
      </c>
      <c r="Y55" s="15" t="n">
        <f aca="false">X27</f>
        <v>9263.22708419004</v>
      </c>
      <c r="Z55" s="15" t="n">
        <f aca="false">Y27</f>
        <v>9992.81703557036</v>
      </c>
      <c r="AA55" s="15" t="n">
        <f aca="false">Z27</f>
        <v>10715.1110874369</v>
      </c>
      <c r="AB55" s="15" t="n">
        <f aca="false">AA27</f>
        <v>12663.5155321181</v>
      </c>
      <c r="AC55" s="15" t="n">
        <f aca="false">AB27</f>
        <v>14592.4359323524</v>
      </c>
      <c r="AD55" s="15" t="n">
        <f aca="false">AC27</f>
        <v>16502.0671285845</v>
      </c>
      <c r="AE55" s="15" t="n">
        <f aca="false">AD27</f>
        <v>18392.6020128542</v>
      </c>
      <c r="AF55" s="15" t="n">
        <f aca="false">AE27</f>
        <v>20264.2315482812</v>
      </c>
      <c r="AG55" s="15" t="n">
        <f aca="false">AF27</f>
        <v>22117.1447883539</v>
      </c>
      <c r="AH55" s="15" t="n">
        <f aca="false">AG27</f>
        <v>23951.528896026</v>
      </c>
      <c r="AI55" s="15" t="n">
        <f aca="false">AH27</f>
        <v>25767.5691626213</v>
      </c>
      <c r="AJ55" s="15" t="n">
        <f aca="false">AI27</f>
        <v>27565.4490265506</v>
      </c>
      <c r="AK55" s="15" t="n">
        <f aca="false">AJ27</f>
        <v>29345.3500918407</v>
      </c>
      <c r="AL55" s="15" t="n">
        <f aca="false">AK27</f>
        <v>31107.4521464778</v>
      </c>
      <c r="AN55" s="15" t="n">
        <f aca="false">SUM(C55:N55)</f>
        <v>4668.76320293747</v>
      </c>
      <c r="AO55" s="15" t="n">
        <f aca="false">SUM(O55:Z55)</f>
        <v>70102.1060533742</v>
      </c>
      <c r="AP55" s="15" t="n">
        <f aca="false">SUM(AA55:AL55)</f>
        <v>252984.457353497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2958.33333333333</v>
      </c>
      <c r="E56" s="15" t="n">
        <f aca="false">(D36+D39+D43+D44+D45+D47+D48+D49+D50)*Hypothèses!$D$15</f>
        <v>3458.33333333333</v>
      </c>
      <c r="F56" s="15" t="n">
        <f aca="false">(E36+E39+E43+E44+E45+E47+E48+E49+E50)*Hypothèses!$D$15</f>
        <v>2986.95333333333</v>
      </c>
      <c r="G56" s="15" t="n">
        <f aca="false">(F36+F39+F43+F44+F45+F47+F48+F49+F50)*Hypothèses!$D$15</f>
        <v>2986.09473333333</v>
      </c>
      <c r="H56" s="15" t="n">
        <f aca="false">(G36+G39+G43+G44+G45+G47+G48+G49+G50)*Hypothèses!$D$15</f>
        <v>2985.26189133333</v>
      </c>
      <c r="I56" s="15" t="n">
        <f aca="false">(H36+H39+H43+H44+H45+H47+H48+H49+H50)*Hypothèses!$D$15</f>
        <v>2984.45403459333</v>
      </c>
      <c r="J56" s="15" t="n">
        <f aca="false">(I36+I39+I43+I44+I45+I47+I48+I49+I50)*Hypothèses!$D$15</f>
        <v>2633.0994942474</v>
      </c>
      <c r="K56" s="15" t="n">
        <f aca="false">(J36+J39+J43+J44+J45+J47+J48+J49+J50)*Hypothèses!$D$15</f>
        <v>1389.50849930493</v>
      </c>
      <c r="L56" s="15" t="n">
        <f aca="false">(K36+K39+K43+K44+K45+K47+K48+K49+K50)*Hypothèses!$D$15</f>
        <v>1445.35341431188</v>
      </c>
      <c r="M56" s="15" t="n">
        <f aca="false">(L36+L39+L43+L44+L45+L47+L48+L49+L50)*Hypothèses!$D$15</f>
        <v>1500.63988016876</v>
      </c>
      <c r="N56" s="15" t="n">
        <f aca="false">(M36+M39+M43+M44+M45+M47+M48+M49+M50)*Hypothèses!$D$15</f>
        <v>1555.37348136707</v>
      </c>
      <c r="O56" s="15" t="n">
        <f aca="false">(N36+N39+N43+N44+N45+N47+N48+N49+N50)*Hypothèses!$D$15</f>
        <v>1609.5597465534</v>
      </c>
      <c r="P56" s="15" t="n">
        <f aca="false">(O36+O39+O43+O44+O45+O47+O48+O49+O50)*Hypothèses!$D$15</f>
        <v>3196.76414908787</v>
      </c>
      <c r="Q56" s="15" t="n">
        <f aca="false">(P36+P39+P43+P44+P45+P47+P48+P49+P50)*Hypothèses!$D$15</f>
        <v>3382.09650759699</v>
      </c>
      <c r="R56" s="15" t="n">
        <f aca="false">(Q36+Q39+Q43+Q44+Q45+Q47+Q48+Q49+Q50)*Hypothèses!$D$15</f>
        <v>3565.57554252102</v>
      </c>
      <c r="S56" s="15" t="n">
        <f aca="false">(R36+R39+R43+R44+R45+R47+R48+R49+R50)*Hypothèses!$D$15</f>
        <v>3747.21978709581</v>
      </c>
      <c r="T56" s="15" t="n">
        <f aca="false">(S36+S39+S43+S44+S45+S47+S48+S49+S50)*Hypothèses!$D$15</f>
        <v>3927.04758922485</v>
      </c>
      <c r="U56" s="15" t="n">
        <f aca="false">(T36+T39+T43+T44+T45+T47+T48+T49+T50)*Hypothèses!$D$15</f>
        <v>4105.0771133326</v>
      </c>
      <c r="V56" s="15" t="n">
        <f aca="false">(U36+U39+U43+U44+U45+U47+U48+U49+U50)*Hypothèses!$D$15</f>
        <v>5581.32634219927</v>
      </c>
      <c r="W56" s="15" t="n">
        <f aca="false">(V36+V39+V43+V44+V45+V47+V48+V49+V50)*Hypothèses!$D$15</f>
        <v>4455.81307877728</v>
      </c>
      <c r="X56" s="15" t="n">
        <f aca="false">(W36+W39+W43+W44+W45+W47+W48+W49+W50)*Hypothèses!$D$15</f>
        <v>4628.55494798951</v>
      </c>
      <c r="Y56" s="15" t="n">
        <f aca="false">(X36+X39+X43+X44+X45+X47+X48+X49+X50)*Hypothèses!$D$15</f>
        <v>4799.56939850961</v>
      </c>
      <c r="Z56" s="15" t="n">
        <f aca="false">(Y36+Y39+Y43+Y44+Y45+Y47+Y48+Y49+Y50)*Hypothèses!$D$15</f>
        <v>4968.87370452452</v>
      </c>
      <c r="AA56" s="15" t="n">
        <f aca="false">(Z36+Z39+Z43+Z44+Z45+Z47+Z48+Z49+Z50)*Hypothèses!$D$15</f>
        <v>5136.48496747927</v>
      </c>
      <c r="AB56" s="15" t="n">
        <f aca="false">(AA36+AA39+AA43+AA44+AA45+AA47+AA48+AA49+AA50)*Hypothèses!$D$15</f>
        <v>8588.62011780448</v>
      </c>
      <c r="AC56" s="15" t="n">
        <f aca="false">(AB36+AB39+AB43+AB44+AB45+AB47+AB48+AB49+AB50)*Hypothèses!$D$15</f>
        <v>9036.23391662643</v>
      </c>
      <c r="AD56" s="15" t="n">
        <f aca="false">(AC36+AC39+AC43+AC44+AC45+AC47+AC48+AC49+AC50)*Hypothèses!$D$15</f>
        <v>9479.37157746017</v>
      </c>
      <c r="AE56" s="15" t="n">
        <f aca="false">(AD36+AD39+AD43+AD44+AD45+AD47+AD48+AD49+AD50)*Hypothèses!$D$15</f>
        <v>9918.07786168557</v>
      </c>
      <c r="AF56" s="15" t="n">
        <f aca="false">(AE36+AE39+AE43+AE44+AE45+AE47+AE48+AE49+AE50)*Hypothèses!$D$15</f>
        <v>10352.3970830687</v>
      </c>
      <c r="AG56" s="15" t="n">
        <f aca="false">(AF36+AF39+AF43+AF44+AF45+AF47+AF48+AF49+AF50)*Hypothèses!$D$15</f>
        <v>10782.373112238</v>
      </c>
      <c r="AH56" s="15" t="n">
        <f aca="false">(AG36+AG39+AG43+AG44+AG45+AG47+AG48+AG49+AG50)*Hypothèses!$D$15</f>
        <v>12508.0493811156</v>
      </c>
      <c r="AI56" s="15" t="n">
        <f aca="false">(AH36+AH39+AH43+AH44+AH45+AH47+AH48+AH49+AH50)*Hypothèses!$D$15</f>
        <v>11629.4688873045</v>
      </c>
      <c r="AJ56" s="15" t="n">
        <f aca="false">(AI36+AI39+AI43+AI44+AI45+AI47+AI48+AI49+AI50)*Hypothèses!$D$15</f>
        <v>12046.6741984314</v>
      </c>
      <c r="AK56" s="15" t="n">
        <f aca="false">(AJ36+AJ39+AJ43+AJ44+AJ45+AJ47+AJ48+AJ49+AJ50)*Hypothèses!$D$15</f>
        <v>12459.7074564471</v>
      </c>
      <c r="AL56" s="15" t="n">
        <f aca="false">(AK36+AK39+AK43+AK44+AK45+AK47+AK48+AK49+AK50)*Hypothèses!$D$15</f>
        <v>12868.6103818827</v>
      </c>
      <c r="AN56" s="15" t="n">
        <f aca="false">SUM(C56:N56)</f>
        <v>26883.40542866</v>
      </c>
      <c r="AO56" s="15" t="n">
        <f aca="false">SUM(O56:Z56)</f>
        <v>47967.4779074127</v>
      </c>
      <c r="AP56" s="15" t="n">
        <f aca="false">SUM(AA56:AL56)</f>
        <v>124806.068941544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-14791.6666666667</v>
      </c>
      <c r="E58" s="15" t="n">
        <f aca="false">D60</f>
        <v>-29125</v>
      </c>
      <c r="F58" s="15" t="n">
        <f aca="false">E60</f>
        <v>-39882.3223333333</v>
      </c>
      <c r="G58" s="15" t="n">
        <f aca="false">F60</f>
        <v>-51251.63833</v>
      </c>
      <c r="H58" s="15" t="n">
        <f aca="false">G60</f>
        <v>-62634.8748467667</v>
      </c>
      <c r="I58" s="15" t="n">
        <f aca="false">H60</f>
        <v>-74031.6142680303</v>
      </c>
      <c r="J58" s="15" t="n">
        <f aca="false">I60</f>
        <v>-82432.2486462414</v>
      </c>
      <c r="K58" s="15" t="n">
        <f aca="false">J60</f>
        <v>-83794.481347337</v>
      </c>
      <c r="L58" s="15" t="n">
        <f aca="false">K60</f>
        <v>-85519.4463880883</v>
      </c>
      <c r="M58" s="15" t="n">
        <f aca="false">L60</f>
        <v>-86316.5164450987</v>
      </c>
      <c r="N58" s="15" t="n">
        <f aca="false">M60</f>
        <v>-86194.9704682057</v>
      </c>
      <c r="O58" s="15" t="n">
        <f aca="false">N60</f>
        <v>-85163.9946177483</v>
      </c>
      <c r="P58" s="15" t="n">
        <f aca="false">O60</f>
        <v>-106394.631859129</v>
      </c>
      <c r="Q58" s="15" t="n">
        <f aca="false">P60</f>
        <v>-123114.761616984</v>
      </c>
      <c r="R58" s="15" t="n">
        <f aca="false">Q60</f>
        <v>-136755.48896615</v>
      </c>
      <c r="S58" s="15" t="n">
        <f aca="false">R60</f>
        <v>-147347.607930714</v>
      </c>
      <c r="T58" s="15" t="n">
        <f aca="false">S60</f>
        <v>-154921.60459452</v>
      </c>
      <c r="U58" s="15" t="n">
        <f aca="false">T60</f>
        <v>-159507.660180577</v>
      </c>
      <c r="V58" s="15" t="n">
        <f aca="false">U60</f>
        <v>-176085.654099663</v>
      </c>
      <c r="W58" s="15" t="n">
        <f aca="false">V60</f>
        <v>-181935.166968446</v>
      </c>
      <c r="X58" s="15" t="n">
        <f aca="false">W60</f>
        <v>-186185.483597431</v>
      </c>
      <c r="Y58" s="15" t="n">
        <f aca="false">X60</f>
        <v>-187565.595949015</v>
      </c>
      <c r="Z58" s="15" t="n">
        <f aca="false">Y60</f>
        <v>-186104.206065972</v>
      </c>
      <c r="AA58" s="15" t="n">
        <f aca="false">Z60</f>
        <v>-181829.728970648</v>
      </c>
      <c r="AB58" s="15" t="n">
        <f aca="false">AA60</f>
        <v>-184010.185535166</v>
      </c>
      <c r="AC58" s="15" t="n">
        <f aca="false">AB60</f>
        <v>-175678.159756261</v>
      </c>
      <c r="AD58" s="15" t="n">
        <f aca="false">AC60</f>
        <v>-159908.776457368</v>
      </c>
      <c r="AE58" s="15" t="n">
        <f aca="false">AD60</f>
        <v>-136776.409213685</v>
      </c>
      <c r="AF58" s="15" t="n">
        <f aca="false">AE60</f>
        <v>-106354.687864662</v>
      </c>
      <c r="AG58" s="15" t="n">
        <f aca="false">AF60</f>
        <v>-68716.5059513511</v>
      </c>
      <c r="AH58" s="15" t="n">
        <f aca="false">AG60</f>
        <v>-30434.0280793957</v>
      </c>
      <c r="AI58" s="15" t="n">
        <f aca="false">AH60</f>
        <v>22721.3027916181</v>
      </c>
      <c r="AJ58" s="15" t="n">
        <f aca="false">AI60</f>
        <v>81578.7581316995</v>
      </c>
      <c r="AK58" s="15" t="n">
        <f aca="false">AJ60</f>
        <v>147368.316696158</v>
      </c>
      <c r="AL58" s="15" t="n">
        <f aca="false">AK60</f>
        <v>220020.657452749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-14791.6666666667</v>
      </c>
      <c r="D59" s="15" t="n">
        <f aca="false">D31-D36-D39-D51-D55+D56+D57</f>
        <v>-14333.3333333333</v>
      </c>
      <c r="E59" s="15" t="n">
        <f aca="false">E31-E36-E39-E51-E55+E56+E57</f>
        <v>-10757.3223333333</v>
      </c>
      <c r="F59" s="15" t="n">
        <f aca="false">F31-F36-F39-F51-F55+F56+F57</f>
        <v>-11369.3159966667</v>
      </c>
      <c r="G59" s="15" t="n">
        <f aca="false">G31-G36-G39-G51-G55+G56+G57</f>
        <v>-11383.2365167667</v>
      </c>
      <c r="H59" s="15" t="n">
        <f aca="false">H31-H36-H39-H51-H55+H56+H57</f>
        <v>-11396.7394212637</v>
      </c>
      <c r="I59" s="15" t="n">
        <f aca="false">I31-I36-I39-I51-I55+I56+I57</f>
        <v>-8400.63437821103</v>
      </c>
      <c r="J59" s="15" t="n">
        <f aca="false">J31-J36-J39-J51-J55+J56+J57</f>
        <v>-1362.23270109559</v>
      </c>
      <c r="K59" s="15" t="n">
        <f aca="false">K31-K36-K39-K51-K55+K56+K57</f>
        <v>-1724.9650407513</v>
      </c>
      <c r="L59" s="15" t="n">
        <f aca="false">L31-L36-L39-L51-L55+L56+L57</f>
        <v>-797.070057010453</v>
      </c>
      <c r="M59" s="15" t="n">
        <f aca="false">M31-M36-M39-M51-M55+M56+M57</f>
        <v>121.545976892986</v>
      </c>
      <c r="N59" s="15" t="n">
        <f aca="false">N31-N36-N39-N51-N55+N56+N57</f>
        <v>1030.97585045739</v>
      </c>
      <c r="O59" s="15" t="n">
        <f aca="false">O31-O36-O39-O51-O55+O56+O57</f>
        <v>-21230.6372413805</v>
      </c>
      <c r="P59" s="15" t="n">
        <f aca="false">P31-P36-P39-P51-P55+P56+P57</f>
        <v>-16720.1297578556</v>
      </c>
      <c r="Q59" s="15" t="n">
        <f aca="false">Q31-Q36-Q39-Q51-Q55+Q56+Q57</f>
        <v>-13640.7273491659</v>
      </c>
      <c r="R59" s="15" t="n">
        <f aca="false">R31-R36-R39-R51-R55+R56+R57</f>
        <v>-10592.1189645632</v>
      </c>
      <c r="S59" s="15" t="n">
        <f aca="false">S31-S36-S39-S51-S55+S56+S57</f>
        <v>-7573.99666380642</v>
      </c>
      <c r="T59" s="15" t="n">
        <f aca="false">T31-T36-T39-T51-T55+T56+T57</f>
        <v>-4586.05558605724</v>
      </c>
      <c r="U59" s="15" t="n">
        <f aca="false">U31-U36-U39-U51-U55+U56+U57</f>
        <v>-16577.9939190856</v>
      </c>
      <c r="V59" s="15" t="n">
        <f aca="false">V31-V36-V39-V51-V55+V56+V57</f>
        <v>-5849.51286878362</v>
      </c>
      <c r="W59" s="15" t="n">
        <f aca="false">W31-W36-W39-W51-W55+W56+W57</f>
        <v>-4250.31662898466</v>
      </c>
      <c r="X59" s="15" t="n">
        <f aca="false">X31-X36-X39-X51-X55+X56+X57</f>
        <v>-1380.1123515837</v>
      </c>
      <c r="Y59" s="15" t="n">
        <f aca="false">Y31-Y36-Y39-Y51-Y55+Y56+Y57</f>
        <v>1461.38988304325</v>
      </c>
      <c r="Z59" s="15" t="n">
        <f aca="false">Z31-Z36-Z39-Z51-Z55+Z56+Z57</f>
        <v>4274.47709532392</v>
      </c>
      <c r="AA59" s="15" t="n">
        <f aca="false">AA31-AA36-AA39-AA51-AA55+AA56+AA57</f>
        <v>-2180.45656451821</v>
      </c>
      <c r="AB59" s="15" t="n">
        <f aca="false">AB31-AB36-AB39-AB51-AB55+AB56+AB57</f>
        <v>8332.02577890475</v>
      </c>
      <c r="AC59" s="15" t="n">
        <f aca="false">AC31-AC36-AC39-AC51-AC55+AC56+AC57</f>
        <v>15769.3832988935</v>
      </c>
      <c r="AD59" s="15" t="n">
        <f aca="false">AD31-AD36-AD39-AD51-AD55+AD56+AD57</f>
        <v>23132.3672436823</v>
      </c>
      <c r="AE59" s="15" t="n">
        <f aca="false">AE31-AE36-AE39-AE51-AE55+AE56+AE57</f>
        <v>30421.7213490233</v>
      </c>
      <c r="AF59" s="15" t="n">
        <f aca="false">AF31-AF36-AF39-AF51-AF55+AF56+AF57</f>
        <v>37638.1819133108</v>
      </c>
      <c r="AG59" s="15" t="n">
        <f aca="false">AG31-AG36-AG39-AG51-AG55+AG56+AG57</f>
        <v>38282.4778719555</v>
      </c>
      <c r="AH59" s="15" t="n">
        <f aca="false">AH31-AH36-AH39-AH51-AH55+AH56+AH57</f>
        <v>53155.3308710137</v>
      </c>
      <c r="AI59" s="15" t="n">
        <f aca="false">AI31-AI36-AI39-AI51-AI55+AI56+AI57</f>
        <v>58857.4553400814</v>
      </c>
      <c r="AJ59" s="15" t="n">
        <f aca="false">AJ31-AJ36-AJ39-AJ51-AJ55+AJ56+AJ57</f>
        <v>65789.5585644583</v>
      </c>
      <c r="AK59" s="15" t="n">
        <f aca="false">AK31-AK36-AK39-AK51-AK55+AK56+AK57</f>
        <v>72652.3407565915</v>
      </c>
      <c r="AL59" s="15" t="n">
        <f aca="false">AL31-AL36-AL39-AL51-AL55+AL56+AL57</f>
        <v>79446.4951268034</v>
      </c>
      <c r="AN59" s="15" t="n">
        <f aca="false">SUM(C59:N59)</f>
        <v>-85163.9946177483</v>
      </c>
      <c r="AO59" s="15" t="n">
        <f aca="false">SUM(O59:Z59)</f>
        <v>-96665.7343528993</v>
      </c>
      <c r="AP59" s="15" t="n">
        <f aca="false">SUM(AA59:AL59)</f>
        <v>481296.8815502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-14791.6666666667</v>
      </c>
      <c r="D60" s="40" t="n">
        <f aca="false">D58+D59</f>
        <v>-29125</v>
      </c>
      <c r="E60" s="40" t="n">
        <f aca="false">E58+E59</f>
        <v>-39882.3223333333</v>
      </c>
      <c r="F60" s="40" t="n">
        <f aca="false">F58+F59</f>
        <v>-51251.63833</v>
      </c>
      <c r="G60" s="40" t="n">
        <f aca="false">G58+G59</f>
        <v>-62634.8748467667</v>
      </c>
      <c r="H60" s="40" t="n">
        <f aca="false">H58+H59</f>
        <v>-74031.6142680303</v>
      </c>
      <c r="I60" s="40" t="n">
        <f aca="false">I58+I59</f>
        <v>-82432.2486462414</v>
      </c>
      <c r="J60" s="40" t="n">
        <f aca="false">J58+J59</f>
        <v>-83794.481347337</v>
      </c>
      <c r="K60" s="40" t="n">
        <f aca="false">K58+K59</f>
        <v>-85519.4463880883</v>
      </c>
      <c r="L60" s="40" t="n">
        <f aca="false">L58+L59</f>
        <v>-86316.5164450987</v>
      </c>
      <c r="M60" s="40" t="n">
        <f aca="false">M58+M59</f>
        <v>-86194.9704682057</v>
      </c>
      <c r="N60" s="40" t="n">
        <f aca="false">N58+N59</f>
        <v>-85163.9946177483</v>
      </c>
      <c r="O60" s="40" t="n">
        <f aca="false">O58+O59</f>
        <v>-106394.631859129</v>
      </c>
      <c r="P60" s="40" t="n">
        <f aca="false">P58+P59</f>
        <v>-123114.761616984</v>
      </c>
      <c r="Q60" s="40" t="n">
        <f aca="false">Q58+Q59</f>
        <v>-136755.48896615</v>
      </c>
      <c r="R60" s="40" t="n">
        <f aca="false">R58+R59</f>
        <v>-147347.607930714</v>
      </c>
      <c r="S60" s="40" t="n">
        <f aca="false">S58+S59</f>
        <v>-154921.60459452</v>
      </c>
      <c r="T60" s="40" t="n">
        <f aca="false">T58+T59</f>
        <v>-159507.660180577</v>
      </c>
      <c r="U60" s="40" t="n">
        <f aca="false">U58+U59</f>
        <v>-176085.654099663</v>
      </c>
      <c r="V60" s="40" t="n">
        <f aca="false">V58+V59</f>
        <v>-181935.166968446</v>
      </c>
      <c r="W60" s="40" t="n">
        <f aca="false">W58+W59</f>
        <v>-186185.483597431</v>
      </c>
      <c r="X60" s="40" t="n">
        <f aca="false">X58+X59</f>
        <v>-187565.595949015</v>
      </c>
      <c r="Y60" s="40" t="n">
        <f aca="false">Y58+Y59</f>
        <v>-186104.206065972</v>
      </c>
      <c r="Z60" s="40" t="n">
        <f aca="false">Z58+Z59</f>
        <v>-181829.728970648</v>
      </c>
      <c r="AA60" s="40" t="n">
        <f aca="false">AA58+AA59</f>
        <v>-184010.185535166</v>
      </c>
      <c r="AB60" s="40" t="n">
        <f aca="false">AB58+AB59</f>
        <v>-175678.159756261</v>
      </c>
      <c r="AC60" s="40" t="n">
        <f aca="false">AC58+AC59</f>
        <v>-159908.776457368</v>
      </c>
      <c r="AD60" s="40" t="n">
        <f aca="false">AD58+AD59</f>
        <v>-136776.409213685</v>
      </c>
      <c r="AE60" s="40" t="n">
        <f aca="false">AE58+AE59</f>
        <v>-106354.687864662</v>
      </c>
      <c r="AF60" s="40" t="n">
        <f aca="false">AF58+AF59</f>
        <v>-68716.5059513511</v>
      </c>
      <c r="AG60" s="40" t="n">
        <f aca="false">AG58+AG59</f>
        <v>-30434.0280793957</v>
      </c>
      <c r="AH60" s="40" t="n">
        <f aca="false">AH58+AH59</f>
        <v>22721.3027916181</v>
      </c>
      <c r="AI60" s="40" t="n">
        <f aca="false">AI58+AI59</f>
        <v>81578.7581316995</v>
      </c>
      <c r="AJ60" s="40" t="n">
        <f aca="false">AJ58+AJ59</f>
        <v>147368.316696158</v>
      </c>
      <c r="AK60" s="40" t="n">
        <f aca="false">AK58+AK59</f>
        <v>220020.657452749</v>
      </c>
      <c r="AL60" s="40" t="n">
        <f aca="false">AL58+AL59</f>
        <v>299467.152579553</v>
      </c>
      <c r="AN60" s="40" t="n">
        <f aca="false">N60</f>
        <v>-85163.9946177483</v>
      </c>
      <c r="AO60" s="40" t="n">
        <f aca="false">Z60</f>
        <v>-181829.728970648</v>
      </c>
      <c r="AP60" s="40" t="n">
        <f aca="false">AL60</f>
        <v>299467.152579553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-14791.6666666667</v>
      </c>
      <c r="D62" s="40" t="n">
        <f aca="false">D60-D61</f>
        <v>-29125</v>
      </c>
      <c r="E62" s="40" t="n">
        <f aca="false">E60-E61</f>
        <v>-39882.3223333333</v>
      </c>
      <c r="F62" s="40" t="n">
        <f aca="false">F60-F61</f>
        <v>-51251.63833</v>
      </c>
      <c r="G62" s="40" t="n">
        <f aca="false">G60-G61</f>
        <v>-62634.8748467667</v>
      </c>
      <c r="H62" s="40" t="n">
        <f aca="false">H60-H61</f>
        <v>-74031.6142680303</v>
      </c>
      <c r="I62" s="40" t="n">
        <f aca="false">I60-I61</f>
        <v>-82432.2486462414</v>
      </c>
      <c r="J62" s="40" t="n">
        <f aca="false">J60-J61</f>
        <v>-83794.481347337</v>
      </c>
      <c r="K62" s="40" t="n">
        <f aca="false">K60-K61</f>
        <v>-85519.4463880883</v>
      </c>
      <c r="L62" s="40" t="n">
        <f aca="false">L60-L61</f>
        <v>-86316.5164450987</v>
      </c>
      <c r="M62" s="40" t="n">
        <f aca="false">M60-M61</f>
        <v>-86194.9704682057</v>
      </c>
      <c r="N62" s="40" t="n">
        <f aca="false">N60-N61</f>
        <v>-85163.9946177483</v>
      </c>
      <c r="O62" s="40" t="n">
        <f aca="false">O60-O61</f>
        <v>-106394.631859129</v>
      </c>
      <c r="P62" s="40" t="n">
        <f aca="false">P60-P61</f>
        <v>-123114.761616984</v>
      </c>
      <c r="Q62" s="40" t="n">
        <f aca="false">Q60-Q61</f>
        <v>-136755.48896615</v>
      </c>
      <c r="R62" s="40" t="n">
        <f aca="false">R60-R61</f>
        <v>-147347.607930714</v>
      </c>
      <c r="S62" s="40" t="n">
        <f aca="false">S60-S61</f>
        <v>-154921.60459452</v>
      </c>
      <c r="T62" s="40" t="n">
        <f aca="false">T60-T61</f>
        <v>-159507.660180577</v>
      </c>
      <c r="U62" s="40" t="n">
        <f aca="false">U60-U61</f>
        <v>-176085.654099663</v>
      </c>
      <c r="V62" s="40" t="n">
        <f aca="false">V60-V61</f>
        <v>-181935.166968446</v>
      </c>
      <c r="W62" s="40" t="n">
        <f aca="false">W60-W61</f>
        <v>-186185.483597431</v>
      </c>
      <c r="X62" s="40" t="n">
        <f aca="false">X60-X61</f>
        <v>-187565.595949015</v>
      </c>
      <c r="Y62" s="40" t="n">
        <f aca="false">Y60-Y61</f>
        <v>-186104.206065972</v>
      </c>
      <c r="Z62" s="40" t="n">
        <f aca="false">Z60-Z61</f>
        <v>-181829.728970648</v>
      </c>
      <c r="AA62" s="40" t="n">
        <f aca="false">AA60-AA61</f>
        <v>-184010.185535166</v>
      </c>
      <c r="AB62" s="40" t="n">
        <f aca="false">AB60-AB61</f>
        <v>-175678.159756261</v>
      </c>
      <c r="AC62" s="40" t="n">
        <f aca="false">AC60-AC61</f>
        <v>-159908.776457368</v>
      </c>
      <c r="AD62" s="40" t="n">
        <f aca="false">AD60-AD61</f>
        <v>-136776.409213685</v>
      </c>
      <c r="AE62" s="40" t="n">
        <f aca="false">AE60-AE61</f>
        <v>-106354.687864662</v>
      </c>
      <c r="AF62" s="40" t="n">
        <f aca="false">AF60-AF61</f>
        <v>-68716.5059513511</v>
      </c>
      <c r="AG62" s="40" t="n">
        <f aca="false">AG60-AG61</f>
        <v>-30434.0280793957</v>
      </c>
      <c r="AH62" s="40" t="n">
        <f aca="false">AH60-AH61</f>
        <v>22721.3027916181</v>
      </c>
      <c r="AI62" s="40" t="n">
        <f aca="false">AI60-AI61</f>
        <v>81578.7581316995</v>
      </c>
      <c r="AJ62" s="40" t="n">
        <f aca="false">AJ60-AJ61</f>
        <v>147368.316696158</v>
      </c>
      <c r="AK62" s="40" t="n">
        <f aca="false">AK60-AK61</f>
        <v>220020.657452749</v>
      </c>
      <c r="AL62" s="40" t="n">
        <f aca="false">AL60-AL61</f>
        <v>299467.152579553</v>
      </c>
      <c r="AN62" s="40" t="n">
        <f aca="false">N62</f>
        <v>-85163.9946177483</v>
      </c>
      <c r="AO62" s="40" t="n">
        <f aca="false">Z62</f>
        <v>-181829.728970648</v>
      </c>
      <c r="AP62" s="40" t="n">
        <f aca="false">AL62</f>
        <v>299467.152579553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-14791.6666666667</v>
      </c>
      <c r="D63" s="15" t="n">
        <f aca="false">MIN(C63,D62)</f>
        <v>-29125</v>
      </c>
      <c r="E63" s="15" t="n">
        <f aca="false">MIN(D63,E62)</f>
        <v>-39882.3223333333</v>
      </c>
      <c r="F63" s="15" t="n">
        <f aca="false">MIN(E63,F62)</f>
        <v>-51251.63833</v>
      </c>
      <c r="G63" s="15" t="n">
        <f aca="false">MIN(F63,G62)</f>
        <v>-62634.8748467667</v>
      </c>
      <c r="H63" s="15" t="n">
        <f aca="false">MIN(G63,H62)</f>
        <v>-74031.6142680303</v>
      </c>
      <c r="I63" s="15" t="n">
        <f aca="false">MIN(H63,I62)</f>
        <v>-82432.2486462414</v>
      </c>
      <c r="J63" s="15" t="n">
        <f aca="false">MIN(I63,J62)</f>
        <v>-83794.481347337</v>
      </c>
      <c r="K63" s="15" t="n">
        <f aca="false">MIN(J63,K62)</f>
        <v>-85519.4463880883</v>
      </c>
      <c r="L63" s="15" t="n">
        <f aca="false">MIN(K63,L62)</f>
        <v>-86316.5164450987</v>
      </c>
      <c r="M63" s="15" t="n">
        <f aca="false">MIN(L63,M62)</f>
        <v>-86316.5164450987</v>
      </c>
      <c r="N63" s="15" t="n">
        <f aca="false">MIN(M63,N62)</f>
        <v>-86316.5164450987</v>
      </c>
      <c r="O63" s="15" t="n">
        <f aca="false">MIN(N63,O62)</f>
        <v>-106394.631859129</v>
      </c>
      <c r="P63" s="15" t="n">
        <f aca="false">MIN(O63,P62)</f>
        <v>-123114.761616984</v>
      </c>
      <c r="Q63" s="15" t="n">
        <f aca="false">MIN(P63,Q62)</f>
        <v>-136755.48896615</v>
      </c>
      <c r="R63" s="15" t="n">
        <f aca="false">MIN(Q63,R62)</f>
        <v>-147347.607930714</v>
      </c>
      <c r="S63" s="15" t="n">
        <f aca="false">MIN(R63,S62)</f>
        <v>-154921.60459452</v>
      </c>
      <c r="T63" s="15" t="n">
        <f aca="false">MIN(S63,T62)</f>
        <v>-159507.660180577</v>
      </c>
      <c r="U63" s="15" t="n">
        <f aca="false">MIN(T63,U62)</f>
        <v>-176085.654099663</v>
      </c>
      <c r="V63" s="15" t="n">
        <f aca="false">MIN(U63,V62)</f>
        <v>-181935.166968446</v>
      </c>
      <c r="W63" s="15" t="n">
        <f aca="false">MIN(V63,W62)</f>
        <v>-186185.483597431</v>
      </c>
      <c r="X63" s="15" t="n">
        <f aca="false">MIN(W63,X62)</f>
        <v>-187565.595949015</v>
      </c>
      <c r="Y63" s="15" t="n">
        <f aca="false">MIN(X63,Y62)</f>
        <v>-187565.595949015</v>
      </c>
      <c r="Z63" s="15" t="n">
        <f aca="false">MIN(Y63,Z62)</f>
        <v>-187565.595949015</v>
      </c>
      <c r="AA63" s="15" t="n">
        <f aca="false">MIN(Z63,AA62)</f>
        <v>-187565.595949015</v>
      </c>
      <c r="AB63" s="15" t="n">
        <f aca="false">MIN(AA63,AB62)</f>
        <v>-187565.595949015</v>
      </c>
      <c r="AC63" s="15" t="n">
        <f aca="false">MIN(AB63,AC62)</f>
        <v>-187565.595949015</v>
      </c>
      <c r="AD63" s="15" t="n">
        <f aca="false">MIN(AC63,AD62)</f>
        <v>-187565.595949015</v>
      </c>
      <c r="AE63" s="15" t="n">
        <f aca="false">MIN(AD63,AE62)</f>
        <v>-187565.595949015</v>
      </c>
      <c r="AF63" s="15" t="n">
        <f aca="false">MIN(AE63,AF62)</f>
        <v>-187565.595949015</v>
      </c>
      <c r="AG63" s="15" t="n">
        <f aca="false">MIN(AF63,AG62)</f>
        <v>-187565.595949015</v>
      </c>
      <c r="AH63" s="15" t="n">
        <f aca="false">MIN(AG63,AH62)</f>
        <v>-187565.595949015</v>
      </c>
      <c r="AI63" s="15" t="n">
        <f aca="false">MIN(AH63,AI62)</f>
        <v>-187565.595949015</v>
      </c>
      <c r="AJ63" s="15" t="n">
        <f aca="false">MIN(AI63,AJ62)</f>
        <v>-187565.595949015</v>
      </c>
      <c r="AK63" s="15" t="n">
        <f aca="false">MIN(AJ63,AK62)</f>
        <v>-187565.595949015</v>
      </c>
      <c r="AL63" s="15" t="n">
        <f aca="false">MIN(AK63,AL62)</f>
        <v>-187565.595949015</v>
      </c>
      <c r="AN63" s="15" t="n">
        <f aca="false">N63</f>
        <v>-86316.5164450987</v>
      </c>
      <c r="AO63" s="15" t="n">
        <f aca="false">Z63</f>
        <v>-187565.595949015</v>
      </c>
      <c r="AP63" s="15" t="n">
        <f aca="false">AL63</f>
        <v>-187565.595949015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0</v>
      </c>
      <c r="AG64" s="13" t="n">
        <f aca="false">IF(AND(AG9=1,AG62&gt;0),1,0)</f>
        <v>0</v>
      </c>
      <c r="AH64" s="13" t="n">
        <f aca="false">IF(AND(AH9=1,AH62&gt;0),1,0)</f>
        <v>1</v>
      </c>
      <c r="AI64" s="13" t="n">
        <f aca="false">IF(AND(AI9=1,AI62&gt;0),1,0)</f>
        <v>1</v>
      </c>
      <c r="AJ64" s="13" t="n">
        <f aca="false">IF(AND(AJ9=1,AJ62&gt;0),1,0)</f>
        <v>1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7178</v>
      </c>
      <c r="G66" s="15" t="n">
        <f aca="false">G28*12</f>
        <v>6962.66</v>
      </c>
      <c r="H66" s="15" t="n">
        <f aca="false">H28*12</f>
        <v>6753.7802</v>
      </c>
      <c r="I66" s="15" t="n">
        <f aca="false">I28*12</f>
        <v>21486.242398</v>
      </c>
      <c r="J66" s="15" t="n">
        <f aca="false">J28*12</f>
        <v>36071.37997402</v>
      </c>
      <c r="K66" s="15" t="n">
        <f aca="false">K28*12</f>
        <v>50510.6661742798</v>
      </c>
      <c r="L66" s="15" t="n">
        <f aca="false">L28*12</f>
        <v>64805.559512537</v>
      </c>
      <c r="M66" s="15" t="n">
        <f aca="false">M28*12</f>
        <v>78957.5039174116</v>
      </c>
      <c r="N66" s="15" t="n">
        <f aca="false">N28*12</f>
        <v>92967.9288782375</v>
      </c>
      <c r="O66" s="15" t="n">
        <f aca="false">O28*12</f>
        <v>141371.582922788</v>
      </c>
      <c r="P66" s="15" t="n">
        <f aca="false">P28*12</f>
        <v>189291.200426894</v>
      </c>
      <c r="Q66" s="15" t="n">
        <f aca="false">Q28*12</f>
        <v>236731.621755958</v>
      </c>
      <c r="R66" s="15" t="n">
        <f aca="false">R28*12</f>
        <v>283697.638871732</v>
      </c>
      <c r="S66" s="15" t="n">
        <f aca="false">S28*12</f>
        <v>330193.995816348</v>
      </c>
      <c r="T66" s="15" t="n">
        <f aca="false">T28*12</f>
        <v>376225.389191518</v>
      </c>
      <c r="U66" s="15" t="n">
        <f aca="false">U28*12</f>
        <v>421796.468632936</v>
      </c>
      <c r="V66" s="15" t="n">
        <f aca="false">V28*12</f>
        <v>466911.83727994</v>
      </c>
      <c r="W66" s="15" t="n">
        <f aca="false">W28*12</f>
        <v>511576.052240474</v>
      </c>
      <c r="X66" s="15" t="n">
        <f aca="false">X28*12</f>
        <v>555793.625051403</v>
      </c>
      <c r="Y66" s="15" t="n">
        <f aca="false">Y28*12</f>
        <v>599569.022134222</v>
      </c>
      <c r="Z66" s="15" t="n">
        <f aca="false">Z28*12</f>
        <v>642906.665246213</v>
      </c>
      <c r="AA66" s="15" t="n">
        <f aca="false">AA28*12</f>
        <v>759810.931927084</v>
      </c>
      <c r="AB66" s="15" t="n">
        <f aca="false">AB28*12</f>
        <v>875546.155941146</v>
      </c>
      <c r="AC66" s="15" t="n">
        <f aca="false">AC28*12</f>
        <v>990124.027715068</v>
      </c>
      <c r="AD66" s="15" t="n">
        <f aca="false">AD28*12</f>
        <v>1103556.12077125</v>
      </c>
      <c r="AE66" s="15" t="n">
        <f aca="false">AE28*12</f>
        <v>1215853.89289687</v>
      </c>
      <c r="AF66" s="15" t="n">
        <f aca="false">AF28*12</f>
        <v>1327028.68730124</v>
      </c>
      <c r="AG66" s="15" t="n">
        <f aca="false">AG28*12</f>
        <v>1437091.73376156</v>
      </c>
      <c r="AH66" s="15" t="n">
        <f aca="false">AH28*12</f>
        <v>1546054.14975728</v>
      </c>
      <c r="AI66" s="15" t="n">
        <f aca="false">AI28*12</f>
        <v>1653926.94159304</v>
      </c>
      <c r="AJ66" s="15" t="n">
        <f aca="false">AJ28*12</f>
        <v>1760721.00551044</v>
      </c>
      <c r="AK66" s="15" t="n">
        <f aca="false">AK28*12</f>
        <v>1866447.12878867</v>
      </c>
      <c r="AL66" s="15" t="n">
        <f aca="false">AL28*12</f>
        <v>1971115.99083411</v>
      </c>
      <c r="AN66" s="15" t="n">
        <f aca="false">N66</f>
        <v>92967.9288782375</v>
      </c>
      <c r="AO66" s="15" t="n">
        <f aca="false">Z66</f>
        <v>642906.665246213</v>
      </c>
      <c r="AP66" s="15" t="n">
        <f aca="false">AL66</f>
        <v>1971115.99083411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3.3046125782367</v>
      </c>
      <c r="F72" s="38" t="n">
        <f aca="false">IF(F69&gt;0,Hypothèses!$D$23*$E$4/F69,0)</f>
        <v>3.3046125782367</v>
      </c>
      <c r="G72" s="38" t="n">
        <f aca="false">IF(G69&gt;0,Hypothèses!$D$23*$E$4/G69,0)</f>
        <v>3.3046125782367</v>
      </c>
      <c r="H72" s="38" t="n">
        <f aca="false">IF(H69&gt;0,Hypothèses!$D$23*$E$4/H69,0)</f>
        <v>3.3046125782367</v>
      </c>
      <c r="I72" s="38" t="n">
        <f aca="false">IF(I69&gt;0,Hypothèses!$D$23*$E$4/I69,0)</f>
        <v>3.3046125782367</v>
      </c>
      <c r="J72" s="38" t="n">
        <f aca="false">IF(J69&gt;0,Hypothèses!$D$23*$E$4/J69,0)</f>
        <v>3.3046125782367</v>
      </c>
      <c r="K72" s="38" t="n">
        <f aca="false">IF(K69&gt;0,Hypothèses!$D$23*$E$4/K69,0)</f>
        <v>3.3046125782367</v>
      </c>
      <c r="L72" s="38" t="n">
        <f aca="false">IF(L69&gt;0,Hypothèses!$D$23*$E$4/L69,0)</f>
        <v>3.3046125782367</v>
      </c>
      <c r="M72" s="38" t="n">
        <f aca="false">IF(M69&gt;0,Hypothèses!$D$23*$E$4/M69,0)</f>
        <v>3.3046125782367</v>
      </c>
      <c r="N72" s="38" t="n">
        <f aca="false">IF(N69&gt;0,Hypothèses!$D$23*$E$4/N69,0)</f>
        <v>3.3046125782367</v>
      </c>
      <c r="O72" s="38" t="n">
        <f aca="false">IF(O69&gt;0,Hypothèses!$D$23*$E$4/O69,0)</f>
        <v>3.3046125782367</v>
      </c>
      <c r="P72" s="38" t="n">
        <f aca="false">IF(P69&gt;0,Hypothèses!$D$23*$E$4/P69,0)</f>
        <v>3.3046125782367</v>
      </c>
      <c r="Q72" s="38" t="n">
        <f aca="false">IF(Q69&gt;0,Hypothèses!$D$23*$E$4/Q69,0)</f>
        <v>3.3046125782367</v>
      </c>
      <c r="R72" s="38" t="n">
        <f aca="false">IF(R69&gt;0,Hypothèses!$D$23*$E$4/R69,0)</f>
        <v>3.3046125782367</v>
      </c>
      <c r="S72" s="38" t="n">
        <f aca="false">IF(S69&gt;0,Hypothèses!$D$23*$E$4/S69,0)</f>
        <v>3.3046125782367</v>
      </c>
      <c r="T72" s="38" t="n">
        <f aca="false">IF(T69&gt;0,Hypothèses!$D$23*$E$4/T69,0)</f>
        <v>3.3046125782367</v>
      </c>
      <c r="U72" s="38" t="n">
        <f aca="false">IF(U69&gt;0,Hypothèses!$D$23*$E$4/U69,0)</f>
        <v>3.3046125782367</v>
      </c>
      <c r="V72" s="38" t="n">
        <f aca="false">IF(V69&gt;0,Hypothèses!$D$23*$E$4/V69,0)</f>
        <v>3.3046125782367</v>
      </c>
      <c r="W72" s="38" t="n">
        <f aca="false">IF(W69&gt;0,Hypothèses!$D$23*$E$4/W69,0)</f>
        <v>3.3046125782367</v>
      </c>
      <c r="X72" s="38" t="n">
        <f aca="false">IF(X69&gt;0,Hypothèses!$D$23*$E$4/X69,0)</f>
        <v>3.3046125782367</v>
      </c>
      <c r="Y72" s="38" t="n">
        <f aca="false">IF(Y69&gt;0,Hypothèses!$D$23*$E$4/Y69,0)</f>
        <v>3.3046125782367</v>
      </c>
      <c r="Z72" s="38" t="n">
        <f aca="false">IF(Z69&gt;0,Hypothèses!$D$23*$E$4/Z69,0)</f>
        <v>3.3046125782367</v>
      </c>
      <c r="AA72" s="38" t="n">
        <f aca="false">IF(AA69&gt;0,Hypothèses!$D$23*$E$4/AA69,0)</f>
        <v>3.3046125782367</v>
      </c>
      <c r="AB72" s="38" t="n">
        <f aca="false">IF(AB69&gt;0,Hypothèses!$D$23*$E$4/AB69,0)</f>
        <v>3.3046125782367</v>
      </c>
      <c r="AC72" s="38" t="n">
        <f aca="false">IF(AC69&gt;0,Hypothèses!$D$23*$E$4/AC69,0)</f>
        <v>3.3046125782367</v>
      </c>
      <c r="AD72" s="38" t="n">
        <f aca="false">IF(AD69&gt;0,Hypothèses!$D$23*$E$4/AD69,0)</f>
        <v>3.3046125782367</v>
      </c>
      <c r="AE72" s="38" t="n">
        <f aca="false">IF(AE69&gt;0,Hypothèses!$D$23*$E$4/AE69,0)</f>
        <v>3.3046125782367</v>
      </c>
      <c r="AF72" s="38" t="n">
        <f aca="false">IF(AF69&gt;0,Hypothèses!$D$23*$E$4/AF69,0)</f>
        <v>3.3046125782367</v>
      </c>
      <c r="AG72" s="38" t="n">
        <f aca="false">IF(AG69&gt;0,Hypothèses!$D$23*$E$4/AG69,0)</f>
        <v>3.3046125782367</v>
      </c>
      <c r="AH72" s="38" t="n">
        <f aca="false">IF(AH69&gt;0,Hypothèses!$D$23*$E$4/AH69,0)</f>
        <v>3.3046125782367</v>
      </c>
      <c r="AI72" s="38" t="n">
        <f aca="false">IF(AI69&gt;0,Hypothèses!$D$23*$E$4/AI69,0)</f>
        <v>3.3046125782367</v>
      </c>
      <c r="AJ72" s="38" t="n">
        <f aca="false">IF(AJ69&gt;0,Hypothèses!$D$23*$E$4/AJ69,0)</f>
        <v>3.3046125782367</v>
      </c>
      <c r="AK72" s="38" t="n">
        <f aca="false">IF(AK69&gt;0,Hypothèses!$D$23*$E$4/AK69,0)</f>
        <v>3.3046125782367</v>
      </c>
      <c r="AL72" s="38" t="n">
        <f aca="false">IF(AL69&gt;0,Hypothèses!$D$23*$E$4/AL69,0)</f>
        <v>3.3046125782367</v>
      </c>
      <c r="AN72" s="38" t="n">
        <f aca="false">N72</f>
        <v>3.3046125782367</v>
      </c>
      <c r="AO72" s="38" t="n">
        <f aca="false">Z72</f>
        <v>3.3046125782367</v>
      </c>
      <c r="AP72" s="38" t="n">
        <f aca="false">AL72</f>
        <v>3.3046125782367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1513.03666666667</v>
      </c>
      <c r="F73" s="15" t="n">
        <f aca="false">IF(Hypothèses!$D$26*$D$4&gt;0,F69/(Hypothèses!$D$26*$D$4),0)</f>
        <v>1513.03666666667</v>
      </c>
      <c r="G73" s="15" t="n">
        <f aca="false">IF(Hypothèses!$D$26*$D$4&gt;0,G69/(Hypothèses!$D$26*$D$4),0)</f>
        <v>1513.03666666667</v>
      </c>
      <c r="H73" s="15" t="n">
        <f aca="false">IF(Hypothèses!$D$26*$D$4&gt;0,H69/(Hypothèses!$D$26*$D$4),0)</f>
        <v>1513.03666666667</v>
      </c>
      <c r="I73" s="15" t="n">
        <f aca="false">IF(Hypothèses!$D$26*$D$4&gt;0,I69/(Hypothèses!$D$26*$D$4),0)</f>
        <v>1513.03666666667</v>
      </c>
      <c r="J73" s="15" t="n">
        <f aca="false">IF(Hypothèses!$D$26*$D$4&gt;0,J69/(Hypothèses!$D$26*$D$4),0)</f>
        <v>1513.03666666667</v>
      </c>
      <c r="K73" s="15" t="n">
        <f aca="false">IF(Hypothèses!$D$26*$D$4&gt;0,K69/(Hypothèses!$D$26*$D$4),0)</f>
        <v>1513.03666666667</v>
      </c>
      <c r="L73" s="15" t="n">
        <f aca="false">IF(Hypothèses!$D$26*$D$4&gt;0,L69/(Hypothèses!$D$26*$D$4),0)</f>
        <v>1513.03666666667</v>
      </c>
      <c r="M73" s="15" t="n">
        <f aca="false">IF(Hypothèses!$D$26*$D$4&gt;0,M69/(Hypothèses!$D$26*$D$4),0)</f>
        <v>1513.03666666667</v>
      </c>
      <c r="N73" s="15" t="n">
        <f aca="false">IF(Hypothèses!$D$26*$D$4&gt;0,N69/(Hypothèses!$D$26*$D$4),0)</f>
        <v>1513.03666666667</v>
      </c>
      <c r="O73" s="15" t="n">
        <f aca="false">IF(Hypothèses!$D$26*$D$4&gt;0,O69/(Hypothèses!$D$26*$D$4),0)</f>
        <v>1513.03666666667</v>
      </c>
      <c r="P73" s="15" t="n">
        <f aca="false">IF(Hypothèses!$D$26*$D$4&gt;0,P69/(Hypothèses!$D$26*$D$4),0)</f>
        <v>1513.03666666667</v>
      </c>
      <c r="Q73" s="15" t="n">
        <f aca="false">IF(Hypothèses!$D$26*$D$4&gt;0,Q69/(Hypothèses!$D$26*$D$4),0)</f>
        <v>1513.03666666667</v>
      </c>
      <c r="R73" s="15" t="n">
        <f aca="false">IF(Hypothèses!$D$26*$D$4&gt;0,R69/(Hypothèses!$D$26*$D$4),0)</f>
        <v>1513.03666666667</v>
      </c>
      <c r="S73" s="15" t="n">
        <f aca="false">IF(Hypothèses!$D$26*$D$4&gt;0,S69/(Hypothèses!$D$26*$D$4),0)</f>
        <v>1513.03666666667</v>
      </c>
      <c r="T73" s="15" t="n">
        <f aca="false">IF(Hypothèses!$D$26*$D$4&gt;0,T69/(Hypothèses!$D$26*$D$4),0)</f>
        <v>1513.03666666667</v>
      </c>
      <c r="U73" s="15" t="n">
        <f aca="false">IF(Hypothèses!$D$26*$D$4&gt;0,U69/(Hypothèses!$D$26*$D$4),0)</f>
        <v>1513.03666666667</v>
      </c>
      <c r="V73" s="15" t="n">
        <f aca="false">IF(Hypothèses!$D$26*$D$4&gt;0,V69/(Hypothèses!$D$26*$D$4),0)</f>
        <v>1513.03666666667</v>
      </c>
      <c r="W73" s="15" t="n">
        <f aca="false">IF(Hypothèses!$D$26*$D$4&gt;0,W69/(Hypothèses!$D$26*$D$4),0)</f>
        <v>1513.03666666667</v>
      </c>
      <c r="X73" s="15" t="n">
        <f aca="false">IF(Hypothèses!$D$26*$D$4&gt;0,X69/(Hypothèses!$D$26*$D$4),0)</f>
        <v>1513.03666666667</v>
      </c>
      <c r="Y73" s="15" t="n">
        <f aca="false">IF(Hypothèses!$D$26*$D$4&gt;0,Y69/(Hypothèses!$D$26*$D$4),0)</f>
        <v>1513.03666666667</v>
      </c>
      <c r="Z73" s="15" t="n">
        <f aca="false">IF(Hypothèses!$D$26*$D$4&gt;0,Z69/(Hypothèses!$D$26*$D$4),0)</f>
        <v>1513.03666666667</v>
      </c>
      <c r="AA73" s="15" t="n">
        <f aca="false">IF(Hypothèses!$D$26*$D$4&gt;0,AA69/(Hypothèses!$D$26*$D$4),0)</f>
        <v>1513.03666666667</v>
      </c>
      <c r="AB73" s="15" t="n">
        <f aca="false">IF(Hypothèses!$D$26*$D$4&gt;0,AB69/(Hypothèses!$D$26*$D$4),0)</f>
        <v>1513.03666666667</v>
      </c>
      <c r="AC73" s="15" t="n">
        <f aca="false">IF(Hypothèses!$D$26*$D$4&gt;0,AC69/(Hypothèses!$D$26*$D$4),0)</f>
        <v>1513.03666666667</v>
      </c>
      <c r="AD73" s="15" t="n">
        <f aca="false">IF(Hypothèses!$D$26*$D$4&gt;0,AD69/(Hypothèses!$D$26*$D$4),0)</f>
        <v>1513.03666666667</v>
      </c>
      <c r="AE73" s="15" t="n">
        <f aca="false">IF(Hypothèses!$D$26*$D$4&gt;0,AE69/(Hypothèses!$D$26*$D$4),0)</f>
        <v>1513.03666666667</v>
      </c>
      <c r="AF73" s="15" t="n">
        <f aca="false">IF(Hypothèses!$D$26*$D$4&gt;0,AF69/(Hypothèses!$D$26*$D$4),0)</f>
        <v>1513.03666666667</v>
      </c>
      <c r="AG73" s="15" t="n">
        <f aca="false">IF(Hypothèses!$D$26*$D$4&gt;0,AG69/(Hypothèses!$D$26*$D$4),0)</f>
        <v>1513.03666666667</v>
      </c>
      <c r="AH73" s="15" t="n">
        <f aca="false">IF(Hypothèses!$D$26*$D$4&gt;0,AH69/(Hypothèses!$D$26*$D$4),0)</f>
        <v>1513.03666666667</v>
      </c>
      <c r="AI73" s="15" t="n">
        <f aca="false">IF(Hypothèses!$D$26*$D$4&gt;0,AI69/(Hypothèses!$D$26*$D$4),0)</f>
        <v>1513.03666666667</v>
      </c>
      <c r="AJ73" s="15" t="n">
        <f aca="false">IF(Hypothèses!$D$26*$D$4&gt;0,AJ69/(Hypothèses!$D$26*$D$4),0)</f>
        <v>1513.03666666667</v>
      </c>
      <c r="AK73" s="15" t="n">
        <f aca="false">IF(Hypothèses!$D$26*$D$4&gt;0,AK69/(Hypothèses!$D$26*$D$4),0)</f>
        <v>1513.03666666667</v>
      </c>
      <c r="AL73" s="15" t="n">
        <f aca="false">IF(Hypothèses!$D$26*$D$4&gt;0,AL69/(Hypothèses!$D$26*$D$4),0)</f>
        <v>1513.03666666667</v>
      </c>
      <c r="AN73" s="15" t="n">
        <f aca="false">N73</f>
        <v>1513.03666666667</v>
      </c>
      <c r="AO73" s="15" t="n">
        <f aca="false">Z73</f>
        <v>1513.03666666667</v>
      </c>
      <c r="AP73" s="15" t="n">
        <f aca="false">AL73</f>
        <v>1513.03666666667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10.0869111111111</v>
      </c>
      <c r="F74" s="41" t="n">
        <f aca="false">IF(Hypothèses!$D$23*$E$4&gt;0,F73/(Hypothèses!$D$23*$E$4),0)</f>
        <v>10.0869111111111</v>
      </c>
      <c r="G74" s="41" t="n">
        <f aca="false">IF(Hypothèses!$D$23*$E$4&gt;0,G73/(Hypothèses!$D$23*$E$4),0)</f>
        <v>10.0869111111111</v>
      </c>
      <c r="H74" s="41" t="n">
        <f aca="false">IF(Hypothèses!$D$23*$E$4&gt;0,H73/(Hypothèses!$D$23*$E$4),0)</f>
        <v>10.0869111111111</v>
      </c>
      <c r="I74" s="41" t="n">
        <f aca="false">IF(Hypothèses!$D$23*$E$4&gt;0,I73/(Hypothèses!$D$23*$E$4),0)</f>
        <v>10.0869111111111</v>
      </c>
      <c r="J74" s="41" t="n">
        <f aca="false">IF(Hypothèses!$D$23*$E$4&gt;0,J73/(Hypothèses!$D$23*$E$4),0)</f>
        <v>10.0869111111111</v>
      </c>
      <c r="K74" s="41" t="n">
        <f aca="false">IF(Hypothèses!$D$23*$E$4&gt;0,K73/(Hypothèses!$D$23*$E$4),0)</f>
        <v>10.0869111111111</v>
      </c>
      <c r="L74" s="41" t="n">
        <f aca="false">IF(Hypothèses!$D$23*$E$4&gt;0,L73/(Hypothèses!$D$23*$E$4),0)</f>
        <v>10.0869111111111</v>
      </c>
      <c r="M74" s="41" t="n">
        <f aca="false">IF(Hypothèses!$D$23*$E$4&gt;0,M73/(Hypothèses!$D$23*$E$4),0)</f>
        <v>10.0869111111111</v>
      </c>
      <c r="N74" s="41" t="n">
        <f aca="false">IF(Hypothèses!$D$23*$E$4&gt;0,N73/(Hypothèses!$D$23*$E$4),0)</f>
        <v>10.0869111111111</v>
      </c>
      <c r="O74" s="41" t="n">
        <f aca="false">IF(Hypothèses!$D$23*$E$4&gt;0,O73/(Hypothèses!$D$23*$E$4),0)</f>
        <v>10.0869111111111</v>
      </c>
      <c r="P74" s="41" t="n">
        <f aca="false">IF(Hypothèses!$D$23*$E$4&gt;0,P73/(Hypothèses!$D$23*$E$4),0)</f>
        <v>10.0869111111111</v>
      </c>
      <c r="Q74" s="41" t="n">
        <f aca="false">IF(Hypothèses!$D$23*$E$4&gt;0,Q73/(Hypothèses!$D$23*$E$4),0)</f>
        <v>10.0869111111111</v>
      </c>
      <c r="R74" s="41" t="n">
        <f aca="false">IF(Hypothèses!$D$23*$E$4&gt;0,R73/(Hypothèses!$D$23*$E$4),0)</f>
        <v>10.0869111111111</v>
      </c>
      <c r="S74" s="41" t="n">
        <f aca="false">IF(Hypothèses!$D$23*$E$4&gt;0,S73/(Hypothèses!$D$23*$E$4),0)</f>
        <v>10.0869111111111</v>
      </c>
      <c r="T74" s="41" t="n">
        <f aca="false">IF(Hypothèses!$D$23*$E$4&gt;0,T73/(Hypothèses!$D$23*$E$4),0)</f>
        <v>10.0869111111111</v>
      </c>
      <c r="U74" s="41" t="n">
        <f aca="false">IF(Hypothèses!$D$23*$E$4&gt;0,U73/(Hypothèses!$D$23*$E$4),0)</f>
        <v>10.0869111111111</v>
      </c>
      <c r="V74" s="41" t="n">
        <f aca="false">IF(Hypothèses!$D$23*$E$4&gt;0,V73/(Hypothèses!$D$23*$E$4),0)</f>
        <v>10.0869111111111</v>
      </c>
      <c r="W74" s="41" t="n">
        <f aca="false">IF(Hypothèses!$D$23*$E$4&gt;0,W73/(Hypothèses!$D$23*$E$4),0)</f>
        <v>10.0869111111111</v>
      </c>
      <c r="X74" s="41" t="n">
        <f aca="false">IF(Hypothèses!$D$23*$E$4&gt;0,X73/(Hypothèses!$D$23*$E$4),0)</f>
        <v>10.0869111111111</v>
      </c>
      <c r="Y74" s="41" t="n">
        <f aca="false">IF(Hypothèses!$D$23*$E$4&gt;0,Y73/(Hypothèses!$D$23*$E$4),0)</f>
        <v>10.0869111111111</v>
      </c>
      <c r="Z74" s="41" t="n">
        <f aca="false">IF(Hypothèses!$D$23*$E$4&gt;0,Z73/(Hypothèses!$D$23*$E$4),0)</f>
        <v>10.0869111111111</v>
      </c>
      <c r="AA74" s="41" t="n">
        <f aca="false">IF(Hypothèses!$D$23*$E$4&gt;0,AA73/(Hypothèses!$D$23*$E$4),0)</f>
        <v>10.0869111111111</v>
      </c>
      <c r="AB74" s="41" t="n">
        <f aca="false">IF(Hypothèses!$D$23*$E$4&gt;0,AB73/(Hypothèses!$D$23*$E$4),0)</f>
        <v>10.0869111111111</v>
      </c>
      <c r="AC74" s="41" t="n">
        <f aca="false">IF(Hypothèses!$D$23*$E$4&gt;0,AC73/(Hypothèses!$D$23*$E$4),0)</f>
        <v>10.0869111111111</v>
      </c>
      <c r="AD74" s="41" t="n">
        <f aca="false">IF(Hypothèses!$D$23*$E$4&gt;0,AD73/(Hypothèses!$D$23*$E$4),0)</f>
        <v>10.0869111111111</v>
      </c>
      <c r="AE74" s="41" t="n">
        <f aca="false">IF(Hypothèses!$D$23*$E$4&gt;0,AE73/(Hypothèses!$D$23*$E$4),0)</f>
        <v>10.0869111111111</v>
      </c>
      <c r="AF74" s="41" t="n">
        <f aca="false">IF(Hypothèses!$D$23*$E$4&gt;0,AF73/(Hypothèses!$D$23*$E$4),0)</f>
        <v>10.0869111111111</v>
      </c>
      <c r="AG74" s="41" t="n">
        <f aca="false">IF(Hypothèses!$D$23*$E$4&gt;0,AG73/(Hypothèses!$D$23*$E$4),0)</f>
        <v>10.0869111111111</v>
      </c>
      <c r="AH74" s="41" t="n">
        <f aca="false">IF(Hypothèses!$D$23*$E$4&gt;0,AH73/(Hypothèses!$D$23*$E$4),0)</f>
        <v>10.0869111111111</v>
      </c>
      <c r="AI74" s="41" t="n">
        <f aca="false">IF(Hypothèses!$D$23*$E$4&gt;0,AI73/(Hypothèses!$D$23*$E$4),0)</f>
        <v>10.0869111111111</v>
      </c>
      <c r="AJ74" s="41" t="n">
        <f aca="false">IF(Hypothèses!$D$23*$E$4&gt;0,AJ73/(Hypothèses!$D$23*$E$4),0)</f>
        <v>10.0869111111111</v>
      </c>
      <c r="AK74" s="41" t="n">
        <f aca="false">IF(Hypothèses!$D$23*$E$4&gt;0,AK73/(Hypothèses!$D$23*$E$4),0)</f>
        <v>10.0869111111111</v>
      </c>
      <c r="AL74" s="41" t="n">
        <f aca="false">IF(Hypothèses!$D$23*$E$4&gt;0,AL73/(Hypothèses!$D$23*$E$4),0)</f>
        <v>10.0869111111111</v>
      </c>
      <c r="AN74" s="41" t="n">
        <f aca="false">N74</f>
        <v>10.0869111111111</v>
      </c>
      <c r="AO74" s="41" t="n">
        <f aca="false">Z74</f>
        <v>10.0869111111111</v>
      </c>
      <c r="AP74" s="41" t="n">
        <f aca="false">AL74</f>
        <v>10.0869111111111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DD2"/>
    <pageSetUpPr fitToPage="false"/>
  </sheetPr>
  <dimension ref="A1:AP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8" min="3" style="0" width="11"/>
    <col collapsed="false" customWidth="true" hidden="false" outlineLevel="0" max="42" min="40" style="0" width="13"/>
  </cols>
  <sheetData>
    <row r="1" customFormat="false" ht="19.7" hidden="false" customHeight="false" outlineLevel="0" collapsed="false">
      <c r="A1" s="1" t="s">
        <v>509</v>
      </c>
    </row>
    <row r="2" customFormat="false" ht="15" hidden="false" customHeight="false" outlineLevel="0" collapsed="false">
      <c r="A2" s="4" t="s">
        <v>166</v>
      </c>
    </row>
    <row r="3" customFormat="false" ht="32.8" hidden="false" customHeight="false" outlineLevel="0" collapsed="false">
      <c r="A3" s="2" t="s">
        <v>167</v>
      </c>
      <c r="C3" s="33" t="s">
        <v>168</v>
      </c>
      <c r="D3" s="33" t="s">
        <v>169</v>
      </c>
      <c r="E3" s="33" t="s">
        <v>170</v>
      </c>
      <c r="F3" s="33" t="s">
        <v>171</v>
      </c>
      <c r="G3" s="33" t="s">
        <v>172</v>
      </c>
      <c r="H3" s="33" t="s">
        <v>173</v>
      </c>
    </row>
    <row r="4" customFormat="false" ht="15" hidden="false" customHeight="false" outlineLevel="0" collapsed="false">
      <c r="C4" s="34" t="n">
        <v>1</v>
      </c>
      <c r="D4" s="34" t="n">
        <v>2.6667</v>
      </c>
      <c r="E4" s="34" t="n">
        <v>1</v>
      </c>
      <c r="F4" s="34" t="n">
        <v>1</v>
      </c>
      <c r="G4" s="34" t="n">
        <v>1</v>
      </c>
      <c r="H4" s="35" t="n">
        <v>0</v>
      </c>
    </row>
    <row r="5" customFormat="false" ht="15" hidden="false" customHeight="false" outlineLevel="0" collapsed="false">
      <c r="A5" s="2" t="s">
        <v>174</v>
      </c>
      <c r="B5" s="22" t="n">
        <f aca="false">Hypothèses!$D$10+$H$4</f>
        <v>7</v>
      </c>
    </row>
    <row r="6" customFormat="false" ht="15" hidden="false" customHeight="false" outlineLevel="0" collapsed="false">
      <c r="A6" s="28" t="s">
        <v>143</v>
      </c>
      <c r="B6" s="28" t="s">
        <v>27</v>
      </c>
      <c r="C6" s="36" t="s">
        <v>175</v>
      </c>
      <c r="D6" s="36" t="s">
        <v>176</v>
      </c>
      <c r="E6" s="36" t="s">
        <v>177</v>
      </c>
      <c r="F6" s="36" t="s">
        <v>178</v>
      </c>
      <c r="G6" s="36" t="s">
        <v>179</v>
      </c>
      <c r="H6" s="36" t="s">
        <v>180</v>
      </c>
      <c r="I6" s="36" t="s">
        <v>181</v>
      </c>
      <c r="J6" s="36" t="s">
        <v>182</v>
      </c>
      <c r="K6" s="36" t="s">
        <v>183</v>
      </c>
      <c r="L6" s="36" t="s">
        <v>184</v>
      </c>
      <c r="M6" s="36" t="s">
        <v>185</v>
      </c>
      <c r="N6" s="36" t="s">
        <v>186</v>
      </c>
      <c r="O6" s="36" t="s">
        <v>187</v>
      </c>
      <c r="P6" s="36" t="s">
        <v>188</v>
      </c>
      <c r="Q6" s="36" t="s">
        <v>189</v>
      </c>
      <c r="R6" s="36" t="s">
        <v>190</v>
      </c>
      <c r="S6" s="36" t="s">
        <v>191</v>
      </c>
      <c r="T6" s="36" t="s">
        <v>192</v>
      </c>
      <c r="U6" s="36" t="s">
        <v>193</v>
      </c>
      <c r="V6" s="36" t="s">
        <v>194</v>
      </c>
      <c r="W6" s="36" t="s">
        <v>195</v>
      </c>
      <c r="X6" s="36" t="s">
        <v>196</v>
      </c>
      <c r="Y6" s="36" t="s">
        <v>197</v>
      </c>
      <c r="Z6" s="36" t="s">
        <v>198</v>
      </c>
      <c r="AA6" s="36" t="s">
        <v>199</v>
      </c>
      <c r="AB6" s="36" t="s">
        <v>200</v>
      </c>
      <c r="AC6" s="36" t="s">
        <v>201</v>
      </c>
      <c r="AD6" s="36" t="s">
        <v>202</v>
      </c>
      <c r="AE6" s="36" t="s">
        <v>203</v>
      </c>
      <c r="AF6" s="36" t="s">
        <v>204</v>
      </c>
      <c r="AG6" s="36" t="s">
        <v>205</v>
      </c>
      <c r="AH6" s="36" t="s">
        <v>206</v>
      </c>
      <c r="AI6" s="36" t="s">
        <v>207</v>
      </c>
      <c r="AJ6" s="36" t="s">
        <v>208</v>
      </c>
      <c r="AK6" s="36" t="s">
        <v>209</v>
      </c>
      <c r="AL6" s="36" t="s">
        <v>210</v>
      </c>
      <c r="AN6" s="37" t="s">
        <v>211</v>
      </c>
      <c r="AO6" s="37" t="s">
        <v>212</v>
      </c>
      <c r="AP6" s="37" t="s">
        <v>213</v>
      </c>
    </row>
    <row r="7" customFormat="false" ht="15" hidden="false" customHeight="false" outlineLevel="0" collapsed="false">
      <c r="A7" s="9" t="s">
        <v>214</v>
      </c>
      <c r="B7" s="4" t="s">
        <v>215</v>
      </c>
      <c r="C7" s="13" t="n">
        <v>1</v>
      </c>
      <c r="D7" s="13" t="n">
        <v>2</v>
      </c>
      <c r="E7" s="13" t="n">
        <v>3</v>
      </c>
      <c r="F7" s="13" t="n">
        <v>4</v>
      </c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13" t="n">
        <v>10</v>
      </c>
      <c r="M7" s="13" t="n">
        <v>11</v>
      </c>
      <c r="N7" s="13" t="n">
        <v>12</v>
      </c>
      <c r="O7" s="13" t="n">
        <v>13</v>
      </c>
      <c r="P7" s="13" t="n">
        <v>14</v>
      </c>
      <c r="Q7" s="13" t="n">
        <v>15</v>
      </c>
      <c r="R7" s="13" t="n">
        <v>16</v>
      </c>
      <c r="S7" s="13" t="n">
        <v>17</v>
      </c>
      <c r="T7" s="13" t="n">
        <v>18</v>
      </c>
      <c r="U7" s="13" t="n">
        <v>19</v>
      </c>
      <c r="V7" s="13" t="n">
        <v>20</v>
      </c>
      <c r="W7" s="13" t="n">
        <v>21</v>
      </c>
      <c r="X7" s="13" t="n">
        <v>22</v>
      </c>
      <c r="Y7" s="13" t="n">
        <v>23</v>
      </c>
      <c r="Z7" s="13" t="n">
        <v>24</v>
      </c>
      <c r="AA7" s="13" t="n">
        <v>25</v>
      </c>
      <c r="AB7" s="13" t="n">
        <v>26</v>
      </c>
      <c r="AC7" s="13" t="n">
        <v>27</v>
      </c>
      <c r="AD7" s="13" t="n">
        <v>28</v>
      </c>
      <c r="AE7" s="13" t="n">
        <v>29</v>
      </c>
      <c r="AF7" s="13" t="n">
        <v>30</v>
      </c>
      <c r="AG7" s="13" t="n">
        <v>31</v>
      </c>
      <c r="AH7" s="13" t="n">
        <v>32</v>
      </c>
      <c r="AI7" s="13" t="n">
        <v>33</v>
      </c>
      <c r="AJ7" s="13" t="n">
        <v>34</v>
      </c>
      <c r="AK7" s="13" t="n">
        <v>35</v>
      </c>
      <c r="AL7" s="13" t="n">
        <v>36</v>
      </c>
    </row>
    <row r="8" customFormat="false" ht="15" hidden="false" customHeight="false" outlineLevel="0" collapsed="false">
      <c r="A8" s="9" t="s">
        <v>216</v>
      </c>
      <c r="B8" s="4"/>
      <c r="C8" s="11" t="n">
        <f aca="false">EDATE(Hypothèses!$D$7,C7-1)</f>
        <v>46327</v>
      </c>
      <c r="D8" s="11" t="n">
        <f aca="false">EDATE(Hypothèses!$D$7,D7-1)</f>
        <v>46357</v>
      </c>
      <c r="E8" s="11" t="n">
        <f aca="false">EDATE(Hypothèses!$D$7,E7-1)</f>
        <v>46388</v>
      </c>
      <c r="F8" s="11" t="n">
        <f aca="false">EDATE(Hypothèses!$D$7,F7-1)</f>
        <v>46419</v>
      </c>
      <c r="G8" s="11" t="n">
        <f aca="false">EDATE(Hypothèses!$D$7,G7-1)</f>
        <v>46447</v>
      </c>
      <c r="H8" s="11" t="n">
        <f aca="false">EDATE(Hypothèses!$D$7,H7-1)</f>
        <v>46478</v>
      </c>
      <c r="I8" s="11" t="n">
        <f aca="false">EDATE(Hypothèses!$D$7,I7-1)</f>
        <v>46508</v>
      </c>
      <c r="J8" s="11" t="n">
        <f aca="false">EDATE(Hypothèses!$D$7,J7-1)</f>
        <v>46539</v>
      </c>
      <c r="K8" s="11" t="n">
        <f aca="false">EDATE(Hypothèses!$D$7,K7-1)</f>
        <v>46569</v>
      </c>
      <c r="L8" s="11" t="n">
        <f aca="false">EDATE(Hypothèses!$D$7,L7-1)</f>
        <v>46600</v>
      </c>
      <c r="M8" s="11" t="n">
        <f aca="false">EDATE(Hypothèses!$D$7,M7-1)</f>
        <v>46631</v>
      </c>
      <c r="N8" s="11" t="n">
        <f aca="false">EDATE(Hypothèses!$D$7,N7-1)</f>
        <v>46661</v>
      </c>
      <c r="O8" s="11" t="n">
        <f aca="false">EDATE(Hypothèses!$D$7,O7-1)</f>
        <v>46692</v>
      </c>
      <c r="P8" s="11" t="n">
        <f aca="false">EDATE(Hypothèses!$D$7,P7-1)</f>
        <v>46722</v>
      </c>
      <c r="Q8" s="11" t="n">
        <f aca="false">EDATE(Hypothèses!$D$7,Q7-1)</f>
        <v>46753</v>
      </c>
      <c r="R8" s="11" t="n">
        <f aca="false">EDATE(Hypothèses!$D$7,R7-1)</f>
        <v>46784</v>
      </c>
      <c r="S8" s="11" t="n">
        <f aca="false">EDATE(Hypothèses!$D$7,S7-1)</f>
        <v>46813</v>
      </c>
      <c r="T8" s="11" t="n">
        <f aca="false">EDATE(Hypothèses!$D$7,T7-1)</f>
        <v>46844</v>
      </c>
      <c r="U8" s="11" t="n">
        <f aca="false">EDATE(Hypothèses!$D$7,U7-1)</f>
        <v>46874</v>
      </c>
      <c r="V8" s="11" t="n">
        <f aca="false">EDATE(Hypothèses!$D$7,V7-1)</f>
        <v>46905</v>
      </c>
      <c r="W8" s="11" t="n">
        <f aca="false">EDATE(Hypothèses!$D$7,W7-1)</f>
        <v>46935</v>
      </c>
      <c r="X8" s="11" t="n">
        <f aca="false">EDATE(Hypothèses!$D$7,X7-1)</f>
        <v>46966</v>
      </c>
      <c r="Y8" s="11" t="n">
        <f aca="false">EDATE(Hypothèses!$D$7,Y7-1)</f>
        <v>46997</v>
      </c>
      <c r="Z8" s="11" t="n">
        <f aca="false">EDATE(Hypothèses!$D$7,Z7-1)</f>
        <v>47027</v>
      </c>
      <c r="AA8" s="11" t="n">
        <f aca="false">EDATE(Hypothèses!$D$7,AA7-1)</f>
        <v>47058</v>
      </c>
      <c r="AB8" s="11" t="n">
        <f aca="false">EDATE(Hypothèses!$D$7,AB7-1)</f>
        <v>47088</v>
      </c>
      <c r="AC8" s="11" t="n">
        <f aca="false">EDATE(Hypothèses!$D$7,AC7-1)</f>
        <v>47119</v>
      </c>
      <c r="AD8" s="11" t="n">
        <f aca="false">EDATE(Hypothèses!$D$7,AD7-1)</f>
        <v>47150</v>
      </c>
      <c r="AE8" s="11" t="n">
        <f aca="false">EDATE(Hypothèses!$D$7,AE7-1)</f>
        <v>47178</v>
      </c>
      <c r="AF8" s="11" t="n">
        <f aca="false">EDATE(Hypothèses!$D$7,AF7-1)</f>
        <v>47209</v>
      </c>
      <c r="AG8" s="11" t="n">
        <f aca="false">EDATE(Hypothèses!$D$7,AG7-1)</f>
        <v>47239</v>
      </c>
      <c r="AH8" s="11" t="n">
        <f aca="false">EDATE(Hypothèses!$D$7,AH7-1)</f>
        <v>47270</v>
      </c>
      <c r="AI8" s="11" t="n">
        <f aca="false">EDATE(Hypothèses!$D$7,AI7-1)</f>
        <v>47300</v>
      </c>
      <c r="AJ8" s="11" t="n">
        <f aca="false">EDATE(Hypothèses!$D$7,AJ7-1)</f>
        <v>47331</v>
      </c>
      <c r="AK8" s="11" t="n">
        <f aca="false">EDATE(Hypothèses!$D$7,AK7-1)</f>
        <v>47362</v>
      </c>
      <c r="AL8" s="11" t="n">
        <f aca="false">EDATE(Hypothèses!$D$7,AL7-1)</f>
        <v>47392</v>
      </c>
    </row>
    <row r="9" customFormat="false" ht="15" hidden="false" customHeight="false" outlineLevel="0" collapsed="false">
      <c r="A9" s="9" t="s">
        <v>217</v>
      </c>
      <c r="B9" s="4" t="s">
        <v>127</v>
      </c>
      <c r="C9" s="13" t="n">
        <f aca="false">IF(C7&gt;=$B$5,1,0)</f>
        <v>0</v>
      </c>
      <c r="D9" s="13" t="n">
        <f aca="false">IF(D7&gt;=$B$5,1,0)</f>
        <v>0</v>
      </c>
      <c r="E9" s="13" t="n">
        <f aca="false">IF(E7&gt;=$B$5,1,0)</f>
        <v>0</v>
      </c>
      <c r="F9" s="13" t="n">
        <f aca="false">IF(F7&gt;=$B$5,1,0)</f>
        <v>0</v>
      </c>
      <c r="G9" s="13" t="n">
        <f aca="false">IF(G7&gt;=$B$5,1,0)</f>
        <v>0</v>
      </c>
      <c r="H9" s="13" t="n">
        <f aca="false">IF(H7&gt;=$B$5,1,0)</f>
        <v>0</v>
      </c>
      <c r="I9" s="13" t="n">
        <f aca="false">IF(I7&gt;=$B$5,1,0)</f>
        <v>1</v>
      </c>
      <c r="J9" s="13" t="n">
        <f aca="false">IF(J7&gt;=$B$5,1,0)</f>
        <v>1</v>
      </c>
      <c r="K9" s="13" t="n">
        <f aca="false">IF(K7&gt;=$B$5,1,0)</f>
        <v>1</v>
      </c>
      <c r="L9" s="13" t="n">
        <f aca="false">IF(L7&gt;=$B$5,1,0)</f>
        <v>1</v>
      </c>
      <c r="M9" s="13" t="n">
        <f aca="false">IF(M7&gt;=$B$5,1,0)</f>
        <v>1</v>
      </c>
      <c r="N9" s="13" t="n">
        <f aca="false">IF(N7&gt;=$B$5,1,0)</f>
        <v>1</v>
      </c>
      <c r="O9" s="13" t="n">
        <f aca="false">IF(O7&gt;=$B$5,1,0)</f>
        <v>1</v>
      </c>
      <c r="P9" s="13" t="n">
        <f aca="false">IF(P7&gt;=$B$5,1,0)</f>
        <v>1</v>
      </c>
      <c r="Q9" s="13" t="n">
        <f aca="false">IF(Q7&gt;=$B$5,1,0)</f>
        <v>1</v>
      </c>
      <c r="R9" s="13" t="n">
        <f aca="false">IF(R7&gt;=$B$5,1,0)</f>
        <v>1</v>
      </c>
      <c r="S9" s="13" t="n">
        <f aca="false">IF(S7&gt;=$B$5,1,0)</f>
        <v>1</v>
      </c>
      <c r="T9" s="13" t="n">
        <f aca="false">IF(T7&gt;=$B$5,1,0)</f>
        <v>1</v>
      </c>
      <c r="U9" s="13" t="n">
        <f aca="false">IF(U7&gt;=$B$5,1,0)</f>
        <v>1</v>
      </c>
      <c r="V9" s="13" t="n">
        <f aca="false">IF(V7&gt;=$B$5,1,0)</f>
        <v>1</v>
      </c>
      <c r="W9" s="13" t="n">
        <f aca="false">IF(W7&gt;=$B$5,1,0)</f>
        <v>1</v>
      </c>
      <c r="X9" s="13" t="n">
        <f aca="false">IF(X7&gt;=$B$5,1,0)</f>
        <v>1</v>
      </c>
      <c r="Y9" s="13" t="n">
        <f aca="false">IF(Y7&gt;=$B$5,1,0)</f>
        <v>1</v>
      </c>
      <c r="Z9" s="13" t="n">
        <f aca="false">IF(Z7&gt;=$B$5,1,0)</f>
        <v>1</v>
      </c>
      <c r="AA9" s="13" t="n">
        <f aca="false">IF(AA7&gt;=$B$5,1,0)</f>
        <v>1</v>
      </c>
      <c r="AB9" s="13" t="n">
        <f aca="false">IF(AB7&gt;=$B$5,1,0)</f>
        <v>1</v>
      </c>
      <c r="AC9" s="13" t="n">
        <f aca="false">IF(AC7&gt;=$B$5,1,0)</f>
        <v>1</v>
      </c>
      <c r="AD9" s="13" t="n">
        <f aca="false">IF(AD7&gt;=$B$5,1,0)</f>
        <v>1</v>
      </c>
      <c r="AE9" s="13" t="n">
        <f aca="false">IF(AE7&gt;=$B$5,1,0)</f>
        <v>1</v>
      </c>
      <c r="AF9" s="13" t="n">
        <f aca="false">IF(AF7&gt;=$B$5,1,0)</f>
        <v>1</v>
      </c>
      <c r="AG9" s="13" t="n">
        <f aca="false">IF(AG7&gt;=$B$5,1,0)</f>
        <v>1</v>
      </c>
      <c r="AH9" s="13" t="n">
        <f aca="false">IF(AH7&gt;=$B$5,1,0)</f>
        <v>1</v>
      </c>
      <c r="AI9" s="13" t="n">
        <f aca="false">IF(AI7&gt;=$B$5,1,0)</f>
        <v>1</v>
      </c>
      <c r="AJ9" s="13" t="n">
        <f aca="false">IF(AJ7&gt;=$B$5,1,0)</f>
        <v>1</v>
      </c>
      <c r="AK9" s="13" t="n">
        <f aca="false">IF(AK7&gt;=$B$5,1,0)</f>
        <v>1</v>
      </c>
      <c r="AL9" s="13" t="n">
        <f aca="false">IF(AL7&gt;=$B$5,1,0)</f>
        <v>1</v>
      </c>
    </row>
    <row r="10" customFormat="false" ht="15" hidden="false" customHeight="false" outlineLevel="0" collapsed="false">
      <c r="A10" s="9" t="s">
        <v>218</v>
      </c>
      <c r="B10" s="4" t="s">
        <v>127</v>
      </c>
      <c r="C10" s="13" t="n">
        <f aca="false">IF(AND(C7&gt;=Hypothèses!$D$8,C7&lt;$B$5),1,0)</f>
        <v>0</v>
      </c>
      <c r="D10" s="13" t="n">
        <f aca="false">IF(AND(D7&gt;=Hypothèses!$D$8,D7&lt;$B$5),1,0)</f>
        <v>0</v>
      </c>
      <c r="E10" s="13" t="n">
        <f aca="false">IF(AND(E7&gt;=Hypothèses!$D$8,E7&lt;$B$5),1,0)</f>
        <v>1</v>
      </c>
      <c r="F10" s="13" t="n">
        <f aca="false">IF(AND(F7&gt;=Hypothèses!$D$8,F7&lt;$B$5),1,0)</f>
        <v>1</v>
      </c>
      <c r="G10" s="13" t="n">
        <f aca="false">IF(AND(G7&gt;=Hypothèses!$D$8,G7&lt;$B$5),1,0)</f>
        <v>1</v>
      </c>
      <c r="H10" s="13" t="n">
        <f aca="false">IF(AND(H7&gt;=Hypothèses!$D$8,H7&lt;$B$5),1,0)</f>
        <v>1</v>
      </c>
      <c r="I10" s="13" t="n">
        <f aca="false">IF(AND(I7&gt;=Hypothèses!$D$8,I7&lt;$B$5),1,0)</f>
        <v>0</v>
      </c>
      <c r="J10" s="13" t="n">
        <f aca="false">IF(AND(J7&gt;=Hypothèses!$D$8,J7&lt;$B$5),1,0)</f>
        <v>0</v>
      </c>
      <c r="K10" s="13" t="n">
        <f aca="false">IF(AND(K7&gt;=Hypothèses!$D$8,K7&lt;$B$5),1,0)</f>
        <v>0</v>
      </c>
      <c r="L10" s="13" t="n">
        <f aca="false">IF(AND(L7&gt;=Hypothèses!$D$8,L7&lt;$B$5),1,0)</f>
        <v>0</v>
      </c>
      <c r="M10" s="13" t="n">
        <f aca="false">IF(AND(M7&gt;=Hypothèses!$D$8,M7&lt;$B$5),1,0)</f>
        <v>0</v>
      </c>
      <c r="N10" s="13" t="n">
        <f aca="false">IF(AND(N7&gt;=Hypothèses!$D$8,N7&lt;$B$5),1,0)</f>
        <v>0</v>
      </c>
      <c r="O10" s="13" t="n">
        <f aca="false">IF(AND(O7&gt;=Hypothèses!$D$8,O7&lt;$B$5),1,0)</f>
        <v>0</v>
      </c>
      <c r="P10" s="13" t="n">
        <f aca="false">IF(AND(P7&gt;=Hypothèses!$D$8,P7&lt;$B$5),1,0)</f>
        <v>0</v>
      </c>
      <c r="Q10" s="13" t="n">
        <f aca="false">IF(AND(Q7&gt;=Hypothèses!$D$8,Q7&lt;$B$5),1,0)</f>
        <v>0</v>
      </c>
      <c r="R10" s="13" t="n">
        <f aca="false">IF(AND(R7&gt;=Hypothèses!$D$8,R7&lt;$B$5),1,0)</f>
        <v>0</v>
      </c>
      <c r="S10" s="13" t="n">
        <f aca="false">IF(AND(S7&gt;=Hypothèses!$D$8,S7&lt;$B$5),1,0)</f>
        <v>0</v>
      </c>
      <c r="T10" s="13" t="n">
        <f aca="false">IF(AND(T7&gt;=Hypothèses!$D$8,T7&lt;$B$5),1,0)</f>
        <v>0</v>
      </c>
      <c r="U10" s="13" t="n">
        <f aca="false">IF(AND(U7&gt;=Hypothèses!$D$8,U7&lt;$B$5),1,0)</f>
        <v>0</v>
      </c>
      <c r="V10" s="13" t="n">
        <f aca="false">IF(AND(V7&gt;=Hypothèses!$D$8,V7&lt;$B$5),1,0)</f>
        <v>0</v>
      </c>
      <c r="W10" s="13" t="n">
        <f aca="false">IF(AND(W7&gt;=Hypothèses!$D$8,W7&lt;$B$5),1,0)</f>
        <v>0</v>
      </c>
      <c r="X10" s="13" t="n">
        <f aca="false">IF(AND(X7&gt;=Hypothèses!$D$8,X7&lt;$B$5),1,0)</f>
        <v>0</v>
      </c>
      <c r="Y10" s="13" t="n">
        <f aca="false">IF(AND(Y7&gt;=Hypothèses!$D$8,Y7&lt;$B$5),1,0)</f>
        <v>0</v>
      </c>
      <c r="Z10" s="13" t="n">
        <f aca="false">IF(AND(Z7&gt;=Hypothèses!$D$8,Z7&lt;$B$5),1,0)</f>
        <v>0</v>
      </c>
      <c r="AA10" s="13" t="n">
        <f aca="false">IF(AND(AA7&gt;=Hypothèses!$D$8,AA7&lt;$B$5),1,0)</f>
        <v>0</v>
      </c>
      <c r="AB10" s="13" t="n">
        <f aca="false">IF(AND(AB7&gt;=Hypothèses!$D$8,AB7&lt;$B$5),1,0)</f>
        <v>0</v>
      </c>
      <c r="AC10" s="13" t="n">
        <f aca="false">IF(AND(AC7&gt;=Hypothèses!$D$8,AC7&lt;$B$5),1,0)</f>
        <v>0</v>
      </c>
      <c r="AD10" s="13" t="n">
        <f aca="false">IF(AND(AD7&gt;=Hypothèses!$D$8,AD7&lt;$B$5),1,0)</f>
        <v>0</v>
      </c>
      <c r="AE10" s="13" t="n">
        <f aca="false">IF(AND(AE7&gt;=Hypothèses!$D$8,AE7&lt;$B$5),1,0)</f>
        <v>0</v>
      </c>
      <c r="AF10" s="13" t="n">
        <f aca="false">IF(AND(AF7&gt;=Hypothèses!$D$8,AF7&lt;$B$5),1,0)</f>
        <v>0</v>
      </c>
      <c r="AG10" s="13" t="n">
        <f aca="false">IF(AND(AG7&gt;=Hypothèses!$D$8,AG7&lt;$B$5),1,0)</f>
        <v>0</v>
      </c>
      <c r="AH10" s="13" t="n">
        <f aca="false">IF(AND(AH7&gt;=Hypothèses!$D$8,AH7&lt;$B$5),1,0)</f>
        <v>0</v>
      </c>
      <c r="AI10" s="13" t="n">
        <f aca="false">IF(AND(AI7&gt;=Hypothèses!$D$8,AI7&lt;$B$5),1,0)</f>
        <v>0</v>
      </c>
      <c r="AJ10" s="13" t="n">
        <f aca="false">IF(AND(AJ7&gt;=Hypothèses!$D$8,AJ7&lt;$B$5),1,0)</f>
        <v>0</v>
      </c>
      <c r="AK10" s="13" t="n">
        <f aca="false">IF(AND(AK7&gt;=Hypothèses!$D$8,AK7&lt;$B$5),1,0)</f>
        <v>0</v>
      </c>
      <c r="AL10" s="13" t="n">
        <f aca="false">IF(AND(AL7&gt;=Hypothèses!$D$8,AL7&lt;$B$5),1,0)</f>
        <v>0</v>
      </c>
    </row>
    <row r="11" customFormat="false" ht="15" hidden="false" customHeight="false" outlineLevel="0" collapsed="false">
      <c r="A11" s="9" t="s">
        <v>219</v>
      </c>
      <c r="B11" s="4" t="s">
        <v>92</v>
      </c>
      <c r="C11" s="15" t="n">
        <f aca="false">IF(C9=1,IF(C7&lt;=12,Hypothèses!$D$20,IF(C7&lt;=24,Hypothèses!$D$21,Hypothèses!$D$22)),0)</f>
        <v>0</v>
      </c>
      <c r="D11" s="15" t="n">
        <f aca="false">IF(D9=1,IF(D7&lt;=12,Hypothèses!$D$20,IF(D7&lt;=24,Hypothèses!$D$21,Hypothèses!$D$22)),0)</f>
        <v>0</v>
      </c>
      <c r="E11" s="15" t="n">
        <f aca="false">IF(E9=1,IF(E7&lt;=12,Hypothèses!$D$20,IF(E7&lt;=24,Hypothèses!$D$21,Hypothèses!$D$22)),0)</f>
        <v>0</v>
      </c>
      <c r="F11" s="15" t="n">
        <f aca="false">IF(F9=1,IF(F7&lt;=12,Hypothèses!$D$20,IF(F7&lt;=24,Hypothèses!$D$21,Hypothèses!$D$22)),0)</f>
        <v>0</v>
      </c>
      <c r="G11" s="15" t="n">
        <f aca="false">IF(G9=1,IF(G7&lt;=12,Hypothèses!$D$20,IF(G7&lt;=24,Hypothèses!$D$21,Hypothèses!$D$22)),0)</f>
        <v>0</v>
      </c>
      <c r="H11" s="15" t="n">
        <f aca="false">IF(H9=1,IF(H7&lt;=12,Hypothèses!$D$20,IF(H7&lt;=24,Hypothèses!$D$21,Hypothèses!$D$22)),0)</f>
        <v>0</v>
      </c>
      <c r="I11" s="15" t="n">
        <f aca="false">IF(I9=1,IF(I7&lt;=12,Hypothèses!$D$20,IF(I7&lt;=24,Hypothèses!$D$21,Hypothèses!$D$22)),0)</f>
        <v>3000</v>
      </c>
      <c r="J11" s="15" t="n">
        <f aca="false">IF(J9=1,IF(J7&lt;=12,Hypothèses!$D$20,IF(J7&lt;=24,Hypothèses!$D$21,Hypothèses!$D$22)),0)</f>
        <v>3000</v>
      </c>
      <c r="K11" s="15" t="n">
        <f aca="false">IF(K9=1,IF(K7&lt;=12,Hypothèses!$D$20,IF(K7&lt;=24,Hypothèses!$D$21,Hypothèses!$D$22)),0)</f>
        <v>3000</v>
      </c>
      <c r="L11" s="15" t="n">
        <f aca="false">IF(L9=1,IF(L7&lt;=12,Hypothèses!$D$20,IF(L7&lt;=24,Hypothèses!$D$21,Hypothèses!$D$22)),0)</f>
        <v>3000</v>
      </c>
      <c r="M11" s="15" t="n">
        <f aca="false">IF(M9=1,IF(M7&lt;=12,Hypothèses!$D$20,IF(M7&lt;=24,Hypothèses!$D$21,Hypothèses!$D$22)),0)</f>
        <v>3000</v>
      </c>
      <c r="N11" s="15" t="n">
        <f aca="false">IF(N9=1,IF(N7&lt;=12,Hypothèses!$D$20,IF(N7&lt;=24,Hypothèses!$D$21,Hypothèses!$D$22)),0)</f>
        <v>3000</v>
      </c>
      <c r="O11" s="15" t="n">
        <f aca="false">IF(O9=1,IF(O7&lt;=12,Hypothèses!$D$20,IF(O7&lt;=24,Hypothèses!$D$21,Hypothèses!$D$22)),0)</f>
        <v>10000</v>
      </c>
      <c r="P11" s="15" t="n">
        <f aca="false">IF(P9=1,IF(P7&lt;=12,Hypothèses!$D$20,IF(P7&lt;=24,Hypothèses!$D$21,Hypothèses!$D$22)),0)</f>
        <v>10000</v>
      </c>
      <c r="Q11" s="15" t="n">
        <f aca="false">IF(Q9=1,IF(Q7&lt;=12,Hypothèses!$D$20,IF(Q7&lt;=24,Hypothèses!$D$21,Hypothèses!$D$22)),0)</f>
        <v>10000</v>
      </c>
      <c r="R11" s="15" t="n">
        <f aca="false">IF(R9=1,IF(R7&lt;=12,Hypothèses!$D$20,IF(R7&lt;=24,Hypothèses!$D$21,Hypothèses!$D$22)),0)</f>
        <v>10000</v>
      </c>
      <c r="S11" s="15" t="n">
        <f aca="false">IF(S9=1,IF(S7&lt;=12,Hypothèses!$D$20,IF(S7&lt;=24,Hypothèses!$D$21,Hypothèses!$D$22)),0)</f>
        <v>10000</v>
      </c>
      <c r="T11" s="15" t="n">
        <f aca="false">IF(T9=1,IF(T7&lt;=12,Hypothèses!$D$20,IF(T7&lt;=24,Hypothèses!$D$21,Hypothèses!$D$22)),0)</f>
        <v>10000</v>
      </c>
      <c r="U11" s="15" t="n">
        <f aca="false">IF(U9=1,IF(U7&lt;=12,Hypothèses!$D$20,IF(U7&lt;=24,Hypothèses!$D$21,Hypothèses!$D$22)),0)</f>
        <v>10000</v>
      </c>
      <c r="V11" s="15" t="n">
        <f aca="false">IF(V9=1,IF(V7&lt;=12,Hypothèses!$D$20,IF(V7&lt;=24,Hypothèses!$D$21,Hypothèses!$D$22)),0)</f>
        <v>10000</v>
      </c>
      <c r="W11" s="15" t="n">
        <f aca="false">IF(W9=1,IF(W7&lt;=12,Hypothèses!$D$20,IF(W7&lt;=24,Hypothèses!$D$21,Hypothèses!$D$22)),0)</f>
        <v>10000</v>
      </c>
      <c r="X11" s="15" t="n">
        <f aca="false">IF(X9=1,IF(X7&lt;=12,Hypothèses!$D$20,IF(X7&lt;=24,Hypothèses!$D$21,Hypothèses!$D$22)),0)</f>
        <v>10000</v>
      </c>
      <c r="Y11" s="15" t="n">
        <f aca="false">IF(Y9=1,IF(Y7&lt;=12,Hypothèses!$D$20,IF(Y7&lt;=24,Hypothèses!$D$21,Hypothèses!$D$22)),0)</f>
        <v>10000</v>
      </c>
      <c r="Z11" s="15" t="n">
        <f aca="false">IF(Z9=1,IF(Z7&lt;=12,Hypothèses!$D$20,IF(Z7&lt;=24,Hypothèses!$D$21,Hypothèses!$D$22)),0)</f>
        <v>10000</v>
      </c>
      <c r="AA11" s="15" t="n">
        <f aca="false">IF(AA9=1,IF(AA7&lt;=12,Hypothèses!$D$20,IF(AA7&lt;=24,Hypothèses!$D$21,Hypothèses!$D$22)),0)</f>
        <v>25000</v>
      </c>
      <c r="AB11" s="15" t="n">
        <f aca="false">IF(AB9=1,IF(AB7&lt;=12,Hypothèses!$D$20,IF(AB7&lt;=24,Hypothèses!$D$21,Hypothèses!$D$22)),0)</f>
        <v>25000</v>
      </c>
      <c r="AC11" s="15" t="n">
        <f aca="false">IF(AC9=1,IF(AC7&lt;=12,Hypothèses!$D$20,IF(AC7&lt;=24,Hypothèses!$D$21,Hypothèses!$D$22)),0)</f>
        <v>25000</v>
      </c>
      <c r="AD11" s="15" t="n">
        <f aca="false">IF(AD9=1,IF(AD7&lt;=12,Hypothèses!$D$20,IF(AD7&lt;=24,Hypothèses!$D$21,Hypothèses!$D$22)),0)</f>
        <v>25000</v>
      </c>
      <c r="AE11" s="15" t="n">
        <f aca="false">IF(AE9=1,IF(AE7&lt;=12,Hypothèses!$D$20,IF(AE7&lt;=24,Hypothèses!$D$21,Hypothèses!$D$22)),0)</f>
        <v>25000</v>
      </c>
      <c r="AF11" s="15" t="n">
        <f aca="false">IF(AF9=1,IF(AF7&lt;=12,Hypothèses!$D$20,IF(AF7&lt;=24,Hypothèses!$D$21,Hypothèses!$D$22)),0)</f>
        <v>25000</v>
      </c>
      <c r="AG11" s="15" t="n">
        <f aca="false">IF(AG9=1,IF(AG7&lt;=12,Hypothèses!$D$20,IF(AG7&lt;=24,Hypothèses!$D$21,Hypothèses!$D$22)),0)</f>
        <v>25000</v>
      </c>
      <c r="AH11" s="15" t="n">
        <f aca="false">IF(AH9=1,IF(AH7&lt;=12,Hypothèses!$D$20,IF(AH7&lt;=24,Hypothèses!$D$21,Hypothèses!$D$22)),0)</f>
        <v>25000</v>
      </c>
      <c r="AI11" s="15" t="n">
        <f aca="false">IF(AI9=1,IF(AI7&lt;=12,Hypothèses!$D$20,IF(AI7&lt;=24,Hypothèses!$D$21,Hypothèses!$D$22)),0)</f>
        <v>25000</v>
      </c>
      <c r="AJ11" s="15" t="n">
        <f aca="false">IF(AJ9=1,IF(AJ7&lt;=12,Hypothèses!$D$20,IF(AJ7&lt;=24,Hypothèses!$D$21,Hypothèses!$D$22)),0)</f>
        <v>25000</v>
      </c>
      <c r="AK11" s="15" t="n">
        <f aca="false">IF(AK9=1,IF(AK7&lt;=12,Hypothèses!$D$20,IF(AK7&lt;=24,Hypothèses!$D$21,Hypothèses!$D$22)),0)</f>
        <v>25000</v>
      </c>
      <c r="AL11" s="15" t="n">
        <f aca="false">IF(AL9=1,IF(AL7&lt;=12,Hypothèses!$D$20,IF(AL7&lt;=24,Hypothèses!$D$21,Hypothèses!$D$22)),0)</f>
        <v>25000</v>
      </c>
      <c r="AN11" s="15" t="n">
        <f aca="false">SUM(C11:N11)</f>
        <v>18000</v>
      </c>
      <c r="AO11" s="15" t="n">
        <f aca="false">SUM(O11:Z11)</f>
        <v>120000</v>
      </c>
      <c r="AP11" s="15" t="n">
        <f aca="false">SUM(AA11:AL11)</f>
        <v>300000</v>
      </c>
    </row>
    <row r="12" customFormat="false" ht="15" hidden="false" customHeight="false" outlineLevel="0" collapsed="false">
      <c r="A12" s="8" t="s">
        <v>220</v>
      </c>
    </row>
    <row r="13" customFormat="false" ht="15" hidden="false" customHeight="false" outlineLevel="0" collapsed="false">
      <c r="A13" s="9" t="s">
        <v>221</v>
      </c>
      <c r="B13" s="4" t="s">
        <v>41</v>
      </c>
      <c r="C13" s="38" t="n">
        <f aca="false">0</f>
        <v>0</v>
      </c>
      <c r="D13" s="38" t="n">
        <f aca="false">C18</f>
        <v>0</v>
      </c>
      <c r="E13" s="38" t="n">
        <f aca="false">D18</f>
        <v>0</v>
      </c>
      <c r="F13" s="38" t="n">
        <f aca="false">E18</f>
        <v>10</v>
      </c>
      <c r="G13" s="38" t="n">
        <f aca="false">F18</f>
        <v>9.19999</v>
      </c>
      <c r="H13" s="38" t="n">
        <f aca="false">G18</f>
        <v>8.46398160001</v>
      </c>
      <c r="I13" s="38" t="n">
        <f aca="false">H18</f>
        <v>7.7868546080276</v>
      </c>
      <c r="J13" s="38" t="n">
        <f aca="false">I18</f>
        <v>27.3196355446913</v>
      </c>
      <c r="K13" s="38" t="n">
        <f aca="false">J18</f>
        <v>45.6804300923743</v>
      </c>
      <c r="L13" s="38" t="n">
        <f aca="false">K18</f>
        <v>62.9395586064018</v>
      </c>
      <c r="M13" s="38" t="n">
        <f aca="false">L18</f>
        <v>79.1631221504591</v>
      </c>
      <c r="N13" s="38" t="n">
        <f aca="false">M18</f>
        <v>94.4132556583094</v>
      </c>
      <c r="O13" s="38" t="n">
        <f aca="false">N18</f>
        <v>108.748365905555</v>
      </c>
      <c r="P13" s="38" t="n">
        <f aca="false">O18</f>
        <v>168.890021869523</v>
      </c>
      <c r="Q13" s="38" t="n">
        <f aca="false">P18</f>
        <v>225.423118333996</v>
      </c>
      <c r="R13" s="38" t="n">
        <f aca="false">Q18</f>
        <v>278.564172477505</v>
      </c>
      <c r="S13" s="38" t="n">
        <f aca="false">R18</f>
        <v>328.516710231349</v>
      </c>
      <c r="T13" s="38" t="n">
        <f aca="false">S18</f>
        <v>375.472045767424</v>
      </c>
      <c r="U13" s="38" t="n">
        <f aca="false">T18</f>
        <v>419.610014216</v>
      </c>
      <c r="V13" s="38" t="n">
        <f aca="false">U18</f>
        <v>461.099660419692</v>
      </c>
      <c r="W13" s="38" t="n">
        <f aca="false">V18</f>
        <v>500.099886361517</v>
      </c>
      <c r="X13" s="38" t="n">
        <f aca="false">W18</f>
        <v>536.760059746606</v>
      </c>
      <c r="Y13" s="38" t="n">
        <f aca="false">X18</f>
        <v>571.220586068417</v>
      </c>
      <c r="Z13" s="38" t="n">
        <f aca="false">Y18</f>
        <v>603.613446350392</v>
      </c>
      <c r="AA13" s="38" t="n">
        <f aca="false">Z18</f>
        <v>634.062702622589</v>
      </c>
      <c r="AB13" s="38" t="n">
        <f aca="false">AA18</f>
        <v>762.684973069198</v>
      </c>
      <c r="AC13" s="38" t="n">
        <f aca="false">AB18</f>
        <v>883.589778666739</v>
      </c>
      <c r="AD13" s="38" t="n">
        <f aca="false">AC18</f>
        <v>997.240175023623</v>
      </c>
      <c r="AE13" s="38" t="n">
        <f aca="false">AD18</f>
        <v>1104.0714339487</v>
      </c>
      <c r="AF13" s="38" t="n">
        <f aca="false">AE18</f>
        <v>1204.49271050701</v>
      </c>
      <c r="AG13" s="38" t="n">
        <f aca="false">AF18</f>
        <v>1298.88861005054</v>
      </c>
      <c r="AH13" s="38" t="n">
        <f aca="false">AG18</f>
        <v>1387.62066122557</v>
      </c>
      <c r="AI13" s="38" t="n">
        <f aca="false">AH18</f>
        <v>1471.02870059804</v>
      </c>
      <c r="AJ13" s="38" t="n">
        <f aca="false">AI18</f>
        <v>1549.43217420012</v>
      </c>
      <c r="AK13" s="38" t="n">
        <f aca="false">AJ18</f>
        <v>1623.13136098261</v>
      </c>
      <c r="AL13" s="38" t="n">
        <f aca="false">AK18</f>
        <v>1692.40852285896</v>
      </c>
    </row>
    <row r="14" customFormat="false" ht="15" hidden="false" customHeight="false" outlineLevel="0" collapsed="false">
      <c r="A14" s="9" t="s">
        <v>222</v>
      </c>
      <c r="B14" s="4" t="s">
        <v>41</v>
      </c>
      <c r="C14" s="38" t="n">
        <f aca="false">C11/(Hypothèses!$D$23*$E$4)</f>
        <v>0</v>
      </c>
      <c r="D14" s="38" t="n">
        <f aca="false">D11/(Hypothèses!$D$23*$E$4)</f>
        <v>0</v>
      </c>
      <c r="E14" s="38" t="n">
        <f aca="false">E11/(Hypothèses!$D$23*$E$4)</f>
        <v>0</v>
      </c>
      <c r="F14" s="38" t="n">
        <f aca="false">F11/(Hypothèses!$D$23*$E$4)</f>
        <v>0</v>
      </c>
      <c r="G14" s="38" t="n">
        <f aca="false">G11/(Hypothèses!$D$23*$E$4)</f>
        <v>0</v>
      </c>
      <c r="H14" s="38" t="n">
        <f aca="false">H11/(Hypothèses!$D$23*$E$4)</f>
        <v>0</v>
      </c>
      <c r="I14" s="38" t="n">
        <f aca="false">I11/(Hypothèses!$D$23*$E$4)</f>
        <v>20</v>
      </c>
      <c r="J14" s="38" t="n">
        <f aca="false">J11/(Hypothèses!$D$23*$E$4)</f>
        <v>20</v>
      </c>
      <c r="K14" s="38" t="n">
        <f aca="false">K11/(Hypothèses!$D$23*$E$4)</f>
        <v>20</v>
      </c>
      <c r="L14" s="38" t="n">
        <f aca="false">L11/(Hypothèses!$D$23*$E$4)</f>
        <v>20</v>
      </c>
      <c r="M14" s="38" t="n">
        <f aca="false">M11/(Hypothèses!$D$23*$E$4)</f>
        <v>20</v>
      </c>
      <c r="N14" s="38" t="n">
        <f aca="false">N11/(Hypothèses!$D$23*$E$4)</f>
        <v>20</v>
      </c>
      <c r="O14" s="38" t="n">
        <f aca="false">O11/(Hypothèses!$D$23*$E$4)</f>
        <v>66.6666666666667</v>
      </c>
      <c r="P14" s="38" t="n">
        <f aca="false">P11/(Hypothèses!$D$23*$E$4)</f>
        <v>66.6666666666667</v>
      </c>
      <c r="Q14" s="38" t="n">
        <f aca="false">Q11/(Hypothèses!$D$23*$E$4)</f>
        <v>66.6666666666667</v>
      </c>
      <c r="R14" s="38" t="n">
        <f aca="false">R11/(Hypothèses!$D$23*$E$4)</f>
        <v>66.6666666666667</v>
      </c>
      <c r="S14" s="38" t="n">
        <f aca="false">S11/(Hypothèses!$D$23*$E$4)</f>
        <v>66.6666666666667</v>
      </c>
      <c r="T14" s="38" t="n">
        <f aca="false">T11/(Hypothèses!$D$23*$E$4)</f>
        <v>66.6666666666667</v>
      </c>
      <c r="U14" s="38" t="n">
        <f aca="false">U11/(Hypothèses!$D$23*$E$4)</f>
        <v>66.6666666666667</v>
      </c>
      <c r="V14" s="38" t="n">
        <f aca="false">V11/(Hypothèses!$D$23*$E$4)</f>
        <v>66.6666666666667</v>
      </c>
      <c r="W14" s="38" t="n">
        <f aca="false">W11/(Hypothèses!$D$23*$E$4)</f>
        <v>66.6666666666667</v>
      </c>
      <c r="X14" s="38" t="n">
        <f aca="false">X11/(Hypothèses!$D$23*$E$4)</f>
        <v>66.6666666666667</v>
      </c>
      <c r="Y14" s="38" t="n">
        <f aca="false">Y11/(Hypothèses!$D$23*$E$4)</f>
        <v>66.6666666666667</v>
      </c>
      <c r="Z14" s="38" t="n">
        <f aca="false">Z11/(Hypothèses!$D$23*$E$4)</f>
        <v>66.6666666666667</v>
      </c>
      <c r="AA14" s="38" t="n">
        <f aca="false">AA11/(Hypothèses!$D$23*$E$4)</f>
        <v>166.666666666667</v>
      </c>
      <c r="AB14" s="38" t="n">
        <f aca="false">AB11/(Hypothèses!$D$23*$E$4)</f>
        <v>166.666666666667</v>
      </c>
      <c r="AC14" s="38" t="n">
        <f aca="false">AC11/(Hypothèses!$D$23*$E$4)</f>
        <v>166.666666666667</v>
      </c>
      <c r="AD14" s="38" t="n">
        <f aca="false">AD11/(Hypothèses!$D$23*$E$4)</f>
        <v>166.666666666667</v>
      </c>
      <c r="AE14" s="38" t="n">
        <f aca="false">AE11/(Hypothèses!$D$23*$E$4)</f>
        <v>166.666666666667</v>
      </c>
      <c r="AF14" s="38" t="n">
        <f aca="false">AF11/(Hypothèses!$D$23*$E$4)</f>
        <v>166.666666666667</v>
      </c>
      <c r="AG14" s="38" t="n">
        <f aca="false">AG11/(Hypothèses!$D$23*$E$4)</f>
        <v>166.666666666667</v>
      </c>
      <c r="AH14" s="38" t="n">
        <f aca="false">AH11/(Hypothèses!$D$23*$E$4)</f>
        <v>166.666666666667</v>
      </c>
      <c r="AI14" s="38" t="n">
        <f aca="false">AI11/(Hypothèses!$D$23*$E$4)</f>
        <v>166.666666666667</v>
      </c>
      <c r="AJ14" s="38" t="n">
        <f aca="false">AJ11/(Hypothèses!$D$23*$E$4)</f>
        <v>166.666666666667</v>
      </c>
      <c r="AK14" s="38" t="n">
        <f aca="false">AK11/(Hypothèses!$D$23*$E$4)</f>
        <v>166.666666666667</v>
      </c>
      <c r="AL14" s="38" t="n">
        <f aca="false">AL11/(Hypothèses!$D$23*$E$4)</f>
        <v>166.666666666667</v>
      </c>
      <c r="AN14" s="38" t="n">
        <f aca="false">SUM(C14:N14)</f>
        <v>120</v>
      </c>
      <c r="AO14" s="38" t="n">
        <f aca="false">SUM(O14:Z14)</f>
        <v>800</v>
      </c>
      <c r="AP14" s="38" t="n">
        <f aca="false">SUM(AA14:AL14)</f>
        <v>2000</v>
      </c>
    </row>
    <row r="15" customFormat="false" ht="15" hidden="false" customHeight="false" outlineLevel="0" collapsed="false">
      <c r="A15" s="9" t="s">
        <v>223</v>
      </c>
      <c r="B15" s="4" t="s">
        <v>41</v>
      </c>
      <c r="C15" s="38" t="n">
        <f aca="false">IF(C7=Hypothèses!$D$8,Hypothèses!$D$9,0)</f>
        <v>0</v>
      </c>
      <c r="D15" s="38" t="n">
        <f aca="false">IF(D7=Hypothèses!$D$8,Hypothèses!$D$9,0)</f>
        <v>0</v>
      </c>
      <c r="E15" s="38" t="n">
        <f aca="false">IF(E7=Hypothèses!$D$8,Hypothèses!$D$9,0)</f>
        <v>10</v>
      </c>
      <c r="F15" s="38" t="n">
        <f aca="false">IF(F7=Hypothèses!$D$8,Hypothèses!$D$9,0)</f>
        <v>0</v>
      </c>
      <c r="G15" s="38" t="n">
        <f aca="false">IF(G7=Hypothèses!$D$8,Hypothèses!$D$9,0)</f>
        <v>0</v>
      </c>
      <c r="H15" s="38" t="n">
        <f aca="false">IF(H7=Hypothèses!$D$8,Hypothèses!$D$9,0)</f>
        <v>0</v>
      </c>
      <c r="I15" s="38" t="n">
        <f aca="false">IF(I7=Hypothèses!$D$8,Hypothèses!$D$9,0)</f>
        <v>0</v>
      </c>
      <c r="J15" s="38" t="n">
        <f aca="false">IF(J7=Hypothèses!$D$8,Hypothèses!$D$9,0)</f>
        <v>0</v>
      </c>
      <c r="K15" s="38" t="n">
        <f aca="false">IF(K7=Hypothèses!$D$8,Hypothèses!$D$9,0)</f>
        <v>0</v>
      </c>
      <c r="L15" s="38" t="n">
        <f aca="false">IF(L7=Hypothèses!$D$8,Hypothèses!$D$9,0)</f>
        <v>0</v>
      </c>
      <c r="M15" s="38" t="n">
        <f aca="false">IF(M7=Hypothèses!$D$8,Hypothèses!$D$9,0)</f>
        <v>0</v>
      </c>
      <c r="N15" s="38" t="n">
        <f aca="false">IF(N7=Hypothèses!$D$8,Hypothèses!$D$9,0)</f>
        <v>0</v>
      </c>
      <c r="O15" s="38" t="n">
        <f aca="false">IF(O7=Hypothèses!$D$8,Hypothèses!$D$9,0)</f>
        <v>0</v>
      </c>
      <c r="P15" s="38" t="n">
        <f aca="false">IF(P7=Hypothèses!$D$8,Hypothèses!$D$9,0)</f>
        <v>0</v>
      </c>
      <c r="Q15" s="38" t="n">
        <f aca="false">IF(Q7=Hypothèses!$D$8,Hypothèses!$D$9,0)</f>
        <v>0</v>
      </c>
      <c r="R15" s="38" t="n">
        <f aca="false">IF(R7=Hypothèses!$D$8,Hypothèses!$D$9,0)</f>
        <v>0</v>
      </c>
      <c r="S15" s="38" t="n">
        <f aca="false">IF(S7=Hypothèses!$D$8,Hypothèses!$D$9,0)</f>
        <v>0</v>
      </c>
      <c r="T15" s="38" t="n">
        <f aca="false">IF(T7=Hypothèses!$D$8,Hypothèses!$D$9,0)</f>
        <v>0</v>
      </c>
      <c r="U15" s="38" t="n">
        <f aca="false">IF(U7=Hypothèses!$D$8,Hypothèses!$D$9,0)</f>
        <v>0</v>
      </c>
      <c r="V15" s="38" t="n">
        <f aca="false">IF(V7=Hypothèses!$D$8,Hypothèses!$D$9,0)</f>
        <v>0</v>
      </c>
      <c r="W15" s="38" t="n">
        <f aca="false">IF(W7=Hypothèses!$D$8,Hypothèses!$D$9,0)</f>
        <v>0</v>
      </c>
      <c r="X15" s="38" t="n">
        <f aca="false">IF(X7=Hypothèses!$D$8,Hypothèses!$D$9,0)</f>
        <v>0</v>
      </c>
      <c r="Y15" s="38" t="n">
        <f aca="false">IF(Y7=Hypothèses!$D$8,Hypothèses!$D$9,0)</f>
        <v>0</v>
      </c>
      <c r="Z15" s="38" t="n">
        <f aca="false">IF(Z7=Hypothèses!$D$8,Hypothèses!$D$9,0)</f>
        <v>0</v>
      </c>
      <c r="AA15" s="38" t="n">
        <f aca="false">IF(AA7=Hypothèses!$D$8,Hypothèses!$D$9,0)</f>
        <v>0</v>
      </c>
      <c r="AB15" s="38" t="n">
        <f aca="false">IF(AB7=Hypothèses!$D$8,Hypothèses!$D$9,0)</f>
        <v>0</v>
      </c>
      <c r="AC15" s="38" t="n">
        <f aca="false">IF(AC7=Hypothèses!$D$8,Hypothèses!$D$9,0)</f>
        <v>0</v>
      </c>
      <c r="AD15" s="38" t="n">
        <f aca="false">IF(AD7=Hypothèses!$D$8,Hypothèses!$D$9,0)</f>
        <v>0</v>
      </c>
      <c r="AE15" s="38" t="n">
        <f aca="false">IF(AE7=Hypothèses!$D$8,Hypothèses!$D$9,0)</f>
        <v>0</v>
      </c>
      <c r="AF15" s="38" t="n">
        <f aca="false">IF(AF7=Hypothèses!$D$8,Hypothèses!$D$9,0)</f>
        <v>0</v>
      </c>
      <c r="AG15" s="38" t="n">
        <f aca="false">IF(AG7=Hypothèses!$D$8,Hypothèses!$D$9,0)</f>
        <v>0</v>
      </c>
      <c r="AH15" s="38" t="n">
        <f aca="false">IF(AH7=Hypothèses!$D$8,Hypothèses!$D$9,0)</f>
        <v>0</v>
      </c>
      <c r="AI15" s="38" t="n">
        <f aca="false">IF(AI7=Hypothèses!$D$8,Hypothèses!$D$9,0)</f>
        <v>0</v>
      </c>
      <c r="AJ15" s="38" t="n">
        <f aca="false">IF(AJ7=Hypothèses!$D$8,Hypothèses!$D$9,0)</f>
        <v>0</v>
      </c>
      <c r="AK15" s="38" t="n">
        <f aca="false">IF(AK7=Hypothèses!$D$8,Hypothèses!$D$9,0)</f>
        <v>0</v>
      </c>
      <c r="AL15" s="38" t="n">
        <f aca="false">IF(AL7=Hypothèses!$D$8,Hypothèses!$D$9,0)</f>
        <v>0</v>
      </c>
      <c r="AN15" s="38" t="n">
        <f aca="false">SUM(C15:N15)</f>
        <v>10</v>
      </c>
      <c r="AO15" s="38" t="n">
        <f aca="false">SUM(O15:Z15)</f>
        <v>0</v>
      </c>
      <c r="AP15" s="38" t="n">
        <f aca="false">SUM(AA15:AL15)</f>
        <v>0</v>
      </c>
    </row>
    <row r="16" customFormat="false" ht="15" hidden="false" customHeight="false" outlineLevel="0" collapsed="false">
      <c r="A16" s="9" t="s">
        <v>224</v>
      </c>
      <c r="B16" s="4" t="s">
        <v>41</v>
      </c>
      <c r="C16" s="38" t="n">
        <f aca="false">C9*C13*Hypothèses!$D$24</f>
        <v>0</v>
      </c>
      <c r="D16" s="38" t="n">
        <f aca="false">D9*D13*Hypothèses!$D$24</f>
        <v>0</v>
      </c>
      <c r="E16" s="38" t="n">
        <f aca="false">E9*E13*Hypothèses!$D$24</f>
        <v>0</v>
      </c>
      <c r="F16" s="38" t="n">
        <f aca="false">F9*F13*Hypothèses!$D$24</f>
        <v>0</v>
      </c>
      <c r="G16" s="38" t="n">
        <f aca="false">G9*G13*Hypothèses!$D$24</f>
        <v>0</v>
      </c>
      <c r="H16" s="38" t="n">
        <f aca="false">H9*H13*Hypothèses!$D$24</f>
        <v>0</v>
      </c>
      <c r="I16" s="38" t="n">
        <f aca="false">I9*I13*Hypothèses!$D$24</f>
        <v>0.155737092160552</v>
      </c>
      <c r="J16" s="38" t="n">
        <f aca="false">J9*J13*Hypothèses!$D$24</f>
        <v>0.546392710893827</v>
      </c>
      <c r="K16" s="38" t="n">
        <f aca="false">K9*K13*Hypothèses!$D$24</f>
        <v>0.913608601847486</v>
      </c>
      <c r="L16" s="38" t="n">
        <f aca="false">L9*L13*Hypothèses!$D$24</f>
        <v>1.25879117212804</v>
      </c>
      <c r="M16" s="38" t="n">
        <f aca="false">M9*M13*Hypothèses!$D$24</f>
        <v>1.58326244300918</v>
      </c>
      <c r="N16" s="38" t="n">
        <f aca="false">N9*N13*Hypothèses!$D$24</f>
        <v>1.88826511316619</v>
      </c>
      <c r="O16" s="38" t="n">
        <f aca="false">O9*O13*Hypothèses!$D$24</f>
        <v>2.1749673181111</v>
      </c>
      <c r="P16" s="38" t="n">
        <f aca="false">P9*P13*Hypothèses!$D$24</f>
        <v>3.37780043739045</v>
      </c>
      <c r="Q16" s="38" t="n">
        <f aca="false">Q9*Q13*Hypothèses!$D$24</f>
        <v>4.50846236667992</v>
      </c>
      <c r="R16" s="38" t="n">
        <f aca="false">R9*R13*Hypothèses!$D$24</f>
        <v>5.57128344955009</v>
      </c>
      <c r="S16" s="38" t="n">
        <f aca="false">S9*S13*Hypothèses!$D$24</f>
        <v>6.57033420462697</v>
      </c>
      <c r="T16" s="38" t="n">
        <f aca="false">T9*T13*Hypothèses!$D$24</f>
        <v>7.50944091534848</v>
      </c>
      <c r="U16" s="38" t="n">
        <f aca="false">U9*U13*Hypothèses!$D$24</f>
        <v>8.39220028431999</v>
      </c>
      <c r="V16" s="38" t="n">
        <f aca="false">V9*V13*Hypothèses!$D$24</f>
        <v>9.22199320839384</v>
      </c>
      <c r="W16" s="38" t="n">
        <f aca="false">W9*W13*Hypothèses!$D$24</f>
        <v>10.0019977272303</v>
      </c>
      <c r="X16" s="38" t="n">
        <f aca="false">X9*X13*Hypothèses!$D$24</f>
        <v>10.7352011949321</v>
      </c>
      <c r="Y16" s="38" t="n">
        <f aca="false">Y9*Y13*Hypothèses!$D$24</f>
        <v>11.4244117213683</v>
      </c>
      <c r="Z16" s="38" t="n">
        <f aca="false">Z9*Z13*Hypothèses!$D$24</f>
        <v>12.0722689270078</v>
      </c>
      <c r="AA16" s="38" t="n">
        <f aca="false">AA9*AA13*Hypothèses!$D$24</f>
        <v>12.6812540524518</v>
      </c>
      <c r="AB16" s="38" t="n">
        <f aca="false">AB9*AB13*Hypothèses!$D$24</f>
        <v>15.253699461384</v>
      </c>
      <c r="AC16" s="38" t="n">
        <f aca="false">AC9*AC13*Hypothèses!$D$24</f>
        <v>17.6717955733348</v>
      </c>
      <c r="AD16" s="38" t="n">
        <f aca="false">AD9*AD13*Hypothèses!$D$24</f>
        <v>19.9448035004725</v>
      </c>
      <c r="AE16" s="38" t="n">
        <f aca="false">AE9*AE13*Hypothèses!$D$24</f>
        <v>22.081428678974</v>
      </c>
      <c r="AF16" s="38" t="n">
        <f aca="false">AF9*AF13*Hypothèses!$D$24</f>
        <v>24.0898542101402</v>
      </c>
      <c r="AG16" s="38" t="n">
        <f aca="false">AG9*AG13*Hypothèses!$D$24</f>
        <v>25.9777722010109</v>
      </c>
      <c r="AH16" s="38" t="n">
        <f aca="false">AH9*AH13*Hypothèses!$D$24</f>
        <v>27.7524132245114</v>
      </c>
      <c r="AI16" s="38" t="n">
        <f aca="false">AI9*AI13*Hypothèses!$D$24</f>
        <v>29.4205740119608</v>
      </c>
      <c r="AJ16" s="38" t="n">
        <f aca="false">AJ9*AJ13*Hypothèses!$D$24</f>
        <v>30.9886434840025</v>
      </c>
      <c r="AK16" s="38" t="n">
        <f aca="false">AK9*AK13*Hypothèses!$D$24</f>
        <v>32.4626272196522</v>
      </c>
      <c r="AL16" s="38" t="n">
        <f aca="false">AL9*AL13*Hypothèses!$D$24</f>
        <v>33.8481704571792</v>
      </c>
      <c r="AN16" s="38" t="n">
        <f aca="false">SUM(C16:N16)</f>
        <v>6.34605713320527</v>
      </c>
      <c r="AO16" s="38" t="n">
        <f aca="false">SUM(O16:Z16)</f>
        <v>91.5603617549595</v>
      </c>
      <c r="AP16" s="38" t="n">
        <f aca="false">SUM(AA16:AL16)</f>
        <v>292.173036075074</v>
      </c>
    </row>
    <row r="17" customFormat="false" ht="15" hidden="false" customHeight="false" outlineLevel="0" collapsed="false">
      <c r="A17" s="9" t="s">
        <v>225</v>
      </c>
      <c r="B17" s="4" t="s">
        <v>41</v>
      </c>
      <c r="C17" s="38" t="n">
        <f aca="false">C13*Hypothèses!$D$26*$D$4</f>
        <v>0</v>
      </c>
      <c r="D17" s="38" t="n">
        <f aca="false">D13*Hypothèses!$D$26*$D$4</f>
        <v>0</v>
      </c>
      <c r="E17" s="38" t="n">
        <f aca="false">E13*Hypothèses!$D$26*$D$4</f>
        <v>0</v>
      </c>
      <c r="F17" s="38" t="n">
        <f aca="false">F13*Hypothèses!$D$26*$D$4</f>
        <v>0.80001</v>
      </c>
      <c r="G17" s="38" t="n">
        <f aca="false">G13*Hypothèses!$D$26*$D$4</f>
        <v>0.73600839999</v>
      </c>
      <c r="H17" s="38" t="n">
        <f aca="false">H13*Hypothèses!$D$26*$D$4</f>
        <v>0.6771269919824</v>
      </c>
      <c r="I17" s="38" t="n">
        <f aca="false">I13*Hypothèses!$D$26*$D$4</f>
        <v>0.622956155496816</v>
      </c>
      <c r="J17" s="38" t="n">
        <f aca="false">J13*Hypothèses!$D$26*$D$4</f>
        <v>2.18559816321085</v>
      </c>
      <c r="K17" s="38" t="n">
        <f aca="false">K13*Hypothèses!$D$26*$D$4</f>
        <v>3.65448008782004</v>
      </c>
      <c r="L17" s="38" t="n">
        <f aca="false">L13*Hypothèses!$D$26*$D$4</f>
        <v>5.03522762807075</v>
      </c>
      <c r="M17" s="38" t="n">
        <f aca="false">M13*Hypothèses!$D$26*$D$4</f>
        <v>6.33312893515888</v>
      </c>
      <c r="N17" s="38" t="n">
        <f aca="false">N13*Hypothèses!$D$26*$D$4</f>
        <v>7.55315486592041</v>
      </c>
      <c r="O17" s="38" t="n">
        <f aca="false">O13*Hypothèses!$D$26*$D$4</f>
        <v>8.69997802081032</v>
      </c>
      <c r="P17" s="38" t="n">
        <f aca="false">P13*Hypothèses!$D$26*$D$4</f>
        <v>13.5113706395837</v>
      </c>
      <c r="Q17" s="38" t="n">
        <f aca="false">Q13*Hypothèses!$D$26*$D$4</f>
        <v>18.034074889838</v>
      </c>
      <c r="R17" s="38" t="n">
        <f aca="false">R13*Hypothèses!$D$26*$D$4</f>
        <v>22.2854123623729</v>
      </c>
      <c r="S17" s="38" t="n">
        <f aca="false">S13*Hypothèses!$D$26*$D$4</f>
        <v>26.2816653352181</v>
      </c>
      <c r="T17" s="38" t="n">
        <f aca="false">T13*Hypothèses!$D$26*$D$4</f>
        <v>30.0381391334397</v>
      </c>
      <c r="U17" s="38" t="n">
        <f aca="false">U13*Hypothèses!$D$26*$D$4</f>
        <v>33.5692207472942</v>
      </c>
      <c r="V17" s="38" t="n">
        <f aca="false">V13*Hypothèses!$D$26*$D$4</f>
        <v>36.8884339332358</v>
      </c>
      <c r="W17" s="38" t="n">
        <f aca="false">W13*Hypothèses!$D$26*$D$4</f>
        <v>40.0084910088077</v>
      </c>
      <c r="X17" s="38" t="n">
        <f aca="false">X13*Hypothèses!$D$26*$D$4</f>
        <v>42.9413415397882</v>
      </c>
      <c r="Y17" s="38" t="n">
        <f aca="false">Y13*Hypothèses!$D$26*$D$4</f>
        <v>45.6982181060594</v>
      </c>
      <c r="Z17" s="38" t="n">
        <f aca="false">Z13*Hypothèses!$D$26*$D$4</f>
        <v>48.2896793214777</v>
      </c>
      <c r="AA17" s="38" t="n">
        <f aca="false">AA13*Hypothèses!$D$26*$D$4</f>
        <v>50.7256502725097</v>
      </c>
      <c r="AB17" s="38" t="n">
        <f aca="false">AB13*Hypothèses!$D$26*$D$4</f>
        <v>61.0155605305089</v>
      </c>
      <c r="AC17" s="38" t="n">
        <f aca="false">AC13*Hypothèses!$D$26*$D$4</f>
        <v>70.6880658831178</v>
      </c>
      <c r="AD17" s="38" t="n">
        <f aca="false">AD13*Hypothèses!$D$26*$D$4</f>
        <v>79.7802112420649</v>
      </c>
      <c r="AE17" s="38" t="n">
        <f aca="false">AE13*Hypothèses!$D$26*$D$4</f>
        <v>88.3268187873297</v>
      </c>
      <c r="AF17" s="38" t="n">
        <f aca="false">AF13*Hypothèses!$D$26*$D$4</f>
        <v>96.3606213332712</v>
      </c>
      <c r="AG17" s="38" t="n">
        <f aca="false">AG13*Hypothèses!$D$26*$D$4</f>
        <v>103.912387692654</v>
      </c>
      <c r="AH17" s="38" t="n">
        <f aca="false">AH13*Hypothèses!$D$26*$D$4</f>
        <v>111.011040518707</v>
      </c>
      <c r="AI17" s="38" t="n">
        <f aca="false">AI13*Hypothèses!$D$26*$D$4</f>
        <v>117.683767076544</v>
      </c>
      <c r="AJ17" s="38" t="n">
        <f aca="false">AJ13*Hypothèses!$D$26*$D$4</f>
        <v>123.956123368184</v>
      </c>
      <c r="AK17" s="38" t="n">
        <f aca="false">AK13*Hypothèses!$D$26*$D$4</f>
        <v>129.85213200997</v>
      </c>
      <c r="AL17" s="38" t="n">
        <f aca="false">AL13*Hypothèses!$D$26*$D$4</f>
        <v>135.394374237239</v>
      </c>
      <c r="AN17" s="38" t="n">
        <f aca="false">SUM(C17:N17)</f>
        <v>27.5976912276501</v>
      </c>
      <c r="AO17" s="38" t="n">
        <f aca="false">SUM(O17:Z17)</f>
        <v>366.246025037926</v>
      </c>
      <c r="AP17" s="38" t="n">
        <f aca="false">SUM(AA17:AL17)</f>
        <v>1168.7067529521</v>
      </c>
    </row>
    <row r="18" customFormat="false" ht="15" hidden="false" customHeight="false" outlineLevel="0" collapsed="false">
      <c r="A18" s="2" t="s">
        <v>226</v>
      </c>
      <c r="B18" s="4" t="s">
        <v>41</v>
      </c>
      <c r="C18" s="39" t="n">
        <f aca="false">C13+C14+C15+C16-C17</f>
        <v>0</v>
      </c>
      <c r="D18" s="39" t="n">
        <f aca="false">D13+D14+D15+D16-D17</f>
        <v>0</v>
      </c>
      <c r="E18" s="39" t="n">
        <f aca="false">E13+E14+E15+E16-E17</f>
        <v>10</v>
      </c>
      <c r="F18" s="39" t="n">
        <f aca="false">F13+F14+F15+F16-F17</f>
        <v>9.19999</v>
      </c>
      <c r="G18" s="39" t="n">
        <f aca="false">G13+G14+G15+G16-G17</f>
        <v>8.46398160001</v>
      </c>
      <c r="H18" s="39" t="n">
        <f aca="false">H13+H14+H15+H16-H17</f>
        <v>7.7868546080276</v>
      </c>
      <c r="I18" s="39" t="n">
        <f aca="false">I13+I14+I15+I16-I17</f>
        <v>27.3196355446913</v>
      </c>
      <c r="J18" s="39" t="n">
        <f aca="false">J13+J14+J15+J16-J17</f>
        <v>45.6804300923743</v>
      </c>
      <c r="K18" s="39" t="n">
        <f aca="false">K13+K14+K15+K16-K17</f>
        <v>62.9395586064018</v>
      </c>
      <c r="L18" s="39" t="n">
        <f aca="false">L13+L14+L15+L16-L17</f>
        <v>79.1631221504591</v>
      </c>
      <c r="M18" s="39" t="n">
        <f aca="false">M13+M14+M15+M16-M17</f>
        <v>94.4132556583094</v>
      </c>
      <c r="N18" s="39" t="n">
        <f aca="false">N13+N14+N15+N16-N17</f>
        <v>108.748365905555</v>
      </c>
      <c r="O18" s="39" t="n">
        <f aca="false">O13+O14+O15+O16-O17</f>
        <v>168.890021869523</v>
      </c>
      <c r="P18" s="39" t="n">
        <f aca="false">P13+P14+P15+P16-P17</f>
        <v>225.423118333996</v>
      </c>
      <c r="Q18" s="39" t="n">
        <f aca="false">Q13+Q14+Q15+Q16-Q17</f>
        <v>278.564172477505</v>
      </c>
      <c r="R18" s="39" t="n">
        <f aca="false">R13+R14+R15+R16-R17</f>
        <v>328.516710231349</v>
      </c>
      <c r="S18" s="39" t="n">
        <f aca="false">S13+S14+S15+S16-S17</f>
        <v>375.472045767424</v>
      </c>
      <c r="T18" s="39" t="n">
        <f aca="false">T13+T14+T15+T16-T17</f>
        <v>419.610014216</v>
      </c>
      <c r="U18" s="39" t="n">
        <f aca="false">U13+U14+U15+U16-U17</f>
        <v>461.099660419692</v>
      </c>
      <c r="V18" s="39" t="n">
        <f aca="false">V13+V14+V15+V16-V17</f>
        <v>500.099886361517</v>
      </c>
      <c r="W18" s="39" t="n">
        <f aca="false">W13+W14+W15+W16-W17</f>
        <v>536.760059746606</v>
      </c>
      <c r="X18" s="39" t="n">
        <f aca="false">X13+X14+X15+X16-X17</f>
        <v>571.220586068417</v>
      </c>
      <c r="Y18" s="39" t="n">
        <f aca="false">Y13+Y14+Y15+Y16-Y17</f>
        <v>603.613446350392</v>
      </c>
      <c r="Z18" s="39" t="n">
        <f aca="false">Z13+Z14+Z15+Z16-Z17</f>
        <v>634.062702622589</v>
      </c>
      <c r="AA18" s="39" t="n">
        <f aca="false">AA13+AA14+AA15+AA16-AA17</f>
        <v>762.684973069198</v>
      </c>
      <c r="AB18" s="39" t="n">
        <f aca="false">AB13+AB14+AB15+AB16-AB17</f>
        <v>883.589778666739</v>
      </c>
      <c r="AC18" s="39" t="n">
        <f aca="false">AC13+AC14+AC15+AC16-AC17</f>
        <v>997.240175023623</v>
      </c>
      <c r="AD18" s="39" t="n">
        <f aca="false">AD13+AD14+AD15+AD16-AD17</f>
        <v>1104.0714339487</v>
      </c>
      <c r="AE18" s="39" t="n">
        <f aca="false">AE13+AE14+AE15+AE16-AE17</f>
        <v>1204.49271050701</v>
      </c>
      <c r="AF18" s="39" t="n">
        <f aca="false">AF13+AF14+AF15+AF16-AF17</f>
        <v>1298.88861005054</v>
      </c>
      <c r="AG18" s="39" t="n">
        <f aca="false">AG13+AG14+AG15+AG16-AG17</f>
        <v>1387.62066122557</v>
      </c>
      <c r="AH18" s="39" t="n">
        <f aca="false">AH13+AH14+AH15+AH16-AH17</f>
        <v>1471.02870059804</v>
      </c>
      <c r="AI18" s="39" t="n">
        <f aca="false">AI13+AI14+AI15+AI16-AI17</f>
        <v>1549.43217420012</v>
      </c>
      <c r="AJ18" s="39" t="n">
        <f aca="false">AJ13+AJ14+AJ15+AJ16-AJ17</f>
        <v>1623.13136098261</v>
      </c>
      <c r="AK18" s="39" t="n">
        <f aca="false">AK13+AK14+AK15+AK16-AK17</f>
        <v>1692.40852285896</v>
      </c>
      <c r="AL18" s="39" t="n">
        <f aca="false">AL13+AL14+AL15+AL16-AL17</f>
        <v>1757.52898574556</v>
      </c>
      <c r="AN18" s="39" t="n">
        <f aca="false">N18</f>
        <v>108.748365905555</v>
      </c>
      <c r="AO18" s="39" t="n">
        <f aca="false">Z18</f>
        <v>634.062702622589</v>
      </c>
      <c r="AP18" s="39" t="n">
        <f aca="false">AL18</f>
        <v>1757.52898574556</v>
      </c>
    </row>
    <row r="19" customFormat="false" ht="15" hidden="false" customHeight="false" outlineLevel="0" collapsed="false">
      <c r="A19" s="9" t="s">
        <v>227</v>
      </c>
      <c r="B19" s="4" t="s">
        <v>41</v>
      </c>
      <c r="C19" s="38" t="n">
        <f aca="false">C18*Hypothèses!$D$16</f>
        <v>0</v>
      </c>
      <c r="D19" s="38" t="n">
        <f aca="false">D18*Hypothèses!$D$16</f>
        <v>0</v>
      </c>
      <c r="E19" s="38" t="n">
        <f aca="false">E18*Hypothèses!$D$16</f>
        <v>2.5</v>
      </c>
      <c r="F19" s="38" t="n">
        <f aca="false">F18*Hypothèses!$D$16</f>
        <v>2.2999975</v>
      </c>
      <c r="G19" s="38" t="n">
        <f aca="false">G18*Hypothèses!$D$16</f>
        <v>2.1159954000025</v>
      </c>
      <c r="H19" s="38" t="n">
        <f aca="false">H18*Hypothèses!$D$16</f>
        <v>1.9467136520069</v>
      </c>
      <c r="I19" s="38" t="n">
        <f aca="false">I18*Hypothèses!$D$16</f>
        <v>6.82990888617283</v>
      </c>
      <c r="J19" s="38" t="n">
        <f aca="false">J18*Hypothèses!$D$16</f>
        <v>11.4201075230936</v>
      </c>
      <c r="K19" s="38" t="n">
        <f aca="false">K18*Hypothèses!$D$16</f>
        <v>15.7348896516004</v>
      </c>
      <c r="L19" s="38" t="n">
        <f aca="false">L18*Hypothèses!$D$16</f>
        <v>19.7907805376148</v>
      </c>
      <c r="M19" s="38" t="n">
        <f aca="false">M18*Hypothèses!$D$16</f>
        <v>23.6033139145773</v>
      </c>
      <c r="N19" s="38" t="n">
        <f aca="false">N18*Hypothèses!$D$16</f>
        <v>27.1870914763888</v>
      </c>
      <c r="O19" s="38" t="n">
        <f aca="false">O18*Hypothèses!$D$16</f>
        <v>42.2225054673807</v>
      </c>
      <c r="P19" s="38" t="n">
        <f aca="false">P18*Hypothèses!$D$16</f>
        <v>56.355779583499</v>
      </c>
      <c r="Q19" s="38" t="n">
        <f aca="false">Q18*Hypothèses!$D$16</f>
        <v>69.6410431193762</v>
      </c>
      <c r="R19" s="38" t="n">
        <f aca="false">R18*Hypothèses!$D$16</f>
        <v>82.1291775578372</v>
      </c>
      <c r="S19" s="38" t="n">
        <f aca="false">S18*Hypothèses!$D$16</f>
        <v>93.868011441856</v>
      </c>
      <c r="T19" s="38" t="n">
        <f aca="false">T18*Hypothèses!$D$16</f>
        <v>104.902503554</v>
      </c>
      <c r="U19" s="38" t="n">
        <f aca="false">U18*Hypothèses!$D$16</f>
        <v>115.274915104923</v>
      </c>
      <c r="V19" s="38" t="n">
        <f aca="false">V18*Hypothèses!$D$16</f>
        <v>125.024971590379</v>
      </c>
      <c r="W19" s="38" t="n">
        <f aca="false">W18*Hypothèses!$D$16</f>
        <v>134.190014936652</v>
      </c>
      <c r="X19" s="38" t="n">
        <f aca="false">X18*Hypothèses!$D$16</f>
        <v>142.805146517104</v>
      </c>
      <c r="Y19" s="38" t="n">
        <f aca="false">Y18*Hypothèses!$D$16</f>
        <v>150.903361587598</v>
      </c>
      <c r="Z19" s="38" t="n">
        <f aca="false">Z18*Hypothèses!$D$16</f>
        <v>158.515675655647</v>
      </c>
      <c r="AA19" s="38" t="n">
        <f aca="false">AA18*Hypothèses!$D$16</f>
        <v>190.671243267299</v>
      </c>
      <c r="AB19" s="38" t="n">
        <f aca="false">AB18*Hypothèses!$D$16</f>
        <v>220.897444666685</v>
      </c>
      <c r="AC19" s="38" t="n">
        <f aca="false">AC18*Hypothèses!$D$16</f>
        <v>249.310043755906</v>
      </c>
      <c r="AD19" s="38" t="n">
        <f aca="false">AD18*Hypothèses!$D$16</f>
        <v>276.017858487174</v>
      </c>
      <c r="AE19" s="38" t="n">
        <f aca="false">AE18*Hypothèses!$D$16</f>
        <v>301.123177626752</v>
      </c>
      <c r="AF19" s="38" t="n">
        <f aca="false">AF18*Hypothèses!$D$16</f>
        <v>324.722152512636</v>
      </c>
      <c r="AG19" s="38" t="n">
        <f aca="false">AG18*Hypothèses!$D$16</f>
        <v>346.905165306392</v>
      </c>
      <c r="AH19" s="38" t="n">
        <f aca="false">AH18*Hypothèses!$D$16</f>
        <v>367.75717514951</v>
      </c>
      <c r="AI19" s="38" t="n">
        <f aca="false">AI18*Hypothèses!$D$16</f>
        <v>387.358043550031</v>
      </c>
      <c r="AJ19" s="38" t="n">
        <f aca="false">AJ18*Hypothèses!$D$16</f>
        <v>405.782840245652</v>
      </c>
      <c r="AK19" s="38" t="n">
        <f aca="false">AK18*Hypothèses!$D$16</f>
        <v>423.102130714739</v>
      </c>
      <c r="AL19" s="38" t="n">
        <f aca="false">AL18*Hypothèses!$D$16</f>
        <v>439.382246436391</v>
      </c>
      <c r="AN19" s="38" t="n">
        <f aca="false">N19</f>
        <v>27.1870914763888</v>
      </c>
      <c r="AO19" s="38" t="n">
        <f aca="false">Z19</f>
        <v>158.515675655647</v>
      </c>
      <c r="AP19" s="38" t="n">
        <f aca="false">AL19</f>
        <v>439.382246436391</v>
      </c>
    </row>
    <row r="20" customFormat="false" ht="15" hidden="false" customHeight="false" outlineLevel="0" collapsed="false">
      <c r="A20" s="9" t="s">
        <v>228</v>
      </c>
      <c r="B20" s="4" t="s">
        <v>41</v>
      </c>
      <c r="C20" s="38" t="n">
        <f aca="false">C18*Hypothèses!$D$17</f>
        <v>0</v>
      </c>
      <c r="D20" s="38" t="n">
        <f aca="false">D18*Hypothèses!$D$17</f>
        <v>0</v>
      </c>
      <c r="E20" s="38" t="n">
        <f aca="false">E18*Hypothèses!$D$17</f>
        <v>6</v>
      </c>
      <c r="F20" s="38" t="n">
        <f aca="false">F18*Hypothèses!$D$17</f>
        <v>5.519994</v>
      </c>
      <c r="G20" s="38" t="n">
        <f aca="false">G18*Hypothèses!$D$17</f>
        <v>5.078388960006</v>
      </c>
      <c r="H20" s="38" t="n">
        <f aca="false">H18*Hypothèses!$D$17</f>
        <v>4.67211276481656</v>
      </c>
      <c r="I20" s="38" t="n">
        <f aca="false">I18*Hypothèses!$D$17</f>
        <v>16.3917813268148</v>
      </c>
      <c r="J20" s="38" t="n">
        <f aca="false">J18*Hypothèses!$D$17</f>
        <v>27.4082580554246</v>
      </c>
      <c r="K20" s="38" t="n">
        <f aca="false">K18*Hypothèses!$D$17</f>
        <v>37.7637351638411</v>
      </c>
      <c r="L20" s="38" t="n">
        <f aca="false">L18*Hypothèses!$D$17</f>
        <v>47.4978732902754</v>
      </c>
      <c r="M20" s="38" t="n">
        <f aca="false">M18*Hypothèses!$D$17</f>
        <v>56.6479533949856</v>
      </c>
      <c r="N20" s="38" t="n">
        <f aca="false">N18*Hypothèses!$D$17</f>
        <v>65.2490195433331</v>
      </c>
      <c r="O20" s="38" t="n">
        <f aca="false">O18*Hypothèses!$D$17</f>
        <v>101.334013121714</v>
      </c>
      <c r="P20" s="38" t="n">
        <f aca="false">P18*Hypothèses!$D$17</f>
        <v>135.253871000398</v>
      </c>
      <c r="Q20" s="38" t="n">
        <f aca="false">Q18*Hypothèses!$D$17</f>
        <v>167.138503486503</v>
      </c>
      <c r="R20" s="38" t="n">
        <f aca="false">R18*Hypothèses!$D$17</f>
        <v>197.110026138809</v>
      </c>
      <c r="S20" s="38" t="n">
        <f aca="false">S18*Hypothèses!$D$17</f>
        <v>225.283227460455</v>
      </c>
      <c r="T20" s="38" t="n">
        <f aca="false">T18*Hypothèses!$D$17</f>
        <v>251.7660085296</v>
      </c>
      <c r="U20" s="38" t="n">
        <f aca="false">U18*Hypothèses!$D$17</f>
        <v>276.659796251815</v>
      </c>
      <c r="V20" s="38" t="n">
        <f aca="false">V18*Hypothèses!$D$17</f>
        <v>300.05993181691</v>
      </c>
      <c r="W20" s="38" t="n">
        <f aca="false">W18*Hypothèses!$D$17</f>
        <v>322.056035847964</v>
      </c>
      <c r="X20" s="38" t="n">
        <f aca="false">X18*Hypothèses!$D$17</f>
        <v>342.73235164105</v>
      </c>
      <c r="Y20" s="38" t="n">
        <f aca="false">Y18*Hypothèses!$D$17</f>
        <v>362.168067810235</v>
      </c>
      <c r="Z20" s="38" t="n">
        <f aca="false">Z18*Hypothèses!$D$17</f>
        <v>380.437621573553</v>
      </c>
      <c r="AA20" s="38" t="n">
        <f aca="false">AA18*Hypothèses!$D$17</f>
        <v>457.610983841519</v>
      </c>
      <c r="AB20" s="38" t="n">
        <f aca="false">AB18*Hypothèses!$D$17</f>
        <v>530.153867200044</v>
      </c>
      <c r="AC20" s="38" t="n">
        <f aca="false">AC18*Hypothèses!$D$17</f>
        <v>598.344105014174</v>
      </c>
      <c r="AD20" s="38" t="n">
        <f aca="false">AD18*Hypothèses!$D$17</f>
        <v>662.442860369219</v>
      </c>
      <c r="AE20" s="38" t="n">
        <f aca="false">AE18*Hypothèses!$D$17</f>
        <v>722.695626304205</v>
      </c>
      <c r="AF20" s="38" t="n">
        <f aca="false">AF18*Hypothèses!$D$17</f>
        <v>779.333166030326</v>
      </c>
      <c r="AG20" s="38" t="n">
        <f aca="false">AG18*Hypothèses!$D$17</f>
        <v>832.572396735341</v>
      </c>
      <c r="AH20" s="38" t="n">
        <f aca="false">AH18*Hypothèses!$D$17</f>
        <v>882.617220358824</v>
      </c>
      <c r="AI20" s="38" t="n">
        <f aca="false">AI18*Hypothèses!$D$17</f>
        <v>929.659304520074</v>
      </c>
      <c r="AJ20" s="38" t="n">
        <f aca="false">AJ18*Hypothèses!$D$17</f>
        <v>973.878816589565</v>
      </c>
      <c r="AK20" s="38" t="n">
        <f aca="false">AK18*Hypothèses!$D$17</f>
        <v>1015.44511371537</v>
      </c>
      <c r="AL20" s="38" t="n">
        <f aca="false">AL18*Hypothèses!$D$17</f>
        <v>1054.51739144734</v>
      </c>
      <c r="AN20" s="38" t="n">
        <f aca="false">N20</f>
        <v>65.2490195433331</v>
      </c>
      <c r="AO20" s="38" t="n">
        <f aca="false">Z20</f>
        <v>380.437621573553</v>
      </c>
      <c r="AP20" s="38" t="n">
        <f aca="false">AL20</f>
        <v>1054.51739144734</v>
      </c>
    </row>
    <row r="21" customFormat="false" ht="15" hidden="false" customHeight="false" outlineLevel="0" collapsed="false">
      <c r="A21" s="9" t="s">
        <v>229</v>
      </c>
      <c r="B21" s="4" t="s">
        <v>41</v>
      </c>
      <c r="C21" s="38" t="n">
        <f aca="false">C18*Hypothèses!$D$18</f>
        <v>0</v>
      </c>
      <c r="D21" s="38" t="n">
        <f aca="false">D18*Hypothèses!$D$18</f>
        <v>0</v>
      </c>
      <c r="E21" s="38" t="n">
        <f aca="false">E18*Hypothèses!$D$18</f>
        <v>1.5</v>
      </c>
      <c r="F21" s="38" t="n">
        <f aca="false">F18*Hypothèses!$D$18</f>
        <v>1.3799985</v>
      </c>
      <c r="G21" s="38" t="n">
        <f aca="false">G18*Hypothèses!$D$18</f>
        <v>1.2695972400015</v>
      </c>
      <c r="H21" s="38" t="n">
        <f aca="false">H18*Hypothèses!$D$18</f>
        <v>1.16802819120414</v>
      </c>
      <c r="I21" s="38" t="n">
        <f aca="false">I18*Hypothèses!$D$18</f>
        <v>4.0979453317037</v>
      </c>
      <c r="J21" s="38" t="n">
        <f aca="false">J18*Hypothèses!$D$18</f>
        <v>6.85206451385615</v>
      </c>
      <c r="K21" s="38" t="n">
        <f aca="false">K18*Hypothèses!$D$18</f>
        <v>9.44093379096026</v>
      </c>
      <c r="L21" s="38" t="n">
        <f aca="false">L18*Hypothèses!$D$18</f>
        <v>11.8744683225689</v>
      </c>
      <c r="M21" s="38" t="n">
        <f aca="false">M18*Hypothèses!$D$18</f>
        <v>14.1619883487464</v>
      </c>
      <c r="N21" s="38" t="n">
        <f aca="false">N18*Hypothèses!$D$18</f>
        <v>16.3122548858333</v>
      </c>
      <c r="O21" s="38" t="n">
        <f aca="false">O18*Hypothèses!$D$18</f>
        <v>25.3335032804284</v>
      </c>
      <c r="P21" s="38" t="n">
        <f aca="false">P18*Hypothèses!$D$18</f>
        <v>33.8134677500994</v>
      </c>
      <c r="Q21" s="38" t="n">
        <f aca="false">Q18*Hypothèses!$D$18</f>
        <v>41.7846258716257</v>
      </c>
      <c r="R21" s="38" t="n">
        <f aca="false">R18*Hypothèses!$D$18</f>
        <v>49.2775065347023</v>
      </c>
      <c r="S21" s="38" t="n">
        <f aca="false">S18*Hypothèses!$D$18</f>
        <v>56.3208068651136</v>
      </c>
      <c r="T21" s="38" t="n">
        <f aca="false">T18*Hypothèses!$D$18</f>
        <v>62.9415021323999</v>
      </c>
      <c r="U21" s="38" t="n">
        <f aca="false">U18*Hypothèses!$D$18</f>
        <v>69.1649490629538</v>
      </c>
      <c r="V21" s="38" t="n">
        <f aca="false">V18*Hypothèses!$D$18</f>
        <v>75.0149829542275</v>
      </c>
      <c r="W21" s="38" t="n">
        <f aca="false">W18*Hypothèses!$D$18</f>
        <v>80.5140089619909</v>
      </c>
      <c r="X21" s="38" t="n">
        <f aca="false">X18*Hypothèses!$D$18</f>
        <v>85.6830879102625</v>
      </c>
      <c r="Y21" s="38" t="n">
        <f aca="false">Y18*Hypothèses!$D$18</f>
        <v>90.5420169525588</v>
      </c>
      <c r="Z21" s="38" t="n">
        <f aca="false">Z18*Hypothèses!$D$18</f>
        <v>95.1094053933883</v>
      </c>
      <c r="AA21" s="38" t="n">
        <f aca="false">AA18*Hypothèses!$D$18</f>
        <v>114.40274596038</v>
      </c>
      <c r="AB21" s="38" t="n">
        <f aca="false">AB18*Hypothèses!$D$18</f>
        <v>132.538466800011</v>
      </c>
      <c r="AC21" s="38" t="n">
        <f aca="false">AC18*Hypothèses!$D$18</f>
        <v>149.586026253543</v>
      </c>
      <c r="AD21" s="38" t="n">
        <f aca="false">AD18*Hypothèses!$D$18</f>
        <v>165.610715092305</v>
      </c>
      <c r="AE21" s="38" t="n">
        <f aca="false">AE18*Hypothèses!$D$18</f>
        <v>180.673906576051</v>
      </c>
      <c r="AF21" s="38" t="n">
        <f aca="false">AF18*Hypothèses!$D$18</f>
        <v>194.833291507582</v>
      </c>
      <c r="AG21" s="38" t="n">
        <f aca="false">AG18*Hypothèses!$D$18</f>
        <v>208.143099183835</v>
      </c>
      <c r="AH21" s="38" t="n">
        <f aca="false">AH18*Hypothèses!$D$18</f>
        <v>220.654305089706</v>
      </c>
      <c r="AI21" s="38" t="n">
        <f aca="false">AI18*Hypothèses!$D$18</f>
        <v>232.414826130018</v>
      </c>
      <c r="AJ21" s="38" t="n">
        <f aca="false">AJ18*Hypothèses!$D$18</f>
        <v>243.469704147391</v>
      </c>
      <c r="AK21" s="38" t="n">
        <f aca="false">AK18*Hypothèses!$D$18</f>
        <v>253.861278428844</v>
      </c>
      <c r="AL21" s="38" t="n">
        <f aca="false">AL18*Hypothèses!$D$18</f>
        <v>263.629347861835</v>
      </c>
      <c r="AN21" s="38" t="n">
        <f aca="false">N21</f>
        <v>16.3122548858333</v>
      </c>
      <c r="AO21" s="38" t="n">
        <f aca="false">Z21</f>
        <v>95.1094053933883</v>
      </c>
      <c r="AP21" s="38" t="n">
        <f aca="false">AL21</f>
        <v>263.629347861835</v>
      </c>
    </row>
    <row r="22" customFormat="false" ht="15" hidden="false" customHeight="false" outlineLevel="0" collapsed="false">
      <c r="A22" s="8" t="s">
        <v>230</v>
      </c>
    </row>
    <row r="23" customFormat="false" ht="15" hidden="false" customHeight="false" outlineLevel="0" collapsed="false">
      <c r="A23" s="9" t="s">
        <v>231</v>
      </c>
      <c r="B23" s="4" t="s">
        <v>232</v>
      </c>
      <c r="C23" s="15" t="n">
        <f aca="false">C19*Hypothèses!$D$12*$C$4</f>
        <v>0</v>
      </c>
      <c r="D23" s="15" t="n">
        <f aca="false">D19*Hypothèses!$D$12*$C$4</f>
        <v>0</v>
      </c>
      <c r="E23" s="15" t="n">
        <f aca="false">E19*Hypothèses!$D$12*$C$4</f>
        <v>72.5</v>
      </c>
      <c r="F23" s="15" t="n">
        <f aca="false">F19*Hypothèses!$D$12*$C$4</f>
        <v>66.6999275</v>
      </c>
      <c r="G23" s="15" t="n">
        <f aca="false">G19*Hypothèses!$D$12*$C$4</f>
        <v>61.3638666000725</v>
      </c>
      <c r="H23" s="15" t="n">
        <f aca="false">H19*Hypothèses!$D$12*$C$4</f>
        <v>56.4546959082001</v>
      </c>
      <c r="I23" s="15" t="n">
        <f aca="false">I19*Hypothèses!$D$12*$C$4</f>
        <v>198.067357699012</v>
      </c>
      <c r="J23" s="15" t="n">
        <f aca="false">J19*Hypothèses!$D$12*$C$4</f>
        <v>331.183118169714</v>
      </c>
      <c r="K23" s="15" t="n">
        <f aca="false">K19*Hypothèses!$D$12*$C$4</f>
        <v>456.311799896413</v>
      </c>
      <c r="L23" s="15" t="n">
        <f aca="false">L19*Hypothèses!$D$12*$C$4</f>
        <v>573.932635590828</v>
      </c>
      <c r="M23" s="15" t="n">
        <f aca="false">M19*Hypothèses!$D$12*$C$4</f>
        <v>684.496103522743</v>
      </c>
      <c r="N23" s="15" t="n">
        <f aca="false">N19*Hypothèses!$D$12*$C$4</f>
        <v>788.425652815275</v>
      </c>
      <c r="O23" s="15" t="n">
        <f aca="false">O19*Hypothèses!$D$12*$C$4</f>
        <v>1224.45265855404</v>
      </c>
      <c r="P23" s="15" t="n">
        <f aca="false">P19*Hypothèses!$D$12*$C$4</f>
        <v>1634.31760792147</v>
      </c>
      <c r="Q23" s="15" t="n">
        <f aca="false">Q19*Hypothèses!$D$12*$C$4</f>
        <v>2019.59025046191</v>
      </c>
      <c r="R23" s="15" t="n">
        <f aca="false">R19*Hypothèses!$D$12*$C$4</f>
        <v>2381.74614917728</v>
      </c>
      <c r="S23" s="15" t="n">
        <f aca="false">S19*Hypothèses!$D$12*$C$4</f>
        <v>2722.17233181383</v>
      </c>
      <c r="T23" s="15" t="n">
        <f aca="false">T19*Hypothèses!$D$12*$C$4</f>
        <v>3042.172603066</v>
      </c>
      <c r="U23" s="15" t="n">
        <f aca="false">U19*Hypothèses!$D$12*$C$4</f>
        <v>3342.97253804277</v>
      </c>
      <c r="V23" s="15" t="n">
        <f aca="false">V19*Hypothèses!$D$12*$C$4</f>
        <v>3625.724176121</v>
      </c>
      <c r="W23" s="15" t="n">
        <f aca="false">W19*Hypothèses!$D$12*$C$4</f>
        <v>3891.51043316289</v>
      </c>
      <c r="X23" s="15" t="n">
        <f aca="false">X19*Hypothèses!$D$12*$C$4</f>
        <v>4141.34924899602</v>
      </c>
      <c r="Y23" s="15" t="n">
        <f aca="false">Y19*Hypothèses!$D$12*$C$4</f>
        <v>4376.19748604034</v>
      </c>
      <c r="Z23" s="15" t="n">
        <f aca="false">Z19*Hypothèses!$D$12*$C$4</f>
        <v>4596.95459401377</v>
      </c>
      <c r="AA23" s="15" t="n">
        <f aca="false">AA19*Hypothèses!$D$12*$C$4</f>
        <v>5529.46605475168</v>
      </c>
      <c r="AB23" s="15" t="n">
        <f aca="false">AB19*Hypothèses!$D$12*$C$4</f>
        <v>6406.02589533386</v>
      </c>
      <c r="AC23" s="15" t="n">
        <f aca="false">AC19*Hypothèses!$D$12*$C$4</f>
        <v>7229.99126892127</v>
      </c>
      <c r="AD23" s="15" t="n">
        <f aca="false">AD19*Hypothèses!$D$12*$C$4</f>
        <v>8004.51789612806</v>
      </c>
      <c r="AE23" s="15" t="n">
        <f aca="false">AE19*Hypothèses!$D$12*$C$4</f>
        <v>8732.57215117581</v>
      </c>
      <c r="AF23" s="15" t="n">
        <f aca="false">AF19*Hypothèses!$D$12*$C$4</f>
        <v>9416.94242286645</v>
      </c>
      <c r="AG23" s="15" t="n">
        <f aca="false">AG19*Hypothèses!$D$12*$C$4</f>
        <v>10060.2497938854</v>
      </c>
      <c r="AH23" s="15" t="n">
        <f aca="false">AH19*Hypothèses!$D$12*$C$4</f>
        <v>10664.9580793358</v>
      </c>
      <c r="AI23" s="15" t="n">
        <f aca="false">AI19*Hypothèses!$D$12*$C$4</f>
        <v>11233.3832629509</v>
      </c>
      <c r="AJ23" s="15" t="n">
        <f aca="false">AJ19*Hypothèses!$D$12*$C$4</f>
        <v>11767.7023671239</v>
      </c>
      <c r="AK23" s="15" t="n">
        <f aca="false">AK19*Hypothèses!$D$12*$C$4</f>
        <v>12269.9617907274</v>
      </c>
      <c r="AL23" s="15" t="n">
        <f aca="false">AL19*Hypothèses!$D$12*$C$4</f>
        <v>12742.0851466553</v>
      </c>
      <c r="AN23" s="15" t="n">
        <f aca="false">SUM(C23:N23)</f>
        <v>3289.43515770226</v>
      </c>
      <c r="AO23" s="15" t="n">
        <f aca="false">SUM(O23:Z23)</f>
        <v>36999.1600773713</v>
      </c>
      <c r="AP23" s="15" t="n">
        <f aca="false">SUM(AA23:AL23)</f>
        <v>114057.856129856</v>
      </c>
    </row>
    <row r="24" customFormat="false" ht="15" hidden="false" customHeight="false" outlineLevel="0" collapsed="false">
      <c r="A24" s="9" t="s">
        <v>233</v>
      </c>
      <c r="B24" s="4" t="s">
        <v>232</v>
      </c>
      <c r="C24" s="15" t="n">
        <f aca="false">C20*Hypothèses!$D$13*$C$4</f>
        <v>0</v>
      </c>
      <c r="D24" s="15" t="n">
        <f aca="false">D20*Hypothèses!$D$13*$C$4</f>
        <v>0</v>
      </c>
      <c r="E24" s="15" t="n">
        <f aca="false">E20*Hypothèses!$D$13*$C$4</f>
        <v>474</v>
      </c>
      <c r="F24" s="15" t="n">
        <f aca="false">F20*Hypothèses!$D$13*$C$4</f>
        <v>436.079526</v>
      </c>
      <c r="G24" s="15" t="n">
        <f aca="false">G20*Hypothèses!$D$13*$C$4</f>
        <v>401.192727840474</v>
      </c>
      <c r="H24" s="15" t="n">
        <f aca="false">H20*Hypothèses!$D$13*$C$4</f>
        <v>369.096908420508</v>
      </c>
      <c r="I24" s="15" t="n">
        <f aca="false">I20*Hypothèses!$D$13*$C$4</f>
        <v>1294.95072481837</v>
      </c>
      <c r="J24" s="15" t="n">
        <f aca="false">J20*Hypothèses!$D$13*$C$4</f>
        <v>2165.25238637854</v>
      </c>
      <c r="K24" s="15" t="n">
        <f aca="false">K20*Hypothèses!$D$13*$C$4</f>
        <v>2983.33507794344</v>
      </c>
      <c r="L24" s="15" t="n">
        <f aca="false">L20*Hypothèses!$D$13*$C$4</f>
        <v>3752.33198993176</v>
      </c>
      <c r="M24" s="15" t="n">
        <f aca="false">M20*Hypothèses!$D$13*$C$4</f>
        <v>4475.18831820386</v>
      </c>
      <c r="N24" s="15" t="n">
        <f aca="false">N20*Hypothèses!$D$13*$C$4</f>
        <v>5154.67254392331</v>
      </c>
      <c r="O24" s="15" t="n">
        <f aca="false">O20*Hypothèses!$D$13*$C$4</f>
        <v>8005.38703661537</v>
      </c>
      <c r="P24" s="15" t="n">
        <f aca="false">P20*Hypothèses!$D$13*$C$4</f>
        <v>10685.0558090314</v>
      </c>
      <c r="Q24" s="15" t="n">
        <f aca="false">Q20*Hypothèses!$D$13*$C$4</f>
        <v>13203.9417754337</v>
      </c>
      <c r="R24" s="15" t="n">
        <f aca="false">R20*Hypothèses!$D$13*$C$4</f>
        <v>15571.6920649659</v>
      </c>
      <c r="S24" s="15" t="n">
        <f aca="false">S20*Hypothèses!$D$13*$C$4</f>
        <v>17797.3749693759</v>
      </c>
      <c r="T24" s="15" t="n">
        <f aca="false">T20*Hypothèses!$D$13*$C$4</f>
        <v>19889.5146738384</v>
      </c>
      <c r="U24" s="15" t="n">
        <f aca="false">U20*Hypothèses!$D$13*$C$4</f>
        <v>21856.1239038934</v>
      </c>
      <c r="V24" s="15" t="n">
        <f aca="false">V20*Hypothèses!$D$13*$C$4</f>
        <v>23704.7346135359</v>
      </c>
      <c r="W24" s="15" t="n">
        <f aca="false">W20*Hypothèses!$D$13*$C$4</f>
        <v>25442.4268319891</v>
      </c>
      <c r="X24" s="15" t="n">
        <f aca="false">X20*Hypothèses!$D$13*$C$4</f>
        <v>27075.8557796429</v>
      </c>
      <c r="Y24" s="15" t="n">
        <f aca="false">Y20*Hypothèses!$D$13*$C$4</f>
        <v>28611.2773570086</v>
      </c>
      <c r="Z24" s="15" t="n">
        <f aca="false">Z20*Hypothèses!$D$13*$C$4</f>
        <v>30054.5721043107</v>
      </c>
      <c r="AA24" s="15" t="n">
        <f aca="false">AA20*Hypothèses!$D$13*$C$4</f>
        <v>36151.26772348</v>
      </c>
      <c r="AB24" s="15" t="n">
        <f aca="false">AB20*Hypothèses!$D$13*$C$4</f>
        <v>41882.1555088034</v>
      </c>
      <c r="AC24" s="15" t="n">
        <f aca="false">AC20*Hypothèses!$D$13*$C$4</f>
        <v>47269.1842961197</v>
      </c>
      <c r="AD24" s="15" t="n">
        <f aca="false">AD20*Hypothèses!$D$13*$C$4</f>
        <v>52332.9859691683</v>
      </c>
      <c r="AE24" s="15" t="n">
        <f aca="false">AE20*Hypothèses!$D$13*$C$4</f>
        <v>57092.9544780322</v>
      </c>
      <c r="AF24" s="15" t="n">
        <f aca="false">AF20*Hypothèses!$D$13*$C$4</f>
        <v>61567.3201163958</v>
      </c>
      <c r="AG24" s="15" t="n">
        <f aca="false">AG20*Hypothèses!$D$13*$C$4</f>
        <v>65773.2193420919</v>
      </c>
      <c r="AH24" s="15" t="n">
        <f aca="false">AH20*Hypothèses!$D$13*$C$4</f>
        <v>69726.7604083471</v>
      </c>
      <c r="AI24" s="15" t="n">
        <f aca="false">AI20*Hypothèses!$D$13*$C$4</f>
        <v>73443.0850570858</v>
      </c>
      <c r="AJ24" s="15" t="n">
        <f aca="false">AJ20*Hypothèses!$D$13*$C$4</f>
        <v>76936.4265105756</v>
      </c>
      <c r="AK24" s="15" t="n">
        <f aca="false">AK20*Hypothèses!$D$13*$C$4</f>
        <v>80220.1639835146</v>
      </c>
      <c r="AL24" s="15" t="n">
        <f aca="false">AL20*Hypothèses!$D$13*$C$4</f>
        <v>83306.8739243397</v>
      </c>
      <c r="AN24" s="15" t="n">
        <f aca="false">SUM(C24:N24)</f>
        <v>21506.1002034603</v>
      </c>
      <c r="AO24" s="15" t="n">
        <f aca="false">SUM(O24:Z24)</f>
        <v>241897.956919641</v>
      </c>
      <c r="AP24" s="15" t="n">
        <f aca="false">SUM(AA24:AL24)</f>
        <v>745702.397317954</v>
      </c>
    </row>
    <row r="25" customFormat="false" ht="15" hidden="false" customHeight="false" outlineLevel="0" collapsed="false">
      <c r="A25" s="9" t="s">
        <v>234</v>
      </c>
      <c r="B25" s="4" t="s">
        <v>232</v>
      </c>
      <c r="C25" s="15" t="n">
        <f aca="false">C21*Hypothèses!$D$14*$C$4</f>
        <v>0</v>
      </c>
      <c r="D25" s="15" t="n">
        <f aca="false">D21*Hypothèses!$D$14*$C$4</f>
        <v>0</v>
      </c>
      <c r="E25" s="15" t="n">
        <f aca="false">E21*Hypothèses!$D$14*$C$4</f>
        <v>193.5</v>
      </c>
      <c r="F25" s="15" t="n">
        <f aca="false">F21*Hypothèses!$D$14*$C$4</f>
        <v>178.0198065</v>
      </c>
      <c r="G25" s="15" t="n">
        <f aca="false">G21*Hypothèses!$D$14*$C$4</f>
        <v>163.778043960194</v>
      </c>
      <c r="H25" s="15" t="n">
        <f aca="false">H21*Hypothèses!$D$14*$C$4</f>
        <v>150.675636665334</v>
      </c>
      <c r="I25" s="15" t="n">
        <f aca="false">I21*Hypothèses!$D$14*$C$4</f>
        <v>528.634947789777</v>
      </c>
      <c r="J25" s="15" t="n">
        <f aca="false">J21*Hypothèses!$D$14*$C$4</f>
        <v>883.916322287443</v>
      </c>
      <c r="K25" s="15" t="n">
        <f aca="false">K21*Hypothèses!$D$14*$C$4</f>
        <v>1217.88045903387</v>
      </c>
      <c r="L25" s="15" t="n">
        <f aca="false">L21*Hypothèses!$D$14*$C$4</f>
        <v>1531.80641361138</v>
      </c>
      <c r="M25" s="15" t="n">
        <f aca="false">M21*Hypothèses!$D$14*$C$4</f>
        <v>1826.89649698829</v>
      </c>
      <c r="N25" s="15" t="n">
        <f aca="false">N21*Hypothèses!$D$14*$C$4</f>
        <v>2104.28088027249</v>
      </c>
      <c r="O25" s="15" t="n">
        <f aca="false">O21*Hypothèses!$D$14*$C$4</f>
        <v>3268.02192317526</v>
      </c>
      <c r="P25" s="15" t="n">
        <f aca="false">P21*Hypothèses!$D$14*$C$4</f>
        <v>4361.93733976282</v>
      </c>
      <c r="Q25" s="15" t="n">
        <f aca="false">Q21*Hypothèses!$D$14*$C$4</f>
        <v>5390.21673743972</v>
      </c>
      <c r="R25" s="15" t="n">
        <f aca="false">R21*Hypothèses!$D$14*$C$4</f>
        <v>6356.7983429766</v>
      </c>
      <c r="S25" s="15" t="n">
        <f aca="false">S21*Hypothèses!$D$14*$C$4</f>
        <v>7265.38408559966</v>
      </c>
      <c r="T25" s="15" t="n">
        <f aca="false">T21*Hypothèses!$D$14*$C$4</f>
        <v>8119.45377507959</v>
      </c>
      <c r="U25" s="15" t="n">
        <f aca="false">U21*Hypothèses!$D$14*$C$4</f>
        <v>8922.27842912104</v>
      </c>
      <c r="V25" s="15" t="n">
        <f aca="false">V21*Hypothèses!$D$14*$C$4</f>
        <v>9676.93280109535</v>
      </c>
      <c r="W25" s="15" t="n">
        <f aca="false">W21*Hypothèses!$D$14*$C$4</f>
        <v>10386.3071560968</v>
      </c>
      <c r="X25" s="15" t="n">
        <f aca="false">X21*Hypothèses!$D$14*$C$4</f>
        <v>11053.1183404239</v>
      </c>
      <c r="Y25" s="15" t="n">
        <f aca="false">Y21*Hypothèses!$D$14*$C$4</f>
        <v>11679.9201868801</v>
      </c>
      <c r="Z25" s="15" t="n">
        <f aca="false">Z21*Hypothèses!$D$14*$C$4</f>
        <v>12269.1132957471</v>
      </c>
      <c r="AA25" s="15" t="n">
        <f aca="false">AA21*Hypothèses!$D$14*$C$4</f>
        <v>14757.954228889</v>
      </c>
      <c r="AB25" s="15" t="n">
        <f aca="false">AB21*Hypothèses!$D$14*$C$4</f>
        <v>17097.4622172014</v>
      </c>
      <c r="AC25" s="15" t="n">
        <f aca="false">AC21*Hypothèses!$D$14*$C$4</f>
        <v>19296.5973867071</v>
      </c>
      <c r="AD25" s="15" t="n">
        <f aca="false">AD21*Hypothèses!$D$14*$C$4</f>
        <v>21363.7822469073</v>
      </c>
      <c r="AE25" s="15" t="n">
        <f aca="false">AE21*Hypothèses!$D$14*$C$4</f>
        <v>23306.9339483106</v>
      </c>
      <c r="AF25" s="15" t="n">
        <f aca="false">AF21*Hypothèses!$D$14*$C$4</f>
        <v>25133.494604478</v>
      </c>
      <c r="AG25" s="15" t="n">
        <f aca="false">AG21*Hypothèses!$D$14*$C$4</f>
        <v>26850.4597947147</v>
      </c>
      <c r="AH25" s="15" t="n">
        <f aca="false">AH21*Hypothèses!$D$14*$C$4</f>
        <v>28464.4053565721</v>
      </c>
      <c r="AI25" s="15" t="n">
        <f aca="false">AI21*Hypothèses!$D$14*$C$4</f>
        <v>29981.5125707724</v>
      </c>
      <c r="AJ25" s="15" t="n">
        <f aca="false">AJ21*Hypothèses!$D$14*$C$4</f>
        <v>31407.5918350135</v>
      </c>
      <c r="AK25" s="15" t="n">
        <f aca="false">AK21*Hypothèses!$D$14*$C$4</f>
        <v>32748.1049173208</v>
      </c>
      <c r="AL25" s="15" t="n">
        <f aca="false">AL21*Hypothèses!$D$14*$C$4</f>
        <v>34008.1858741767</v>
      </c>
      <c r="AN25" s="15" t="n">
        <f aca="false">SUM(C25:N25)</f>
        <v>8779.38900710878</v>
      </c>
      <c r="AO25" s="15" t="n">
        <f aca="false">SUM(O25:Z25)</f>
        <v>98749.4824133979</v>
      </c>
      <c r="AP25" s="15" t="n">
        <f aca="false">SUM(AA25:AL25)</f>
        <v>304416.484981064</v>
      </c>
    </row>
    <row r="26" customFormat="false" ht="15" hidden="false" customHeight="false" outlineLevel="0" collapsed="false">
      <c r="A26" s="2" t="s">
        <v>235</v>
      </c>
      <c r="B26" s="4" t="s">
        <v>232</v>
      </c>
      <c r="C26" s="40" t="n">
        <f aca="false">C23+C24+C25</f>
        <v>0</v>
      </c>
      <c r="D26" s="40" t="n">
        <f aca="false">D23+D24+D25</f>
        <v>0</v>
      </c>
      <c r="E26" s="40" t="n">
        <f aca="false">E23+E24+E25</f>
        <v>740</v>
      </c>
      <c r="F26" s="40" t="n">
        <f aca="false">F23+F24+F25</f>
        <v>680.79926</v>
      </c>
      <c r="G26" s="40" t="n">
        <f aca="false">G23+G24+G25</f>
        <v>626.33463840074</v>
      </c>
      <c r="H26" s="40" t="n">
        <f aca="false">H23+H24+H25</f>
        <v>576.227240994042</v>
      </c>
      <c r="I26" s="40" t="n">
        <f aca="false">I23+I24+I25</f>
        <v>2021.65303030716</v>
      </c>
      <c r="J26" s="40" t="n">
        <f aca="false">J23+J24+J25</f>
        <v>3380.3518268357</v>
      </c>
      <c r="K26" s="40" t="n">
        <f aca="false">K23+K24+K25</f>
        <v>4657.52733687373</v>
      </c>
      <c r="L26" s="40" t="n">
        <f aca="false">L23+L24+L25</f>
        <v>5858.07103913397</v>
      </c>
      <c r="M26" s="40" t="n">
        <f aca="false">M23+M24+M25</f>
        <v>6986.58091871489</v>
      </c>
      <c r="N26" s="40" t="n">
        <f aca="false">N23+N24+N25</f>
        <v>8047.37907701108</v>
      </c>
      <c r="O26" s="40" t="n">
        <f aca="false">O23+O24+O25</f>
        <v>12497.8616183447</v>
      </c>
      <c r="P26" s="40" t="n">
        <f aca="false">P23+P24+P25</f>
        <v>16681.3107567157</v>
      </c>
      <c r="Q26" s="40" t="n">
        <f aca="false">Q23+Q24+Q25</f>
        <v>20613.7487633353</v>
      </c>
      <c r="R26" s="40" t="n">
        <f aca="false">R23+R24+R25</f>
        <v>24310.2365571198</v>
      </c>
      <c r="S26" s="40" t="n">
        <f aca="false">S23+S24+S25</f>
        <v>27784.9313867894</v>
      </c>
      <c r="T26" s="40" t="n">
        <f aca="false">T23+T24+T25</f>
        <v>31051.141051984</v>
      </c>
      <c r="U26" s="40" t="n">
        <f aca="false">U23+U24+U25</f>
        <v>34121.3748710572</v>
      </c>
      <c r="V26" s="40" t="n">
        <f aca="false">V23+V24+V25</f>
        <v>37007.3915907522</v>
      </c>
      <c r="W26" s="40" t="n">
        <f aca="false">W23+W24+W25</f>
        <v>39720.2444212489</v>
      </c>
      <c r="X26" s="40" t="n">
        <f aca="false">X23+X24+X25</f>
        <v>42270.3233690628</v>
      </c>
      <c r="Y26" s="40" t="n">
        <f aca="false">Y23+Y24+Y25</f>
        <v>44667.395029929</v>
      </c>
      <c r="Z26" s="40" t="n">
        <f aca="false">Z23+Z24+Z25</f>
        <v>46920.6399940716</v>
      </c>
      <c r="AA26" s="40" t="n">
        <f aca="false">AA23+AA24+AA25</f>
        <v>56438.6880071206</v>
      </c>
      <c r="AB26" s="40" t="n">
        <f aca="false">AB23+AB24+AB25</f>
        <v>65385.6436213387</v>
      </c>
      <c r="AC26" s="40" t="n">
        <f aca="false">AC23+AC24+AC25</f>
        <v>73795.7729517481</v>
      </c>
      <c r="AD26" s="40" t="n">
        <f aca="false">AD23+AD24+AD25</f>
        <v>81701.2861122036</v>
      </c>
      <c r="AE26" s="40" t="n">
        <f aca="false">AE23+AE24+AE25</f>
        <v>89132.4605775186</v>
      </c>
      <c r="AF26" s="40" t="n">
        <f aca="false">AF23+AF24+AF25</f>
        <v>96117.7571437403</v>
      </c>
      <c r="AG26" s="40" t="n">
        <f aca="false">AG23+AG24+AG25</f>
        <v>102683.928930692</v>
      </c>
      <c r="AH26" s="40" t="n">
        <f aca="false">AH23+AH24+AH25</f>
        <v>108856.123844255</v>
      </c>
      <c r="AI26" s="40" t="n">
        <f aca="false">AI23+AI24+AI25</f>
        <v>114657.980890809</v>
      </c>
      <c r="AJ26" s="40" t="n">
        <f aca="false">AJ23+AJ24+AJ25</f>
        <v>120111.720712713</v>
      </c>
      <c r="AK26" s="40" t="n">
        <f aca="false">AK23+AK24+AK25</f>
        <v>125238.230691563</v>
      </c>
      <c r="AL26" s="40" t="n">
        <f aca="false">AL23+AL24+AL25</f>
        <v>130057.144945172</v>
      </c>
      <c r="AN26" s="40" t="n">
        <f aca="false">SUM(C26:N26)</f>
        <v>33574.9243682713</v>
      </c>
      <c r="AO26" s="40" t="n">
        <f aca="false">SUM(O26:Z26)</f>
        <v>377646.599410411</v>
      </c>
      <c r="AP26" s="40" t="n">
        <f aca="false">SUM(AA26:AL26)</f>
        <v>1164176.73842887</v>
      </c>
    </row>
    <row r="27" customFormat="false" ht="15" hidden="false" customHeight="false" outlineLevel="0" collapsed="false">
      <c r="A27" s="9" t="s">
        <v>236</v>
      </c>
      <c r="B27" s="4" t="s">
        <v>70</v>
      </c>
      <c r="C27" s="15" t="n">
        <f aca="false">C26*Hypothèses!$D$15/(1+Hypothèses!$D$15)</f>
        <v>0</v>
      </c>
      <c r="D27" s="15" t="n">
        <f aca="false">D26*Hypothèses!$D$15/(1+Hypothèses!$D$15)</f>
        <v>0</v>
      </c>
      <c r="E27" s="15" t="n">
        <f aca="false">E26*Hypothèses!$D$15/(1+Hypothèses!$D$15)</f>
        <v>123.333333333333</v>
      </c>
      <c r="F27" s="15" t="n">
        <f aca="false">F26*Hypothèses!$D$15/(1+Hypothèses!$D$15)</f>
        <v>113.466543333333</v>
      </c>
      <c r="G27" s="15" t="n">
        <f aca="false">G26*Hypothèses!$D$15/(1+Hypothèses!$D$15)</f>
        <v>104.389106400123</v>
      </c>
      <c r="H27" s="15" t="n">
        <f aca="false">H26*Hypothèses!$D$15/(1+Hypothèses!$D$15)</f>
        <v>96.0378734990071</v>
      </c>
      <c r="I27" s="15" t="n">
        <f aca="false">I26*Hypothèses!$D$15/(1+Hypothèses!$D$15)</f>
        <v>336.94217171786</v>
      </c>
      <c r="J27" s="15" t="n">
        <f aca="false">J26*Hypothèses!$D$15/(1+Hypothèses!$D$15)</f>
        <v>563.391971139283</v>
      </c>
      <c r="K27" s="15" t="n">
        <f aca="false">K26*Hypothèses!$D$15/(1+Hypothèses!$D$15)</f>
        <v>776.254556145622</v>
      </c>
      <c r="L27" s="15" t="n">
        <f aca="false">L26*Hypothèses!$D$15/(1+Hypothèses!$D$15)</f>
        <v>976.345173188995</v>
      </c>
      <c r="M27" s="15" t="n">
        <f aca="false">M26*Hypothèses!$D$15/(1+Hypothèses!$D$15)</f>
        <v>1164.43015311915</v>
      </c>
      <c r="N27" s="15" t="n">
        <f aca="false">N26*Hypothèses!$D$15/(1+Hypothèses!$D$15)</f>
        <v>1341.22984616851</v>
      </c>
      <c r="O27" s="15" t="n">
        <f aca="false">O26*Hypothèses!$D$15/(1+Hypothèses!$D$15)</f>
        <v>2082.97693639078</v>
      </c>
      <c r="P27" s="15" t="n">
        <f aca="false">P26*Hypothèses!$D$15/(1+Hypothèses!$D$15)</f>
        <v>2780.21845945262</v>
      </c>
      <c r="Q27" s="15" t="n">
        <f aca="false">Q26*Hypothèses!$D$15/(1+Hypothèses!$D$15)</f>
        <v>3435.62479388922</v>
      </c>
      <c r="R27" s="15" t="n">
        <f aca="false">R26*Hypothèses!$D$15/(1+Hypothèses!$D$15)</f>
        <v>4051.7060928533</v>
      </c>
      <c r="S27" s="15" t="n">
        <f aca="false">S26*Hypothèses!$D$15/(1+Hypothèses!$D$15)</f>
        <v>4630.82189779823</v>
      </c>
      <c r="T27" s="15" t="n">
        <f aca="false">T26*Hypothèses!$D$15/(1+Hypothèses!$D$15)</f>
        <v>5175.19017533066</v>
      </c>
      <c r="U27" s="15" t="n">
        <f aca="false">U26*Hypothèses!$D$15/(1+Hypothèses!$D$15)</f>
        <v>5686.89581184287</v>
      </c>
      <c r="V27" s="15" t="n">
        <f aca="false">V26*Hypothèses!$D$15/(1+Hypothèses!$D$15)</f>
        <v>6167.89859845871</v>
      </c>
      <c r="W27" s="15" t="n">
        <f aca="false">W26*Hypothèses!$D$15/(1+Hypothèses!$D$15)</f>
        <v>6620.04073687481</v>
      </c>
      <c r="X27" s="15" t="n">
        <f aca="false">X26*Hypothèses!$D$15/(1+Hypothèses!$D$15)</f>
        <v>7045.0538948438</v>
      </c>
      <c r="Y27" s="15" t="n">
        <f aca="false">Y26*Hypothèses!$D$15/(1+Hypothèses!$D$15)</f>
        <v>7444.5658383215</v>
      </c>
      <c r="Z27" s="15" t="n">
        <f aca="false">Z26*Hypothèses!$D$15/(1+Hypothèses!$D$15)</f>
        <v>7820.1066656786</v>
      </c>
      <c r="AA27" s="15" t="n">
        <f aca="false">AA26*Hypothèses!$D$15/(1+Hypothèses!$D$15)</f>
        <v>9406.44800118677</v>
      </c>
      <c r="AB27" s="15" t="n">
        <f aca="false">AB26*Hypothèses!$D$15/(1+Hypothèses!$D$15)</f>
        <v>10897.6072702231</v>
      </c>
      <c r="AC27" s="15" t="n">
        <f aca="false">AC26*Hypothèses!$D$15/(1+Hypothèses!$D$15)</f>
        <v>12299.295491958</v>
      </c>
      <c r="AD27" s="15" t="n">
        <f aca="false">AD26*Hypothèses!$D$15/(1+Hypothèses!$D$15)</f>
        <v>13616.8810187006</v>
      </c>
      <c r="AE27" s="15" t="n">
        <f aca="false">AE26*Hypothèses!$D$15/(1+Hypothèses!$D$15)</f>
        <v>14855.4100962531</v>
      </c>
      <c r="AF27" s="15" t="n">
        <f aca="false">AF26*Hypothèses!$D$15/(1+Hypothèses!$D$15)</f>
        <v>16019.6261906234</v>
      </c>
      <c r="AG27" s="15" t="n">
        <f aca="false">AG26*Hypothèses!$D$15/(1+Hypothèses!$D$15)</f>
        <v>17113.9881551153</v>
      </c>
      <c r="AH27" s="15" t="n">
        <f aca="false">AH26*Hypothèses!$D$15/(1+Hypothèses!$D$15)</f>
        <v>18142.6873073758</v>
      </c>
      <c r="AI27" s="15" t="n">
        <f aca="false">AI26*Hypothèses!$D$15/(1+Hypothèses!$D$15)</f>
        <v>19109.6634818015</v>
      </c>
      <c r="AJ27" s="15" t="n">
        <f aca="false">AJ26*Hypothèses!$D$15/(1+Hypothèses!$D$15)</f>
        <v>20018.6201187855</v>
      </c>
      <c r="AK27" s="15" t="n">
        <f aca="false">AK26*Hypothèses!$D$15/(1+Hypothèses!$D$15)</f>
        <v>20873.0384485938</v>
      </c>
      <c r="AL27" s="15" t="n">
        <f aca="false">AL26*Hypothèses!$D$15/(1+Hypothèses!$D$15)</f>
        <v>21676.1908241953</v>
      </c>
      <c r="AN27" s="15" t="n">
        <f aca="false">SUM(C27:N27)</f>
        <v>5595.82072804522</v>
      </c>
      <c r="AO27" s="15" t="n">
        <f aca="false">SUM(O27:Z27)</f>
        <v>62941.0999017351</v>
      </c>
      <c r="AP27" s="15" t="n">
        <f aca="false">SUM(AA27:AL27)</f>
        <v>194029.456404812</v>
      </c>
    </row>
    <row r="28" customFormat="false" ht="15" hidden="false" customHeight="false" outlineLevel="0" collapsed="false">
      <c r="A28" s="2" t="s">
        <v>237</v>
      </c>
      <c r="B28" s="4" t="s">
        <v>92</v>
      </c>
      <c r="C28" s="40" t="n">
        <f aca="false">C26-C27</f>
        <v>0</v>
      </c>
      <c r="D28" s="40" t="n">
        <f aca="false">D26-D27</f>
        <v>0</v>
      </c>
      <c r="E28" s="40" t="n">
        <f aca="false">E26-E27</f>
        <v>616.666666666667</v>
      </c>
      <c r="F28" s="40" t="n">
        <f aca="false">F26-F27</f>
        <v>567.332716666667</v>
      </c>
      <c r="G28" s="40" t="n">
        <f aca="false">G26-G27</f>
        <v>521.945532000617</v>
      </c>
      <c r="H28" s="40" t="n">
        <f aca="false">H26-H27</f>
        <v>480.189367495035</v>
      </c>
      <c r="I28" s="40" t="n">
        <f aca="false">I26-I27</f>
        <v>1684.7108585893</v>
      </c>
      <c r="J28" s="40" t="n">
        <f aca="false">J26-J27</f>
        <v>2816.95985569642</v>
      </c>
      <c r="K28" s="40" t="n">
        <f aca="false">K26-K27</f>
        <v>3881.27278072811</v>
      </c>
      <c r="L28" s="40" t="n">
        <f aca="false">L26-L27</f>
        <v>4881.72586594497</v>
      </c>
      <c r="M28" s="40" t="n">
        <f aca="false">M26-M27</f>
        <v>5822.15076559574</v>
      </c>
      <c r="N28" s="40" t="n">
        <f aca="false">N26-N27</f>
        <v>6706.14923084257</v>
      </c>
      <c r="O28" s="40" t="n">
        <f aca="false">O26-O27</f>
        <v>10414.8846819539</v>
      </c>
      <c r="P28" s="40" t="n">
        <f aca="false">P26-P27</f>
        <v>13901.0922972631</v>
      </c>
      <c r="Q28" s="40" t="n">
        <f aca="false">Q26-Q27</f>
        <v>17178.1239694461</v>
      </c>
      <c r="R28" s="40" t="n">
        <f aca="false">R26-R27</f>
        <v>20258.5304642665</v>
      </c>
      <c r="S28" s="40" t="n">
        <f aca="false">S26-S27</f>
        <v>23154.1094889912</v>
      </c>
      <c r="T28" s="40" t="n">
        <f aca="false">T26-T27</f>
        <v>25875.9508766533</v>
      </c>
      <c r="U28" s="40" t="n">
        <f aca="false">U26-U27</f>
        <v>28434.4790592143</v>
      </c>
      <c r="V28" s="40" t="n">
        <f aca="false">V26-V27</f>
        <v>30839.4929922935</v>
      </c>
      <c r="W28" s="40" t="n">
        <f aca="false">W26-W27</f>
        <v>33100.203684374</v>
      </c>
      <c r="X28" s="40" t="n">
        <f aca="false">X26-X27</f>
        <v>35225.269474219</v>
      </c>
      <c r="Y28" s="40" t="n">
        <f aca="false">Y26-Y27</f>
        <v>37222.8291916075</v>
      </c>
      <c r="Z28" s="40" t="n">
        <f aca="false">Z26-Z27</f>
        <v>39100.533328393</v>
      </c>
      <c r="AA28" s="40" t="n">
        <f aca="false">AA26-AA27</f>
        <v>47032.2400059339</v>
      </c>
      <c r="AB28" s="40" t="n">
        <f aca="false">AB26-AB27</f>
        <v>54488.0363511156</v>
      </c>
      <c r="AC28" s="40" t="n">
        <f aca="false">AC26-AC27</f>
        <v>61496.4774597901</v>
      </c>
      <c r="AD28" s="40" t="n">
        <f aca="false">AD26-AD27</f>
        <v>68084.405093503</v>
      </c>
      <c r="AE28" s="40" t="n">
        <f aca="false">AE26-AE27</f>
        <v>74277.0504812655</v>
      </c>
      <c r="AF28" s="40" t="n">
        <f aca="false">AF26-AF27</f>
        <v>80098.1309531169</v>
      </c>
      <c r="AG28" s="40" t="n">
        <f aca="false">AG26-AG27</f>
        <v>85569.9407755767</v>
      </c>
      <c r="AH28" s="40" t="n">
        <f aca="false">AH26-AH27</f>
        <v>90713.4365368791</v>
      </c>
      <c r="AI28" s="40" t="n">
        <f aca="false">AI26-AI27</f>
        <v>95548.3174090076</v>
      </c>
      <c r="AJ28" s="40" t="n">
        <f aca="false">AJ26-AJ27</f>
        <v>100093.100593928</v>
      </c>
      <c r="AK28" s="40" t="n">
        <f aca="false">AK26-AK27</f>
        <v>104365.192242969</v>
      </c>
      <c r="AL28" s="40" t="n">
        <f aca="false">AL26-AL27</f>
        <v>108380.954120976</v>
      </c>
      <c r="AN28" s="40" t="n">
        <f aca="false">SUM(C28:N28)</f>
        <v>27979.1036402261</v>
      </c>
      <c r="AO28" s="40" t="n">
        <f aca="false">SUM(O28:Z28)</f>
        <v>314705.499508676</v>
      </c>
      <c r="AP28" s="40" t="n">
        <f aca="false">SUM(AA28:AL28)</f>
        <v>970147.282024061</v>
      </c>
    </row>
    <row r="29" customFormat="false" ht="15" hidden="false" customHeight="false" outlineLevel="0" collapsed="false">
      <c r="A29" s="9" t="s">
        <v>238</v>
      </c>
      <c r="B29" s="4" t="s">
        <v>232</v>
      </c>
      <c r="C29" s="15" t="n">
        <f aca="false">C26*Hypothèses!$D$27</f>
        <v>0</v>
      </c>
      <c r="D29" s="15" t="n">
        <f aca="false">D26*Hypothèses!$D$27</f>
        <v>0</v>
      </c>
      <c r="E29" s="15" t="n">
        <f aca="false">E26*Hypothèses!$D$27</f>
        <v>7.4</v>
      </c>
      <c r="F29" s="15" t="n">
        <f aca="false">F26*Hypothèses!$D$27</f>
        <v>6.8079926</v>
      </c>
      <c r="G29" s="15" t="n">
        <f aca="false">G26*Hypothèses!$D$27</f>
        <v>6.2633463840074</v>
      </c>
      <c r="H29" s="15" t="n">
        <f aca="false">H26*Hypothèses!$D$27</f>
        <v>5.76227240994042</v>
      </c>
      <c r="I29" s="15" t="n">
        <f aca="false">I26*Hypothèses!$D$27</f>
        <v>20.2165303030716</v>
      </c>
      <c r="J29" s="15" t="n">
        <f aca="false">J26*Hypothèses!$D$27</f>
        <v>33.803518268357</v>
      </c>
      <c r="K29" s="15" t="n">
        <f aca="false">K26*Hypothèses!$D$27</f>
        <v>46.5752733687373</v>
      </c>
      <c r="L29" s="15" t="n">
        <f aca="false">L26*Hypothèses!$D$27</f>
        <v>58.5807103913397</v>
      </c>
      <c r="M29" s="15" t="n">
        <f aca="false">M26*Hypothèses!$D$27</f>
        <v>69.8658091871489</v>
      </c>
      <c r="N29" s="15" t="n">
        <f aca="false">N26*Hypothèses!$D$27</f>
        <v>80.4737907701108</v>
      </c>
      <c r="O29" s="15" t="n">
        <f aca="false">O26*Hypothèses!$D$27</f>
        <v>124.978616183447</v>
      </c>
      <c r="P29" s="15" t="n">
        <f aca="false">P26*Hypothèses!$D$27</f>
        <v>166.813107567157</v>
      </c>
      <c r="Q29" s="15" t="n">
        <f aca="false">Q26*Hypothèses!$D$27</f>
        <v>206.137487633353</v>
      </c>
      <c r="R29" s="15" t="n">
        <f aca="false">R26*Hypothèses!$D$27</f>
        <v>243.102365571198</v>
      </c>
      <c r="S29" s="15" t="n">
        <f aca="false">S26*Hypothèses!$D$27</f>
        <v>277.849313867894</v>
      </c>
      <c r="T29" s="15" t="n">
        <f aca="false">T26*Hypothèses!$D$27</f>
        <v>310.51141051984</v>
      </c>
      <c r="U29" s="15" t="n">
        <f aca="false">U26*Hypothèses!$D$27</f>
        <v>341.213748710572</v>
      </c>
      <c r="V29" s="15" t="n">
        <f aca="false">V26*Hypothèses!$D$27</f>
        <v>370.073915907522</v>
      </c>
      <c r="W29" s="15" t="n">
        <f aca="false">W26*Hypothèses!$D$27</f>
        <v>397.202444212489</v>
      </c>
      <c r="X29" s="15" t="n">
        <f aca="false">X26*Hypothèses!$D$27</f>
        <v>422.703233690628</v>
      </c>
      <c r="Y29" s="15" t="n">
        <f aca="false">Y26*Hypothèses!$D$27</f>
        <v>446.67395029929</v>
      </c>
      <c r="Z29" s="15" t="n">
        <f aca="false">Z26*Hypothèses!$D$27</f>
        <v>469.206399940716</v>
      </c>
      <c r="AA29" s="15" t="n">
        <f aca="false">AA26*Hypothèses!$D$27</f>
        <v>564.386880071206</v>
      </c>
      <c r="AB29" s="15" t="n">
        <f aca="false">AB26*Hypothèses!$D$27</f>
        <v>653.856436213387</v>
      </c>
      <c r="AC29" s="15" t="n">
        <f aca="false">AC26*Hypothèses!$D$27</f>
        <v>737.957729517481</v>
      </c>
      <c r="AD29" s="15" t="n">
        <f aca="false">AD26*Hypothèses!$D$27</f>
        <v>817.012861122036</v>
      </c>
      <c r="AE29" s="15" t="n">
        <f aca="false">AE26*Hypothèses!$D$27</f>
        <v>891.324605775186</v>
      </c>
      <c r="AF29" s="15" t="n">
        <f aca="false">AF26*Hypothèses!$D$27</f>
        <v>961.177571437403</v>
      </c>
      <c r="AG29" s="15" t="n">
        <f aca="false">AG26*Hypothèses!$D$27</f>
        <v>1026.83928930692</v>
      </c>
      <c r="AH29" s="15" t="n">
        <f aca="false">AH26*Hypothèses!$D$27</f>
        <v>1088.56123844255</v>
      </c>
      <c r="AI29" s="15" t="n">
        <f aca="false">AI26*Hypothèses!$D$27</f>
        <v>1146.57980890809</v>
      </c>
      <c r="AJ29" s="15" t="n">
        <f aca="false">AJ26*Hypothèses!$D$27</f>
        <v>1201.11720712713</v>
      </c>
      <c r="AK29" s="15" t="n">
        <f aca="false">AK26*Hypothèses!$D$27</f>
        <v>1252.38230691563</v>
      </c>
      <c r="AL29" s="15" t="n">
        <f aca="false">AL26*Hypothèses!$D$27</f>
        <v>1300.57144945172</v>
      </c>
      <c r="AN29" s="15" t="n">
        <f aca="false">SUM(C29:N29)</f>
        <v>335.749243682713</v>
      </c>
      <c r="AO29" s="15" t="n">
        <f aca="false">SUM(O29:Z29)</f>
        <v>3776.46599410411</v>
      </c>
      <c r="AP29" s="15" t="n">
        <f aca="false">SUM(AA29:AL29)</f>
        <v>11641.7673842887</v>
      </c>
    </row>
    <row r="30" customFormat="false" ht="15" hidden="false" customHeight="false" outlineLevel="0" collapsed="false">
      <c r="A30" s="9" t="s">
        <v>154</v>
      </c>
      <c r="B30" s="4" t="s">
        <v>70</v>
      </c>
      <c r="C30" s="15" t="n">
        <f aca="false">(C26-C29)*Hypothèses!$D$28+C18*Hypothèses!$D$29</f>
        <v>0</v>
      </c>
      <c r="D30" s="15" t="n">
        <f aca="false">(D26-D29)*Hypothèses!$D$28+D18*Hypothèses!$D$29</f>
        <v>0</v>
      </c>
      <c r="E30" s="15" t="n">
        <f aca="false">(E26-E29)*Hypothèses!$D$28+E18*Hypothèses!$D$29</f>
        <v>13.489</v>
      </c>
      <c r="F30" s="15" t="n">
        <f aca="false">(F26-F29)*Hypothèses!$D$28+F18*Hypothèses!$D$29</f>
        <v>12.409866511</v>
      </c>
      <c r="G30" s="15" t="n">
        <f aca="false">(G26-G29)*Hypothèses!$D$28+G18*Hypothèses!$D$29</f>
        <v>11.4170647802535</v>
      </c>
      <c r="H30" s="15" t="n">
        <f aca="false">(H26-H29)*Hypothèses!$D$28+H18*Hypothèses!$D$29</f>
        <v>10.5036881807684</v>
      </c>
      <c r="I30" s="15" t="n">
        <f aca="false">(I26-I29)*Hypothèses!$D$28+I18*Hypothèses!$D$29</f>
        <v>36.8514563862342</v>
      </c>
      <c r="J30" s="15" t="n">
        <f aca="false">(J26-J29)*Hypothèses!$D$28+J18*Hypothèses!$D$29</f>
        <v>61.6183321516037</v>
      </c>
      <c r="K30" s="15" t="n">
        <f aca="false">(K26-K29)*Hypothèses!$D$28+K18*Hypothèses!$D$29</f>
        <v>84.8991706041753</v>
      </c>
      <c r="L30" s="15" t="n">
        <f aca="false">(L26-L29)*Hypothèses!$D$28+L18*Hypothèses!$D$29</f>
        <v>106.783135468754</v>
      </c>
      <c r="M30" s="15" t="n">
        <f aca="false">(M26-M29)*Hypothèses!$D$28+M18*Hypothèses!$D$29</f>
        <v>127.354040557493</v>
      </c>
      <c r="N30" s="15" t="n">
        <f aca="false">(N26-N29)*Hypothèses!$D$28+N18*Hypothèses!$D$29</f>
        <v>146.690670770003</v>
      </c>
      <c r="O30" s="15" t="n">
        <f aca="false">(O26-O29)*Hypothèses!$D$28+O18*Hypothèses!$D$29</f>
        <v>227.815750499799</v>
      </c>
      <c r="P30" s="15" t="n">
        <f aca="false">(P26-P29)*Hypothèses!$D$28+P18*Hypothèses!$D$29</f>
        <v>304.073244320727</v>
      </c>
      <c r="Q30" s="15" t="n">
        <f aca="false">(Q26-Q29)*Hypothèses!$D$28+Q18*Hypothèses!$D$29</f>
        <v>375.755212254906</v>
      </c>
      <c r="R30" s="15" t="n">
        <f aca="false">(R26-R29)*Hypothèses!$D$28+R18*Hypothèses!$D$29</f>
        <v>443.136190431066</v>
      </c>
      <c r="S30" s="15" t="n">
        <f aca="false">(S26-S29)*Hypothèses!$D$28+S18*Hypothèses!$D$29</f>
        <v>506.474242535678</v>
      </c>
      <c r="T30" s="15" t="n">
        <f aca="false">(T26-T29)*Hypothèses!$D$28+T18*Hypothèses!$D$29</f>
        <v>566.011948175962</v>
      </c>
      <c r="U30" s="15" t="n">
        <f aca="false">(U26-U29)*Hypothèses!$D$28+U18*Hypothèses!$D$29</f>
        <v>621.977331940123</v>
      </c>
      <c r="V30" s="15" t="n">
        <f aca="false">(V26-V29)*Hypothèses!$D$28+V18*Hypothèses!$D$29</f>
        <v>674.58473671305</v>
      </c>
      <c r="W30" s="15" t="n">
        <f aca="false">(W26-W29)*Hypothèses!$D$28+W18*Hypothèses!$D$29</f>
        <v>724.035644592197</v>
      </c>
      <c r="X30" s="15" t="n">
        <f aca="false">(X26-X29)*Hypothèses!$D$28+X18*Hypothèses!$D$29</f>
        <v>770.519448547687</v>
      </c>
      <c r="Y30" s="15" t="n">
        <f aca="false">(Y26-Y29)*Hypothèses!$D$28+Y18*Hypothèses!$D$29</f>
        <v>814.214177782044</v>
      </c>
      <c r="Z30" s="15" t="n">
        <f aca="false">(Z26-Z29)*Hypothèses!$D$28+Z18*Hypothèses!$D$29</f>
        <v>855.28717956761</v>
      </c>
      <c r="AA30" s="15" t="n">
        <f aca="false">(AA26-AA29)*Hypothèses!$D$28+AA18*Hypothèses!$D$29</f>
        <v>1028.78576017304</v>
      </c>
      <c r="AB30" s="15" t="n">
        <f aca="false">(AB26-AB29)*Hypothèses!$D$28+AB18*Hypothèses!$D$29</f>
        <v>1191.87425244356</v>
      </c>
      <c r="AC30" s="15" t="n">
        <f aca="false">(AC26-AC29)*Hypothèses!$D$28+AC18*Hypothèses!$D$29</f>
        <v>1345.17727208936</v>
      </c>
      <c r="AD30" s="15" t="n">
        <f aca="false">(AD26-AD29)*Hypothèses!$D$28+AD18*Hypothèses!$D$29</f>
        <v>1489.2819572534</v>
      </c>
      <c r="AE30" s="15" t="n">
        <f aca="false">(AE26-AE29)*Hypothèses!$D$28+AE18*Hypothèses!$D$29</f>
        <v>1624.7402172029</v>
      </c>
      <c r="AF30" s="15" t="n">
        <f aca="false">(AF26-AF29)*Hypothèses!$D$28+AF18*Hypothèses!$D$29</f>
        <v>1752.07084609718</v>
      </c>
      <c r="AG30" s="15" t="n">
        <f aca="false">(AG26-AG29)*Hypothèses!$D$28+AG18*Hypothèses!$D$29</f>
        <v>1871.76150992717</v>
      </c>
      <c r="AH30" s="15" t="n">
        <f aca="false">(AH26-AH29)*Hypothèses!$D$28+AH18*Hypothèses!$D$29</f>
        <v>1984.2706142367</v>
      </c>
      <c r="AI30" s="15" t="n">
        <f aca="false">(AI26-AI29)*Hypothèses!$D$28+AI18*Hypothèses!$D$29</f>
        <v>2090.02905977855</v>
      </c>
      <c r="AJ30" s="15" t="n">
        <f aca="false">(AJ26-AJ29)*Hypothèses!$D$28+AJ18*Hypothèses!$D$29</f>
        <v>2189.44189282944</v>
      </c>
      <c r="AK30" s="15" t="n">
        <f aca="false">(AK26-AK29)*Hypothèses!$D$28+AK18*Hypothèses!$D$29</f>
        <v>2282.88985648445</v>
      </c>
      <c r="AL30" s="15" t="n">
        <f aca="false">(AL26-AL29)*Hypothèses!$D$28+AL18*Hypothèses!$D$29</f>
        <v>2370.73084887219</v>
      </c>
      <c r="AN30" s="15" t="n">
        <f aca="false">SUM(C30:N30)</f>
        <v>612.016425410286</v>
      </c>
      <c r="AO30" s="15" t="n">
        <f aca="false">SUM(O30:Z30)</f>
        <v>6883.88510736085</v>
      </c>
      <c r="AP30" s="15" t="n">
        <f aca="false">SUM(AA30:AL30)</f>
        <v>21221.0540873879</v>
      </c>
    </row>
    <row r="31" customFormat="false" ht="15" hidden="false" customHeight="false" outlineLevel="0" collapsed="false">
      <c r="A31" s="2" t="s">
        <v>239</v>
      </c>
      <c r="B31" s="4" t="s">
        <v>232</v>
      </c>
      <c r="C31" s="40" t="n">
        <f aca="false">C26-C29-C30</f>
        <v>0</v>
      </c>
      <c r="D31" s="40" t="n">
        <f aca="false">D26-D29-D30</f>
        <v>0</v>
      </c>
      <c r="E31" s="40" t="n">
        <f aca="false">E26-E29-E30</f>
        <v>719.111</v>
      </c>
      <c r="F31" s="40" t="n">
        <f aca="false">F26-F29-F30</f>
        <v>661.581400889</v>
      </c>
      <c r="G31" s="40" t="n">
        <f aca="false">G26-G29-G30</f>
        <v>608.654227236479</v>
      </c>
      <c r="H31" s="40" t="n">
        <f aca="false">H26-H29-H30</f>
        <v>559.961280403334</v>
      </c>
      <c r="I31" s="40" t="n">
        <f aca="false">I26-I29-I30</f>
        <v>1964.58504361785</v>
      </c>
      <c r="J31" s="40" t="n">
        <f aca="false">J26-J29-J30</f>
        <v>3284.92997641574</v>
      </c>
      <c r="K31" s="40" t="n">
        <f aca="false">K26-K29-K30</f>
        <v>4526.05289290082</v>
      </c>
      <c r="L31" s="40" t="n">
        <f aca="false">L26-L29-L30</f>
        <v>5692.70719327388</v>
      </c>
      <c r="M31" s="40" t="n">
        <f aca="false">M26-M29-M30</f>
        <v>6789.36106897025</v>
      </c>
      <c r="N31" s="40" t="n">
        <f aca="false">N26-N29-N30</f>
        <v>7820.21461547097</v>
      </c>
      <c r="O31" s="40" t="n">
        <f aca="false">O26-O29-O30</f>
        <v>12145.0672516614</v>
      </c>
      <c r="P31" s="40" t="n">
        <f aca="false">P26-P29-P30</f>
        <v>16210.4244048278</v>
      </c>
      <c r="Q31" s="40" t="n">
        <f aca="false">Q26-Q29-Q30</f>
        <v>20031.8560634471</v>
      </c>
      <c r="R31" s="40" t="n">
        <f aca="false">R26-R29-R30</f>
        <v>23623.9980011175</v>
      </c>
      <c r="S31" s="40" t="n">
        <f aca="false">S26-S29-S30</f>
        <v>27000.6078303858</v>
      </c>
      <c r="T31" s="40" t="n">
        <f aca="false">T26-T29-T30</f>
        <v>30174.6176932882</v>
      </c>
      <c r="U31" s="40" t="n">
        <f aca="false">U26-U29-U30</f>
        <v>33158.1837904065</v>
      </c>
      <c r="V31" s="40" t="n">
        <f aca="false">V26-V29-V30</f>
        <v>35962.7329381317</v>
      </c>
      <c r="W31" s="40" t="n">
        <f aca="false">W26-W29-W30</f>
        <v>38599.0063324442</v>
      </c>
      <c r="X31" s="40" t="n">
        <f aca="false">X26-X29-X30</f>
        <v>41077.1006868245</v>
      </c>
      <c r="Y31" s="40" t="n">
        <f aca="false">Y26-Y29-Y30</f>
        <v>43406.5069018477</v>
      </c>
      <c r="Z31" s="40" t="n">
        <f aca="false">Z26-Z29-Z30</f>
        <v>45596.1464145633</v>
      </c>
      <c r="AA31" s="40" t="n">
        <f aca="false">AA26-AA29-AA30</f>
        <v>54845.5153668764</v>
      </c>
      <c r="AB31" s="40" t="n">
        <f aca="false">AB26-AB29-AB30</f>
        <v>63539.9129326818</v>
      </c>
      <c r="AC31" s="40" t="n">
        <f aca="false">AC26-AC29-AC30</f>
        <v>71712.6379501412</v>
      </c>
      <c r="AD31" s="40" t="n">
        <f aca="false">AD26-AD29-AD30</f>
        <v>79394.9912938282</v>
      </c>
      <c r="AE31" s="40" t="n">
        <f aca="false">AE26-AE29-AE30</f>
        <v>86616.3957545405</v>
      </c>
      <c r="AF31" s="40" t="n">
        <f aca="false">AF26-AF29-AF30</f>
        <v>93404.5087262057</v>
      </c>
      <c r="AG31" s="40" t="n">
        <f aca="false">AG26-AG29-AG30</f>
        <v>99785.3281314579</v>
      </c>
      <c r="AH31" s="40" t="n">
        <f aca="false">AH26-AH29-AH30</f>
        <v>105783.291991576</v>
      </c>
      <c r="AI31" s="40" t="n">
        <f aca="false">AI26-AI29-AI30</f>
        <v>111421.372022122</v>
      </c>
      <c r="AJ31" s="40" t="n">
        <f aca="false">AJ26-AJ29-AJ30</f>
        <v>116721.161612756</v>
      </c>
      <c r="AK31" s="40" t="n">
        <f aca="false">AK26-AK29-AK30</f>
        <v>121702.958528163</v>
      </c>
      <c r="AL31" s="40" t="n">
        <f aca="false">AL26-AL29-AL30</f>
        <v>126385.842646848</v>
      </c>
      <c r="AN31" s="40" t="n">
        <f aca="false">SUM(C31:N31)</f>
        <v>32627.1586991783</v>
      </c>
      <c r="AO31" s="40" t="n">
        <f aca="false">SUM(O31:Z31)</f>
        <v>366986.248308946</v>
      </c>
      <c r="AP31" s="40" t="n">
        <f aca="false">SUM(AA31:AL31)</f>
        <v>1131313.9169572</v>
      </c>
    </row>
    <row r="32" customFormat="false" ht="15" hidden="false" customHeight="false" outlineLevel="0" collapsed="false">
      <c r="A32" s="8" t="s">
        <v>240</v>
      </c>
    </row>
    <row r="33" customFormat="false" ht="15" hidden="false" customHeight="false" outlineLevel="0" collapsed="false">
      <c r="A33" s="9" t="s">
        <v>241</v>
      </c>
      <c r="B33" s="4" t="s">
        <v>92</v>
      </c>
      <c r="C33" s="15" t="n">
        <f aca="false">(C19*Hypothèses!$D$31+C20*Hypothèses!$D$32+C21*Hypothèses!$D$33)*Hypothèses!$D$34*$F$4</f>
        <v>0</v>
      </c>
      <c r="D33" s="15" t="n">
        <f aca="false">(D19*Hypothèses!$D$31+D20*Hypothèses!$D$32+D21*Hypothèses!$D$33)*Hypothèses!$D$34*$F$4</f>
        <v>0</v>
      </c>
      <c r="E33" s="15" t="n">
        <f aca="false">(E19*Hypothèses!$D$31+E20*Hypothèses!$D$32+E21*Hypothèses!$D$33)*Hypothèses!$D$34*$F$4</f>
        <v>98.1</v>
      </c>
      <c r="F33" s="15" t="n">
        <f aca="false">(F19*Hypothèses!$D$31+F20*Hypothèses!$D$32+F21*Hypothèses!$D$33)*Hypothèses!$D$34*$F$4</f>
        <v>90.2519019</v>
      </c>
      <c r="G33" s="15" t="n">
        <f aca="false">(G19*Hypothèses!$D$31+G20*Hypothèses!$D$32+G21*Hypothèses!$D$33)*Hypothèses!$D$34*$F$4</f>
        <v>83.0316594960981</v>
      </c>
      <c r="H33" s="15" t="n">
        <f aca="false">(H19*Hypothèses!$D$31+H20*Hypothèses!$D$32+H21*Hypothèses!$D$33)*Hypothèses!$D$34*$F$4</f>
        <v>76.3890437047508</v>
      </c>
      <c r="I33" s="15" t="n">
        <f aca="false">(I19*Hypothèses!$D$31+I20*Hypothèses!$D$32+I21*Hypothèses!$D$33)*Hypothèses!$D$34*$F$4</f>
        <v>268.005624693422</v>
      </c>
      <c r="J33" s="15" t="n">
        <f aca="false">(J19*Hypothèses!$D$31+J20*Hypothèses!$D$32+J21*Hypothèses!$D$33)*Hypothèses!$D$34*$F$4</f>
        <v>448.125019206192</v>
      </c>
      <c r="K33" s="15" t="n">
        <f aca="false">(K19*Hypothèses!$D$31+K20*Hypothèses!$D$32+K21*Hypothèses!$D$33)*Hypothèses!$D$34*$F$4</f>
        <v>617.437069928801</v>
      </c>
      <c r="L33" s="15" t="n">
        <f aca="false">(L19*Hypothèses!$D$31+L20*Hypothèses!$D$32+L21*Hypothèses!$D$33)*Hypothèses!$D$34*$F$4</f>
        <v>776.590228296003</v>
      </c>
      <c r="M33" s="15" t="n">
        <f aca="false">(M19*Hypothèses!$D$31+M20*Hypothèses!$D$32+M21*Hypothèses!$D$33)*Hypothèses!$D$34*$F$4</f>
        <v>926.194038008015</v>
      </c>
      <c r="N33" s="15" t="n">
        <f aca="false">(N19*Hypothèses!$D$31+N20*Hypothèses!$D$32+N21*Hypothèses!$D$33)*Hypothèses!$D$34*$F$4</f>
        <v>1066.8214695335</v>
      </c>
      <c r="O33" s="15" t="n">
        <f aca="false">(O19*Hypothèses!$D$31+O20*Hypothèses!$D$32+O21*Hypothèses!$D$33)*Hypothèses!$D$34*$F$4</f>
        <v>1656.81111454002</v>
      </c>
      <c r="P33" s="15" t="n">
        <f aca="false">(P19*Hypothèses!$D$31+P20*Hypothèses!$D$32+P21*Hypothèses!$D$33)*Hypothèses!$D$34*$F$4</f>
        <v>2211.4007908565</v>
      </c>
      <c r="Q33" s="15" t="n">
        <f aca="false">(Q19*Hypothèses!$D$31+Q20*Hypothèses!$D$32+Q21*Hypothèses!$D$33)*Hypothèses!$D$34*$F$4</f>
        <v>2732.71453200432</v>
      </c>
      <c r="R33" s="15" t="n">
        <f aca="false">(R19*Hypothèses!$D$31+R20*Hypothèses!$D$32+R21*Hypothèses!$D$33)*Hypothèses!$D$34*$F$4</f>
        <v>3222.74892736953</v>
      </c>
      <c r="S33" s="15" t="n">
        <f aca="false">(S19*Hypothèses!$D$31+S20*Hypothèses!$D$32+S21*Hypothèses!$D$33)*Hypothèses!$D$34*$F$4</f>
        <v>3683.38076897843</v>
      </c>
      <c r="T33" s="15" t="n">
        <f aca="false">(T19*Hypothèses!$D$31+T20*Hypothèses!$D$32+T21*Hypothèses!$D$33)*Hypothèses!$D$34*$F$4</f>
        <v>4116.37423945896</v>
      </c>
      <c r="U33" s="15" t="n">
        <f aca="false">(U19*Hypothèses!$D$31+U20*Hypothèses!$D$32+U21*Hypothèses!$D$33)*Hypothèses!$D$34*$F$4</f>
        <v>4523.38766871718</v>
      </c>
      <c r="V33" s="15" t="n">
        <f aca="false">(V19*Hypothèses!$D$31+V20*Hypothèses!$D$32+V21*Hypothèses!$D$33)*Hypothèses!$D$34*$F$4</f>
        <v>4905.97988520648</v>
      </c>
      <c r="W33" s="15" t="n">
        <f aca="false">(W19*Hypothèses!$D$31+W20*Hypothèses!$D$32+W21*Hypothèses!$D$33)*Hypothèses!$D$34*$F$4</f>
        <v>5265.61618611421</v>
      </c>
      <c r="X33" s="15" t="n">
        <f aca="false">(X19*Hypothèses!$D$31+X20*Hypothèses!$D$32+X21*Hypothèses!$D$33)*Hypothèses!$D$34*$F$4</f>
        <v>5603.67394933117</v>
      </c>
      <c r="Y33" s="15" t="n">
        <f aca="false">(Y19*Hypothèses!$D$31+Y20*Hypothèses!$D$32+Y21*Hypothèses!$D$33)*Hypothèses!$D$34*$F$4</f>
        <v>5921.44790869735</v>
      </c>
      <c r="Z33" s="15" t="n">
        <f aca="false">(Z19*Hypothèses!$D$31+Z20*Hypothèses!$D$32+Z21*Hypothèses!$D$33)*Hypothèses!$D$34*$F$4</f>
        <v>6220.1551127276</v>
      </c>
      <c r="AA33" s="15" t="n">
        <f aca="false">(AA19*Hypothèses!$D$31+AA20*Hypothèses!$D$32+AA21*Hypothèses!$D$33)*Hypothèses!$D$34*$F$4</f>
        <v>7481.93958580883</v>
      </c>
      <c r="AB33" s="15" t="n">
        <f aca="false">(AB19*Hypothèses!$D$31+AB20*Hypothèses!$D$32+AB21*Hypothèses!$D$33)*Hypothèses!$D$34*$F$4</f>
        <v>8668.01572872071</v>
      </c>
      <c r="AC33" s="15" t="n">
        <f aca="false">(AC19*Hypothèses!$D$31+AC20*Hypothèses!$D$32+AC21*Hypothèses!$D$33)*Hypothèses!$D$34*$F$4</f>
        <v>9782.92611698174</v>
      </c>
      <c r="AD33" s="15" t="n">
        <f aca="false">(AD19*Hypothèses!$D$31+AD20*Hypothèses!$D$32+AD21*Hypothèses!$D$33)*Hypothèses!$D$34*$F$4</f>
        <v>10830.9407670367</v>
      </c>
      <c r="AE33" s="15" t="n">
        <f aca="false">(AE19*Hypothèses!$D$31+AE20*Hypothèses!$D$32+AE21*Hypothèses!$D$33)*Hypothèses!$D$34*$F$4</f>
        <v>11816.0734900738</v>
      </c>
      <c r="AF33" s="15" t="n">
        <f aca="false">(AF19*Hypothèses!$D$31+AF20*Hypothèses!$D$32+AF21*Hypothèses!$D$33)*Hypothèses!$D$34*$F$4</f>
        <v>12742.0972645958</v>
      </c>
      <c r="AG33" s="15" t="n">
        <f aca="false">(AG19*Hypothèses!$D$31+AG20*Hypothèses!$D$32+AG21*Hypothèses!$D$33)*Hypothèses!$D$34*$F$4</f>
        <v>13612.5586866228</v>
      </c>
      <c r="AH33" s="15" t="n">
        <f aca="false">(AH19*Hypothèses!$D$31+AH20*Hypothèses!$D$32+AH21*Hypothèses!$D$33)*Hypothèses!$D$34*$F$4</f>
        <v>14430.7915528668</v>
      </c>
      <c r="AI33" s="15" t="n">
        <f aca="false">(AI19*Hypothèses!$D$31+AI20*Hypothèses!$D$32+AI21*Hypothèses!$D$33)*Hypothèses!$D$34*$F$4</f>
        <v>15199.9296289032</v>
      </c>
      <c r="AJ33" s="15" t="n">
        <f aca="false">(AJ19*Hypothèses!$D$31+AJ20*Hypothèses!$D$32+AJ21*Hypothèses!$D$33)*Hypothèses!$D$34*$F$4</f>
        <v>15922.9186512394</v>
      </c>
      <c r="AK33" s="15" t="n">
        <f aca="false">(AK19*Hypothèses!$D$31+AK20*Hypothèses!$D$32+AK21*Hypothèses!$D$33)*Hypothèses!$D$34*$F$4</f>
        <v>16602.5276092464</v>
      </c>
      <c r="AL33" s="15" t="n">
        <f aca="false">(AL19*Hypothèses!$D$31+AL20*Hypothèses!$D$32+AL21*Hypothèses!$D$33)*Hypothèses!$D$34*$F$4</f>
        <v>17241.359350164</v>
      </c>
      <c r="AN33" s="15" t="n">
        <f aca="false">SUM(C33:N33)</f>
        <v>4450.94605476678</v>
      </c>
      <c r="AO33" s="15" t="n">
        <f aca="false">SUM(O33:Z33)</f>
        <v>50063.6910840017</v>
      </c>
      <c r="AP33" s="15" t="n">
        <f aca="false">SUM(AA33:AL33)</f>
        <v>154332.07843226</v>
      </c>
    </row>
    <row r="34" customFormat="false" ht="15" hidden="false" customHeight="false" outlineLevel="0" collapsed="false">
      <c r="A34" s="9" t="s">
        <v>94</v>
      </c>
      <c r="B34" s="4" t="s">
        <v>92</v>
      </c>
      <c r="C34" s="15" t="n">
        <f aca="false">C18*Hypothèses!$D$35</f>
        <v>0</v>
      </c>
      <c r="D34" s="15" t="n">
        <f aca="false">D18*Hypothèses!$D$35</f>
        <v>0</v>
      </c>
      <c r="E34" s="15" t="n">
        <f aca="false">E18*Hypothèses!$D$35</f>
        <v>15</v>
      </c>
      <c r="F34" s="15" t="n">
        <f aca="false">F18*Hypothèses!$D$35</f>
        <v>13.799985</v>
      </c>
      <c r="G34" s="15" t="n">
        <f aca="false">G18*Hypothèses!$D$35</f>
        <v>12.695972400015</v>
      </c>
      <c r="H34" s="15" t="n">
        <f aca="false">H18*Hypothèses!$D$35</f>
        <v>11.6802819120414</v>
      </c>
      <c r="I34" s="15" t="n">
        <f aca="false">I18*Hypothèses!$D$35</f>
        <v>40.979453317037</v>
      </c>
      <c r="J34" s="15" t="n">
        <f aca="false">J18*Hypothèses!$D$35</f>
        <v>68.5206451385615</v>
      </c>
      <c r="K34" s="15" t="n">
        <f aca="false">K18*Hypothèses!$D$35</f>
        <v>94.4093379096026</v>
      </c>
      <c r="L34" s="15" t="n">
        <f aca="false">L18*Hypothèses!$D$35</f>
        <v>118.744683225689</v>
      </c>
      <c r="M34" s="15" t="n">
        <f aca="false">M18*Hypothèses!$D$35</f>
        <v>141.619883487464</v>
      </c>
      <c r="N34" s="15" t="n">
        <f aca="false">N18*Hypothèses!$D$35</f>
        <v>163.122548858333</v>
      </c>
      <c r="O34" s="15" t="n">
        <f aca="false">O18*Hypothèses!$D$35</f>
        <v>253.335032804284</v>
      </c>
      <c r="P34" s="15" t="n">
        <f aca="false">P18*Hypothèses!$D$35</f>
        <v>338.134677500994</v>
      </c>
      <c r="Q34" s="15" t="n">
        <f aca="false">Q18*Hypothèses!$D$35</f>
        <v>417.846258716257</v>
      </c>
      <c r="R34" s="15" t="n">
        <f aca="false">R18*Hypothèses!$D$35</f>
        <v>492.775065347023</v>
      </c>
      <c r="S34" s="15" t="n">
        <f aca="false">S18*Hypothèses!$D$35</f>
        <v>563.208068651136</v>
      </c>
      <c r="T34" s="15" t="n">
        <f aca="false">T18*Hypothèses!$D$35</f>
        <v>629.415021323999</v>
      </c>
      <c r="U34" s="15" t="n">
        <f aca="false">U18*Hypothèses!$D$35</f>
        <v>691.649490629538</v>
      </c>
      <c r="V34" s="15" t="n">
        <f aca="false">V18*Hypothèses!$D$35</f>
        <v>750.149829542275</v>
      </c>
      <c r="W34" s="15" t="n">
        <f aca="false">W18*Hypothèses!$D$35</f>
        <v>805.140089619909</v>
      </c>
      <c r="X34" s="15" t="n">
        <f aca="false">X18*Hypothèses!$D$35</f>
        <v>856.830879102625</v>
      </c>
      <c r="Y34" s="15" t="n">
        <f aca="false">Y18*Hypothèses!$D$35</f>
        <v>905.420169525588</v>
      </c>
      <c r="Z34" s="15" t="n">
        <f aca="false">Z18*Hypothèses!$D$35</f>
        <v>951.094053933883</v>
      </c>
      <c r="AA34" s="15" t="n">
        <f aca="false">AA18*Hypothèses!$D$35</f>
        <v>1144.0274596038</v>
      </c>
      <c r="AB34" s="15" t="n">
        <f aca="false">AB18*Hypothèses!$D$35</f>
        <v>1325.38466800011</v>
      </c>
      <c r="AC34" s="15" t="n">
        <f aca="false">AC18*Hypothèses!$D$35</f>
        <v>1495.86026253543</v>
      </c>
      <c r="AD34" s="15" t="n">
        <f aca="false">AD18*Hypothèses!$D$35</f>
        <v>1656.10715092305</v>
      </c>
      <c r="AE34" s="15" t="n">
        <f aca="false">AE18*Hypothèses!$D$35</f>
        <v>1806.73906576051</v>
      </c>
      <c r="AF34" s="15" t="n">
        <f aca="false">AF18*Hypothèses!$D$35</f>
        <v>1948.33291507582</v>
      </c>
      <c r="AG34" s="15" t="n">
        <f aca="false">AG18*Hypothèses!$D$35</f>
        <v>2081.43099183835</v>
      </c>
      <c r="AH34" s="15" t="n">
        <f aca="false">AH18*Hypothèses!$D$35</f>
        <v>2206.54305089706</v>
      </c>
      <c r="AI34" s="15" t="n">
        <f aca="false">AI18*Hypothèses!$D$35</f>
        <v>2324.14826130019</v>
      </c>
      <c r="AJ34" s="15" t="n">
        <f aca="false">AJ18*Hypothèses!$D$35</f>
        <v>2434.69704147391</v>
      </c>
      <c r="AK34" s="15" t="n">
        <f aca="false">AK18*Hypothèses!$D$35</f>
        <v>2538.61278428844</v>
      </c>
      <c r="AL34" s="15" t="n">
        <f aca="false">AL18*Hypothèses!$D$35</f>
        <v>2636.29347861835</v>
      </c>
      <c r="AN34" s="15" t="n">
        <f aca="false">SUM(C34:N34)</f>
        <v>680.572791248743</v>
      </c>
      <c r="AO34" s="15" t="n">
        <f aca="false">SUM(O34:Z34)</f>
        <v>7654.99863669751</v>
      </c>
      <c r="AP34" s="15" t="n">
        <f aca="false">SUM(AA34:AL34)</f>
        <v>23598.177130315</v>
      </c>
    </row>
    <row r="35" customFormat="false" ht="15" hidden="false" customHeight="false" outlineLevel="0" collapsed="false">
      <c r="A35" s="9" t="s">
        <v>242</v>
      </c>
      <c r="B35" s="4" t="s">
        <v>92</v>
      </c>
      <c r="C35" s="15" t="n">
        <f aca="false">C18*Hypothèses!$D$36</f>
        <v>0</v>
      </c>
      <c r="D35" s="15" t="n">
        <f aca="false">D18*Hypothèses!$D$36</f>
        <v>0</v>
      </c>
      <c r="E35" s="15" t="n">
        <f aca="false">E18*Hypothèses!$D$36</f>
        <v>30</v>
      </c>
      <c r="F35" s="15" t="n">
        <f aca="false">F18*Hypothèses!$D$36</f>
        <v>27.59997</v>
      </c>
      <c r="G35" s="15" t="n">
        <f aca="false">G18*Hypothèses!$D$36</f>
        <v>25.39194480003</v>
      </c>
      <c r="H35" s="15" t="n">
        <f aca="false">H18*Hypothèses!$D$36</f>
        <v>23.3605638240828</v>
      </c>
      <c r="I35" s="15" t="n">
        <f aca="false">I18*Hypothèses!$D$36</f>
        <v>81.958906634074</v>
      </c>
      <c r="J35" s="15" t="n">
        <f aca="false">J18*Hypothèses!$D$36</f>
        <v>137.041290277123</v>
      </c>
      <c r="K35" s="15" t="n">
        <f aca="false">K18*Hypothèses!$D$36</f>
        <v>188.818675819205</v>
      </c>
      <c r="L35" s="15" t="n">
        <f aca="false">L18*Hypothèses!$D$36</f>
        <v>237.489366451377</v>
      </c>
      <c r="M35" s="15" t="n">
        <f aca="false">M18*Hypothèses!$D$36</f>
        <v>283.239766974928</v>
      </c>
      <c r="N35" s="15" t="n">
        <f aca="false">N18*Hypothèses!$D$36</f>
        <v>326.245097716665</v>
      </c>
      <c r="O35" s="15" t="n">
        <f aca="false">O18*Hypothèses!$D$36</f>
        <v>506.670065608568</v>
      </c>
      <c r="P35" s="15" t="n">
        <f aca="false">P18*Hypothèses!$D$36</f>
        <v>676.269355001988</v>
      </c>
      <c r="Q35" s="15" t="n">
        <f aca="false">Q18*Hypothèses!$D$36</f>
        <v>835.692517432514</v>
      </c>
      <c r="R35" s="15" t="n">
        <f aca="false">R18*Hypothèses!$D$36</f>
        <v>985.550130694046</v>
      </c>
      <c r="S35" s="15" t="n">
        <f aca="false">S18*Hypothèses!$D$36</f>
        <v>1126.41613730227</v>
      </c>
      <c r="T35" s="15" t="n">
        <f aca="false">T18*Hypothèses!$D$36</f>
        <v>1258.830042648</v>
      </c>
      <c r="U35" s="15" t="n">
        <f aca="false">U18*Hypothèses!$D$36</f>
        <v>1383.29898125908</v>
      </c>
      <c r="V35" s="15" t="n">
        <f aca="false">V18*Hypothèses!$D$36</f>
        <v>1500.29965908455</v>
      </c>
      <c r="W35" s="15" t="n">
        <f aca="false">W18*Hypothèses!$D$36</f>
        <v>1610.28017923982</v>
      </c>
      <c r="X35" s="15" t="n">
        <f aca="false">X18*Hypothèses!$D$36</f>
        <v>1713.66175820525</v>
      </c>
      <c r="Y35" s="15" t="n">
        <f aca="false">Y18*Hypothèses!$D$36</f>
        <v>1810.84033905118</v>
      </c>
      <c r="Z35" s="15" t="n">
        <f aca="false">Z18*Hypothèses!$D$36</f>
        <v>1902.18810786777</v>
      </c>
      <c r="AA35" s="15" t="n">
        <f aca="false">AA18*Hypothèses!$D$36</f>
        <v>2288.05491920759</v>
      </c>
      <c r="AB35" s="15" t="n">
        <f aca="false">AB18*Hypothèses!$D$36</f>
        <v>2650.76933600022</v>
      </c>
      <c r="AC35" s="15" t="n">
        <f aca="false">AC18*Hypothèses!$D$36</f>
        <v>2991.72052507087</v>
      </c>
      <c r="AD35" s="15" t="n">
        <f aca="false">AD18*Hypothèses!$D$36</f>
        <v>3312.21430184609</v>
      </c>
      <c r="AE35" s="15" t="n">
        <f aca="false">AE18*Hypothèses!$D$36</f>
        <v>3613.47813152103</v>
      </c>
      <c r="AF35" s="15" t="n">
        <f aca="false">AF18*Hypothèses!$D$36</f>
        <v>3896.66583015163</v>
      </c>
      <c r="AG35" s="15" t="n">
        <f aca="false">AG18*Hypothèses!$D$36</f>
        <v>4162.8619836767</v>
      </c>
      <c r="AH35" s="15" t="n">
        <f aca="false">AH18*Hypothèses!$D$36</f>
        <v>4413.08610179412</v>
      </c>
      <c r="AI35" s="15" t="n">
        <f aca="false">AI18*Hypothèses!$D$36</f>
        <v>4648.29652260037</v>
      </c>
      <c r="AJ35" s="15" t="n">
        <f aca="false">AJ18*Hypothèses!$D$36</f>
        <v>4869.39408294783</v>
      </c>
      <c r="AK35" s="15" t="n">
        <f aca="false">AK18*Hypothèses!$D$36</f>
        <v>5077.22556857687</v>
      </c>
      <c r="AL35" s="15" t="n">
        <f aca="false">AL18*Hypothèses!$D$36</f>
        <v>5272.58695723669</v>
      </c>
      <c r="AN35" s="15" t="n">
        <f aca="false">SUM(C35:N35)</f>
        <v>1361.14558249749</v>
      </c>
      <c r="AO35" s="15" t="n">
        <f aca="false">SUM(O35:Z35)</f>
        <v>15309.997273395</v>
      </c>
      <c r="AP35" s="15" t="n">
        <f aca="false">SUM(AA35:AL35)</f>
        <v>47196.35426063</v>
      </c>
    </row>
    <row r="36" customFormat="false" ht="15" hidden="false" customHeight="false" outlineLevel="0" collapsed="false">
      <c r="A36" s="2" t="s">
        <v>243</v>
      </c>
      <c r="B36" s="4" t="s">
        <v>92</v>
      </c>
      <c r="C36" s="40" t="n">
        <f aca="false">C33+C34+C35</f>
        <v>0</v>
      </c>
      <c r="D36" s="40" t="n">
        <f aca="false">D33+D34+D35</f>
        <v>0</v>
      </c>
      <c r="E36" s="40" t="n">
        <f aca="false">E33+E34+E35</f>
        <v>143.1</v>
      </c>
      <c r="F36" s="40" t="n">
        <f aca="false">F33+F34+F35</f>
        <v>131.6518569</v>
      </c>
      <c r="G36" s="40" t="n">
        <f aca="false">G33+G34+G35</f>
        <v>121.119576696143</v>
      </c>
      <c r="H36" s="40" t="n">
        <f aca="false">H33+H34+H35</f>
        <v>111.429889440875</v>
      </c>
      <c r="I36" s="40" t="n">
        <f aca="false">I33+I34+I35</f>
        <v>390.943984644533</v>
      </c>
      <c r="J36" s="40" t="n">
        <f aca="false">J33+J34+J35</f>
        <v>653.686954621876</v>
      </c>
      <c r="K36" s="40" t="n">
        <f aca="false">K33+K34+K35</f>
        <v>900.665083657609</v>
      </c>
      <c r="L36" s="40" t="n">
        <f aca="false">L33+L34+L35</f>
        <v>1132.82427797307</v>
      </c>
      <c r="M36" s="40" t="n">
        <f aca="false">M33+M34+M35</f>
        <v>1351.05368847041</v>
      </c>
      <c r="N36" s="40" t="n">
        <f aca="false">N33+N34+N35</f>
        <v>1556.18911610849</v>
      </c>
      <c r="O36" s="40" t="n">
        <f aca="false">O33+O34+O35</f>
        <v>2416.81621295287</v>
      </c>
      <c r="P36" s="40" t="n">
        <f aca="false">P33+P34+P35</f>
        <v>3225.80482335948</v>
      </c>
      <c r="Q36" s="40" t="n">
        <f aca="false">Q33+Q34+Q35</f>
        <v>3986.25330815309</v>
      </c>
      <c r="R36" s="40" t="n">
        <f aca="false">R33+R34+R35</f>
        <v>4701.0741234106</v>
      </c>
      <c r="S36" s="40" t="n">
        <f aca="false">S33+S34+S35</f>
        <v>5373.00497493184</v>
      </c>
      <c r="T36" s="40" t="n">
        <f aca="false">T33+T34+T35</f>
        <v>6004.61930343095</v>
      </c>
      <c r="U36" s="40" t="n">
        <f aca="false">U33+U34+U35</f>
        <v>6598.33614060579</v>
      </c>
      <c r="V36" s="40" t="n">
        <f aca="false">V33+V34+V35</f>
        <v>7156.42937383331</v>
      </c>
      <c r="W36" s="40" t="n">
        <f aca="false">W33+W34+W35</f>
        <v>7681.03645497393</v>
      </c>
      <c r="X36" s="40" t="n">
        <f aca="false">X33+X34+X35</f>
        <v>8174.16658663904</v>
      </c>
      <c r="Y36" s="40" t="n">
        <f aca="false">Y33+Y34+Y35</f>
        <v>8637.70841727411</v>
      </c>
      <c r="Z36" s="40" t="n">
        <f aca="false">Z33+Z34+Z35</f>
        <v>9073.43727452925</v>
      </c>
      <c r="AA36" s="40" t="n">
        <f aca="false">AA33+AA34+AA35</f>
        <v>10914.0219646202</v>
      </c>
      <c r="AB36" s="40" t="n">
        <f aca="false">AB33+AB34+AB35</f>
        <v>12644.169732721</v>
      </c>
      <c r="AC36" s="40" t="n">
        <f aca="false">AC33+AC34+AC35</f>
        <v>14270.506904588</v>
      </c>
      <c r="AD36" s="40" t="n">
        <f aca="false">AD33+AD34+AD35</f>
        <v>15799.2622198059</v>
      </c>
      <c r="AE36" s="40" t="n">
        <f aca="false">AE33+AE34+AE35</f>
        <v>17236.2906873553</v>
      </c>
      <c r="AF36" s="40" t="n">
        <f aca="false">AF33+AF34+AF35</f>
        <v>18587.0960098233</v>
      </c>
      <c r="AG36" s="40" t="n">
        <f aca="false">AG33+AG34+AG35</f>
        <v>19856.8516621379</v>
      </c>
      <c r="AH36" s="40" t="n">
        <f aca="false">AH33+AH34+AH35</f>
        <v>21050.4207055579</v>
      </c>
      <c r="AI36" s="40" t="n">
        <f aca="false">AI33+AI34+AI35</f>
        <v>22172.3744128038</v>
      </c>
      <c r="AJ36" s="40" t="n">
        <f aca="false">AJ33+AJ34+AJ35</f>
        <v>23227.0097756611</v>
      </c>
      <c r="AK36" s="40" t="n">
        <f aca="false">AK33+AK34+AK35</f>
        <v>24218.3659621117</v>
      </c>
      <c r="AL36" s="40" t="n">
        <f aca="false">AL33+AL34+AL35</f>
        <v>25150.239786019</v>
      </c>
      <c r="AN36" s="40" t="n">
        <f aca="false">SUM(C36:N36)</f>
        <v>6492.66442851301</v>
      </c>
      <c r="AO36" s="40" t="n">
        <f aca="false">SUM(O36:Z36)</f>
        <v>73028.6869940943</v>
      </c>
      <c r="AP36" s="40" t="n">
        <f aca="false">SUM(AA36:AL36)</f>
        <v>225126.609823205</v>
      </c>
    </row>
    <row r="37" customFormat="false" ht="15" hidden="false" customHeight="false" outlineLevel="0" collapsed="false">
      <c r="A37" s="2" t="s">
        <v>244</v>
      </c>
      <c r="B37" s="4" t="s">
        <v>92</v>
      </c>
      <c r="C37" s="40" t="n">
        <f aca="false">C28-C36-C30-C29/(1+Hypothèses!$D$15)</f>
        <v>0</v>
      </c>
      <c r="D37" s="40" t="n">
        <f aca="false">D28-D36-D30-D29/(1+Hypothèses!$D$15)</f>
        <v>0</v>
      </c>
      <c r="E37" s="40" t="n">
        <f aca="false">E28-E36-E30-E29/(1+Hypothèses!$D$15)</f>
        <v>453.911</v>
      </c>
      <c r="F37" s="40" t="n">
        <f aca="false">F28-F36-F30-F29/(1+Hypothèses!$D$15)</f>
        <v>417.597666089</v>
      </c>
      <c r="G37" s="40" t="n">
        <f aca="false">G28-G36-G30-G29/(1+Hypothèses!$D$15)</f>
        <v>384.189435204214</v>
      </c>
      <c r="H37" s="40" t="n">
        <f aca="false">H28-H36-H30-H29/(1+Hypothèses!$D$15)</f>
        <v>353.453896198442</v>
      </c>
      <c r="I37" s="40" t="n">
        <f aca="false">I28-I36-I30-I29/(1+Hypothèses!$D$15)</f>
        <v>1240.06830897264</v>
      </c>
      <c r="J37" s="40" t="n">
        <f aca="false">J28-J36-J30-J29/(1+Hypothèses!$D$15)</f>
        <v>2073.48497036597</v>
      </c>
      <c r="K37" s="40" t="n">
        <f aca="false">K28-K36-K30-K29/(1+Hypothèses!$D$15)</f>
        <v>2856.89579865904</v>
      </c>
      <c r="L37" s="40" t="n">
        <f aca="false">L28-L36-L30-L29/(1+Hypothèses!$D$15)</f>
        <v>3593.3011938437</v>
      </c>
      <c r="M37" s="40" t="n">
        <f aca="false">M28-M36-M30-M29/(1+Hypothèses!$D$15)</f>
        <v>4285.52152891189</v>
      </c>
      <c r="N37" s="40" t="n">
        <f aca="false">N28-N36-N30-N29/(1+Hypothèses!$D$15)</f>
        <v>4936.20795165564</v>
      </c>
      <c r="O37" s="40" t="n">
        <f aca="false">O28-O36-O30-O29/(1+Hypothèses!$D$15)</f>
        <v>7666.10387168169</v>
      </c>
      <c r="P37" s="40" t="n">
        <f aca="false">P28-P36-P30-P29/(1+Hypothèses!$D$15)</f>
        <v>10232.2033066103</v>
      </c>
      <c r="Q37" s="40" t="n">
        <f aca="false">Q28-Q36-Q30-Q29/(1+Hypothèses!$D$15)</f>
        <v>12644.3342093437</v>
      </c>
      <c r="R37" s="40" t="n">
        <f aca="false">R28-R36-R30-R29/(1+Hypothèses!$D$15)</f>
        <v>14911.7348457822</v>
      </c>
      <c r="S37" s="40" t="n">
        <f aca="false">S28-S36-S30-S29/(1+Hypothèses!$D$15)</f>
        <v>17043.0891766337</v>
      </c>
      <c r="T37" s="40" t="n">
        <f aca="false">T28-T36-T30-T29/(1+Hypothèses!$D$15)</f>
        <v>19046.5601162799</v>
      </c>
      <c r="U37" s="40" t="n">
        <f aca="false">U28-U36-U30-U29/(1+Hypothèses!$D$15)</f>
        <v>20929.8207960763</v>
      </c>
      <c r="V37" s="40" t="n">
        <f aca="false">V28-V36-V30-V29/(1+Hypothèses!$D$15)</f>
        <v>22700.0839518243</v>
      </c>
      <c r="W37" s="40" t="n">
        <f aca="false">W28-W36-W30-W29/(1+Hypothèses!$D$15)</f>
        <v>24364.1295479642</v>
      </c>
      <c r="X37" s="40" t="n">
        <f aca="false">X28-X36-X30-X29/(1+Hypothèses!$D$15)</f>
        <v>25928.3307442901</v>
      </c>
      <c r="Y37" s="40" t="n">
        <f aca="false">Y28-Y36-Y30-Y29/(1+Hypothèses!$D$15)</f>
        <v>27398.6783046353</v>
      </c>
      <c r="Z37" s="40" t="n">
        <f aca="false">Z28-Z36-Z30-Z29/(1+Hypothèses!$D$15)</f>
        <v>28780.8035410122</v>
      </c>
      <c r="AA37" s="40" t="n">
        <f aca="false">AA28-AA36-AA30-AA29/(1+Hypothèses!$D$15)</f>
        <v>34619.1098810813</v>
      </c>
      <c r="AB37" s="40" t="n">
        <f aca="false">AB28-AB36-AB30-AB29/(1+Hypothèses!$D$15)</f>
        <v>40107.1120024398</v>
      </c>
      <c r="AC37" s="40" t="n">
        <f aca="false">AC28-AC36-AC30-AC29/(1+Hypothèses!$D$15)</f>
        <v>45265.8285085148</v>
      </c>
      <c r="AD37" s="40" t="n">
        <f aca="false">AD28-AD36-AD30-AD29/(1+Hypothèses!$D$15)</f>
        <v>50115.0168655087</v>
      </c>
      <c r="AE37" s="40" t="n">
        <f aca="false">AE28-AE36-AE30-AE29/(1+Hypothèses!$D$15)</f>
        <v>54673.2490718947</v>
      </c>
      <c r="AF37" s="40" t="n">
        <f aca="false">AF28-AF36-AF30-AF29/(1+Hypothèses!$D$15)</f>
        <v>58957.9827876652</v>
      </c>
      <c r="AG37" s="40" t="n">
        <f aca="false">AG28-AG36-AG30-AG29/(1+Hypothèses!$D$15)</f>
        <v>62985.6281957559</v>
      </c>
      <c r="AH37" s="40" t="n">
        <f aca="false">AH28-AH36-AH30-AH29/(1+Hypothèses!$D$15)</f>
        <v>66771.6108517157</v>
      </c>
      <c r="AI37" s="40" t="n">
        <f aca="false">AI28-AI36-AI30-AI29/(1+Hypothèses!$D$15)</f>
        <v>70330.4307623352</v>
      </c>
      <c r="AJ37" s="40" t="n">
        <f aca="false">AJ28-AJ36-AJ30-AJ29/(1+Hypothèses!$D$15)</f>
        <v>73675.7179194977</v>
      </c>
      <c r="AK37" s="40" t="n">
        <f aca="false">AK28-AK36-AK30-AK29/(1+Hypothèses!$D$15)</f>
        <v>76820.2845019432</v>
      </c>
      <c r="AL37" s="40" t="n">
        <f aca="false">AL28-AL36-AL30-AL29/(1+Hypothèses!$D$15)</f>
        <v>79776.1739448755</v>
      </c>
      <c r="AN37" s="40" t="n">
        <f aca="false">SUM(C37:N37)</f>
        <v>20594.6317499005</v>
      </c>
      <c r="AO37" s="40" t="n">
        <f aca="false">SUM(O37:Z37)</f>
        <v>231645.872412134</v>
      </c>
      <c r="AP37" s="40" t="n">
        <f aca="false">SUM(AA37:AL37)</f>
        <v>714098.145293228</v>
      </c>
    </row>
    <row r="38" customFormat="false" ht="15" hidden="false" customHeight="false" outlineLevel="0" collapsed="false">
      <c r="A38" s="8" t="s">
        <v>245</v>
      </c>
    </row>
    <row r="39" customFormat="false" ht="15" hidden="false" customHeight="false" outlineLevel="0" collapsed="false">
      <c r="A39" s="9" t="s">
        <v>246</v>
      </c>
      <c r="B39" s="4" t="s">
        <v>92</v>
      </c>
      <c r="C39" s="15" t="n">
        <f aca="false">C11</f>
        <v>0</v>
      </c>
      <c r="D39" s="15" t="n">
        <f aca="false">D11</f>
        <v>0</v>
      </c>
      <c r="E39" s="15" t="n">
        <f aca="false">E11</f>
        <v>0</v>
      </c>
      <c r="F39" s="15" t="n">
        <f aca="false">F11</f>
        <v>0</v>
      </c>
      <c r="G39" s="15" t="n">
        <f aca="false">G11</f>
        <v>0</v>
      </c>
      <c r="H39" s="15" t="n">
        <f aca="false">H11</f>
        <v>0</v>
      </c>
      <c r="I39" s="15" t="n">
        <f aca="false">I11</f>
        <v>3000</v>
      </c>
      <c r="J39" s="15" t="n">
        <f aca="false">J11</f>
        <v>3000</v>
      </c>
      <c r="K39" s="15" t="n">
        <f aca="false">K11</f>
        <v>3000</v>
      </c>
      <c r="L39" s="15" t="n">
        <f aca="false">L11</f>
        <v>3000</v>
      </c>
      <c r="M39" s="15" t="n">
        <f aca="false">M11</f>
        <v>3000</v>
      </c>
      <c r="N39" s="15" t="n">
        <f aca="false">N11</f>
        <v>3000</v>
      </c>
      <c r="O39" s="15" t="n">
        <f aca="false">O11</f>
        <v>10000</v>
      </c>
      <c r="P39" s="15" t="n">
        <f aca="false">P11</f>
        <v>10000</v>
      </c>
      <c r="Q39" s="15" t="n">
        <f aca="false">Q11</f>
        <v>10000</v>
      </c>
      <c r="R39" s="15" t="n">
        <f aca="false">R11</f>
        <v>10000</v>
      </c>
      <c r="S39" s="15" t="n">
        <f aca="false">S11</f>
        <v>10000</v>
      </c>
      <c r="T39" s="15" t="n">
        <f aca="false">T11</f>
        <v>10000</v>
      </c>
      <c r="U39" s="15" t="n">
        <f aca="false">U11</f>
        <v>10000</v>
      </c>
      <c r="V39" s="15" t="n">
        <f aca="false">V11</f>
        <v>10000</v>
      </c>
      <c r="W39" s="15" t="n">
        <f aca="false">W11</f>
        <v>10000</v>
      </c>
      <c r="X39" s="15" t="n">
        <f aca="false">X11</f>
        <v>10000</v>
      </c>
      <c r="Y39" s="15" t="n">
        <f aca="false">Y11</f>
        <v>10000</v>
      </c>
      <c r="Z39" s="15" t="n">
        <f aca="false">Z11</f>
        <v>10000</v>
      </c>
      <c r="AA39" s="15" t="n">
        <f aca="false">AA11</f>
        <v>25000</v>
      </c>
      <c r="AB39" s="15" t="n">
        <f aca="false">AB11</f>
        <v>25000</v>
      </c>
      <c r="AC39" s="15" t="n">
        <f aca="false">AC11</f>
        <v>25000</v>
      </c>
      <c r="AD39" s="15" t="n">
        <f aca="false">AD11</f>
        <v>25000</v>
      </c>
      <c r="AE39" s="15" t="n">
        <f aca="false">AE11</f>
        <v>25000</v>
      </c>
      <c r="AF39" s="15" t="n">
        <f aca="false">AF11</f>
        <v>25000</v>
      </c>
      <c r="AG39" s="15" t="n">
        <f aca="false">AG11</f>
        <v>25000</v>
      </c>
      <c r="AH39" s="15" t="n">
        <f aca="false">AH11</f>
        <v>25000</v>
      </c>
      <c r="AI39" s="15" t="n">
        <f aca="false">AI11</f>
        <v>25000</v>
      </c>
      <c r="AJ39" s="15" t="n">
        <f aca="false">AJ11</f>
        <v>25000</v>
      </c>
      <c r="AK39" s="15" t="n">
        <f aca="false">AK11</f>
        <v>25000</v>
      </c>
      <c r="AL39" s="15" t="n">
        <f aca="false">AL11</f>
        <v>25000</v>
      </c>
      <c r="AN39" s="15" t="n">
        <f aca="false">SUM(C39:N39)</f>
        <v>18000</v>
      </c>
      <c r="AO39" s="15" t="n">
        <f aca="false">SUM(O39:Z39)</f>
        <v>120000</v>
      </c>
      <c r="AP39" s="15" t="n">
        <f aca="false">SUM(AA39:AL39)</f>
        <v>300000</v>
      </c>
    </row>
    <row r="40" customFormat="false" ht="15" hidden="false" customHeight="false" outlineLevel="0" collapsed="false">
      <c r="A40" s="9" t="s">
        <v>247</v>
      </c>
      <c r="B40" s="4" t="s">
        <v>92</v>
      </c>
      <c r="C40" s="15" t="n">
        <f aca="false">IF(C7&gt;=Hypothèses!$D$39,Hypothèses!$D$38*Hypothèses!$D$40,0)*$G$4</f>
        <v>0</v>
      </c>
      <c r="D40" s="15" t="n">
        <f aca="false">IF(D7&gt;=Hypothèses!$D$39,Hypothèses!$D$38*Hypothèses!$D$40,0)*$G$4</f>
        <v>0</v>
      </c>
      <c r="E40" s="15" t="n">
        <f aca="false">IF(E7&gt;=Hypothèses!$D$39,Hypothèses!$D$38*Hypothèses!$D$40,0)*$G$4</f>
        <v>0</v>
      </c>
      <c r="F40" s="15" t="n">
        <f aca="false">IF(F7&gt;=Hypothèses!$D$39,Hypothèses!$D$38*Hypothèses!$D$40,0)*$G$4</f>
        <v>0</v>
      </c>
      <c r="G40" s="15" t="n">
        <f aca="false">IF(G7&gt;=Hypothèses!$D$39,Hypothèses!$D$38*Hypothèses!$D$40,0)*$G$4</f>
        <v>0</v>
      </c>
      <c r="H40" s="15" t="n">
        <f aca="false">IF(H7&gt;=Hypothèses!$D$39,Hypothèses!$D$38*Hypothèses!$D$40,0)*$G$4</f>
        <v>0</v>
      </c>
      <c r="I40" s="15" t="n">
        <f aca="false">IF(I7&gt;=Hypothèses!$D$39,Hypothèses!$D$38*Hypothèses!$D$40,0)*$G$4</f>
        <v>0</v>
      </c>
      <c r="J40" s="15" t="n">
        <f aca="false">IF(J7&gt;=Hypothèses!$D$39,Hypothèses!$D$38*Hypothèses!$D$40,0)*$G$4</f>
        <v>0</v>
      </c>
      <c r="K40" s="15" t="n">
        <f aca="false">IF(K7&gt;=Hypothèses!$D$39,Hypothèses!$D$38*Hypothèses!$D$40,0)*$G$4</f>
        <v>0</v>
      </c>
      <c r="L40" s="15" t="n">
        <f aca="false">IF(L7&gt;=Hypothèses!$D$39,Hypothèses!$D$38*Hypothèses!$D$40,0)*$G$4</f>
        <v>0</v>
      </c>
      <c r="M40" s="15" t="n">
        <f aca="false">IF(M7&gt;=Hypothèses!$D$39,Hypothèses!$D$38*Hypothèses!$D$40,0)*$G$4</f>
        <v>0</v>
      </c>
      <c r="N40" s="15" t="n">
        <f aca="false">IF(N7&gt;=Hypothèses!$D$39,Hypothèses!$D$38*Hypothèses!$D$40,0)*$G$4</f>
        <v>0</v>
      </c>
      <c r="O40" s="15" t="n">
        <f aca="false">IF(O7&gt;=Hypothèses!$D$39,Hypothèses!$D$38*Hypothèses!$D$40,0)*$G$4</f>
        <v>10000</v>
      </c>
      <c r="P40" s="15" t="n">
        <f aca="false">IF(P7&gt;=Hypothèses!$D$39,Hypothèses!$D$38*Hypothèses!$D$40,0)*$G$4</f>
        <v>10000</v>
      </c>
      <c r="Q40" s="15" t="n">
        <f aca="false">IF(Q7&gt;=Hypothèses!$D$39,Hypothèses!$D$38*Hypothèses!$D$40,0)*$G$4</f>
        <v>10000</v>
      </c>
      <c r="R40" s="15" t="n">
        <f aca="false">IF(R7&gt;=Hypothèses!$D$39,Hypothèses!$D$38*Hypothèses!$D$40,0)*$G$4</f>
        <v>10000</v>
      </c>
      <c r="S40" s="15" t="n">
        <f aca="false">IF(S7&gt;=Hypothèses!$D$39,Hypothèses!$D$38*Hypothèses!$D$40,0)*$G$4</f>
        <v>10000</v>
      </c>
      <c r="T40" s="15" t="n">
        <f aca="false">IF(T7&gt;=Hypothèses!$D$39,Hypothèses!$D$38*Hypothèses!$D$40,0)*$G$4</f>
        <v>10000</v>
      </c>
      <c r="U40" s="15" t="n">
        <f aca="false">IF(U7&gt;=Hypothèses!$D$39,Hypothèses!$D$38*Hypothèses!$D$40,0)*$G$4</f>
        <v>10000</v>
      </c>
      <c r="V40" s="15" t="n">
        <f aca="false">IF(V7&gt;=Hypothèses!$D$39,Hypothèses!$D$38*Hypothèses!$D$40,0)*$G$4</f>
        <v>10000</v>
      </c>
      <c r="W40" s="15" t="n">
        <f aca="false">IF(W7&gt;=Hypothèses!$D$39,Hypothèses!$D$38*Hypothèses!$D$40,0)*$G$4</f>
        <v>10000</v>
      </c>
      <c r="X40" s="15" t="n">
        <f aca="false">IF(X7&gt;=Hypothèses!$D$39,Hypothèses!$D$38*Hypothèses!$D$40,0)*$G$4</f>
        <v>10000</v>
      </c>
      <c r="Y40" s="15" t="n">
        <f aca="false">IF(Y7&gt;=Hypothèses!$D$39,Hypothèses!$D$38*Hypothèses!$D$40,0)*$G$4</f>
        <v>10000</v>
      </c>
      <c r="Z40" s="15" t="n">
        <f aca="false">IF(Z7&gt;=Hypothèses!$D$39,Hypothèses!$D$38*Hypothèses!$D$40,0)*$G$4</f>
        <v>10000</v>
      </c>
      <c r="AA40" s="15" t="n">
        <f aca="false">IF(AA7&gt;=Hypothèses!$D$39,Hypothèses!$D$38*Hypothèses!$D$40,0)*$G$4</f>
        <v>10000</v>
      </c>
      <c r="AB40" s="15" t="n">
        <f aca="false">IF(AB7&gt;=Hypothèses!$D$39,Hypothèses!$D$38*Hypothèses!$D$40,0)*$G$4</f>
        <v>10000</v>
      </c>
      <c r="AC40" s="15" t="n">
        <f aca="false">IF(AC7&gt;=Hypothèses!$D$39,Hypothèses!$D$38*Hypothèses!$D$40,0)*$G$4</f>
        <v>10000</v>
      </c>
      <c r="AD40" s="15" t="n">
        <f aca="false">IF(AD7&gt;=Hypothèses!$D$39,Hypothèses!$D$38*Hypothèses!$D$40,0)*$G$4</f>
        <v>10000</v>
      </c>
      <c r="AE40" s="15" t="n">
        <f aca="false">IF(AE7&gt;=Hypothèses!$D$39,Hypothèses!$D$38*Hypothèses!$D$40,0)*$G$4</f>
        <v>10000</v>
      </c>
      <c r="AF40" s="15" t="n">
        <f aca="false">IF(AF7&gt;=Hypothèses!$D$39,Hypothèses!$D$38*Hypothèses!$D$40,0)*$G$4</f>
        <v>10000</v>
      </c>
      <c r="AG40" s="15" t="n">
        <f aca="false">IF(AG7&gt;=Hypothèses!$D$39,Hypothèses!$D$38*Hypothèses!$D$40,0)*$G$4</f>
        <v>10000</v>
      </c>
      <c r="AH40" s="15" t="n">
        <f aca="false">IF(AH7&gt;=Hypothèses!$D$39,Hypothèses!$D$38*Hypothèses!$D$40,0)*$G$4</f>
        <v>10000</v>
      </c>
      <c r="AI40" s="15" t="n">
        <f aca="false">IF(AI7&gt;=Hypothèses!$D$39,Hypothèses!$D$38*Hypothèses!$D$40,0)*$G$4</f>
        <v>10000</v>
      </c>
      <c r="AJ40" s="15" t="n">
        <f aca="false">IF(AJ7&gt;=Hypothèses!$D$39,Hypothèses!$D$38*Hypothèses!$D$40,0)*$G$4</f>
        <v>10000</v>
      </c>
      <c r="AK40" s="15" t="n">
        <f aca="false">IF(AK7&gt;=Hypothèses!$D$39,Hypothèses!$D$38*Hypothèses!$D$40,0)*$G$4</f>
        <v>10000</v>
      </c>
      <c r="AL40" s="15" t="n">
        <f aca="false">IF(AL7&gt;=Hypothèses!$D$39,Hypothèses!$D$38*Hypothèses!$D$40,0)*$G$4</f>
        <v>10000</v>
      </c>
      <c r="AN40" s="15" t="n">
        <f aca="false">SUM(C40:N40)</f>
        <v>0</v>
      </c>
      <c r="AO40" s="15" t="n">
        <f aca="false">SUM(O40:Z40)</f>
        <v>120000</v>
      </c>
      <c r="AP40" s="15" t="n">
        <f aca="false">SUM(AA40:AL40)</f>
        <v>120000</v>
      </c>
    </row>
    <row r="41" customFormat="false" ht="15" hidden="false" customHeight="false" outlineLevel="0" collapsed="false">
      <c r="A41" s="9" t="s">
        <v>248</v>
      </c>
      <c r="B41" s="4" t="s">
        <v>92</v>
      </c>
      <c r="C41" s="15" t="n">
        <f aca="false">IF(C7&gt;=Hypothèses!$D$41,Hypothèses!$D$42,0)*$G$4</f>
        <v>0</v>
      </c>
      <c r="D41" s="15" t="n">
        <f aca="false">IF(D7&gt;=Hypothèses!$D$41,Hypothèses!$D$42,0)*$G$4</f>
        <v>0</v>
      </c>
      <c r="E41" s="15" t="n">
        <f aca="false">IF(E7&gt;=Hypothèses!$D$41,Hypothèses!$D$42,0)*$G$4</f>
        <v>0</v>
      </c>
      <c r="F41" s="15" t="n">
        <f aca="false">IF(F7&gt;=Hypothèses!$D$41,Hypothèses!$D$42,0)*$G$4</f>
        <v>0</v>
      </c>
      <c r="G41" s="15" t="n">
        <f aca="false">IF(G7&gt;=Hypothèses!$D$41,Hypothèses!$D$42,0)*$G$4</f>
        <v>0</v>
      </c>
      <c r="H41" s="15" t="n">
        <f aca="false">IF(H7&gt;=Hypothèses!$D$41,Hypothèses!$D$42,0)*$G$4</f>
        <v>0</v>
      </c>
      <c r="I41" s="15" t="n">
        <f aca="false">IF(I7&gt;=Hypothèses!$D$41,Hypothèses!$D$42,0)*$G$4</f>
        <v>0</v>
      </c>
      <c r="J41" s="15" t="n">
        <f aca="false">IF(J7&gt;=Hypothèses!$D$41,Hypothèses!$D$42,0)*$G$4</f>
        <v>0</v>
      </c>
      <c r="K41" s="15" t="n">
        <f aca="false">IF(K7&gt;=Hypothèses!$D$41,Hypothèses!$D$42,0)*$G$4</f>
        <v>0</v>
      </c>
      <c r="L41" s="15" t="n">
        <f aca="false">IF(L7&gt;=Hypothèses!$D$41,Hypothèses!$D$42,0)*$G$4</f>
        <v>0</v>
      </c>
      <c r="M41" s="15" t="n">
        <f aca="false">IF(M7&gt;=Hypothèses!$D$41,Hypothèses!$D$42,0)*$G$4</f>
        <v>0</v>
      </c>
      <c r="N41" s="15" t="n">
        <f aca="false">IF(N7&gt;=Hypothèses!$D$41,Hypothèses!$D$42,0)*$G$4</f>
        <v>0</v>
      </c>
      <c r="O41" s="15" t="n">
        <f aca="false">IF(O7&gt;=Hypothèses!$D$41,Hypothèses!$D$42,0)*$G$4</f>
        <v>4500</v>
      </c>
      <c r="P41" s="15" t="n">
        <f aca="false">IF(P7&gt;=Hypothèses!$D$41,Hypothèses!$D$42,0)*$G$4</f>
        <v>4500</v>
      </c>
      <c r="Q41" s="15" t="n">
        <f aca="false">IF(Q7&gt;=Hypothèses!$D$41,Hypothèses!$D$42,0)*$G$4</f>
        <v>4500</v>
      </c>
      <c r="R41" s="15" t="n">
        <f aca="false">IF(R7&gt;=Hypothèses!$D$41,Hypothèses!$D$42,0)*$G$4</f>
        <v>4500</v>
      </c>
      <c r="S41" s="15" t="n">
        <f aca="false">IF(S7&gt;=Hypothèses!$D$41,Hypothèses!$D$42,0)*$G$4</f>
        <v>4500</v>
      </c>
      <c r="T41" s="15" t="n">
        <f aca="false">IF(T7&gt;=Hypothèses!$D$41,Hypothèses!$D$42,0)*$G$4</f>
        <v>4500</v>
      </c>
      <c r="U41" s="15" t="n">
        <f aca="false">IF(U7&gt;=Hypothèses!$D$41,Hypothèses!$D$42,0)*$G$4</f>
        <v>4500</v>
      </c>
      <c r="V41" s="15" t="n">
        <f aca="false">IF(V7&gt;=Hypothèses!$D$41,Hypothèses!$D$42,0)*$G$4</f>
        <v>4500</v>
      </c>
      <c r="W41" s="15" t="n">
        <f aca="false">IF(W7&gt;=Hypothèses!$D$41,Hypothèses!$D$42,0)*$G$4</f>
        <v>4500</v>
      </c>
      <c r="X41" s="15" t="n">
        <f aca="false">IF(X7&gt;=Hypothèses!$D$41,Hypothèses!$D$42,0)*$G$4</f>
        <v>4500</v>
      </c>
      <c r="Y41" s="15" t="n">
        <f aca="false">IF(Y7&gt;=Hypothèses!$D$41,Hypothèses!$D$42,0)*$G$4</f>
        <v>4500</v>
      </c>
      <c r="Z41" s="15" t="n">
        <f aca="false">IF(Z7&gt;=Hypothèses!$D$41,Hypothèses!$D$42,0)*$G$4</f>
        <v>4500</v>
      </c>
      <c r="AA41" s="15" t="n">
        <f aca="false">IF(AA7&gt;=Hypothèses!$D$41,Hypothèses!$D$42,0)*$G$4</f>
        <v>4500</v>
      </c>
      <c r="AB41" s="15" t="n">
        <f aca="false">IF(AB7&gt;=Hypothèses!$D$41,Hypothèses!$D$42,0)*$G$4</f>
        <v>4500</v>
      </c>
      <c r="AC41" s="15" t="n">
        <f aca="false">IF(AC7&gt;=Hypothèses!$D$41,Hypothèses!$D$42,0)*$G$4</f>
        <v>4500</v>
      </c>
      <c r="AD41" s="15" t="n">
        <f aca="false">IF(AD7&gt;=Hypothèses!$D$41,Hypothèses!$D$42,0)*$G$4</f>
        <v>4500</v>
      </c>
      <c r="AE41" s="15" t="n">
        <f aca="false">IF(AE7&gt;=Hypothèses!$D$41,Hypothèses!$D$42,0)*$G$4</f>
        <v>4500</v>
      </c>
      <c r="AF41" s="15" t="n">
        <f aca="false">IF(AF7&gt;=Hypothèses!$D$41,Hypothèses!$D$42,0)*$G$4</f>
        <v>4500</v>
      </c>
      <c r="AG41" s="15" t="n">
        <f aca="false">IF(AG7&gt;=Hypothèses!$D$41,Hypothèses!$D$42,0)*$G$4</f>
        <v>4500</v>
      </c>
      <c r="AH41" s="15" t="n">
        <f aca="false">IF(AH7&gt;=Hypothèses!$D$41,Hypothèses!$D$42,0)*$G$4</f>
        <v>4500</v>
      </c>
      <c r="AI41" s="15" t="n">
        <f aca="false">IF(AI7&gt;=Hypothèses!$D$41,Hypothèses!$D$42,0)*$G$4</f>
        <v>4500</v>
      </c>
      <c r="AJ41" s="15" t="n">
        <f aca="false">IF(AJ7&gt;=Hypothèses!$D$41,Hypothèses!$D$42,0)*$G$4</f>
        <v>4500</v>
      </c>
      <c r="AK41" s="15" t="n">
        <f aca="false">IF(AK7&gt;=Hypothèses!$D$41,Hypothèses!$D$42,0)*$G$4</f>
        <v>4500</v>
      </c>
      <c r="AL41" s="15" t="n">
        <f aca="false">IF(AL7&gt;=Hypothèses!$D$41,Hypothèses!$D$42,0)*$G$4</f>
        <v>4500</v>
      </c>
      <c r="AN41" s="15" t="n">
        <f aca="false">SUM(C41:N41)</f>
        <v>0</v>
      </c>
      <c r="AO41" s="15" t="n">
        <f aca="false">SUM(O41:Z41)</f>
        <v>54000</v>
      </c>
      <c r="AP41" s="15" t="n">
        <f aca="false">SUM(AA41:AL41)</f>
        <v>54000</v>
      </c>
    </row>
    <row r="42" customFormat="false" ht="15" hidden="false" customHeight="false" outlineLevel="0" collapsed="false">
      <c r="A42" s="9" t="s">
        <v>249</v>
      </c>
      <c r="B42" s="4" t="s">
        <v>92</v>
      </c>
      <c r="C42" s="15" t="n">
        <f aca="false">IF(C7&gt;=Hypothèses!$D$43,Hypothèses!$D$44,0)*$G$4</f>
        <v>0</v>
      </c>
      <c r="D42" s="15" t="n">
        <f aca="false">IF(D7&gt;=Hypothèses!$D$43,Hypothèses!$D$44,0)*$G$4</f>
        <v>0</v>
      </c>
      <c r="E42" s="15" t="n">
        <f aca="false">IF(E7&gt;=Hypothèses!$D$43,Hypothèses!$D$44,0)*$G$4</f>
        <v>0</v>
      </c>
      <c r="F42" s="15" t="n">
        <f aca="false">IF(F7&gt;=Hypothèses!$D$43,Hypothèses!$D$44,0)*$G$4</f>
        <v>0</v>
      </c>
      <c r="G42" s="15" t="n">
        <f aca="false">IF(G7&gt;=Hypothèses!$D$43,Hypothèses!$D$44,0)*$G$4</f>
        <v>0</v>
      </c>
      <c r="H42" s="15" t="n">
        <f aca="false">IF(H7&gt;=Hypothèses!$D$43,Hypothèses!$D$44,0)*$G$4</f>
        <v>0</v>
      </c>
      <c r="I42" s="15" t="n">
        <f aca="false">IF(I7&gt;=Hypothèses!$D$43,Hypothèses!$D$44,0)*$G$4</f>
        <v>0</v>
      </c>
      <c r="J42" s="15" t="n">
        <f aca="false">IF(J7&gt;=Hypothèses!$D$43,Hypothèses!$D$44,0)*$G$4</f>
        <v>0</v>
      </c>
      <c r="K42" s="15" t="n">
        <f aca="false">IF(K7&gt;=Hypothèses!$D$43,Hypothèses!$D$44,0)*$G$4</f>
        <v>0</v>
      </c>
      <c r="L42" s="15" t="n">
        <f aca="false">IF(L7&gt;=Hypothèses!$D$43,Hypothèses!$D$44,0)*$G$4</f>
        <v>0</v>
      </c>
      <c r="M42" s="15" t="n">
        <f aca="false">IF(M7&gt;=Hypothèses!$D$43,Hypothèses!$D$44,0)*$G$4</f>
        <v>0</v>
      </c>
      <c r="N42" s="15" t="n">
        <f aca="false">IF(N7&gt;=Hypothèses!$D$43,Hypothèses!$D$44,0)*$G$4</f>
        <v>0</v>
      </c>
      <c r="O42" s="15" t="n">
        <f aca="false">IF(O7&gt;=Hypothèses!$D$43,Hypothèses!$D$44,0)*$G$4</f>
        <v>0</v>
      </c>
      <c r="P42" s="15" t="n">
        <f aca="false">IF(P7&gt;=Hypothèses!$D$43,Hypothèses!$D$44,0)*$G$4</f>
        <v>0</v>
      </c>
      <c r="Q42" s="15" t="n">
        <f aca="false">IF(Q7&gt;=Hypothèses!$D$43,Hypothèses!$D$44,0)*$G$4</f>
        <v>0</v>
      </c>
      <c r="R42" s="15" t="n">
        <f aca="false">IF(R7&gt;=Hypothèses!$D$43,Hypothèses!$D$44,0)*$G$4</f>
        <v>0</v>
      </c>
      <c r="S42" s="15" t="n">
        <f aca="false">IF(S7&gt;=Hypothèses!$D$43,Hypothèses!$D$44,0)*$G$4</f>
        <v>0</v>
      </c>
      <c r="T42" s="15" t="n">
        <f aca="false">IF(T7&gt;=Hypothèses!$D$43,Hypothèses!$D$44,0)*$G$4</f>
        <v>0</v>
      </c>
      <c r="U42" s="15" t="n">
        <f aca="false">IF(U7&gt;=Hypothèses!$D$43,Hypothèses!$D$44,0)*$G$4</f>
        <v>6500</v>
      </c>
      <c r="V42" s="15" t="n">
        <f aca="false">IF(V7&gt;=Hypothèses!$D$43,Hypothèses!$D$44,0)*$G$4</f>
        <v>6500</v>
      </c>
      <c r="W42" s="15" t="n">
        <f aca="false">IF(W7&gt;=Hypothèses!$D$43,Hypothèses!$D$44,0)*$G$4</f>
        <v>6500</v>
      </c>
      <c r="X42" s="15" t="n">
        <f aca="false">IF(X7&gt;=Hypothèses!$D$43,Hypothèses!$D$44,0)*$G$4</f>
        <v>6500</v>
      </c>
      <c r="Y42" s="15" t="n">
        <f aca="false">IF(Y7&gt;=Hypothèses!$D$43,Hypothèses!$D$44,0)*$G$4</f>
        <v>6500</v>
      </c>
      <c r="Z42" s="15" t="n">
        <f aca="false">IF(Z7&gt;=Hypothèses!$D$43,Hypothèses!$D$44,0)*$G$4</f>
        <v>6500</v>
      </c>
      <c r="AA42" s="15" t="n">
        <f aca="false">IF(AA7&gt;=Hypothèses!$D$43,Hypothèses!$D$44,0)*$G$4</f>
        <v>6500</v>
      </c>
      <c r="AB42" s="15" t="n">
        <f aca="false">IF(AB7&gt;=Hypothèses!$D$43,Hypothèses!$D$44,0)*$G$4</f>
        <v>6500</v>
      </c>
      <c r="AC42" s="15" t="n">
        <f aca="false">IF(AC7&gt;=Hypothèses!$D$43,Hypothèses!$D$44,0)*$G$4</f>
        <v>6500</v>
      </c>
      <c r="AD42" s="15" t="n">
        <f aca="false">IF(AD7&gt;=Hypothèses!$D$43,Hypothèses!$D$44,0)*$G$4</f>
        <v>6500</v>
      </c>
      <c r="AE42" s="15" t="n">
        <f aca="false">IF(AE7&gt;=Hypothèses!$D$43,Hypothèses!$D$44,0)*$G$4</f>
        <v>6500</v>
      </c>
      <c r="AF42" s="15" t="n">
        <f aca="false">IF(AF7&gt;=Hypothèses!$D$43,Hypothèses!$D$44,0)*$G$4</f>
        <v>6500</v>
      </c>
      <c r="AG42" s="15" t="n">
        <f aca="false">IF(AG7&gt;=Hypothèses!$D$43,Hypothèses!$D$44,0)*$G$4</f>
        <v>6500</v>
      </c>
      <c r="AH42" s="15" t="n">
        <f aca="false">IF(AH7&gt;=Hypothèses!$D$43,Hypothèses!$D$44,0)*$G$4</f>
        <v>6500</v>
      </c>
      <c r="AI42" s="15" t="n">
        <f aca="false">IF(AI7&gt;=Hypothèses!$D$43,Hypothèses!$D$44,0)*$G$4</f>
        <v>6500</v>
      </c>
      <c r="AJ42" s="15" t="n">
        <f aca="false">IF(AJ7&gt;=Hypothèses!$D$43,Hypothèses!$D$44,0)*$G$4</f>
        <v>6500</v>
      </c>
      <c r="AK42" s="15" t="n">
        <f aca="false">IF(AK7&gt;=Hypothèses!$D$43,Hypothèses!$D$44,0)*$G$4</f>
        <v>6500</v>
      </c>
      <c r="AL42" s="15" t="n">
        <f aca="false">IF(AL7&gt;=Hypothèses!$D$43,Hypothèses!$D$44,0)*$G$4</f>
        <v>6500</v>
      </c>
      <c r="AN42" s="15" t="n">
        <f aca="false">SUM(C42:N42)</f>
        <v>0</v>
      </c>
      <c r="AO42" s="15" t="n">
        <f aca="false">SUM(O42:Z42)</f>
        <v>39000</v>
      </c>
      <c r="AP42" s="15" t="n">
        <f aca="false">SUM(AA42:AL42)</f>
        <v>78000</v>
      </c>
    </row>
    <row r="43" customFormat="false" ht="15" hidden="false" customHeight="false" outlineLevel="0" collapsed="false">
      <c r="A43" s="9" t="s">
        <v>250</v>
      </c>
      <c r="B43" s="4" t="s">
        <v>92</v>
      </c>
      <c r="C43" s="15" t="n">
        <f aca="false">IF(C7&lt;$B$5,Hypothèses!$D$45/MAX(1,$B$5-1),0)</f>
        <v>12841.6666666667</v>
      </c>
      <c r="D43" s="15" t="n">
        <f aca="false">IF(D7&lt;$B$5,Hypothèses!$D$45/MAX(1,$B$5-1),0)</f>
        <v>12841.6666666667</v>
      </c>
      <c r="E43" s="15" t="n">
        <f aca="false">IF(E7&lt;$B$5,Hypothèses!$D$45/MAX(1,$B$5-1),0)</f>
        <v>12841.6666666667</v>
      </c>
      <c r="F43" s="15" t="n">
        <f aca="false">IF(F7&lt;$B$5,Hypothèses!$D$45/MAX(1,$B$5-1),0)</f>
        <v>12841.6666666667</v>
      </c>
      <c r="G43" s="15" t="n">
        <f aca="false">IF(G7&lt;$B$5,Hypothèses!$D$45/MAX(1,$B$5-1),0)</f>
        <v>12841.6666666667</v>
      </c>
      <c r="H43" s="15" t="n">
        <f aca="false">IF(H7&lt;$B$5,Hypothèses!$D$45/MAX(1,$B$5-1),0)</f>
        <v>12841.6666666667</v>
      </c>
      <c r="I43" s="15" t="n">
        <f aca="false">IF(I7&lt;$B$5,Hypothèses!$D$45/MAX(1,$B$5-1),0)</f>
        <v>0</v>
      </c>
      <c r="J43" s="15" t="n">
        <f aca="false">IF(J7&lt;$B$5,Hypothèses!$D$45/MAX(1,$B$5-1),0)</f>
        <v>0</v>
      </c>
      <c r="K43" s="15" t="n">
        <f aca="false">IF(K7&lt;$B$5,Hypothèses!$D$45/MAX(1,$B$5-1),0)</f>
        <v>0</v>
      </c>
      <c r="L43" s="15" t="n">
        <f aca="false">IF(L7&lt;$B$5,Hypothèses!$D$45/MAX(1,$B$5-1),0)</f>
        <v>0</v>
      </c>
      <c r="M43" s="15" t="n">
        <f aca="false">IF(M7&lt;$B$5,Hypothèses!$D$45/MAX(1,$B$5-1),0)</f>
        <v>0</v>
      </c>
      <c r="N43" s="15" t="n">
        <f aca="false">IF(N7&lt;$B$5,Hypothèses!$D$45/MAX(1,$B$5-1),0)</f>
        <v>0</v>
      </c>
      <c r="O43" s="15" t="n">
        <f aca="false">IF(O7&lt;$B$5,Hypothèses!$D$45/MAX(1,$B$5-1),0)</f>
        <v>0</v>
      </c>
      <c r="P43" s="15" t="n">
        <f aca="false">IF(P7&lt;$B$5,Hypothèses!$D$45/MAX(1,$B$5-1),0)</f>
        <v>0</v>
      </c>
      <c r="Q43" s="15" t="n">
        <f aca="false">IF(Q7&lt;$B$5,Hypothèses!$D$45/MAX(1,$B$5-1),0)</f>
        <v>0</v>
      </c>
      <c r="R43" s="15" t="n">
        <f aca="false">IF(R7&lt;$B$5,Hypothèses!$D$45/MAX(1,$B$5-1),0)</f>
        <v>0</v>
      </c>
      <c r="S43" s="15" t="n">
        <f aca="false">IF(S7&lt;$B$5,Hypothèses!$D$45/MAX(1,$B$5-1),0)</f>
        <v>0</v>
      </c>
      <c r="T43" s="15" t="n">
        <f aca="false">IF(T7&lt;$B$5,Hypothèses!$D$45/MAX(1,$B$5-1),0)</f>
        <v>0</v>
      </c>
      <c r="U43" s="15" t="n">
        <f aca="false">IF(U7&lt;$B$5,Hypothèses!$D$45/MAX(1,$B$5-1),0)</f>
        <v>0</v>
      </c>
      <c r="V43" s="15" t="n">
        <f aca="false">IF(V7&lt;$B$5,Hypothèses!$D$45/MAX(1,$B$5-1),0)</f>
        <v>0</v>
      </c>
      <c r="W43" s="15" t="n">
        <f aca="false">IF(W7&lt;$B$5,Hypothèses!$D$45/MAX(1,$B$5-1),0)</f>
        <v>0</v>
      </c>
      <c r="X43" s="15" t="n">
        <f aca="false">IF(X7&lt;$B$5,Hypothèses!$D$45/MAX(1,$B$5-1),0)</f>
        <v>0</v>
      </c>
      <c r="Y43" s="15" t="n">
        <f aca="false">IF(Y7&lt;$B$5,Hypothèses!$D$45/MAX(1,$B$5-1),0)</f>
        <v>0</v>
      </c>
      <c r="Z43" s="15" t="n">
        <f aca="false">IF(Z7&lt;$B$5,Hypothèses!$D$45/MAX(1,$B$5-1),0)</f>
        <v>0</v>
      </c>
      <c r="AA43" s="15" t="n">
        <f aca="false">IF(AA7&lt;$B$5,Hypothèses!$D$45/MAX(1,$B$5-1),0)</f>
        <v>0</v>
      </c>
      <c r="AB43" s="15" t="n">
        <f aca="false">IF(AB7&lt;$B$5,Hypothèses!$D$45/MAX(1,$B$5-1),0)</f>
        <v>0</v>
      </c>
      <c r="AC43" s="15" t="n">
        <f aca="false">IF(AC7&lt;$B$5,Hypothèses!$D$45/MAX(1,$B$5-1),0)</f>
        <v>0</v>
      </c>
      <c r="AD43" s="15" t="n">
        <f aca="false">IF(AD7&lt;$B$5,Hypothèses!$D$45/MAX(1,$B$5-1),0)</f>
        <v>0</v>
      </c>
      <c r="AE43" s="15" t="n">
        <f aca="false">IF(AE7&lt;$B$5,Hypothèses!$D$45/MAX(1,$B$5-1),0)</f>
        <v>0</v>
      </c>
      <c r="AF43" s="15" t="n">
        <f aca="false">IF(AF7&lt;$B$5,Hypothèses!$D$45/MAX(1,$B$5-1),0)</f>
        <v>0</v>
      </c>
      <c r="AG43" s="15" t="n">
        <f aca="false">IF(AG7&lt;$B$5,Hypothèses!$D$45/MAX(1,$B$5-1),0)</f>
        <v>0</v>
      </c>
      <c r="AH43" s="15" t="n">
        <f aca="false">IF(AH7&lt;$B$5,Hypothèses!$D$45/MAX(1,$B$5-1),0)</f>
        <v>0</v>
      </c>
      <c r="AI43" s="15" t="n">
        <f aca="false">IF(AI7&lt;$B$5,Hypothèses!$D$45/MAX(1,$B$5-1),0)</f>
        <v>0</v>
      </c>
      <c r="AJ43" s="15" t="n">
        <f aca="false">IF(AJ7&lt;$B$5,Hypothèses!$D$45/MAX(1,$B$5-1),0)</f>
        <v>0</v>
      </c>
      <c r="AK43" s="15" t="n">
        <f aca="false">IF(AK7&lt;$B$5,Hypothèses!$D$45/MAX(1,$B$5-1),0)</f>
        <v>0</v>
      </c>
      <c r="AL43" s="15" t="n">
        <f aca="false">IF(AL7&lt;$B$5,Hypothèses!$D$45/MAX(1,$B$5-1),0)</f>
        <v>0</v>
      </c>
      <c r="AN43" s="15" t="n">
        <f aca="false">SUM(C43:N43)</f>
        <v>77050</v>
      </c>
      <c r="AO43" s="15" t="n">
        <f aca="false">SUM(O43:Z43)</f>
        <v>0</v>
      </c>
      <c r="AP43" s="15" t="n">
        <f aca="false">SUM(AA43:AL43)</f>
        <v>0</v>
      </c>
    </row>
    <row r="44" customFormat="false" ht="15" hidden="false" customHeight="false" outlineLevel="0" collapsed="false">
      <c r="A44" s="9" t="s">
        <v>110</v>
      </c>
      <c r="B44" s="4" t="s">
        <v>92</v>
      </c>
      <c r="C44" s="15" t="n">
        <f aca="false">Hypothèses!$D$46*$G$4</f>
        <v>400</v>
      </c>
      <c r="D44" s="15" t="n">
        <f aca="false">Hypothèses!$D$46*$G$4</f>
        <v>400</v>
      </c>
      <c r="E44" s="15" t="n">
        <f aca="false">Hypothèses!$D$46*$G$4</f>
        <v>400</v>
      </c>
      <c r="F44" s="15" t="n">
        <f aca="false">Hypothèses!$D$46*$G$4</f>
        <v>400</v>
      </c>
      <c r="G44" s="15" t="n">
        <f aca="false">Hypothèses!$D$46*$G$4</f>
        <v>400</v>
      </c>
      <c r="H44" s="15" t="n">
        <f aca="false">Hypothèses!$D$46*$G$4</f>
        <v>400</v>
      </c>
      <c r="I44" s="15" t="n">
        <f aca="false">Hypothèses!$D$46*$G$4</f>
        <v>400</v>
      </c>
      <c r="J44" s="15" t="n">
        <f aca="false">Hypothèses!$D$46*$G$4</f>
        <v>400</v>
      </c>
      <c r="K44" s="15" t="n">
        <f aca="false">Hypothèses!$D$46*$G$4</f>
        <v>400</v>
      </c>
      <c r="L44" s="15" t="n">
        <f aca="false">Hypothèses!$D$46*$G$4</f>
        <v>400</v>
      </c>
      <c r="M44" s="15" t="n">
        <f aca="false">Hypothèses!$D$46*$G$4</f>
        <v>400</v>
      </c>
      <c r="N44" s="15" t="n">
        <f aca="false">Hypothèses!$D$46*$G$4</f>
        <v>400</v>
      </c>
      <c r="O44" s="15" t="n">
        <f aca="false">Hypothèses!$D$46*$G$4</f>
        <v>400</v>
      </c>
      <c r="P44" s="15" t="n">
        <f aca="false">Hypothèses!$D$46*$G$4</f>
        <v>400</v>
      </c>
      <c r="Q44" s="15" t="n">
        <f aca="false">Hypothèses!$D$46*$G$4</f>
        <v>400</v>
      </c>
      <c r="R44" s="15" t="n">
        <f aca="false">Hypothèses!$D$46*$G$4</f>
        <v>400</v>
      </c>
      <c r="S44" s="15" t="n">
        <f aca="false">Hypothèses!$D$46*$G$4</f>
        <v>400</v>
      </c>
      <c r="T44" s="15" t="n">
        <f aca="false">Hypothèses!$D$46*$G$4</f>
        <v>400</v>
      </c>
      <c r="U44" s="15" t="n">
        <f aca="false">Hypothèses!$D$46*$G$4</f>
        <v>400</v>
      </c>
      <c r="V44" s="15" t="n">
        <f aca="false">Hypothèses!$D$46*$G$4</f>
        <v>400</v>
      </c>
      <c r="W44" s="15" t="n">
        <f aca="false">Hypothèses!$D$46*$G$4</f>
        <v>400</v>
      </c>
      <c r="X44" s="15" t="n">
        <f aca="false">Hypothèses!$D$46*$G$4</f>
        <v>400</v>
      </c>
      <c r="Y44" s="15" t="n">
        <f aca="false">Hypothèses!$D$46*$G$4</f>
        <v>400</v>
      </c>
      <c r="Z44" s="15" t="n">
        <f aca="false">Hypothèses!$D$46*$G$4</f>
        <v>400</v>
      </c>
      <c r="AA44" s="15" t="n">
        <f aca="false">Hypothèses!$D$46*$G$4</f>
        <v>400</v>
      </c>
      <c r="AB44" s="15" t="n">
        <f aca="false">Hypothèses!$D$46*$G$4</f>
        <v>400</v>
      </c>
      <c r="AC44" s="15" t="n">
        <f aca="false">Hypothèses!$D$46*$G$4</f>
        <v>400</v>
      </c>
      <c r="AD44" s="15" t="n">
        <f aca="false">Hypothèses!$D$46*$G$4</f>
        <v>400</v>
      </c>
      <c r="AE44" s="15" t="n">
        <f aca="false">Hypothèses!$D$46*$G$4</f>
        <v>400</v>
      </c>
      <c r="AF44" s="15" t="n">
        <f aca="false">Hypothèses!$D$46*$G$4</f>
        <v>400</v>
      </c>
      <c r="AG44" s="15" t="n">
        <f aca="false">Hypothèses!$D$46*$G$4</f>
        <v>400</v>
      </c>
      <c r="AH44" s="15" t="n">
        <f aca="false">Hypothèses!$D$46*$G$4</f>
        <v>400</v>
      </c>
      <c r="AI44" s="15" t="n">
        <f aca="false">Hypothèses!$D$46*$G$4</f>
        <v>400</v>
      </c>
      <c r="AJ44" s="15" t="n">
        <f aca="false">Hypothèses!$D$46*$G$4</f>
        <v>400</v>
      </c>
      <c r="AK44" s="15" t="n">
        <f aca="false">Hypothèses!$D$46*$G$4</f>
        <v>400</v>
      </c>
      <c r="AL44" s="15" t="n">
        <f aca="false">Hypothèses!$D$46*$G$4</f>
        <v>400</v>
      </c>
      <c r="AN44" s="15" t="n">
        <f aca="false">SUM(C44:N44)</f>
        <v>4800</v>
      </c>
      <c r="AO44" s="15" t="n">
        <f aca="false">SUM(O44:Z44)</f>
        <v>4800</v>
      </c>
      <c r="AP44" s="15" t="n">
        <f aca="false">SUM(AA44:AL44)</f>
        <v>4800</v>
      </c>
    </row>
    <row r="45" customFormat="false" ht="15" hidden="false" customHeight="false" outlineLevel="0" collapsed="false">
      <c r="A45" s="9" t="s">
        <v>251</v>
      </c>
      <c r="B45" s="4" t="s">
        <v>92</v>
      </c>
      <c r="C45" s="15" t="n">
        <f aca="false">Hypothèses!$D$47*$G$4</f>
        <v>800</v>
      </c>
      <c r="D45" s="15" t="n">
        <f aca="false">Hypothèses!$D$47*$G$4</f>
        <v>800</v>
      </c>
      <c r="E45" s="15" t="n">
        <f aca="false">Hypothèses!$D$47*$G$4</f>
        <v>800</v>
      </c>
      <c r="F45" s="15" t="n">
        <f aca="false">Hypothèses!$D$47*$G$4</f>
        <v>800</v>
      </c>
      <c r="G45" s="15" t="n">
        <f aca="false">Hypothèses!$D$47*$G$4</f>
        <v>800</v>
      </c>
      <c r="H45" s="15" t="n">
        <f aca="false">Hypothèses!$D$47*$G$4</f>
        <v>800</v>
      </c>
      <c r="I45" s="15" t="n">
        <f aca="false">Hypothèses!$D$47*$G$4</f>
        <v>800</v>
      </c>
      <c r="J45" s="15" t="n">
        <f aca="false">Hypothèses!$D$47*$G$4</f>
        <v>800</v>
      </c>
      <c r="K45" s="15" t="n">
        <f aca="false">Hypothèses!$D$47*$G$4</f>
        <v>800</v>
      </c>
      <c r="L45" s="15" t="n">
        <f aca="false">Hypothèses!$D$47*$G$4</f>
        <v>800</v>
      </c>
      <c r="M45" s="15" t="n">
        <f aca="false">Hypothèses!$D$47*$G$4</f>
        <v>800</v>
      </c>
      <c r="N45" s="15" t="n">
        <f aca="false">Hypothèses!$D$47*$G$4</f>
        <v>800</v>
      </c>
      <c r="O45" s="15" t="n">
        <f aca="false">Hypothèses!$D$47*$G$4</f>
        <v>800</v>
      </c>
      <c r="P45" s="15" t="n">
        <f aca="false">Hypothèses!$D$47*$G$4</f>
        <v>800</v>
      </c>
      <c r="Q45" s="15" t="n">
        <f aca="false">Hypothèses!$D$47*$G$4</f>
        <v>800</v>
      </c>
      <c r="R45" s="15" t="n">
        <f aca="false">Hypothèses!$D$47*$G$4</f>
        <v>800</v>
      </c>
      <c r="S45" s="15" t="n">
        <f aca="false">Hypothèses!$D$47*$G$4</f>
        <v>800</v>
      </c>
      <c r="T45" s="15" t="n">
        <f aca="false">Hypothèses!$D$47*$G$4</f>
        <v>800</v>
      </c>
      <c r="U45" s="15" t="n">
        <f aca="false">Hypothèses!$D$47*$G$4</f>
        <v>800</v>
      </c>
      <c r="V45" s="15" t="n">
        <f aca="false">Hypothèses!$D$47*$G$4</f>
        <v>800</v>
      </c>
      <c r="W45" s="15" t="n">
        <f aca="false">Hypothèses!$D$47*$G$4</f>
        <v>800</v>
      </c>
      <c r="X45" s="15" t="n">
        <f aca="false">Hypothèses!$D$47*$G$4</f>
        <v>800</v>
      </c>
      <c r="Y45" s="15" t="n">
        <f aca="false">Hypothèses!$D$47*$G$4</f>
        <v>800</v>
      </c>
      <c r="Z45" s="15" t="n">
        <f aca="false">Hypothèses!$D$47*$G$4</f>
        <v>800</v>
      </c>
      <c r="AA45" s="15" t="n">
        <f aca="false">Hypothèses!$D$47*$G$4</f>
        <v>800</v>
      </c>
      <c r="AB45" s="15" t="n">
        <f aca="false">Hypothèses!$D$47*$G$4</f>
        <v>800</v>
      </c>
      <c r="AC45" s="15" t="n">
        <f aca="false">Hypothèses!$D$47*$G$4</f>
        <v>800</v>
      </c>
      <c r="AD45" s="15" t="n">
        <f aca="false">Hypothèses!$D$47*$G$4</f>
        <v>800</v>
      </c>
      <c r="AE45" s="15" t="n">
        <f aca="false">Hypothèses!$D$47*$G$4</f>
        <v>800</v>
      </c>
      <c r="AF45" s="15" t="n">
        <f aca="false">Hypothèses!$D$47*$G$4</f>
        <v>800</v>
      </c>
      <c r="AG45" s="15" t="n">
        <f aca="false">Hypothèses!$D$47*$G$4</f>
        <v>800</v>
      </c>
      <c r="AH45" s="15" t="n">
        <f aca="false">Hypothèses!$D$47*$G$4</f>
        <v>800</v>
      </c>
      <c r="AI45" s="15" t="n">
        <f aca="false">Hypothèses!$D$47*$G$4</f>
        <v>800</v>
      </c>
      <c r="AJ45" s="15" t="n">
        <f aca="false">Hypothèses!$D$47*$G$4</f>
        <v>800</v>
      </c>
      <c r="AK45" s="15" t="n">
        <f aca="false">Hypothèses!$D$47*$G$4</f>
        <v>800</v>
      </c>
      <c r="AL45" s="15" t="n">
        <f aca="false">Hypothèses!$D$47*$G$4</f>
        <v>800</v>
      </c>
      <c r="AN45" s="15" t="n">
        <f aca="false">SUM(C45:N45)</f>
        <v>9600</v>
      </c>
      <c r="AO45" s="15" t="n">
        <f aca="false">SUM(O45:Z45)</f>
        <v>9600</v>
      </c>
      <c r="AP45" s="15" t="n">
        <f aca="false">SUM(AA45:AL45)</f>
        <v>9600</v>
      </c>
    </row>
    <row r="46" customFormat="false" ht="15" hidden="false" customHeight="false" outlineLevel="0" collapsed="false">
      <c r="A46" s="9" t="s">
        <v>252</v>
      </c>
      <c r="B46" s="4" t="s">
        <v>70</v>
      </c>
      <c r="C46" s="15" t="n">
        <f aca="false">C9*Hypothèses!$D$48*$G$4</f>
        <v>0</v>
      </c>
      <c r="D46" s="15" t="n">
        <f aca="false">D9*Hypothèses!$D$48*$G$4</f>
        <v>0</v>
      </c>
      <c r="E46" s="15" t="n">
        <f aca="false">E9*Hypothèses!$D$48*$G$4</f>
        <v>0</v>
      </c>
      <c r="F46" s="15" t="n">
        <f aca="false">F9*Hypothèses!$D$48*$G$4</f>
        <v>0</v>
      </c>
      <c r="G46" s="15" t="n">
        <f aca="false">G9*Hypothèses!$D$48*$G$4</f>
        <v>0</v>
      </c>
      <c r="H46" s="15" t="n">
        <f aca="false">H9*Hypothèses!$D$48*$G$4</f>
        <v>0</v>
      </c>
      <c r="I46" s="15" t="n">
        <f aca="false">I9*Hypothèses!$D$48*$G$4</f>
        <v>150</v>
      </c>
      <c r="J46" s="15" t="n">
        <f aca="false">J9*Hypothèses!$D$48*$G$4</f>
        <v>150</v>
      </c>
      <c r="K46" s="15" t="n">
        <f aca="false">K9*Hypothèses!$D$48*$G$4</f>
        <v>150</v>
      </c>
      <c r="L46" s="15" t="n">
        <f aca="false">L9*Hypothèses!$D$48*$G$4</f>
        <v>150</v>
      </c>
      <c r="M46" s="15" t="n">
        <f aca="false">M9*Hypothèses!$D$48*$G$4</f>
        <v>150</v>
      </c>
      <c r="N46" s="15" t="n">
        <f aca="false">N9*Hypothèses!$D$48*$G$4</f>
        <v>150</v>
      </c>
      <c r="O46" s="15" t="n">
        <f aca="false">O9*Hypothèses!$D$48*$G$4</f>
        <v>150</v>
      </c>
      <c r="P46" s="15" t="n">
        <f aca="false">P9*Hypothèses!$D$48*$G$4</f>
        <v>150</v>
      </c>
      <c r="Q46" s="15" t="n">
        <f aca="false">Q9*Hypothèses!$D$48*$G$4</f>
        <v>150</v>
      </c>
      <c r="R46" s="15" t="n">
        <f aca="false">R9*Hypothèses!$D$48*$G$4</f>
        <v>150</v>
      </c>
      <c r="S46" s="15" t="n">
        <f aca="false">S9*Hypothèses!$D$48*$G$4</f>
        <v>150</v>
      </c>
      <c r="T46" s="15" t="n">
        <f aca="false">T9*Hypothèses!$D$48*$G$4</f>
        <v>150</v>
      </c>
      <c r="U46" s="15" t="n">
        <f aca="false">U9*Hypothèses!$D$48*$G$4</f>
        <v>150</v>
      </c>
      <c r="V46" s="15" t="n">
        <f aca="false">V9*Hypothèses!$D$48*$G$4</f>
        <v>150</v>
      </c>
      <c r="W46" s="15" t="n">
        <f aca="false">W9*Hypothèses!$D$48*$G$4</f>
        <v>150</v>
      </c>
      <c r="X46" s="15" t="n">
        <f aca="false">X9*Hypothèses!$D$48*$G$4</f>
        <v>150</v>
      </c>
      <c r="Y46" s="15" t="n">
        <f aca="false">Y9*Hypothèses!$D$48*$G$4</f>
        <v>150</v>
      </c>
      <c r="Z46" s="15" t="n">
        <f aca="false">Z9*Hypothèses!$D$48*$G$4</f>
        <v>150</v>
      </c>
      <c r="AA46" s="15" t="n">
        <f aca="false">AA9*Hypothèses!$D$48*$G$4</f>
        <v>150</v>
      </c>
      <c r="AB46" s="15" t="n">
        <f aca="false">AB9*Hypothèses!$D$48*$G$4</f>
        <v>150</v>
      </c>
      <c r="AC46" s="15" t="n">
        <f aca="false">AC9*Hypothèses!$D$48*$G$4</f>
        <v>150</v>
      </c>
      <c r="AD46" s="15" t="n">
        <f aca="false">AD9*Hypothèses!$D$48*$G$4</f>
        <v>150</v>
      </c>
      <c r="AE46" s="15" t="n">
        <f aca="false">AE9*Hypothèses!$D$48*$G$4</f>
        <v>150</v>
      </c>
      <c r="AF46" s="15" t="n">
        <f aca="false">AF9*Hypothèses!$D$48*$G$4</f>
        <v>150</v>
      </c>
      <c r="AG46" s="15" t="n">
        <f aca="false">AG9*Hypothèses!$D$48*$G$4</f>
        <v>150</v>
      </c>
      <c r="AH46" s="15" t="n">
        <f aca="false">AH9*Hypothèses!$D$48*$G$4</f>
        <v>150</v>
      </c>
      <c r="AI46" s="15" t="n">
        <f aca="false">AI9*Hypothèses!$D$48*$G$4</f>
        <v>150</v>
      </c>
      <c r="AJ46" s="15" t="n">
        <f aca="false">AJ9*Hypothèses!$D$48*$G$4</f>
        <v>150</v>
      </c>
      <c r="AK46" s="15" t="n">
        <f aca="false">AK9*Hypothèses!$D$48*$G$4</f>
        <v>150</v>
      </c>
      <c r="AL46" s="15" t="n">
        <f aca="false">AL9*Hypothèses!$D$48*$G$4</f>
        <v>150</v>
      </c>
      <c r="AN46" s="15" t="n">
        <f aca="false">SUM(C46:N46)</f>
        <v>900</v>
      </c>
      <c r="AO46" s="15" t="n">
        <f aca="false">SUM(O46:Z46)</f>
        <v>1800</v>
      </c>
      <c r="AP46" s="15" t="n">
        <f aca="false">SUM(AA46:AL46)</f>
        <v>1800</v>
      </c>
    </row>
    <row r="47" customFormat="false" ht="15" hidden="false" customHeight="false" outlineLevel="0" collapsed="false">
      <c r="A47" s="9" t="s">
        <v>253</v>
      </c>
      <c r="B47" s="4" t="s">
        <v>92</v>
      </c>
      <c r="C47" s="15" t="n">
        <f aca="false">C9*Hypothèses!$D$49*$G$4</f>
        <v>0</v>
      </c>
      <c r="D47" s="15" t="n">
        <f aca="false">D9*Hypothèses!$D$49*$G$4</f>
        <v>0</v>
      </c>
      <c r="E47" s="15" t="n">
        <f aca="false">E9*Hypothèses!$D$49*$G$4</f>
        <v>0</v>
      </c>
      <c r="F47" s="15" t="n">
        <f aca="false">F9*Hypothèses!$D$49*$G$4</f>
        <v>0</v>
      </c>
      <c r="G47" s="15" t="n">
        <f aca="false">G9*Hypothèses!$D$49*$G$4</f>
        <v>0</v>
      </c>
      <c r="H47" s="15" t="n">
        <f aca="false">H9*Hypothèses!$D$49*$G$4</f>
        <v>0</v>
      </c>
      <c r="I47" s="15" t="n">
        <f aca="false">I9*Hypothèses!$D$49*$G$4</f>
        <v>1000</v>
      </c>
      <c r="J47" s="15" t="n">
        <f aca="false">J9*Hypothèses!$D$49*$G$4</f>
        <v>1000</v>
      </c>
      <c r="K47" s="15" t="n">
        <f aca="false">K9*Hypothèses!$D$49*$G$4</f>
        <v>1000</v>
      </c>
      <c r="L47" s="15" t="n">
        <f aca="false">L9*Hypothèses!$D$49*$G$4</f>
        <v>1000</v>
      </c>
      <c r="M47" s="15" t="n">
        <f aca="false">M9*Hypothèses!$D$49*$G$4</f>
        <v>1000</v>
      </c>
      <c r="N47" s="15" t="n">
        <f aca="false">N9*Hypothèses!$D$49*$G$4</f>
        <v>1000</v>
      </c>
      <c r="O47" s="15" t="n">
        <f aca="false">O9*Hypothèses!$D$49*$G$4</f>
        <v>1000</v>
      </c>
      <c r="P47" s="15" t="n">
        <f aca="false">P9*Hypothèses!$D$49*$G$4</f>
        <v>1000</v>
      </c>
      <c r="Q47" s="15" t="n">
        <f aca="false">Q9*Hypothèses!$D$49*$G$4</f>
        <v>1000</v>
      </c>
      <c r="R47" s="15" t="n">
        <f aca="false">R9*Hypothèses!$D$49*$G$4</f>
        <v>1000</v>
      </c>
      <c r="S47" s="15" t="n">
        <f aca="false">S9*Hypothèses!$D$49*$G$4</f>
        <v>1000</v>
      </c>
      <c r="T47" s="15" t="n">
        <f aca="false">T9*Hypothèses!$D$49*$G$4</f>
        <v>1000</v>
      </c>
      <c r="U47" s="15" t="n">
        <f aca="false">U9*Hypothèses!$D$49*$G$4</f>
        <v>1000</v>
      </c>
      <c r="V47" s="15" t="n">
        <f aca="false">V9*Hypothèses!$D$49*$G$4</f>
        <v>1000</v>
      </c>
      <c r="W47" s="15" t="n">
        <f aca="false">W9*Hypothèses!$D$49*$G$4</f>
        <v>1000</v>
      </c>
      <c r="X47" s="15" t="n">
        <f aca="false">X9*Hypothèses!$D$49*$G$4</f>
        <v>1000</v>
      </c>
      <c r="Y47" s="15" t="n">
        <f aca="false">Y9*Hypothèses!$D$49*$G$4</f>
        <v>1000</v>
      </c>
      <c r="Z47" s="15" t="n">
        <f aca="false">Z9*Hypothèses!$D$49*$G$4</f>
        <v>1000</v>
      </c>
      <c r="AA47" s="15" t="n">
        <f aca="false">AA9*Hypothèses!$D$49*$G$4</f>
        <v>1000</v>
      </c>
      <c r="AB47" s="15" t="n">
        <f aca="false">AB9*Hypothèses!$D$49*$G$4</f>
        <v>1000</v>
      </c>
      <c r="AC47" s="15" t="n">
        <f aca="false">AC9*Hypothèses!$D$49*$G$4</f>
        <v>1000</v>
      </c>
      <c r="AD47" s="15" t="n">
        <f aca="false">AD9*Hypothèses!$D$49*$G$4</f>
        <v>1000</v>
      </c>
      <c r="AE47" s="15" t="n">
        <f aca="false">AE9*Hypothèses!$D$49*$G$4</f>
        <v>1000</v>
      </c>
      <c r="AF47" s="15" t="n">
        <f aca="false">AF9*Hypothèses!$D$49*$G$4</f>
        <v>1000</v>
      </c>
      <c r="AG47" s="15" t="n">
        <f aca="false">AG9*Hypothèses!$D$49*$G$4</f>
        <v>1000</v>
      </c>
      <c r="AH47" s="15" t="n">
        <f aca="false">AH9*Hypothèses!$D$49*$G$4</f>
        <v>1000</v>
      </c>
      <c r="AI47" s="15" t="n">
        <f aca="false">AI9*Hypothèses!$D$49*$G$4</f>
        <v>1000</v>
      </c>
      <c r="AJ47" s="15" t="n">
        <f aca="false">AJ9*Hypothèses!$D$49*$G$4</f>
        <v>1000</v>
      </c>
      <c r="AK47" s="15" t="n">
        <f aca="false">AK9*Hypothèses!$D$49*$G$4</f>
        <v>1000</v>
      </c>
      <c r="AL47" s="15" t="n">
        <f aca="false">AL9*Hypothèses!$D$49*$G$4</f>
        <v>1000</v>
      </c>
      <c r="AN47" s="15" t="n">
        <f aca="false">SUM(C47:N47)</f>
        <v>6000</v>
      </c>
      <c r="AO47" s="15" t="n">
        <f aca="false">SUM(O47:Z47)</f>
        <v>12000</v>
      </c>
      <c r="AP47" s="15" t="n">
        <f aca="false">SUM(AA47:AL47)</f>
        <v>12000</v>
      </c>
    </row>
    <row r="48" customFormat="false" ht="15" hidden="false" customHeight="false" outlineLevel="0" collapsed="false">
      <c r="A48" s="9" t="s">
        <v>115</v>
      </c>
      <c r="B48" s="4" t="s">
        <v>92</v>
      </c>
      <c r="C48" s="15" t="n">
        <f aca="false">Hypothèses!$D$50*$G$4</f>
        <v>300</v>
      </c>
      <c r="D48" s="15" t="n">
        <f aca="false">Hypothèses!$D$50*$G$4</f>
        <v>300</v>
      </c>
      <c r="E48" s="15" t="n">
        <f aca="false">Hypothèses!$D$50*$G$4</f>
        <v>300</v>
      </c>
      <c r="F48" s="15" t="n">
        <f aca="false">Hypothèses!$D$50*$G$4</f>
        <v>300</v>
      </c>
      <c r="G48" s="15" t="n">
        <f aca="false">Hypothèses!$D$50*$G$4</f>
        <v>300</v>
      </c>
      <c r="H48" s="15" t="n">
        <f aca="false">Hypothèses!$D$50*$G$4</f>
        <v>300</v>
      </c>
      <c r="I48" s="15" t="n">
        <f aca="false">Hypothèses!$D$50*$G$4</f>
        <v>300</v>
      </c>
      <c r="J48" s="15" t="n">
        <f aca="false">Hypothèses!$D$50*$G$4</f>
        <v>300</v>
      </c>
      <c r="K48" s="15" t="n">
        <f aca="false">Hypothèses!$D$50*$G$4</f>
        <v>300</v>
      </c>
      <c r="L48" s="15" t="n">
        <f aca="false">Hypothèses!$D$50*$G$4</f>
        <v>300</v>
      </c>
      <c r="M48" s="15" t="n">
        <f aca="false">Hypothèses!$D$50*$G$4</f>
        <v>300</v>
      </c>
      <c r="N48" s="15" t="n">
        <f aca="false">Hypothèses!$D$50*$G$4</f>
        <v>300</v>
      </c>
      <c r="O48" s="15" t="n">
        <f aca="false">Hypothèses!$D$50*$G$4</f>
        <v>300</v>
      </c>
      <c r="P48" s="15" t="n">
        <f aca="false">Hypothèses!$D$50*$G$4</f>
        <v>300</v>
      </c>
      <c r="Q48" s="15" t="n">
        <f aca="false">Hypothèses!$D$50*$G$4</f>
        <v>300</v>
      </c>
      <c r="R48" s="15" t="n">
        <f aca="false">Hypothèses!$D$50*$G$4</f>
        <v>300</v>
      </c>
      <c r="S48" s="15" t="n">
        <f aca="false">Hypothèses!$D$50*$G$4</f>
        <v>300</v>
      </c>
      <c r="T48" s="15" t="n">
        <f aca="false">Hypothèses!$D$50*$G$4</f>
        <v>300</v>
      </c>
      <c r="U48" s="15" t="n">
        <f aca="false">Hypothèses!$D$50*$G$4</f>
        <v>300</v>
      </c>
      <c r="V48" s="15" t="n">
        <f aca="false">Hypothèses!$D$50*$G$4</f>
        <v>300</v>
      </c>
      <c r="W48" s="15" t="n">
        <f aca="false">Hypothèses!$D$50*$G$4</f>
        <v>300</v>
      </c>
      <c r="X48" s="15" t="n">
        <f aca="false">Hypothèses!$D$50*$G$4</f>
        <v>300</v>
      </c>
      <c r="Y48" s="15" t="n">
        <f aca="false">Hypothèses!$D$50*$G$4</f>
        <v>300</v>
      </c>
      <c r="Z48" s="15" t="n">
        <f aca="false">Hypothèses!$D$50*$G$4</f>
        <v>300</v>
      </c>
      <c r="AA48" s="15" t="n">
        <f aca="false">Hypothèses!$D$50*$G$4</f>
        <v>300</v>
      </c>
      <c r="AB48" s="15" t="n">
        <f aca="false">Hypothèses!$D$50*$G$4</f>
        <v>300</v>
      </c>
      <c r="AC48" s="15" t="n">
        <f aca="false">Hypothèses!$D$50*$G$4</f>
        <v>300</v>
      </c>
      <c r="AD48" s="15" t="n">
        <f aca="false">Hypothèses!$D$50*$G$4</f>
        <v>300</v>
      </c>
      <c r="AE48" s="15" t="n">
        <f aca="false">Hypothèses!$D$50*$G$4</f>
        <v>300</v>
      </c>
      <c r="AF48" s="15" t="n">
        <f aca="false">Hypothèses!$D$50*$G$4</f>
        <v>300</v>
      </c>
      <c r="AG48" s="15" t="n">
        <f aca="false">Hypothèses!$D$50*$G$4</f>
        <v>300</v>
      </c>
      <c r="AH48" s="15" t="n">
        <f aca="false">Hypothèses!$D$50*$G$4</f>
        <v>300</v>
      </c>
      <c r="AI48" s="15" t="n">
        <f aca="false">Hypothèses!$D$50*$G$4</f>
        <v>300</v>
      </c>
      <c r="AJ48" s="15" t="n">
        <f aca="false">Hypothèses!$D$50*$G$4</f>
        <v>300</v>
      </c>
      <c r="AK48" s="15" t="n">
        <f aca="false">Hypothèses!$D$50*$G$4</f>
        <v>300</v>
      </c>
      <c r="AL48" s="15" t="n">
        <f aca="false">Hypothèses!$D$50*$G$4</f>
        <v>300</v>
      </c>
      <c r="AN48" s="15" t="n">
        <f aca="false">SUM(C48:N48)</f>
        <v>3600</v>
      </c>
      <c r="AO48" s="15" t="n">
        <f aca="false">SUM(O48:Z48)</f>
        <v>3600</v>
      </c>
      <c r="AP48" s="15" t="n">
        <f aca="false">SUM(AA48:AL48)</f>
        <v>3600</v>
      </c>
    </row>
    <row r="49" customFormat="false" ht="15" hidden="false" customHeight="false" outlineLevel="0" collapsed="false">
      <c r="A49" s="9" t="s">
        <v>254</v>
      </c>
      <c r="B49" s="4" t="s">
        <v>92</v>
      </c>
      <c r="C49" s="15" t="n">
        <f aca="false">IF(AND(C9=1,MOD(C7-$B$5,12)=0),Hypothèses!$D$51,0)*$G$4</f>
        <v>0</v>
      </c>
      <c r="D49" s="15" t="n">
        <f aca="false">IF(AND(D9=1,MOD(D7-$B$5,12)=0),Hypothèses!$D$51,0)*$G$4</f>
        <v>0</v>
      </c>
      <c r="E49" s="15" t="n">
        <f aca="false">IF(AND(E9=1,MOD(E7-$B$5,12)=0),Hypothèses!$D$51,0)*$G$4</f>
        <v>0</v>
      </c>
      <c r="F49" s="15" t="n">
        <f aca="false">IF(AND(F9=1,MOD(F7-$B$5,12)=0),Hypothèses!$D$51,0)*$G$4</f>
        <v>0</v>
      </c>
      <c r="G49" s="15" t="n">
        <f aca="false">IF(AND(G9=1,MOD(G7-$B$5,12)=0),Hypothèses!$D$51,0)*$G$4</f>
        <v>0</v>
      </c>
      <c r="H49" s="15" t="n">
        <f aca="false">IF(AND(H9=1,MOD(H7-$B$5,12)=0),Hypothèses!$D$51,0)*$G$4</f>
        <v>0</v>
      </c>
      <c r="I49" s="15" t="n">
        <f aca="false">IF(AND(I9=1,MOD(I7-$B$5,12)=0),Hypothèses!$D$51,0)*$G$4</f>
        <v>5000</v>
      </c>
      <c r="J49" s="15" t="n">
        <f aca="false">IF(AND(J9=1,MOD(J7-$B$5,12)=0),Hypothèses!$D$51,0)*$G$4</f>
        <v>0</v>
      </c>
      <c r="K49" s="15" t="n">
        <f aca="false">IF(AND(K9=1,MOD(K7-$B$5,12)=0),Hypothèses!$D$51,0)*$G$4</f>
        <v>0</v>
      </c>
      <c r="L49" s="15" t="n">
        <f aca="false">IF(AND(L9=1,MOD(L7-$B$5,12)=0),Hypothèses!$D$51,0)*$G$4</f>
        <v>0</v>
      </c>
      <c r="M49" s="15" t="n">
        <f aca="false">IF(AND(M9=1,MOD(M7-$B$5,12)=0),Hypothèses!$D$51,0)*$G$4</f>
        <v>0</v>
      </c>
      <c r="N49" s="15" t="n">
        <f aca="false">IF(AND(N9=1,MOD(N7-$B$5,12)=0),Hypothèses!$D$51,0)*$G$4</f>
        <v>0</v>
      </c>
      <c r="O49" s="15" t="n">
        <f aca="false">IF(AND(O9=1,MOD(O7-$B$5,12)=0),Hypothèses!$D$51,0)*$G$4</f>
        <v>0</v>
      </c>
      <c r="P49" s="15" t="n">
        <f aca="false">IF(AND(P9=1,MOD(P7-$B$5,12)=0),Hypothèses!$D$51,0)*$G$4</f>
        <v>0</v>
      </c>
      <c r="Q49" s="15" t="n">
        <f aca="false">IF(AND(Q9=1,MOD(Q7-$B$5,12)=0),Hypothèses!$D$51,0)*$G$4</f>
        <v>0</v>
      </c>
      <c r="R49" s="15" t="n">
        <f aca="false">IF(AND(R9=1,MOD(R7-$B$5,12)=0),Hypothèses!$D$51,0)*$G$4</f>
        <v>0</v>
      </c>
      <c r="S49" s="15" t="n">
        <f aca="false">IF(AND(S9=1,MOD(S7-$B$5,12)=0),Hypothèses!$D$51,0)*$G$4</f>
        <v>0</v>
      </c>
      <c r="T49" s="15" t="n">
        <f aca="false">IF(AND(T9=1,MOD(T7-$B$5,12)=0),Hypothèses!$D$51,0)*$G$4</f>
        <v>0</v>
      </c>
      <c r="U49" s="15" t="n">
        <f aca="false">IF(AND(U9=1,MOD(U7-$B$5,12)=0),Hypothèses!$D$51,0)*$G$4</f>
        <v>5000</v>
      </c>
      <c r="V49" s="15" t="n">
        <f aca="false">IF(AND(V9=1,MOD(V7-$B$5,12)=0),Hypothèses!$D$51,0)*$G$4</f>
        <v>0</v>
      </c>
      <c r="W49" s="15" t="n">
        <f aca="false">IF(AND(W9=1,MOD(W7-$B$5,12)=0),Hypothèses!$D$51,0)*$G$4</f>
        <v>0</v>
      </c>
      <c r="X49" s="15" t="n">
        <f aca="false">IF(AND(X9=1,MOD(X7-$B$5,12)=0),Hypothèses!$D$51,0)*$G$4</f>
        <v>0</v>
      </c>
      <c r="Y49" s="15" t="n">
        <f aca="false">IF(AND(Y9=1,MOD(Y7-$B$5,12)=0),Hypothèses!$D$51,0)*$G$4</f>
        <v>0</v>
      </c>
      <c r="Z49" s="15" t="n">
        <f aca="false">IF(AND(Z9=1,MOD(Z7-$B$5,12)=0),Hypothèses!$D$51,0)*$G$4</f>
        <v>0</v>
      </c>
      <c r="AA49" s="15" t="n">
        <f aca="false">IF(AND(AA9=1,MOD(AA7-$B$5,12)=0),Hypothèses!$D$51,0)*$G$4</f>
        <v>0</v>
      </c>
      <c r="AB49" s="15" t="n">
        <f aca="false">IF(AND(AB9=1,MOD(AB7-$B$5,12)=0),Hypothèses!$D$51,0)*$G$4</f>
        <v>0</v>
      </c>
      <c r="AC49" s="15" t="n">
        <f aca="false">IF(AND(AC9=1,MOD(AC7-$B$5,12)=0),Hypothèses!$D$51,0)*$G$4</f>
        <v>0</v>
      </c>
      <c r="AD49" s="15" t="n">
        <f aca="false">IF(AND(AD9=1,MOD(AD7-$B$5,12)=0),Hypothèses!$D$51,0)*$G$4</f>
        <v>0</v>
      </c>
      <c r="AE49" s="15" t="n">
        <f aca="false">IF(AND(AE9=1,MOD(AE7-$B$5,12)=0),Hypothèses!$D$51,0)*$G$4</f>
        <v>0</v>
      </c>
      <c r="AF49" s="15" t="n">
        <f aca="false">IF(AND(AF9=1,MOD(AF7-$B$5,12)=0),Hypothèses!$D$51,0)*$G$4</f>
        <v>0</v>
      </c>
      <c r="AG49" s="15" t="n">
        <f aca="false">IF(AND(AG9=1,MOD(AG7-$B$5,12)=0),Hypothèses!$D$51,0)*$G$4</f>
        <v>5000</v>
      </c>
      <c r="AH49" s="15" t="n">
        <f aca="false">IF(AND(AH9=1,MOD(AH7-$B$5,12)=0),Hypothèses!$D$51,0)*$G$4</f>
        <v>0</v>
      </c>
      <c r="AI49" s="15" t="n">
        <f aca="false">IF(AND(AI9=1,MOD(AI7-$B$5,12)=0),Hypothèses!$D$51,0)*$G$4</f>
        <v>0</v>
      </c>
      <c r="AJ49" s="15" t="n">
        <f aca="false">IF(AND(AJ9=1,MOD(AJ7-$B$5,12)=0),Hypothèses!$D$51,0)*$G$4</f>
        <v>0</v>
      </c>
      <c r="AK49" s="15" t="n">
        <f aca="false">IF(AND(AK9=1,MOD(AK7-$B$5,12)=0),Hypothèses!$D$51,0)*$G$4</f>
        <v>0</v>
      </c>
      <c r="AL49" s="15" t="n">
        <f aca="false">IF(AND(AL9=1,MOD(AL7-$B$5,12)=0),Hypothèses!$D$51,0)*$G$4</f>
        <v>0</v>
      </c>
      <c r="AN49" s="15" t="n">
        <f aca="false">SUM(C49:N49)</f>
        <v>5000</v>
      </c>
      <c r="AO49" s="15" t="n">
        <f aca="false">SUM(O49:Z49)</f>
        <v>5000</v>
      </c>
      <c r="AP49" s="15" t="n">
        <f aca="false">SUM(AA49:AL49)</f>
        <v>5000</v>
      </c>
    </row>
    <row r="50" customFormat="false" ht="15" hidden="false" customHeight="false" outlineLevel="0" collapsed="false">
      <c r="A50" s="9" t="s">
        <v>255</v>
      </c>
      <c r="B50" s="4" t="s">
        <v>92</v>
      </c>
      <c r="C50" s="15" t="n">
        <f aca="false">IF(C7=2,Hypothèses!$D$52,0)</f>
        <v>0</v>
      </c>
      <c r="D50" s="15" t="n">
        <f aca="false">IF(D7=2,Hypothèses!$D$52,0)</f>
        <v>2500</v>
      </c>
      <c r="E50" s="15" t="n">
        <f aca="false">IF(E7=2,Hypothèses!$D$52,0)</f>
        <v>0</v>
      </c>
      <c r="F50" s="15" t="n">
        <f aca="false">IF(F7=2,Hypothèses!$D$52,0)</f>
        <v>0</v>
      </c>
      <c r="G50" s="15" t="n">
        <f aca="false">IF(G7=2,Hypothèses!$D$52,0)</f>
        <v>0</v>
      </c>
      <c r="H50" s="15" t="n">
        <f aca="false">IF(H7=2,Hypothèses!$D$52,0)</f>
        <v>0</v>
      </c>
      <c r="I50" s="15" t="n">
        <f aca="false">IF(I7=2,Hypothèses!$D$52,0)</f>
        <v>0</v>
      </c>
      <c r="J50" s="15" t="n">
        <f aca="false">IF(J7=2,Hypothèses!$D$52,0)</f>
        <v>0</v>
      </c>
      <c r="K50" s="15" t="n">
        <f aca="false">IF(K7=2,Hypothèses!$D$52,0)</f>
        <v>0</v>
      </c>
      <c r="L50" s="15" t="n">
        <f aca="false">IF(L7=2,Hypothèses!$D$52,0)</f>
        <v>0</v>
      </c>
      <c r="M50" s="15" t="n">
        <f aca="false">IF(M7=2,Hypothèses!$D$52,0)</f>
        <v>0</v>
      </c>
      <c r="N50" s="15" t="n">
        <f aca="false">IF(N7=2,Hypothèses!$D$52,0)</f>
        <v>0</v>
      </c>
      <c r="O50" s="15" t="n">
        <f aca="false">IF(O7=2,Hypothèses!$D$52,0)</f>
        <v>0</v>
      </c>
      <c r="P50" s="15" t="n">
        <f aca="false">IF(P7=2,Hypothèses!$D$52,0)</f>
        <v>0</v>
      </c>
      <c r="Q50" s="15" t="n">
        <f aca="false">IF(Q7=2,Hypothèses!$D$52,0)</f>
        <v>0</v>
      </c>
      <c r="R50" s="15" t="n">
        <f aca="false">IF(R7=2,Hypothèses!$D$52,0)</f>
        <v>0</v>
      </c>
      <c r="S50" s="15" t="n">
        <f aca="false">IF(S7=2,Hypothèses!$D$52,0)</f>
        <v>0</v>
      </c>
      <c r="T50" s="15" t="n">
        <f aca="false">IF(T7=2,Hypothèses!$D$52,0)</f>
        <v>0</v>
      </c>
      <c r="U50" s="15" t="n">
        <f aca="false">IF(U7=2,Hypothèses!$D$52,0)</f>
        <v>0</v>
      </c>
      <c r="V50" s="15" t="n">
        <f aca="false">IF(V7=2,Hypothèses!$D$52,0)</f>
        <v>0</v>
      </c>
      <c r="W50" s="15" t="n">
        <f aca="false">IF(W7=2,Hypothèses!$D$52,0)</f>
        <v>0</v>
      </c>
      <c r="X50" s="15" t="n">
        <f aca="false">IF(X7=2,Hypothèses!$D$52,0)</f>
        <v>0</v>
      </c>
      <c r="Y50" s="15" t="n">
        <f aca="false">IF(Y7=2,Hypothèses!$D$52,0)</f>
        <v>0</v>
      </c>
      <c r="Z50" s="15" t="n">
        <f aca="false">IF(Z7=2,Hypothèses!$D$52,0)</f>
        <v>0</v>
      </c>
      <c r="AA50" s="15" t="n">
        <f aca="false">IF(AA7=2,Hypothèses!$D$52,0)</f>
        <v>0</v>
      </c>
      <c r="AB50" s="15" t="n">
        <f aca="false">IF(AB7=2,Hypothèses!$D$52,0)</f>
        <v>0</v>
      </c>
      <c r="AC50" s="15" t="n">
        <f aca="false">IF(AC7=2,Hypothèses!$D$52,0)</f>
        <v>0</v>
      </c>
      <c r="AD50" s="15" t="n">
        <f aca="false">IF(AD7=2,Hypothèses!$D$52,0)</f>
        <v>0</v>
      </c>
      <c r="AE50" s="15" t="n">
        <f aca="false">IF(AE7=2,Hypothèses!$D$52,0)</f>
        <v>0</v>
      </c>
      <c r="AF50" s="15" t="n">
        <f aca="false">IF(AF7=2,Hypothèses!$D$52,0)</f>
        <v>0</v>
      </c>
      <c r="AG50" s="15" t="n">
        <f aca="false">IF(AG7=2,Hypothèses!$D$52,0)</f>
        <v>0</v>
      </c>
      <c r="AH50" s="15" t="n">
        <f aca="false">IF(AH7=2,Hypothèses!$D$52,0)</f>
        <v>0</v>
      </c>
      <c r="AI50" s="15" t="n">
        <f aca="false">IF(AI7=2,Hypothèses!$D$52,0)</f>
        <v>0</v>
      </c>
      <c r="AJ50" s="15" t="n">
        <f aca="false">IF(AJ7=2,Hypothèses!$D$52,0)</f>
        <v>0</v>
      </c>
      <c r="AK50" s="15" t="n">
        <f aca="false">IF(AK7=2,Hypothèses!$D$52,0)</f>
        <v>0</v>
      </c>
      <c r="AL50" s="15" t="n">
        <f aca="false">IF(AL7=2,Hypothèses!$D$52,0)</f>
        <v>0</v>
      </c>
      <c r="AN50" s="15" t="n">
        <f aca="false">SUM(C50:N50)</f>
        <v>2500</v>
      </c>
      <c r="AO50" s="15" t="n">
        <f aca="false">SUM(O50:Z50)</f>
        <v>0</v>
      </c>
      <c r="AP50" s="15" t="n">
        <f aca="false">SUM(AA50:AL50)</f>
        <v>0</v>
      </c>
    </row>
    <row r="51" customFormat="false" ht="15" hidden="false" customHeight="false" outlineLevel="0" collapsed="false">
      <c r="A51" s="2" t="s">
        <v>256</v>
      </c>
      <c r="B51" s="4" t="s">
        <v>92</v>
      </c>
      <c r="C51" s="40" t="n">
        <f aca="false">SUM(C40:C50)</f>
        <v>14341.6666666667</v>
      </c>
      <c r="D51" s="40" t="n">
        <f aca="false">SUM(D40:D50)</f>
        <v>16841.6666666667</v>
      </c>
      <c r="E51" s="40" t="n">
        <f aca="false">SUM(E40:E50)</f>
        <v>14341.6666666667</v>
      </c>
      <c r="F51" s="40" t="n">
        <f aca="false">SUM(F40:F50)</f>
        <v>14341.6666666667</v>
      </c>
      <c r="G51" s="40" t="n">
        <f aca="false">SUM(G40:G50)</f>
        <v>14341.6666666667</v>
      </c>
      <c r="H51" s="40" t="n">
        <f aca="false">SUM(H40:H50)</f>
        <v>14341.6666666667</v>
      </c>
      <c r="I51" s="40" t="n">
        <f aca="false">SUM(I40:I50)</f>
        <v>7650</v>
      </c>
      <c r="J51" s="40" t="n">
        <f aca="false">SUM(J40:J50)</f>
        <v>2650</v>
      </c>
      <c r="K51" s="40" t="n">
        <f aca="false">SUM(K40:K50)</f>
        <v>2650</v>
      </c>
      <c r="L51" s="40" t="n">
        <f aca="false">SUM(L40:L50)</f>
        <v>2650</v>
      </c>
      <c r="M51" s="40" t="n">
        <f aca="false">SUM(M40:M50)</f>
        <v>2650</v>
      </c>
      <c r="N51" s="40" t="n">
        <f aca="false">SUM(N40:N50)</f>
        <v>2650</v>
      </c>
      <c r="O51" s="40" t="n">
        <f aca="false">SUM(O40:O50)</f>
        <v>17150</v>
      </c>
      <c r="P51" s="40" t="n">
        <f aca="false">SUM(P40:P50)</f>
        <v>17150</v>
      </c>
      <c r="Q51" s="40" t="n">
        <f aca="false">SUM(Q40:Q50)</f>
        <v>17150</v>
      </c>
      <c r="R51" s="40" t="n">
        <f aca="false">SUM(R40:R50)</f>
        <v>17150</v>
      </c>
      <c r="S51" s="40" t="n">
        <f aca="false">SUM(S40:S50)</f>
        <v>17150</v>
      </c>
      <c r="T51" s="40" t="n">
        <f aca="false">SUM(T40:T50)</f>
        <v>17150</v>
      </c>
      <c r="U51" s="40" t="n">
        <f aca="false">SUM(U40:U50)</f>
        <v>28650</v>
      </c>
      <c r="V51" s="40" t="n">
        <f aca="false">SUM(V40:V50)</f>
        <v>23650</v>
      </c>
      <c r="W51" s="40" t="n">
        <f aca="false">SUM(W40:W50)</f>
        <v>23650</v>
      </c>
      <c r="X51" s="40" t="n">
        <f aca="false">SUM(X40:X50)</f>
        <v>23650</v>
      </c>
      <c r="Y51" s="40" t="n">
        <f aca="false">SUM(Y40:Y50)</f>
        <v>23650</v>
      </c>
      <c r="Z51" s="40" t="n">
        <f aca="false">SUM(Z40:Z50)</f>
        <v>23650</v>
      </c>
      <c r="AA51" s="40" t="n">
        <f aca="false">SUM(AA40:AA50)</f>
        <v>23650</v>
      </c>
      <c r="AB51" s="40" t="n">
        <f aca="false">SUM(AB40:AB50)</f>
        <v>23650</v>
      </c>
      <c r="AC51" s="40" t="n">
        <f aca="false">SUM(AC40:AC50)</f>
        <v>23650</v>
      </c>
      <c r="AD51" s="40" t="n">
        <f aca="false">SUM(AD40:AD50)</f>
        <v>23650</v>
      </c>
      <c r="AE51" s="40" t="n">
        <f aca="false">SUM(AE40:AE50)</f>
        <v>23650</v>
      </c>
      <c r="AF51" s="40" t="n">
        <f aca="false">SUM(AF40:AF50)</f>
        <v>23650</v>
      </c>
      <c r="AG51" s="40" t="n">
        <f aca="false">SUM(AG40:AG50)</f>
        <v>28650</v>
      </c>
      <c r="AH51" s="40" t="n">
        <f aca="false">SUM(AH40:AH50)</f>
        <v>23650</v>
      </c>
      <c r="AI51" s="40" t="n">
        <f aca="false">SUM(AI40:AI50)</f>
        <v>23650</v>
      </c>
      <c r="AJ51" s="40" t="n">
        <f aca="false">SUM(AJ40:AJ50)</f>
        <v>23650</v>
      </c>
      <c r="AK51" s="40" t="n">
        <f aca="false">SUM(AK40:AK50)</f>
        <v>23650</v>
      </c>
      <c r="AL51" s="40" t="n">
        <f aca="false">SUM(AL40:AL50)</f>
        <v>23650</v>
      </c>
      <c r="AN51" s="40" t="n">
        <f aca="false">SUM(C51:N51)</f>
        <v>109450</v>
      </c>
      <c r="AO51" s="40" t="n">
        <f aca="false">SUM(O51:Z51)</f>
        <v>249800</v>
      </c>
      <c r="AP51" s="40" t="n">
        <f aca="false">SUM(AA51:AL51)</f>
        <v>288800</v>
      </c>
    </row>
    <row r="52" customFormat="false" ht="15" hidden="false" customHeight="false" outlineLevel="0" collapsed="false">
      <c r="A52" s="2" t="s">
        <v>257</v>
      </c>
      <c r="B52" s="4" t="s">
        <v>92</v>
      </c>
      <c r="C52" s="40" t="n">
        <f aca="false">C37-C39-C51</f>
        <v>-14341.6666666667</v>
      </c>
      <c r="D52" s="40" t="n">
        <f aca="false">D37-D39-D51</f>
        <v>-16841.6666666667</v>
      </c>
      <c r="E52" s="40" t="n">
        <f aca="false">E37-E39-E51</f>
        <v>-13887.7556666667</v>
      </c>
      <c r="F52" s="40" t="n">
        <f aca="false">F37-F39-F51</f>
        <v>-13924.0690005777</v>
      </c>
      <c r="G52" s="40" t="n">
        <f aca="false">G37-G39-G51</f>
        <v>-13957.4772314625</v>
      </c>
      <c r="H52" s="40" t="n">
        <f aca="false">H37-H39-H51</f>
        <v>-13988.2127704682</v>
      </c>
      <c r="I52" s="40" t="n">
        <f aca="false">I37-I39-I51</f>
        <v>-9409.93169102736</v>
      </c>
      <c r="J52" s="40" t="n">
        <f aca="false">J37-J39-J51</f>
        <v>-3576.51502963403</v>
      </c>
      <c r="K52" s="40" t="n">
        <f aca="false">K37-K39-K51</f>
        <v>-2793.10420134096</v>
      </c>
      <c r="L52" s="40" t="n">
        <f aca="false">L37-L39-L51</f>
        <v>-2056.6988061563</v>
      </c>
      <c r="M52" s="40" t="n">
        <f aca="false">M37-M39-M51</f>
        <v>-1364.47847108811</v>
      </c>
      <c r="N52" s="40" t="n">
        <f aca="false">N37-N39-N51</f>
        <v>-713.792048344356</v>
      </c>
      <c r="O52" s="40" t="n">
        <f aca="false">O37-O39-O51</f>
        <v>-19483.8961283183</v>
      </c>
      <c r="P52" s="40" t="n">
        <f aca="false">P37-P39-P51</f>
        <v>-16917.7966933897</v>
      </c>
      <c r="Q52" s="40" t="n">
        <f aca="false">Q37-Q39-Q51</f>
        <v>-14505.6657906563</v>
      </c>
      <c r="R52" s="40" t="n">
        <f aca="false">R37-R39-R51</f>
        <v>-12238.2651542178</v>
      </c>
      <c r="S52" s="40" t="n">
        <f aca="false">S37-S39-S51</f>
        <v>-10106.9108233663</v>
      </c>
      <c r="T52" s="40" t="n">
        <f aca="false">T37-T39-T51</f>
        <v>-8103.43988372014</v>
      </c>
      <c r="U52" s="40" t="n">
        <f aca="false">U37-U39-U51</f>
        <v>-17720.1792039237</v>
      </c>
      <c r="V52" s="40" t="n">
        <f aca="false">V37-V39-V51</f>
        <v>-10949.9160481758</v>
      </c>
      <c r="W52" s="40" t="n">
        <f aca="false">W37-W39-W51</f>
        <v>-9285.87045203583</v>
      </c>
      <c r="X52" s="40" t="n">
        <f aca="false">X37-X39-X51</f>
        <v>-7721.6692557099</v>
      </c>
      <c r="Y52" s="40" t="n">
        <f aca="false">Y37-Y39-Y51</f>
        <v>-6251.32169536472</v>
      </c>
      <c r="Z52" s="40" t="n">
        <f aca="false">Z37-Z39-Z51</f>
        <v>-4869.19645898781</v>
      </c>
      <c r="AA52" s="40" t="n">
        <f aca="false">AA37-AA39-AA51</f>
        <v>-14030.8901189188</v>
      </c>
      <c r="AB52" s="40" t="n">
        <f aca="false">AB37-AB39-AB51</f>
        <v>-8542.88799756017</v>
      </c>
      <c r="AC52" s="40" t="n">
        <f aca="false">AC37-AC39-AC51</f>
        <v>-3384.17149148523</v>
      </c>
      <c r="AD52" s="40" t="n">
        <f aca="false">AD37-AD39-AD51</f>
        <v>1465.01686550872</v>
      </c>
      <c r="AE52" s="40" t="n">
        <f aca="false">AE37-AE39-AE51</f>
        <v>6023.24907189467</v>
      </c>
      <c r="AF52" s="40" t="n">
        <f aca="false">AF37-AF39-AF51</f>
        <v>10307.9827876652</v>
      </c>
      <c r="AG52" s="40" t="n">
        <f aca="false">AG37-AG39-AG51</f>
        <v>9335.62819575587</v>
      </c>
      <c r="AH52" s="40" t="n">
        <f aca="false">AH37-AH39-AH51</f>
        <v>18121.6108517157</v>
      </c>
      <c r="AI52" s="40" t="n">
        <f aca="false">AI37-AI39-AI51</f>
        <v>21680.4307623352</v>
      </c>
      <c r="AJ52" s="40" t="n">
        <f aca="false">AJ37-AJ39-AJ51</f>
        <v>25025.7179194977</v>
      </c>
      <c r="AK52" s="40" t="n">
        <f aca="false">AK37-AK39-AK51</f>
        <v>28170.2845019432</v>
      </c>
      <c r="AL52" s="40" t="n">
        <f aca="false">AL37-AL39-AL51</f>
        <v>31126.1739448755</v>
      </c>
      <c r="AN52" s="40" t="n">
        <f aca="false">SUM(C52:N52)</f>
        <v>-106855.368250099</v>
      </c>
      <c r="AO52" s="40" t="n">
        <f aca="false">SUM(O52:Z52)</f>
        <v>-138154.127587866</v>
      </c>
      <c r="AP52" s="40" t="n">
        <f aca="false">SUM(AA52:AL52)</f>
        <v>125298.145293228</v>
      </c>
    </row>
    <row r="53" customFormat="false" ht="15" hidden="false" customHeight="false" outlineLevel="0" collapsed="false">
      <c r="A53" s="9" t="s">
        <v>258</v>
      </c>
      <c r="B53" s="4" t="s">
        <v>127</v>
      </c>
      <c r="C53" s="13" t="n">
        <f aca="false">IF(C52&gt;0,1,0)</f>
        <v>0</v>
      </c>
      <c r="D53" s="13" t="n">
        <f aca="false">IF(D52&gt;0,1,0)</f>
        <v>0</v>
      </c>
      <c r="E53" s="13" t="n">
        <f aca="false">IF(E52&gt;0,1,0)</f>
        <v>0</v>
      </c>
      <c r="F53" s="13" t="n">
        <f aca="false">IF(F52&gt;0,1,0)</f>
        <v>0</v>
      </c>
      <c r="G53" s="13" t="n">
        <f aca="false">IF(G52&gt;0,1,0)</f>
        <v>0</v>
      </c>
      <c r="H53" s="13" t="n">
        <f aca="false">IF(H52&gt;0,1,0)</f>
        <v>0</v>
      </c>
      <c r="I53" s="13" t="n">
        <f aca="false">IF(I52&gt;0,1,0)</f>
        <v>0</v>
      </c>
      <c r="J53" s="13" t="n">
        <f aca="false">IF(J52&gt;0,1,0)</f>
        <v>0</v>
      </c>
      <c r="K53" s="13" t="n">
        <f aca="false">IF(K52&gt;0,1,0)</f>
        <v>0</v>
      </c>
      <c r="L53" s="13" t="n">
        <f aca="false">IF(L52&gt;0,1,0)</f>
        <v>0</v>
      </c>
      <c r="M53" s="13" t="n">
        <f aca="false">IF(M52&gt;0,1,0)</f>
        <v>0</v>
      </c>
      <c r="N53" s="13" t="n">
        <f aca="false">IF(N52&gt;0,1,0)</f>
        <v>0</v>
      </c>
      <c r="O53" s="13" t="n">
        <f aca="false">IF(O52&gt;0,1,0)</f>
        <v>0</v>
      </c>
      <c r="P53" s="13" t="n">
        <f aca="false">IF(P52&gt;0,1,0)</f>
        <v>0</v>
      </c>
      <c r="Q53" s="13" t="n">
        <f aca="false">IF(Q52&gt;0,1,0)</f>
        <v>0</v>
      </c>
      <c r="R53" s="13" t="n">
        <f aca="false">IF(R52&gt;0,1,0)</f>
        <v>0</v>
      </c>
      <c r="S53" s="13" t="n">
        <f aca="false">IF(S52&gt;0,1,0)</f>
        <v>0</v>
      </c>
      <c r="T53" s="13" t="n">
        <f aca="false">IF(T52&gt;0,1,0)</f>
        <v>0</v>
      </c>
      <c r="U53" s="13" t="n">
        <f aca="false">IF(U52&gt;0,1,0)</f>
        <v>0</v>
      </c>
      <c r="V53" s="13" t="n">
        <f aca="false">IF(V52&gt;0,1,0)</f>
        <v>0</v>
      </c>
      <c r="W53" s="13" t="n">
        <f aca="false">IF(W52&gt;0,1,0)</f>
        <v>0</v>
      </c>
      <c r="X53" s="13" t="n">
        <f aca="false">IF(X52&gt;0,1,0)</f>
        <v>0</v>
      </c>
      <c r="Y53" s="13" t="n">
        <f aca="false">IF(Y52&gt;0,1,0)</f>
        <v>0</v>
      </c>
      <c r="Z53" s="13" t="n">
        <f aca="false">IF(Z52&gt;0,1,0)</f>
        <v>0</v>
      </c>
      <c r="AA53" s="13" t="n">
        <f aca="false">IF(AA52&gt;0,1,0)</f>
        <v>0</v>
      </c>
      <c r="AB53" s="13" t="n">
        <f aca="false">IF(AB52&gt;0,1,0)</f>
        <v>0</v>
      </c>
      <c r="AC53" s="13" t="n">
        <f aca="false">IF(AC52&gt;0,1,0)</f>
        <v>0</v>
      </c>
      <c r="AD53" s="13" t="n">
        <f aca="false">IF(AD52&gt;0,1,0)</f>
        <v>1</v>
      </c>
      <c r="AE53" s="13" t="n">
        <f aca="false">IF(AE52&gt;0,1,0)</f>
        <v>1</v>
      </c>
      <c r="AF53" s="13" t="n">
        <f aca="false">IF(AF52&gt;0,1,0)</f>
        <v>1</v>
      </c>
      <c r="AG53" s="13" t="n">
        <f aca="false">IF(AG52&gt;0,1,0)</f>
        <v>1</v>
      </c>
      <c r="AH53" s="13" t="n">
        <f aca="false">IF(AH52&gt;0,1,0)</f>
        <v>1</v>
      </c>
      <c r="AI53" s="13" t="n">
        <f aca="false">IF(AI52&gt;0,1,0)</f>
        <v>1</v>
      </c>
      <c r="AJ53" s="13" t="n">
        <f aca="false">IF(AJ52&gt;0,1,0)</f>
        <v>1</v>
      </c>
      <c r="AK53" s="13" t="n">
        <f aca="false">IF(AK52&gt;0,1,0)</f>
        <v>1</v>
      </c>
      <c r="AL53" s="13" t="n">
        <f aca="false">IF(AL52&gt;0,1,0)</f>
        <v>1</v>
      </c>
    </row>
    <row r="54" customFormat="false" ht="15" hidden="false" customHeight="false" outlineLevel="0" collapsed="false">
      <c r="A54" s="8" t="s">
        <v>259</v>
      </c>
    </row>
    <row r="55" customFormat="false" ht="15" hidden="false" customHeight="false" outlineLevel="0" collapsed="false">
      <c r="A55" s="9" t="s">
        <v>260</v>
      </c>
      <c r="B55" s="4" t="s">
        <v>70</v>
      </c>
      <c r="C55" s="15" t="n">
        <f aca="false">0</f>
        <v>0</v>
      </c>
      <c r="D55" s="15" t="n">
        <f aca="false">C27</f>
        <v>0</v>
      </c>
      <c r="E55" s="15" t="n">
        <f aca="false">D27</f>
        <v>0</v>
      </c>
      <c r="F55" s="15" t="n">
        <f aca="false">E27</f>
        <v>123.333333333333</v>
      </c>
      <c r="G55" s="15" t="n">
        <f aca="false">F27</f>
        <v>113.466543333333</v>
      </c>
      <c r="H55" s="15" t="n">
        <f aca="false">G27</f>
        <v>104.389106400123</v>
      </c>
      <c r="I55" s="15" t="n">
        <f aca="false">H27</f>
        <v>96.0378734990071</v>
      </c>
      <c r="J55" s="15" t="n">
        <f aca="false">I27</f>
        <v>336.94217171786</v>
      </c>
      <c r="K55" s="15" t="n">
        <f aca="false">J27</f>
        <v>563.391971139283</v>
      </c>
      <c r="L55" s="15" t="n">
        <f aca="false">K27</f>
        <v>776.254556145622</v>
      </c>
      <c r="M55" s="15" t="n">
        <f aca="false">L27</f>
        <v>976.345173188995</v>
      </c>
      <c r="N55" s="15" t="n">
        <f aca="false">M27</f>
        <v>1164.43015311915</v>
      </c>
      <c r="O55" s="15" t="n">
        <f aca="false">N27</f>
        <v>1341.22984616851</v>
      </c>
      <c r="P55" s="15" t="n">
        <f aca="false">O27</f>
        <v>2082.97693639078</v>
      </c>
      <c r="Q55" s="15" t="n">
        <f aca="false">P27</f>
        <v>2780.21845945262</v>
      </c>
      <c r="R55" s="15" t="n">
        <f aca="false">Q27</f>
        <v>3435.62479388922</v>
      </c>
      <c r="S55" s="15" t="n">
        <f aca="false">R27</f>
        <v>4051.7060928533</v>
      </c>
      <c r="T55" s="15" t="n">
        <f aca="false">S27</f>
        <v>4630.82189779823</v>
      </c>
      <c r="U55" s="15" t="n">
        <f aca="false">T27</f>
        <v>5175.19017533066</v>
      </c>
      <c r="V55" s="15" t="n">
        <f aca="false">U27</f>
        <v>5686.89581184287</v>
      </c>
      <c r="W55" s="15" t="n">
        <f aca="false">V27</f>
        <v>6167.89859845871</v>
      </c>
      <c r="X55" s="15" t="n">
        <f aca="false">W27</f>
        <v>6620.04073687481</v>
      </c>
      <c r="Y55" s="15" t="n">
        <f aca="false">X27</f>
        <v>7045.0538948438</v>
      </c>
      <c r="Z55" s="15" t="n">
        <f aca="false">Y27</f>
        <v>7444.5658383215</v>
      </c>
      <c r="AA55" s="15" t="n">
        <f aca="false">Z27</f>
        <v>7820.1066656786</v>
      </c>
      <c r="AB55" s="15" t="n">
        <f aca="false">AA27</f>
        <v>9406.44800118677</v>
      </c>
      <c r="AC55" s="15" t="n">
        <f aca="false">AB27</f>
        <v>10897.6072702231</v>
      </c>
      <c r="AD55" s="15" t="n">
        <f aca="false">AC27</f>
        <v>12299.295491958</v>
      </c>
      <c r="AE55" s="15" t="n">
        <f aca="false">AD27</f>
        <v>13616.8810187006</v>
      </c>
      <c r="AF55" s="15" t="n">
        <f aca="false">AE27</f>
        <v>14855.4100962531</v>
      </c>
      <c r="AG55" s="15" t="n">
        <f aca="false">AF27</f>
        <v>16019.6261906234</v>
      </c>
      <c r="AH55" s="15" t="n">
        <f aca="false">AG27</f>
        <v>17113.9881551153</v>
      </c>
      <c r="AI55" s="15" t="n">
        <f aca="false">AH27</f>
        <v>18142.6873073758</v>
      </c>
      <c r="AJ55" s="15" t="n">
        <f aca="false">AI27</f>
        <v>19109.6634818015</v>
      </c>
      <c r="AK55" s="15" t="n">
        <f aca="false">AJ27</f>
        <v>20018.6201187855</v>
      </c>
      <c r="AL55" s="15" t="n">
        <f aca="false">AK27</f>
        <v>20873.0384485938</v>
      </c>
      <c r="AN55" s="15" t="n">
        <f aca="false">SUM(C55:N55)</f>
        <v>4254.59088187671</v>
      </c>
      <c r="AO55" s="15" t="n">
        <f aca="false">SUM(O55:Z55)</f>
        <v>56462.223082225</v>
      </c>
      <c r="AP55" s="15" t="n">
        <f aca="false">SUM(AA55:AL55)</f>
        <v>180173.372246296</v>
      </c>
    </row>
    <row r="56" customFormat="false" ht="15" hidden="false" customHeight="false" outlineLevel="0" collapsed="false">
      <c r="A56" s="9" t="s">
        <v>261</v>
      </c>
      <c r="B56" s="4" t="s">
        <v>70</v>
      </c>
      <c r="C56" s="15" t="n">
        <f aca="false">0</f>
        <v>0</v>
      </c>
      <c r="D56" s="15" t="n">
        <f aca="false">(C36+C39+C43+C44+C45+C47+C48+C49+C50)*Hypothèses!$D$15</f>
        <v>2868.33333333333</v>
      </c>
      <c r="E56" s="15" t="n">
        <f aca="false">(D36+D39+D43+D44+D45+D47+D48+D49+D50)*Hypothèses!$D$15</f>
        <v>3368.33333333333</v>
      </c>
      <c r="F56" s="15" t="n">
        <f aca="false">(E36+E39+E43+E44+E45+E47+E48+E49+E50)*Hypothèses!$D$15</f>
        <v>2896.95333333333</v>
      </c>
      <c r="G56" s="15" t="n">
        <f aca="false">(F36+F39+F43+F44+F45+F47+F48+F49+F50)*Hypothèses!$D$15</f>
        <v>2894.66370471333</v>
      </c>
      <c r="H56" s="15" t="n">
        <f aca="false">(G36+G39+G43+G44+G45+G47+G48+G49+G50)*Hypothèses!$D$15</f>
        <v>2892.55724867256</v>
      </c>
      <c r="I56" s="15" t="n">
        <f aca="false">(H36+H39+H43+H44+H45+H47+H48+H49+H50)*Hypothèses!$D$15</f>
        <v>2890.61931122151</v>
      </c>
      <c r="J56" s="15" t="n">
        <f aca="false">(I36+I39+I43+I44+I45+I47+I48+I49+I50)*Hypothèses!$D$15</f>
        <v>2178.18879692891</v>
      </c>
      <c r="K56" s="15" t="n">
        <f aca="false">(J36+J39+J43+J44+J45+J47+J48+J49+J50)*Hypothèses!$D$15</f>
        <v>1230.73739092438</v>
      </c>
      <c r="L56" s="15" t="n">
        <f aca="false">(K36+K39+K43+K44+K45+K47+K48+K49+K50)*Hypothèses!$D$15</f>
        <v>1280.13301673152</v>
      </c>
      <c r="M56" s="15" t="n">
        <f aca="false">(L36+L39+L43+L44+L45+L47+L48+L49+L50)*Hypothèses!$D$15</f>
        <v>1326.56485559461</v>
      </c>
      <c r="N56" s="15" t="n">
        <f aca="false">(M36+M39+M43+M44+M45+M47+M48+M49+M50)*Hypothèses!$D$15</f>
        <v>1370.21073769408</v>
      </c>
      <c r="O56" s="15" t="n">
        <f aca="false">(N36+N39+N43+N44+N45+N47+N48+N49+N50)*Hypothèses!$D$15</f>
        <v>1411.2378232217</v>
      </c>
      <c r="P56" s="15" t="n">
        <f aca="false">(O36+O39+O43+O44+O45+O47+O48+O49+O50)*Hypothèses!$D$15</f>
        <v>2983.36324259057</v>
      </c>
      <c r="Q56" s="15" t="n">
        <f aca="false">(P36+P39+P43+P44+P45+P47+P48+P49+P50)*Hypothèses!$D$15</f>
        <v>3145.1609646719</v>
      </c>
      <c r="R56" s="15" t="n">
        <f aca="false">(Q36+Q39+Q43+Q44+Q45+Q47+Q48+Q49+Q50)*Hypothèses!$D$15</f>
        <v>3297.25066163062</v>
      </c>
      <c r="S56" s="15" t="n">
        <f aca="false">(R36+R39+R43+R44+R45+R47+R48+R49+R50)*Hypothèses!$D$15</f>
        <v>3440.21482468212</v>
      </c>
      <c r="T56" s="15" t="n">
        <f aca="false">(S36+S39+S43+S44+S45+S47+S48+S49+S50)*Hypothèses!$D$15</f>
        <v>3574.60099498637</v>
      </c>
      <c r="U56" s="15" t="n">
        <f aca="false">(T36+T39+T43+T44+T45+T47+T48+T49+T50)*Hypothèses!$D$15</f>
        <v>3700.92386068619</v>
      </c>
      <c r="V56" s="15" t="n">
        <f aca="false">(U36+U39+U43+U44+U45+U47+U48+U49+U50)*Hypothèses!$D$15</f>
        <v>4819.66722812116</v>
      </c>
      <c r="W56" s="15" t="n">
        <f aca="false">(V36+V39+V43+V44+V45+V47+V48+V49+V50)*Hypothèses!$D$15</f>
        <v>3931.28587476666</v>
      </c>
      <c r="X56" s="15" t="n">
        <f aca="false">(W36+W39+W43+W44+W45+W47+W48+W49+W50)*Hypothèses!$D$15</f>
        <v>4036.20729099479</v>
      </c>
      <c r="Y56" s="15" t="n">
        <f aca="false">(X36+X39+X43+X44+X45+X47+X48+X49+X50)*Hypothèses!$D$15</f>
        <v>4134.83331732781</v>
      </c>
      <c r="Z56" s="15" t="n">
        <f aca="false">(Y36+Y39+Y43+Y44+Y45+Y47+Y48+Y49+Y50)*Hypothèses!$D$15</f>
        <v>4227.54168345482</v>
      </c>
      <c r="AA56" s="15" t="n">
        <f aca="false">(Z36+Z39+Z43+Z44+Z45+Z47+Z48+Z49+Z50)*Hypothèses!$D$15</f>
        <v>4314.68745490585</v>
      </c>
      <c r="AB56" s="15" t="n">
        <f aca="false">(AA36+AA39+AA43+AA44+AA45+AA47+AA48+AA49+AA50)*Hypothèses!$D$15</f>
        <v>7682.80439292404</v>
      </c>
      <c r="AC56" s="15" t="n">
        <f aca="false">(AB36+AB39+AB43+AB44+AB45+AB47+AB48+AB49+AB50)*Hypothèses!$D$15</f>
        <v>8028.83394654421</v>
      </c>
      <c r="AD56" s="15" t="n">
        <f aca="false">(AC36+AC39+AC43+AC44+AC45+AC47+AC48+AC49+AC50)*Hypothèses!$D$15</f>
        <v>8354.10138091761</v>
      </c>
      <c r="AE56" s="15" t="n">
        <f aca="false">(AD36+AD39+AD43+AD44+AD45+AD47+AD48+AD49+AD50)*Hypothèses!$D$15</f>
        <v>8659.85244396117</v>
      </c>
      <c r="AF56" s="15" t="n">
        <f aca="false">(AE36+AE39+AE43+AE44+AE45+AE47+AE48+AE49+AE50)*Hypothèses!$D$15</f>
        <v>8947.25813747106</v>
      </c>
      <c r="AG56" s="15" t="n">
        <f aca="false">(AF36+AF39+AF43+AF44+AF45+AF47+AF48+AF49+AF50)*Hypothèses!$D$15</f>
        <v>9217.41920196466</v>
      </c>
      <c r="AH56" s="15" t="n">
        <f aca="false">(AG36+AG39+AG43+AG44+AG45+AG47+AG48+AG49+AG50)*Hypothèses!$D$15</f>
        <v>10471.3703324276</v>
      </c>
      <c r="AI56" s="15" t="n">
        <f aca="false">(AH36+AH39+AH43+AH44+AH45+AH47+AH48+AH49+AH50)*Hypothèses!$D$15</f>
        <v>9710.08414111159</v>
      </c>
      <c r="AJ56" s="15" t="n">
        <f aca="false">(AI36+AI39+AI43+AI44+AI45+AI47+AI48+AI49+AI50)*Hypothèses!$D$15</f>
        <v>9934.47488256075</v>
      </c>
      <c r="AK56" s="15" t="n">
        <f aca="false">(AJ36+AJ39+AJ43+AJ44+AJ45+AJ47+AJ48+AJ49+AJ50)*Hypothèses!$D$15</f>
        <v>10145.4019551322</v>
      </c>
      <c r="AL56" s="15" t="n">
        <f aca="false">(AK36+AK39+AK43+AK44+AK45+AK47+AK48+AK49+AK50)*Hypothèses!$D$15</f>
        <v>10343.6731924223</v>
      </c>
      <c r="AN56" s="15" t="n">
        <f aca="false">SUM(C56:N56)</f>
        <v>25197.2950624809</v>
      </c>
      <c r="AO56" s="15" t="n">
        <f aca="false">SUM(O56:Z56)</f>
        <v>42702.2877671347</v>
      </c>
      <c r="AP56" s="15" t="n">
        <f aca="false">SUM(AA56:AL56)</f>
        <v>105809.961462343</v>
      </c>
    </row>
    <row r="57" customFormat="false" ht="15" hidden="false" customHeight="false" outlineLevel="0" collapsed="false">
      <c r="A57" s="9" t="s">
        <v>262</v>
      </c>
      <c r="B57" s="4" t="s">
        <v>70</v>
      </c>
      <c r="C57" s="15" t="n">
        <f aca="false">Hypothèses!$D$56*(IF(C7=Hypothèses!$D$57,Hypothèses!$D$58,0)+IF(C7=Hypothèses!$D$59,Hypothèses!$D$60,0)+IF(C7=Hypothèses!$D$61,Hypothèses!$D$62,0))</f>
        <v>0</v>
      </c>
      <c r="D57" s="15" t="n">
        <f aca="false">Hypothèses!$D$56*(IF(D7=Hypothèses!$D$57,Hypothèses!$D$58,0)+IF(D7=Hypothèses!$D$59,Hypothèses!$D$60,0)+IF(D7=Hypothèses!$D$61,Hypothèses!$D$62,0))</f>
        <v>0</v>
      </c>
      <c r="E57" s="15" t="n">
        <f aca="false">Hypothèses!$D$56*(IF(E7=Hypothèses!$D$57,Hypothèses!$D$58,0)+IF(E7=Hypothèses!$D$59,Hypothèses!$D$60,0)+IF(E7=Hypothèses!$D$61,Hypothèses!$D$62,0))</f>
        <v>0</v>
      </c>
      <c r="F57" s="15" t="n">
        <f aca="false">Hypothèses!$D$56*(IF(F7=Hypothèses!$D$57,Hypothèses!$D$58,0)+IF(F7=Hypothèses!$D$59,Hypothèses!$D$60,0)+IF(F7=Hypothèses!$D$61,Hypothèses!$D$62,0))</f>
        <v>0</v>
      </c>
      <c r="G57" s="15" t="n">
        <f aca="false">Hypothèses!$D$56*(IF(G7=Hypothèses!$D$57,Hypothèses!$D$58,0)+IF(G7=Hypothèses!$D$59,Hypothèses!$D$60,0)+IF(G7=Hypothèses!$D$61,Hypothèses!$D$62,0))</f>
        <v>0</v>
      </c>
      <c r="H57" s="15" t="n">
        <f aca="false">Hypothèses!$D$56*(IF(H7=Hypothèses!$D$57,Hypothèses!$D$58,0)+IF(H7=Hypothèses!$D$59,Hypothèses!$D$60,0)+IF(H7=Hypothèses!$D$61,Hypothèses!$D$62,0))</f>
        <v>0</v>
      </c>
      <c r="I57" s="15" t="n">
        <f aca="false">Hypothèses!$D$56*(IF(I7=Hypothèses!$D$57,Hypothèses!$D$58,0)+IF(I7=Hypothèses!$D$59,Hypothèses!$D$60,0)+IF(I7=Hypothèses!$D$61,Hypothèses!$D$62,0))</f>
        <v>0</v>
      </c>
      <c r="J57" s="15" t="n">
        <f aca="false">Hypothèses!$D$56*(IF(J7=Hypothèses!$D$57,Hypothèses!$D$58,0)+IF(J7=Hypothèses!$D$59,Hypothèses!$D$60,0)+IF(J7=Hypothèses!$D$61,Hypothèses!$D$62,0))</f>
        <v>0</v>
      </c>
      <c r="K57" s="15" t="n">
        <f aca="false">Hypothèses!$D$56*(IF(K7=Hypothèses!$D$57,Hypothèses!$D$58,0)+IF(K7=Hypothèses!$D$59,Hypothèses!$D$60,0)+IF(K7=Hypothèses!$D$61,Hypothèses!$D$62,0))</f>
        <v>0</v>
      </c>
      <c r="L57" s="15" t="n">
        <f aca="false">Hypothèses!$D$56*(IF(L7=Hypothèses!$D$57,Hypothèses!$D$58,0)+IF(L7=Hypothèses!$D$59,Hypothèses!$D$60,0)+IF(L7=Hypothèses!$D$61,Hypothèses!$D$62,0))</f>
        <v>0</v>
      </c>
      <c r="M57" s="15" t="n">
        <f aca="false">Hypothèses!$D$56*(IF(M7=Hypothèses!$D$57,Hypothèses!$D$58,0)+IF(M7=Hypothèses!$D$59,Hypothèses!$D$60,0)+IF(M7=Hypothèses!$D$61,Hypothèses!$D$62,0))</f>
        <v>0</v>
      </c>
      <c r="N57" s="15" t="n">
        <f aca="false">Hypothèses!$D$56*(IF(N7=Hypothèses!$D$57,Hypothèses!$D$58,0)+IF(N7=Hypothèses!$D$59,Hypothèses!$D$60,0)+IF(N7=Hypothèses!$D$61,Hypothèses!$D$62,0))</f>
        <v>0</v>
      </c>
      <c r="O57" s="15" t="n">
        <f aca="false">Hypothèses!$D$56*(IF(O7=Hypothèses!$D$57,Hypothèses!$D$58,0)+IF(O7=Hypothèses!$D$59,Hypothèses!$D$60,0)+IF(O7=Hypothèses!$D$61,Hypothèses!$D$62,0))</f>
        <v>0</v>
      </c>
      <c r="P57" s="15" t="n">
        <f aca="false">Hypothèses!$D$56*(IF(P7=Hypothèses!$D$57,Hypothèses!$D$58,0)+IF(P7=Hypothèses!$D$59,Hypothèses!$D$60,0)+IF(P7=Hypothèses!$D$61,Hypothèses!$D$62,0))</f>
        <v>0</v>
      </c>
      <c r="Q57" s="15" t="n">
        <f aca="false">Hypothèses!$D$56*(IF(Q7=Hypothèses!$D$57,Hypothèses!$D$58,0)+IF(Q7=Hypothèses!$D$59,Hypothèses!$D$60,0)+IF(Q7=Hypothèses!$D$61,Hypothèses!$D$62,0))</f>
        <v>0</v>
      </c>
      <c r="R57" s="15" t="n">
        <f aca="false">Hypothèses!$D$56*(IF(R7=Hypothèses!$D$57,Hypothèses!$D$58,0)+IF(R7=Hypothèses!$D$59,Hypothèses!$D$60,0)+IF(R7=Hypothèses!$D$61,Hypothèses!$D$62,0))</f>
        <v>0</v>
      </c>
      <c r="S57" s="15" t="n">
        <f aca="false">Hypothèses!$D$56*(IF(S7=Hypothèses!$D$57,Hypothèses!$D$58,0)+IF(S7=Hypothèses!$D$59,Hypothèses!$D$60,0)+IF(S7=Hypothèses!$D$61,Hypothèses!$D$62,0))</f>
        <v>0</v>
      </c>
      <c r="T57" s="15" t="n">
        <f aca="false">Hypothèses!$D$56*(IF(T7=Hypothèses!$D$57,Hypothèses!$D$58,0)+IF(T7=Hypothèses!$D$59,Hypothèses!$D$60,0)+IF(T7=Hypothèses!$D$61,Hypothèses!$D$62,0))</f>
        <v>0</v>
      </c>
      <c r="U57" s="15" t="n">
        <f aca="false">Hypothèses!$D$56*(IF(U7=Hypothèses!$D$57,Hypothèses!$D$58,0)+IF(U7=Hypothèses!$D$59,Hypothèses!$D$60,0)+IF(U7=Hypothèses!$D$61,Hypothèses!$D$62,0))</f>
        <v>0</v>
      </c>
      <c r="V57" s="15" t="n">
        <f aca="false">Hypothèses!$D$56*(IF(V7=Hypothèses!$D$57,Hypothèses!$D$58,0)+IF(V7=Hypothèses!$D$59,Hypothèses!$D$60,0)+IF(V7=Hypothèses!$D$61,Hypothèses!$D$62,0))</f>
        <v>0</v>
      </c>
      <c r="W57" s="15" t="n">
        <f aca="false">Hypothèses!$D$56*(IF(W7=Hypothèses!$D$57,Hypothèses!$D$58,0)+IF(W7=Hypothèses!$D$59,Hypothèses!$D$60,0)+IF(W7=Hypothèses!$D$61,Hypothèses!$D$62,0))</f>
        <v>0</v>
      </c>
      <c r="X57" s="15" t="n">
        <f aca="false">Hypothèses!$D$56*(IF(X7=Hypothèses!$D$57,Hypothèses!$D$58,0)+IF(X7=Hypothèses!$D$59,Hypothèses!$D$60,0)+IF(X7=Hypothèses!$D$61,Hypothèses!$D$62,0))</f>
        <v>0</v>
      </c>
      <c r="Y57" s="15" t="n">
        <f aca="false">Hypothèses!$D$56*(IF(Y7=Hypothèses!$D$57,Hypothèses!$D$58,0)+IF(Y7=Hypothèses!$D$59,Hypothèses!$D$60,0)+IF(Y7=Hypothèses!$D$61,Hypothèses!$D$62,0))</f>
        <v>0</v>
      </c>
      <c r="Z57" s="15" t="n">
        <f aca="false">Hypothèses!$D$56*(IF(Z7=Hypothèses!$D$57,Hypothèses!$D$58,0)+IF(Z7=Hypothèses!$D$59,Hypothèses!$D$60,0)+IF(Z7=Hypothèses!$D$61,Hypothèses!$D$62,0))</f>
        <v>0</v>
      </c>
      <c r="AA57" s="15" t="n">
        <f aca="false">Hypothèses!$D$56*(IF(AA7=Hypothèses!$D$57,Hypothèses!$D$58,0)+IF(AA7=Hypothèses!$D$59,Hypothèses!$D$60,0)+IF(AA7=Hypothèses!$D$61,Hypothèses!$D$62,0))</f>
        <v>0</v>
      </c>
      <c r="AB57" s="15" t="n">
        <f aca="false">Hypothèses!$D$56*(IF(AB7=Hypothèses!$D$57,Hypothèses!$D$58,0)+IF(AB7=Hypothèses!$D$59,Hypothèses!$D$60,0)+IF(AB7=Hypothèses!$D$61,Hypothèses!$D$62,0))</f>
        <v>0</v>
      </c>
      <c r="AC57" s="15" t="n">
        <f aca="false">Hypothèses!$D$56*(IF(AC7=Hypothèses!$D$57,Hypothèses!$D$58,0)+IF(AC7=Hypothèses!$D$59,Hypothèses!$D$60,0)+IF(AC7=Hypothèses!$D$61,Hypothèses!$D$62,0))</f>
        <v>0</v>
      </c>
      <c r="AD57" s="15" t="n">
        <f aca="false">Hypothèses!$D$56*(IF(AD7=Hypothèses!$D$57,Hypothèses!$D$58,0)+IF(AD7=Hypothèses!$D$59,Hypothèses!$D$60,0)+IF(AD7=Hypothèses!$D$61,Hypothèses!$D$62,0))</f>
        <v>0</v>
      </c>
      <c r="AE57" s="15" t="n">
        <f aca="false">Hypothèses!$D$56*(IF(AE7=Hypothèses!$D$57,Hypothèses!$D$58,0)+IF(AE7=Hypothèses!$D$59,Hypothèses!$D$60,0)+IF(AE7=Hypothèses!$D$61,Hypothèses!$D$62,0))</f>
        <v>0</v>
      </c>
      <c r="AF57" s="15" t="n">
        <f aca="false">Hypothèses!$D$56*(IF(AF7=Hypothèses!$D$57,Hypothèses!$D$58,0)+IF(AF7=Hypothèses!$D$59,Hypothèses!$D$60,0)+IF(AF7=Hypothèses!$D$61,Hypothèses!$D$62,0))</f>
        <v>0</v>
      </c>
      <c r="AG57" s="15" t="n">
        <f aca="false">Hypothèses!$D$56*(IF(AG7=Hypothèses!$D$57,Hypothèses!$D$58,0)+IF(AG7=Hypothèses!$D$59,Hypothèses!$D$60,0)+IF(AG7=Hypothèses!$D$61,Hypothèses!$D$62,0))</f>
        <v>0</v>
      </c>
      <c r="AH57" s="15" t="n">
        <f aca="false">Hypothèses!$D$56*(IF(AH7=Hypothèses!$D$57,Hypothèses!$D$58,0)+IF(AH7=Hypothèses!$D$59,Hypothèses!$D$60,0)+IF(AH7=Hypothèses!$D$61,Hypothèses!$D$62,0))</f>
        <v>0</v>
      </c>
      <c r="AI57" s="15" t="n">
        <f aca="false">Hypothèses!$D$56*(IF(AI7=Hypothèses!$D$57,Hypothèses!$D$58,0)+IF(AI7=Hypothèses!$D$59,Hypothèses!$D$60,0)+IF(AI7=Hypothèses!$D$61,Hypothèses!$D$62,0))</f>
        <v>0</v>
      </c>
      <c r="AJ57" s="15" t="n">
        <f aca="false">Hypothèses!$D$56*(IF(AJ7=Hypothèses!$D$57,Hypothèses!$D$58,0)+IF(AJ7=Hypothèses!$D$59,Hypothèses!$D$60,0)+IF(AJ7=Hypothèses!$D$61,Hypothèses!$D$62,0))</f>
        <v>0</v>
      </c>
      <c r="AK57" s="15" t="n">
        <f aca="false">Hypothèses!$D$56*(IF(AK7=Hypothèses!$D$57,Hypothèses!$D$58,0)+IF(AK7=Hypothèses!$D$59,Hypothèses!$D$60,0)+IF(AK7=Hypothèses!$D$61,Hypothèses!$D$62,0))</f>
        <v>0</v>
      </c>
      <c r="AL57" s="15" t="n">
        <f aca="false">Hypothèses!$D$56*(IF(AL7=Hypothèses!$D$57,Hypothèses!$D$58,0)+IF(AL7=Hypothèses!$D$59,Hypothèses!$D$60,0)+IF(AL7=Hypothèses!$D$61,Hypothèses!$D$62,0))</f>
        <v>0</v>
      </c>
      <c r="AN57" s="15" t="n">
        <f aca="false">SUM(C57:N57)</f>
        <v>0</v>
      </c>
      <c r="AO57" s="15" t="n">
        <f aca="false">SUM(O57:Z57)</f>
        <v>0</v>
      </c>
      <c r="AP57" s="15" t="n">
        <f aca="false">SUM(AA57:AL57)</f>
        <v>0</v>
      </c>
    </row>
    <row r="58" customFormat="false" ht="15" hidden="false" customHeight="false" outlineLevel="0" collapsed="false">
      <c r="A58" s="9" t="s">
        <v>263</v>
      </c>
      <c r="B58" s="4" t="s">
        <v>70</v>
      </c>
      <c r="C58" s="15" t="n">
        <f aca="false">Hypothèses!$D$54</f>
        <v>0</v>
      </c>
      <c r="D58" s="15" t="n">
        <f aca="false">C60</f>
        <v>-14341.6666666667</v>
      </c>
      <c r="E58" s="15" t="n">
        <f aca="false">D60</f>
        <v>-28315</v>
      </c>
      <c r="F58" s="15" t="n">
        <f aca="false">E60</f>
        <v>-38712.3223333333</v>
      </c>
      <c r="G58" s="15" t="n">
        <f aca="false">F60</f>
        <v>-49750.439456011</v>
      </c>
      <c r="H58" s="15" t="n">
        <f aca="false">G60</f>
        <v>-60823.3743107573</v>
      </c>
      <c r="I58" s="15" t="n">
        <f aca="false">H60</f>
        <v>-71928.3414441891</v>
      </c>
      <c r="J58" s="15" t="n">
        <f aca="false">I60</f>
        <v>-78210.1189474933</v>
      </c>
      <c r="K58" s="15" t="n">
        <f aca="false">J60</f>
        <v>-79387.6293004884</v>
      </c>
      <c r="L58" s="15" t="n">
        <f aca="false">K60</f>
        <v>-80744.8960714601</v>
      </c>
      <c r="M58" s="15" t="n">
        <f aca="false">L60</f>
        <v>-81331.1346955734</v>
      </c>
      <c r="N58" s="15" t="n">
        <f aca="false">M60</f>
        <v>-81192.6076326679</v>
      </c>
      <c r="O58" s="15" t="n">
        <f aca="false">N60</f>
        <v>-80372.8015487305</v>
      </c>
      <c r="P58" s="15" t="n">
        <f aca="false">O60</f>
        <v>-97724.5425329688</v>
      </c>
      <c r="Q58" s="15" t="n">
        <f aca="false">P60</f>
        <v>-110989.536645301</v>
      </c>
      <c r="R58" s="15" t="n">
        <f aca="false">Q60</f>
        <v>-121728.991384787</v>
      </c>
      <c r="S58" s="15" t="n">
        <f aca="false">R60</f>
        <v>-130094.441639339</v>
      </c>
      <c r="T58" s="15" t="n">
        <f aca="false">S60</f>
        <v>-136228.330052056</v>
      </c>
      <c r="U58" s="15" t="n">
        <f aca="false">T60</f>
        <v>-140264.552565011</v>
      </c>
      <c r="V58" s="15" t="n">
        <f aca="false">U60</f>
        <v>-153828.971229855</v>
      </c>
      <c r="W58" s="15" t="n">
        <f aca="false">V60</f>
        <v>-159539.896249278</v>
      </c>
      <c r="X58" s="15" t="n">
        <f aca="false">W60</f>
        <v>-164508.5390955</v>
      </c>
      <c r="Y58" s="15" t="n">
        <f aca="false">X60</f>
        <v>-167839.438441194</v>
      </c>
      <c r="Z58" s="15" t="n">
        <f aca="false">Y60</f>
        <v>-169630.860534137</v>
      </c>
      <c r="AA58" s="15" t="n">
        <f aca="false">Z60</f>
        <v>-169975.175548969</v>
      </c>
      <c r="AB58" s="15" t="n">
        <f aca="false">AA60</f>
        <v>-178199.101357486</v>
      </c>
      <c r="AC58" s="15" t="n">
        <f aca="false">AB60</f>
        <v>-177677.001765788</v>
      </c>
      <c r="AD58" s="15" t="n">
        <f aca="false">AC60</f>
        <v>-171753.644043914</v>
      </c>
      <c r="AE58" s="15" t="n">
        <f aca="false">AD60</f>
        <v>-160753.109080932</v>
      </c>
      <c r="AF58" s="15" t="n">
        <f aca="false">AE60</f>
        <v>-144980.032588486</v>
      </c>
      <c r="AG58" s="15" t="n">
        <f aca="false">AF60</f>
        <v>-124720.771830886</v>
      </c>
      <c r="AH58" s="15" t="n">
        <f aca="false">AG60</f>
        <v>-105244.502350224</v>
      </c>
      <c r="AI58" s="15" t="n">
        <f aca="false">AH60</f>
        <v>-75804.2488868944</v>
      </c>
      <c r="AJ58" s="15" t="n">
        <f aca="false">AI60</f>
        <v>-43637.8544438399</v>
      </c>
      <c r="AK58" s="15" t="n">
        <f aca="false">AJ60</f>
        <v>-7968.89120598538</v>
      </c>
      <c r="AL58" s="15" t="n">
        <f aca="false">AK60</f>
        <v>30992.4831964124</v>
      </c>
    </row>
    <row r="59" customFormat="false" ht="15" hidden="false" customHeight="false" outlineLevel="0" collapsed="false">
      <c r="A59" s="9" t="s">
        <v>264</v>
      </c>
      <c r="B59" s="4" t="s">
        <v>70</v>
      </c>
      <c r="C59" s="15" t="n">
        <f aca="false">C31-C36-C39-C51-C55+C56+C57</f>
        <v>-14341.6666666667</v>
      </c>
      <c r="D59" s="15" t="n">
        <f aca="false">D31-D36-D39-D51-D55+D56+D57</f>
        <v>-13973.3333333333</v>
      </c>
      <c r="E59" s="15" t="n">
        <f aca="false">E31-E36-E39-E51-E55+E56+E57</f>
        <v>-10397.3223333333</v>
      </c>
      <c r="F59" s="15" t="n">
        <f aca="false">F31-F36-F39-F51-F55+F56+F57</f>
        <v>-11038.1171226777</v>
      </c>
      <c r="G59" s="15" t="n">
        <f aca="false">G31-G36-G39-G51-G55+G56+G57</f>
        <v>-11072.9348547463</v>
      </c>
      <c r="H59" s="15" t="n">
        <f aca="false">H31-H36-H39-H51-H55+H56+H57</f>
        <v>-11104.9671334318</v>
      </c>
      <c r="I59" s="15" t="n">
        <f aca="false">I31-I36-I39-I51-I55+I56+I57</f>
        <v>-6281.77750330418</v>
      </c>
      <c r="J59" s="15" t="n">
        <f aca="false">J31-J36-J39-J51-J55+J56+J57</f>
        <v>-1177.51035299509</v>
      </c>
      <c r="K59" s="15" t="n">
        <f aca="false">K31-K36-K39-K51-K55+K56+K57</f>
        <v>-1357.2667709717</v>
      </c>
      <c r="L59" s="15" t="n">
        <f aca="false">L31-L36-L39-L51-L55+L56+L57</f>
        <v>-586.238624113292</v>
      </c>
      <c r="M59" s="15" t="n">
        <f aca="false">M31-M36-M39-M51-M55+M56+M57</f>
        <v>138.527062905462</v>
      </c>
      <c r="N59" s="15" t="n">
        <f aca="false">N31-N36-N39-N51-N55+N56+N57</f>
        <v>819.806083937405</v>
      </c>
      <c r="O59" s="15" t="n">
        <f aca="false">O31-O36-O39-O51-O55+O56+O57</f>
        <v>-17351.7409842383</v>
      </c>
      <c r="P59" s="15" t="n">
        <f aca="false">P31-P36-P39-P51-P55+P56+P57</f>
        <v>-13264.9941123319</v>
      </c>
      <c r="Q59" s="15" t="n">
        <f aca="false">Q31-Q36-Q39-Q51-Q55+Q56+Q57</f>
        <v>-10739.4547394867</v>
      </c>
      <c r="R59" s="15" t="n">
        <f aca="false">R31-R36-R39-R51-R55+R56+R57</f>
        <v>-8365.45025455167</v>
      </c>
      <c r="S59" s="15" t="n">
        <f aca="false">S31-S36-S39-S51-S55+S56+S57</f>
        <v>-6133.88841271721</v>
      </c>
      <c r="T59" s="15" t="n">
        <f aca="false">T31-T36-T39-T51-T55+T56+T57</f>
        <v>-4036.22251295465</v>
      </c>
      <c r="U59" s="15" t="n">
        <f aca="false">U31-U36-U39-U51-U55+U56+U57</f>
        <v>-13564.4186648438</v>
      </c>
      <c r="V59" s="15" t="n">
        <f aca="false">V31-V36-V39-V51-V55+V56+V57</f>
        <v>-5710.92501942334</v>
      </c>
      <c r="W59" s="15" t="n">
        <f aca="false">W31-W36-W39-W51-W55+W56+W57</f>
        <v>-4968.64284622181</v>
      </c>
      <c r="X59" s="15" t="n">
        <f aca="false">X31-X36-X39-X51-X55+X56+X57</f>
        <v>-3330.89934569456</v>
      </c>
      <c r="Y59" s="15" t="n">
        <f aca="false">Y31-Y36-Y39-Y51-Y55+Y56+Y57</f>
        <v>-1791.42209294243</v>
      </c>
      <c r="Z59" s="15" t="n">
        <f aca="false">Z31-Z36-Z39-Z51-Z55+Z56+Z57</f>
        <v>-344.315014832682</v>
      </c>
      <c r="AA59" s="15" t="n">
        <f aca="false">AA31-AA36-AA39-AA51-AA55+AA56+AA57</f>
        <v>-8223.9258085166</v>
      </c>
      <c r="AB59" s="15" t="n">
        <f aca="false">AB31-AB36-AB39-AB51-AB55+AB56+AB57</f>
        <v>522.099591697995</v>
      </c>
      <c r="AC59" s="15" t="n">
        <f aca="false">AC31-AC36-AC39-AC51-AC55+AC56+AC57</f>
        <v>5923.3577218743</v>
      </c>
      <c r="AD59" s="15" t="n">
        <f aca="false">AD31-AD36-AD39-AD51-AD55+AD56+AD57</f>
        <v>11000.5349629819</v>
      </c>
      <c r="AE59" s="15" t="n">
        <f aca="false">AE31-AE36-AE39-AE51-AE55+AE56+AE57</f>
        <v>15773.0764924458</v>
      </c>
      <c r="AF59" s="15" t="n">
        <f aca="false">AF31-AF36-AF39-AF51-AF55+AF56+AF57</f>
        <v>20259.2607576003</v>
      </c>
      <c r="AG59" s="15" t="n">
        <f aca="false">AG31-AG36-AG39-AG51-AG55+AG56+AG57</f>
        <v>19476.2694806613</v>
      </c>
      <c r="AH59" s="15" t="n">
        <f aca="false">AH31-AH36-AH39-AH51-AH55+AH56+AH57</f>
        <v>29440.25346333</v>
      </c>
      <c r="AI59" s="15" t="n">
        <f aca="false">AI31-AI36-AI39-AI51-AI55+AI56+AI57</f>
        <v>32166.3944430545</v>
      </c>
      <c r="AJ59" s="15" t="n">
        <f aca="false">AJ31-AJ36-AJ39-AJ51-AJ55+AJ56+AJ57</f>
        <v>35668.9632378546</v>
      </c>
      <c r="AK59" s="15" t="n">
        <f aca="false">AK31-AK36-AK39-AK51-AK55+AK56+AK57</f>
        <v>38961.3744023978</v>
      </c>
      <c r="AL59" s="15" t="n">
        <f aca="false">AL31-AL36-AL39-AL51-AL55+AL56+AL57</f>
        <v>42056.2376046573</v>
      </c>
      <c r="AN59" s="15" t="n">
        <f aca="false">SUM(C59:N59)</f>
        <v>-80372.8015487305</v>
      </c>
      <c r="AO59" s="15" t="n">
        <f aca="false">SUM(O59:Z59)</f>
        <v>-89602.374000239</v>
      </c>
      <c r="AP59" s="15" t="n">
        <f aca="false">SUM(AA59:AL59)</f>
        <v>243023.896350039</v>
      </c>
    </row>
    <row r="60" customFormat="false" ht="15" hidden="false" customHeight="false" outlineLevel="0" collapsed="false">
      <c r="A60" s="2" t="s">
        <v>265</v>
      </c>
      <c r="B60" s="4" t="s">
        <v>70</v>
      </c>
      <c r="C60" s="40" t="n">
        <f aca="false">C58+C59</f>
        <v>-14341.6666666667</v>
      </c>
      <c r="D60" s="40" t="n">
        <f aca="false">D58+D59</f>
        <v>-28315</v>
      </c>
      <c r="E60" s="40" t="n">
        <f aca="false">E58+E59</f>
        <v>-38712.3223333333</v>
      </c>
      <c r="F60" s="40" t="n">
        <f aca="false">F58+F59</f>
        <v>-49750.439456011</v>
      </c>
      <c r="G60" s="40" t="n">
        <f aca="false">G58+G59</f>
        <v>-60823.3743107573</v>
      </c>
      <c r="H60" s="40" t="n">
        <f aca="false">H58+H59</f>
        <v>-71928.3414441891</v>
      </c>
      <c r="I60" s="40" t="n">
        <f aca="false">I58+I59</f>
        <v>-78210.1189474933</v>
      </c>
      <c r="J60" s="40" t="n">
        <f aca="false">J58+J59</f>
        <v>-79387.6293004884</v>
      </c>
      <c r="K60" s="40" t="n">
        <f aca="false">K58+K59</f>
        <v>-80744.8960714601</v>
      </c>
      <c r="L60" s="40" t="n">
        <f aca="false">L58+L59</f>
        <v>-81331.1346955734</v>
      </c>
      <c r="M60" s="40" t="n">
        <f aca="false">M58+M59</f>
        <v>-81192.6076326679</v>
      </c>
      <c r="N60" s="40" t="n">
        <f aca="false">N58+N59</f>
        <v>-80372.8015487305</v>
      </c>
      <c r="O60" s="40" t="n">
        <f aca="false">O58+O59</f>
        <v>-97724.5425329688</v>
      </c>
      <c r="P60" s="40" t="n">
        <f aca="false">P58+P59</f>
        <v>-110989.536645301</v>
      </c>
      <c r="Q60" s="40" t="n">
        <f aca="false">Q58+Q59</f>
        <v>-121728.991384787</v>
      </c>
      <c r="R60" s="40" t="n">
        <f aca="false">R58+R59</f>
        <v>-130094.441639339</v>
      </c>
      <c r="S60" s="40" t="n">
        <f aca="false">S58+S59</f>
        <v>-136228.330052056</v>
      </c>
      <c r="T60" s="40" t="n">
        <f aca="false">T58+T59</f>
        <v>-140264.552565011</v>
      </c>
      <c r="U60" s="40" t="n">
        <f aca="false">U58+U59</f>
        <v>-153828.971229855</v>
      </c>
      <c r="V60" s="40" t="n">
        <f aca="false">V58+V59</f>
        <v>-159539.896249278</v>
      </c>
      <c r="W60" s="40" t="n">
        <f aca="false">W58+W59</f>
        <v>-164508.5390955</v>
      </c>
      <c r="X60" s="40" t="n">
        <f aca="false">X58+X59</f>
        <v>-167839.438441194</v>
      </c>
      <c r="Y60" s="40" t="n">
        <f aca="false">Y58+Y59</f>
        <v>-169630.860534137</v>
      </c>
      <c r="Z60" s="40" t="n">
        <f aca="false">Z58+Z59</f>
        <v>-169975.175548969</v>
      </c>
      <c r="AA60" s="40" t="n">
        <f aca="false">AA58+AA59</f>
        <v>-178199.101357486</v>
      </c>
      <c r="AB60" s="40" t="n">
        <f aca="false">AB58+AB59</f>
        <v>-177677.001765788</v>
      </c>
      <c r="AC60" s="40" t="n">
        <f aca="false">AC58+AC59</f>
        <v>-171753.644043914</v>
      </c>
      <c r="AD60" s="40" t="n">
        <f aca="false">AD58+AD59</f>
        <v>-160753.109080932</v>
      </c>
      <c r="AE60" s="40" t="n">
        <f aca="false">AE58+AE59</f>
        <v>-144980.032588486</v>
      </c>
      <c r="AF60" s="40" t="n">
        <f aca="false">AF58+AF59</f>
        <v>-124720.771830886</v>
      </c>
      <c r="AG60" s="40" t="n">
        <f aca="false">AG58+AG59</f>
        <v>-105244.502350224</v>
      </c>
      <c r="AH60" s="40" t="n">
        <f aca="false">AH58+AH59</f>
        <v>-75804.2488868944</v>
      </c>
      <c r="AI60" s="40" t="n">
        <f aca="false">AI58+AI59</f>
        <v>-43637.8544438399</v>
      </c>
      <c r="AJ60" s="40" t="n">
        <f aca="false">AJ58+AJ59</f>
        <v>-7968.89120598538</v>
      </c>
      <c r="AK60" s="40" t="n">
        <f aca="false">AK58+AK59</f>
        <v>30992.4831964124</v>
      </c>
      <c r="AL60" s="40" t="n">
        <f aca="false">AL58+AL59</f>
        <v>73048.7208010698</v>
      </c>
      <c r="AN60" s="40" t="n">
        <f aca="false">N60</f>
        <v>-80372.8015487305</v>
      </c>
      <c r="AO60" s="40" t="n">
        <f aca="false">Z60</f>
        <v>-169975.175548969</v>
      </c>
      <c r="AP60" s="40" t="n">
        <f aca="false">AL60</f>
        <v>73048.7208010698</v>
      </c>
    </row>
    <row r="61" customFormat="false" ht="15" hidden="false" customHeight="false" outlineLevel="0" collapsed="false">
      <c r="A61" s="9" t="s">
        <v>266</v>
      </c>
      <c r="B61" s="4" t="s">
        <v>70</v>
      </c>
      <c r="C61" s="15" t="n">
        <f aca="false">0+C57</f>
        <v>0</v>
      </c>
      <c r="D61" s="15" t="n">
        <f aca="false">C61+D57</f>
        <v>0</v>
      </c>
      <c r="E61" s="15" t="n">
        <f aca="false">D61+E57</f>
        <v>0</v>
      </c>
      <c r="F61" s="15" t="n">
        <f aca="false">E61+F57</f>
        <v>0</v>
      </c>
      <c r="G61" s="15" t="n">
        <f aca="false">F61+G57</f>
        <v>0</v>
      </c>
      <c r="H61" s="15" t="n">
        <f aca="false">G61+H57</f>
        <v>0</v>
      </c>
      <c r="I61" s="15" t="n">
        <f aca="false">H61+I57</f>
        <v>0</v>
      </c>
      <c r="J61" s="15" t="n">
        <f aca="false">I61+J57</f>
        <v>0</v>
      </c>
      <c r="K61" s="15" t="n">
        <f aca="false">J61+K57</f>
        <v>0</v>
      </c>
      <c r="L61" s="15" t="n">
        <f aca="false">K61+L57</f>
        <v>0</v>
      </c>
      <c r="M61" s="15" t="n">
        <f aca="false">L61+M57</f>
        <v>0</v>
      </c>
      <c r="N61" s="15" t="n">
        <f aca="false">M61+N57</f>
        <v>0</v>
      </c>
      <c r="O61" s="15" t="n">
        <f aca="false">N61+O57</f>
        <v>0</v>
      </c>
      <c r="P61" s="15" t="n">
        <f aca="false">O61+P57</f>
        <v>0</v>
      </c>
      <c r="Q61" s="15" t="n">
        <f aca="false">P61+Q57</f>
        <v>0</v>
      </c>
      <c r="R61" s="15" t="n">
        <f aca="false">Q61+R57</f>
        <v>0</v>
      </c>
      <c r="S61" s="15" t="n">
        <f aca="false">R61+S57</f>
        <v>0</v>
      </c>
      <c r="T61" s="15" t="n">
        <f aca="false">S61+T57</f>
        <v>0</v>
      </c>
      <c r="U61" s="15" t="n">
        <f aca="false">T61+U57</f>
        <v>0</v>
      </c>
      <c r="V61" s="15" t="n">
        <f aca="false">U61+V57</f>
        <v>0</v>
      </c>
      <c r="W61" s="15" t="n">
        <f aca="false">V61+W57</f>
        <v>0</v>
      </c>
      <c r="X61" s="15" t="n">
        <f aca="false">W61+X57</f>
        <v>0</v>
      </c>
      <c r="Y61" s="15" t="n">
        <f aca="false">X61+Y57</f>
        <v>0</v>
      </c>
      <c r="Z61" s="15" t="n">
        <f aca="false">Y61+Z57</f>
        <v>0</v>
      </c>
      <c r="AA61" s="15" t="n">
        <f aca="false">Z61+AA57</f>
        <v>0</v>
      </c>
      <c r="AB61" s="15" t="n">
        <f aca="false">AA61+AB57</f>
        <v>0</v>
      </c>
      <c r="AC61" s="15" t="n">
        <f aca="false">AB61+AC57</f>
        <v>0</v>
      </c>
      <c r="AD61" s="15" t="n">
        <f aca="false">AC61+AD57</f>
        <v>0</v>
      </c>
      <c r="AE61" s="15" t="n">
        <f aca="false">AD61+AE57</f>
        <v>0</v>
      </c>
      <c r="AF61" s="15" t="n">
        <f aca="false">AE61+AF57</f>
        <v>0</v>
      </c>
      <c r="AG61" s="15" t="n">
        <f aca="false">AF61+AG57</f>
        <v>0</v>
      </c>
      <c r="AH61" s="15" t="n">
        <f aca="false">AG61+AH57</f>
        <v>0</v>
      </c>
      <c r="AI61" s="15" t="n">
        <f aca="false">AH61+AI57</f>
        <v>0</v>
      </c>
      <c r="AJ61" s="15" t="n">
        <f aca="false">AI61+AJ57</f>
        <v>0</v>
      </c>
      <c r="AK61" s="15" t="n">
        <f aca="false">AJ61+AK57</f>
        <v>0</v>
      </c>
      <c r="AL61" s="15" t="n">
        <f aca="false">AK61+AL57</f>
        <v>0</v>
      </c>
      <c r="AN61" s="15" t="n">
        <f aca="false">N61</f>
        <v>0</v>
      </c>
      <c r="AO61" s="15" t="n">
        <f aca="false">Z61</f>
        <v>0</v>
      </c>
      <c r="AP61" s="15" t="n">
        <f aca="false">AL61</f>
        <v>0</v>
      </c>
    </row>
    <row r="62" customFormat="false" ht="15" hidden="false" customHeight="false" outlineLevel="0" collapsed="false">
      <c r="A62" s="2" t="s">
        <v>267</v>
      </c>
      <c r="B62" s="4" t="s">
        <v>70</v>
      </c>
      <c r="C62" s="40" t="n">
        <f aca="false">C60-C61</f>
        <v>-14341.6666666667</v>
      </c>
      <c r="D62" s="40" t="n">
        <f aca="false">D60-D61</f>
        <v>-28315</v>
      </c>
      <c r="E62" s="40" t="n">
        <f aca="false">E60-E61</f>
        <v>-38712.3223333333</v>
      </c>
      <c r="F62" s="40" t="n">
        <f aca="false">F60-F61</f>
        <v>-49750.439456011</v>
      </c>
      <c r="G62" s="40" t="n">
        <f aca="false">G60-G61</f>
        <v>-60823.3743107573</v>
      </c>
      <c r="H62" s="40" t="n">
        <f aca="false">H60-H61</f>
        <v>-71928.3414441891</v>
      </c>
      <c r="I62" s="40" t="n">
        <f aca="false">I60-I61</f>
        <v>-78210.1189474933</v>
      </c>
      <c r="J62" s="40" t="n">
        <f aca="false">J60-J61</f>
        <v>-79387.6293004884</v>
      </c>
      <c r="K62" s="40" t="n">
        <f aca="false">K60-K61</f>
        <v>-80744.8960714601</v>
      </c>
      <c r="L62" s="40" t="n">
        <f aca="false">L60-L61</f>
        <v>-81331.1346955734</v>
      </c>
      <c r="M62" s="40" t="n">
        <f aca="false">M60-M61</f>
        <v>-81192.6076326679</v>
      </c>
      <c r="N62" s="40" t="n">
        <f aca="false">N60-N61</f>
        <v>-80372.8015487305</v>
      </c>
      <c r="O62" s="40" t="n">
        <f aca="false">O60-O61</f>
        <v>-97724.5425329688</v>
      </c>
      <c r="P62" s="40" t="n">
        <f aca="false">P60-P61</f>
        <v>-110989.536645301</v>
      </c>
      <c r="Q62" s="40" t="n">
        <f aca="false">Q60-Q61</f>
        <v>-121728.991384787</v>
      </c>
      <c r="R62" s="40" t="n">
        <f aca="false">R60-R61</f>
        <v>-130094.441639339</v>
      </c>
      <c r="S62" s="40" t="n">
        <f aca="false">S60-S61</f>
        <v>-136228.330052056</v>
      </c>
      <c r="T62" s="40" t="n">
        <f aca="false">T60-T61</f>
        <v>-140264.552565011</v>
      </c>
      <c r="U62" s="40" t="n">
        <f aca="false">U60-U61</f>
        <v>-153828.971229855</v>
      </c>
      <c r="V62" s="40" t="n">
        <f aca="false">V60-V61</f>
        <v>-159539.896249278</v>
      </c>
      <c r="W62" s="40" t="n">
        <f aca="false">W60-W61</f>
        <v>-164508.5390955</v>
      </c>
      <c r="X62" s="40" t="n">
        <f aca="false">X60-X61</f>
        <v>-167839.438441194</v>
      </c>
      <c r="Y62" s="40" t="n">
        <f aca="false">Y60-Y61</f>
        <v>-169630.860534137</v>
      </c>
      <c r="Z62" s="40" t="n">
        <f aca="false">Z60-Z61</f>
        <v>-169975.175548969</v>
      </c>
      <c r="AA62" s="40" t="n">
        <f aca="false">AA60-AA61</f>
        <v>-178199.101357486</v>
      </c>
      <c r="AB62" s="40" t="n">
        <f aca="false">AB60-AB61</f>
        <v>-177677.001765788</v>
      </c>
      <c r="AC62" s="40" t="n">
        <f aca="false">AC60-AC61</f>
        <v>-171753.644043914</v>
      </c>
      <c r="AD62" s="40" t="n">
        <f aca="false">AD60-AD61</f>
        <v>-160753.109080932</v>
      </c>
      <c r="AE62" s="40" t="n">
        <f aca="false">AE60-AE61</f>
        <v>-144980.032588486</v>
      </c>
      <c r="AF62" s="40" t="n">
        <f aca="false">AF60-AF61</f>
        <v>-124720.771830886</v>
      </c>
      <c r="AG62" s="40" t="n">
        <f aca="false">AG60-AG61</f>
        <v>-105244.502350224</v>
      </c>
      <c r="AH62" s="40" t="n">
        <f aca="false">AH60-AH61</f>
        <v>-75804.2488868944</v>
      </c>
      <c r="AI62" s="40" t="n">
        <f aca="false">AI60-AI61</f>
        <v>-43637.8544438399</v>
      </c>
      <c r="AJ62" s="40" t="n">
        <f aca="false">AJ60-AJ61</f>
        <v>-7968.89120598538</v>
      </c>
      <c r="AK62" s="40" t="n">
        <f aca="false">AK60-AK61</f>
        <v>30992.4831964124</v>
      </c>
      <c r="AL62" s="40" t="n">
        <f aca="false">AL60-AL61</f>
        <v>73048.7208010698</v>
      </c>
      <c r="AN62" s="40" t="n">
        <f aca="false">N62</f>
        <v>-80372.8015487305</v>
      </c>
      <c r="AO62" s="40" t="n">
        <f aca="false">Z62</f>
        <v>-169975.175548969</v>
      </c>
      <c r="AP62" s="40" t="n">
        <f aca="false">AL62</f>
        <v>73048.7208010698</v>
      </c>
    </row>
    <row r="63" customFormat="false" ht="15" hidden="false" customHeight="false" outlineLevel="0" collapsed="false">
      <c r="A63" s="9" t="s">
        <v>268</v>
      </c>
      <c r="B63" s="4" t="s">
        <v>70</v>
      </c>
      <c r="C63" s="15" t="n">
        <f aca="false">C62</f>
        <v>-14341.6666666667</v>
      </c>
      <c r="D63" s="15" t="n">
        <f aca="false">MIN(C63,D62)</f>
        <v>-28315</v>
      </c>
      <c r="E63" s="15" t="n">
        <f aca="false">MIN(D63,E62)</f>
        <v>-38712.3223333333</v>
      </c>
      <c r="F63" s="15" t="n">
        <f aca="false">MIN(E63,F62)</f>
        <v>-49750.439456011</v>
      </c>
      <c r="G63" s="15" t="n">
        <f aca="false">MIN(F63,G62)</f>
        <v>-60823.3743107573</v>
      </c>
      <c r="H63" s="15" t="n">
        <f aca="false">MIN(G63,H62)</f>
        <v>-71928.3414441891</v>
      </c>
      <c r="I63" s="15" t="n">
        <f aca="false">MIN(H63,I62)</f>
        <v>-78210.1189474933</v>
      </c>
      <c r="J63" s="15" t="n">
        <f aca="false">MIN(I63,J62)</f>
        <v>-79387.6293004884</v>
      </c>
      <c r="K63" s="15" t="n">
        <f aca="false">MIN(J63,K62)</f>
        <v>-80744.8960714601</v>
      </c>
      <c r="L63" s="15" t="n">
        <f aca="false">MIN(K63,L62)</f>
        <v>-81331.1346955734</v>
      </c>
      <c r="M63" s="15" t="n">
        <f aca="false">MIN(L63,M62)</f>
        <v>-81331.1346955734</v>
      </c>
      <c r="N63" s="15" t="n">
        <f aca="false">MIN(M63,N62)</f>
        <v>-81331.1346955734</v>
      </c>
      <c r="O63" s="15" t="n">
        <f aca="false">MIN(N63,O62)</f>
        <v>-97724.5425329688</v>
      </c>
      <c r="P63" s="15" t="n">
        <f aca="false">MIN(O63,P62)</f>
        <v>-110989.536645301</v>
      </c>
      <c r="Q63" s="15" t="n">
        <f aca="false">MIN(P63,Q62)</f>
        <v>-121728.991384787</v>
      </c>
      <c r="R63" s="15" t="n">
        <f aca="false">MIN(Q63,R62)</f>
        <v>-130094.441639339</v>
      </c>
      <c r="S63" s="15" t="n">
        <f aca="false">MIN(R63,S62)</f>
        <v>-136228.330052056</v>
      </c>
      <c r="T63" s="15" t="n">
        <f aca="false">MIN(S63,T62)</f>
        <v>-140264.552565011</v>
      </c>
      <c r="U63" s="15" t="n">
        <f aca="false">MIN(T63,U62)</f>
        <v>-153828.971229855</v>
      </c>
      <c r="V63" s="15" t="n">
        <f aca="false">MIN(U63,V62)</f>
        <v>-159539.896249278</v>
      </c>
      <c r="W63" s="15" t="n">
        <f aca="false">MIN(V63,W62)</f>
        <v>-164508.5390955</v>
      </c>
      <c r="X63" s="15" t="n">
        <f aca="false">MIN(W63,X62)</f>
        <v>-167839.438441194</v>
      </c>
      <c r="Y63" s="15" t="n">
        <f aca="false">MIN(X63,Y62)</f>
        <v>-169630.860534137</v>
      </c>
      <c r="Z63" s="15" t="n">
        <f aca="false">MIN(Y63,Z62)</f>
        <v>-169975.175548969</v>
      </c>
      <c r="AA63" s="15" t="n">
        <f aca="false">MIN(Z63,AA62)</f>
        <v>-178199.101357486</v>
      </c>
      <c r="AB63" s="15" t="n">
        <f aca="false">MIN(AA63,AB62)</f>
        <v>-178199.101357486</v>
      </c>
      <c r="AC63" s="15" t="n">
        <f aca="false">MIN(AB63,AC62)</f>
        <v>-178199.101357486</v>
      </c>
      <c r="AD63" s="15" t="n">
        <f aca="false">MIN(AC63,AD62)</f>
        <v>-178199.101357486</v>
      </c>
      <c r="AE63" s="15" t="n">
        <f aca="false">MIN(AD63,AE62)</f>
        <v>-178199.101357486</v>
      </c>
      <c r="AF63" s="15" t="n">
        <f aca="false">MIN(AE63,AF62)</f>
        <v>-178199.101357486</v>
      </c>
      <c r="AG63" s="15" t="n">
        <f aca="false">MIN(AF63,AG62)</f>
        <v>-178199.101357486</v>
      </c>
      <c r="AH63" s="15" t="n">
        <f aca="false">MIN(AG63,AH62)</f>
        <v>-178199.101357486</v>
      </c>
      <c r="AI63" s="15" t="n">
        <f aca="false">MIN(AH63,AI62)</f>
        <v>-178199.101357486</v>
      </c>
      <c r="AJ63" s="15" t="n">
        <f aca="false">MIN(AI63,AJ62)</f>
        <v>-178199.101357486</v>
      </c>
      <c r="AK63" s="15" t="n">
        <f aca="false">MIN(AJ63,AK62)</f>
        <v>-178199.101357486</v>
      </c>
      <c r="AL63" s="15" t="n">
        <f aca="false">MIN(AK63,AL62)</f>
        <v>-178199.101357486</v>
      </c>
      <c r="AN63" s="15" t="n">
        <f aca="false">N63</f>
        <v>-81331.1346955734</v>
      </c>
      <c r="AO63" s="15" t="n">
        <f aca="false">Z63</f>
        <v>-169975.175548969</v>
      </c>
      <c r="AP63" s="15" t="n">
        <f aca="false">AL63</f>
        <v>-178199.101357486</v>
      </c>
    </row>
    <row r="64" customFormat="false" ht="15" hidden="false" customHeight="false" outlineLevel="0" collapsed="false">
      <c r="A64" s="9" t="s">
        <v>269</v>
      </c>
      <c r="B64" s="4" t="s">
        <v>127</v>
      </c>
      <c r="C64" s="13" t="n">
        <f aca="false">IF(AND(C9=1,C62&gt;0),1,0)</f>
        <v>0</v>
      </c>
      <c r="D64" s="13" t="n">
        <f aca="false">IF(AND(D9=1,D62&gt;0),1,0)</f>
        <v>0</v>
      </c>
      <c r="E64" s="13" t="n">
        <f aca="false">IF(AND(E9=1,E62&gt;0),1,0)</f>
        <v>0</v>
      </c>
      <c r="F64" s="13" t="n">
        <f aca="false">IF(AND(F9=1,F62&gt;0),1,0)</f>
        <v>0</v>
      </c>
      <c r="G64" s="13" t="n">
        <f aca="false">IF(AND(G9=1,G62&gt;0),1,0)</f>
        <v>0</v>
      </c>
      <c r="H64" s="13" t="n">
        <f aca="false">IF(AND(H9=1,H62&gt;0),1,0)</f>
        <v>0</v>
      </c>
      <c r="I64" s="13" t="n">
        <f aca="false">IF(AND(I9=1,I62&gt;0),1,0)</f>
        <v>0</v>
      </c>
      <c r="J64" s="13" t="n">
        <f aca="false">IF(AND(J9=1,J62&gt;0),1,0)</f>
        <v>0</v>
      </c>
      <c r="K64" s="13" t="n">
        <f aca="false">IF(AND(K9=1,K62&gt;0),1,0)</f>
        <v>0</v>
      </c>
      <c r="L64" s="13" t="n">
        <f aca="false">IF(AND(L9=1,L62&gt;0),1,0)</f>
        <v>0</v>
      </c>
      <c r="M64" s="13" t="n">
        <f aca="false">IF(AND(M9=1,M62&gt;0),1,0)</f>
        <v>0</v>
      </c>
      <c r="N64" s="13" t="n">
        <f aca="false">IF(AND(N9=1,N62&gt;0),1,0)</f>
        <v>0</v>
      </c>
      <c r="O64" s="13" t="n">
        <f aca="false">IF(AND(O9=1,O62&gt;0),1,0)</f>
        <v>0</v>
      </c>
      <c r="P64" s="13" t="n">
        <f aca="false">IF(AND(P9=1,P62&gt;0),1,0)</f>
        <v>0</v>
      </c>
      <c r="Q64" s="13" t="n">
        <f aca="false">IF(AND(Q9=1,Q62&gt;0),1,0)</f>
        <v>0</v>
      </c>
      <c r="R64" s="13" t="n">
        <f aca="false">IF(AND(R9=1,R62&gt;0),1,0)</f>
        <v>0</v>
      </c>
      <c r="S64" s="13" t="n">
        <f aca="false">IF(AND(S9=1,S62&gt;0),1,0)</f>
        <v>0</v>
      </c>
      <c r="T64" s="13" t="n">
        <f aca="false">IF(AND(T9=1,T62&gt;0),1,0)</f>
        <v>0</v>
      </c>
      <c r="U64" s="13" t="n">
        <f aca="false">IF(AND(U9=1,U62&gt;0),1,0)</f>
        <v>0</v>
      </c>
      <c r="V64" s="13" t="n">
        <f aca="false">IF(AND(V9=1,V62&gt;0),1,0)</f>
        <v>0</v>
      </c>
      <c r="W64" s="13" t="n">
        <f aca="false">IF(AND(W9=1,W62&gt;0),1,0)</f>
        <v>0</v>
      </c>
      <c r="X64" s="13" t="n">
        <f aca="false">IF(AND(X9=1,X62&gt;0),1,0)</f>
        <v>0</v>
      </c>
      <c r="Y64" s="13" t="n">
        <f aca="false">IF(AND(Y9=1,Y62&gt;0),1,0)</f>
        <v>0</v>
      </c>
      <c r="Z64" s="13" t="n">
        <f aca="false">IF(AND(Z9=1,Z62&gt;0),1,0)</f>
        <v>0</v>
      </c>
      <c r="AA64" s="13" t="n">
        <f aca="false">IF(AND(AA9=1,AA62&gt;0),1,0)</f>
        <v>0</v>
      </c>
      <c r="AB64" s="13" t="n">
        <f aca="false">IF(AND(AB9=1,AB62&gt;0),1,0)</f>
        <v>0</v>
      </c>
      <c r="AC64" s="13" t="n">
        <f aca="false">IF(AND(AC9=1,AC62&gt;0),1,0)</f>
        <v>0</v>
      </c>
      <c r="AD64" s="13" t="n">
        <f aca="false">IF(AND(AD9=1,AD62&gt;0),1,0)</f>
        <v>0</v>
      </c>
      <c r="AE64" s="13" t="n">
        <f aca="false">IF(AND(AE9=1,AE62&gt;0),1,0)</f>
        <v>0</v>
      </c>
      <c r="AF64" s="13" t="n">
        <f aca="false">IF(AND(AF9=1,AF62&gt;0),1,0)</f>
        <v>0</v>
      </c>
      <c r="AG64" s="13" t="n">
        <f aca="false">IF(AND(AG9=1,AG62&gt;0),1,0)</f>
        <v>0</v>
      </c>
      <c r="AH64" s="13" t="n">
        <f aca="false">IF(AND(AH9=1,AH62&gt;0),1,0)</f>
        <v>0</v>
      </c>
      <c r="AI64" s="13" t="n">
        <f aca="false">IF(AND(AI9=1,AI62&gt;0),1,0)</f>
        <v>0</v>
      </c>
      <c r="AJ64" s="13" t="n">
        <f aca="false">IF(AND(AJ9=1,AJ62&gt;0),1,0)</f>
        <v>0</v>
      </c>
      <c r="AK64" s="13" t="n">
        <f aca="false">IF(AND(AK9=1,AK62&gt;0),1,0)</f>
        <v>1</v>
      </c>
      <c r="AL64" s="13" t="n">
        <f aca="false">IF(AND(AL9=1,AL62&gt;0),1,0)</f>
        <v>1</v>
      </c>
    </row>
    <row r="65" customFormat="false" ht="15" hidden="false" customHeight="false" outlineLevel="0" collapsed="false">
      <c r="A65" s="8" t="s">
        <v>270</v>
      </c>
    </row>
    <row r="66" customFormat="false" ht="15" hidden="false" customHeight="false" outlineLevel="0" collapsed="false">
      <c r="A66" s="9" t="s">
        <v>271</v>
      </c>
      <c r="B66" s="4" t="s">
        <v>92</v>
      </c>
      <c r="C66" s="15" t="n">
        <f aca="false">C28*12</f>
        <v>0</v>
      </c>
      <c r="D66" s="15" t="n">
        <f aca="false">D28*12</f>
        <v>0</v>
      </c>
      <c r="E66" s="15" t="n">
        <f aca="false">E28*12</f>
        <v>7400</v>
      </c>
      <c r="F66" s="15" t="n">
        <f aca="false">F28*12</f>
        <v>6807.9926</v>
      </c>
      <c r="G66" s="15" t="n">
        <f aca="false">G28*12</f>
        <v>6263.3463840074</v>
      </c>
      <c r="H66" s="15" t="n">
        <f aca="false">H28*12</f>
        <v>5762.27240994042</v>
      </c>
      <c r="I66" s="15" t="n">
        <f aca="false">I28*12</f>
        <v>20216.5303030716</v>
      </c>
      <c r="J66" s="15" t="n">
        <f aca="false">J28*12</f>
        <v>33803.518268357</v>
      </c>
      <c r="K66" s="15" t="n">
        <f aca="false">K28*12</f>
        <v>46575.2733687373</v>
      </c>
      <c r="L66" s="15" t="n">
        <f aca="false">L28*12</f>
        <v>58580.7103913397</v>
      </c>
      <c r="M66" s="15" t="n">
        <f aca="false">M28*12</f>
        <v>69865.8091871489</v>
      </c>
      <c r="N66" s="15" t="n">
        <f aca="false">N28*12</f>
        <v>80473.7907701108</v>
      </c>
      <c r="O66" s="15" t="n">
        <f aca="false">O28*12</f>
        <v>124978.616183447</v>
      </c>
      <c r="P66" s="15" t="n">
        <f aca="false">P28*12</f>
        <v>166813.107567157</v>
      </c>
      <c r="Q66" s="15" t="n">
        <f aca="false">Q28*12</f>
        <v>206137.487633353</v>
      </c>
      <c r="R66" s="15" t="n">
        <f aca="false">R28*12</f>
        <v>243102.365571198</v>
      </c>
      <c r="S66" s="15" t="n">
        <f aca="false">S28*12</f>
        <v>277849.313867894</v>
      </c>
      <c r="T66" s="15" t="n">
        <f aca="false">T28*12</f>
        <v>310511.41051984</v>
      </c>
      <c r="U66" s="15" t="n">
        <f aca="false">U28*12</f>
        <v>341213.748710572</v>
      </c>
      <c r="V66" s="15" t="n">
        <f aca="false">V28*12</f>
        <v>370073.915907522</v>
      </c>
      <c r="W66" s="15" t="n">
        <f aca="false">W28*12</f>
        <v>397202.444212489</v>
      </c>
      <c r="X66" s="15" t="n">
        <f aca="false">X28*12</f>
        <v>422703.233690628</v>
      </c>
      <c r="Y66" s="15" t="n">
        <f aca="false">Y28*12</f>
        <v>446673.95029929</v>
      </c>
      <c r="Z66" s="15" t="n">
        <f aca="false">Z28*12</f>
        <v>469206.399940716</v>
      </c>
      <c r="AA66" s="15" t="n">
        <f aca="false">AA28*12</f>
        <v>564386.880071206</v>
      </c>
      <c r="AB66" s="15" t="n">
        <f aca="false">AB28*12</f>
        <v>653856.436213387</v>
      </c>
      <c r="AC66" s="15" t="n">
        <f aca="false">AC28*12</f>
        <v>737957.729517481</v>
      </c>
      <c r="AD66" s="15" t="n">
        <f aca="false">AD28*12</f>
        <v>817012.861122036</v>
      </c>
      <c r="AE66" s="15" t="n">
        <f aca="false">AE28*12</f>
        <v>891324.605775186</v>
      </c>
      <c r="AF66" s="15" t="n">
        <f aca="false">AF28*12</f>
        <v>961177.571437403</v>
      </c>
      <c r="AG66" s="15" t="n">
        <f aca="false">AG28*12</f>
        <v>1026839.28930692</v>
      </c>
      <c r="AH66" s="15" t="n">
        <f aca="false">AH28*12</f>
        <v>1088561.23844255</v>
      </c>
      <c r="AI66" s="15" t="n">
        <f aca="false">AI28*12</f>
        <v>1146579.80890809</v>
      </c>
      <c r="AJ66" s="15" t="n">
        <f aca="false">AJ28*12</f>
        <v>1201117.20712713</v>
      </c>
      <c r="AK66" s="15" t="n">
        <f aca="false">AK28*12</f>
        <v>1252382.30691563</v>
      </c>
      <c r="AL66" s="15" t="n">
        <f aca="false">AL28*12</f>
        <v>1300571.44945172</v>
      </c>
      <c r="AN66" s="15" t="n">
        <f aca="false">N66</f>
        <v>80473.7907701108</v>
      </c>
      <c r="AO66" s="15" t="n">
        <f aca="false">Z66</f>
        <v>469206.399940716</v>
      </c>
      <c r="AP66" s="15" t="n">
        <f aca="false">AL66</f>
        <v>1300571.44945172</v>
      </c>
    </row>
    <row r="67" customFormat="false" ht="15" hidden="false" customHeight="false" outlineLevel="0" collapsed="false">
      <c r="A67" s="9" t="s">
        <v>272</v>
      </c>
      <c r="B67" s="4" t="s">
        <v>92</v>
      </c>
      <c r="C67" s="19" t="n">
        <f aca="false">IF(C18&gt;0,C28/C18,0)</f>
        <v>0</v>
      </c>
      <c r="D67" s="19" t="n">
        <f aca="false">IF(D18&gt;0,D28/D18,0)</f>
        <v>0</v>
      </c>
      <c r="E67" s="19" t="n">
        <f aca="false">IF(E18&gt;0,E28/E18,0)</f>
        <v>61.6666666666667</v>
      </c>
      <c r="F67" s="19" t="n">
        <f aca="false">IF(F18&gt;0,F28/F18,0)</f>
        <v>61.6666666666667</v>
      </c>
      <c r="G67" s="19" t="n">
        <f aca="false">IF(G18&gt;0,G28/G18,0)</f>
        <v>61.6666666666667</v>
      </c>
      <c r="H67" s="19" t="n">
        <f aca="false">IF(H18&gt;0,H28/H18,0)</f>
        <v>61.6666666666667</v>
      </c>
      <c r="I67" s="19" t="n">
        <f aca="false">IF(I18&gt;0,I28/I18,0)</f>
        <v>61.6666666666667</v>
      </c>
      <c r="J67" s="19" t="n">
        <f aca="false">IF(J18&gt;0,J28/J18,0)</f>
        <v>61.6666666666667</v>
      </c>
      <c r="K67" s="19" t="n">
        <f aca="false">IF(K18&gt;0,K28/K18,0)</f>
        <v>61.6666666666667</v>
      </c>
      <c r="L67" s="19" t="n">
        <f aca="false">IF(L18&gt;0,L28/L18,0)</f>
        <v>61.6666666666667</v>
      </c>
      <c r="M67" s="19" t="n">
        <f aca="false">IF(M18&gt;0,M28/M18,0)</f>
        <v>61.6666666666667</v>
      </c>
      <c r="N67" s="19" t="n">
        <f aca="false">IF(N18&gt;0,N28/N18,0)</f>
        <v>61.6666666666667</v>
      </c>
      <c r="O67" s="19" t="n">
        <f aca="false">IF(O18&gt;0,O28/O18,0)</f>
        <v>61.6666666666667</v>
      </c>
      <c r="P67" s="19" t="n">
        <f aca="false">IF(P18&gt;0,P28/P18,0)</f>
        <v>61.6666666666667</v>
      </c>
      <c r="Q67" s="19" t="n">
        <f aca="false">IF(Q18&gt;0,Q28/Q18,0)</f>
        <v>61.6666666666667</v>
      </c>
      <c r="R67" s="19" t="n">
        <f aca="false">IF(R18&gt;0,R28/R18,0)</f>
        <v>61.6666666666667</v>
      </c>
      <c r="S67" s="19" t="n">
        <f aca="false">IF(S18&gt;0,S28/S18,0)</f>
        <v>61.6666666666667</v>
      </c>
      <c r="T67" s="19" t="n">
        <f aca="false">IF(T18&gt;0,T28/T18,0)</f>
        <v>61.6666666666667</v>
      </c>
      <c r="U67" s="19" t="n">
        <f aca="false">IF(U18&gt;0,U28/U18,0)</f>
        <v>61.6666666666667</v>
      </c>
      <c r="V67" s="19" t="n">
        <f aca="false">IF(V18&gt;0,V28/V18,0)</f>
        <v>61.6666666666667</v>
      </c>
      <c r="W67" s="19" t="n">
        <f aca="false">IF(W18&gt;0,W28/W18,0)</f>
        <v>61.6666666666667</v>
      </c>
      <c r="X67" s="19" t="n">
        <f aca="false">IF(X18&gt;0,X28/X18,0)</f>
        <v>61.6666666666667</v>
      </c>
      <c r="Y67" s="19" t="n">
        <f aca="false">IF(Y18&gt;0,Y28/Y18,0)</f>
        <v>61.6666666666667</v>
      </c>
      <c r="Z67" s="19" t="n">
        <f aca="false">IF(Z18&gt;0,Z28/Z18,0)</f>
        <v>61.6666666666667</v>
      </c>
      <c r="AA67" s="19" t="n">
        <f aca="false">IF(AA18&gt;0,AA28/AA18,0)</f>
        <v>61.6666666666667</v>
      </c>
      <c r="AB67" s="19" t="n">
        <f aca="false">IF(AB18&gt;0,AB28/AB18,0)</f>
        <v>61.6666666666667</v>
      </c>
      <c r="AC67" s="19" t="n">
        <f aca="false">IF(AC18&gt;0,AC28/AC18,0)</f>
        <v>61.6666666666667</v>
      </c>
      <c r="AD67" s="19" t="n">
        <f aca="false">IF(AD18&gt;0,AD28/AD18,0)</f>
        <v>61.6666666666667</v>
      </c>
      <c r="AE67" s="19" t="n">
        <f aca="false">IF(AE18&gt;0,AE28/AE18,0)</f>
        <v>61.6666666666667</v>
      </c>
      <c r="AF67" s="19" t="n">
        <f aca="false">IF(AF18&gt;0,AF28/AF18,0)</f>
        <v>61.6666666666667</v>
      </c>
      <c r="AG67" s="19" t="n">
        <f aca="false">IF(AG18&gt;0,AG28/AG18,0)</f>
        <v>61.6666666666667</v>
      </c>
      <c r="AH67" s="19" t="n">
        <f aca="false">IF(AH18&gt;0,AH28/AH18,0)</f>
        <v>61.6666666666667</v>
      </c>
      <c r="AI67" s="19" t="n">
        <f aca="false">IF(AI18&gt;0,AI28/AI18,0)</f>
        <v>61.6666666666667</v>
      </c>
      <c r="AJ67" s="19" t="n">
        <f aca="false">IF(AJ18&gt;0,AJ28/AJ18,0)</f>
        <v>61.6666666666667</v>
      </c>
      <c r="AK67" s="19" t="n">
        <f aca="false">IF(AK18&gt;0,AK28/AK18,0)</f>
        <v>61.6666666666667</v>
      </c>
      <c r="AL67" s="19" t="n">
        <f aca="false">IF(AL18&gt;0,AL28/AL18,0)</f>
        <v>61.6666666666667</v>
      </c>
      <c r="AN67" s="19" t="n">
        <f aca="false">N67</f>
        <v>61.6666666666667</v>
      </c>
      <c r="AO67" s="19" t="n">
        <f aca="false">Z67</f>
        <v>61.6666666666667</v>
      </c>
      <c r="AP67" s="19" t="n">
        <f aca="false">AL67</f>
        <v>61.6666666666667</v>
      </c>
    </row>
    <row r="68" customFormat="false" ht="15" hidden="false" customHeight="false" outlineLevel="0" collapsed="false">
      <c r="A68" s="9" t="s">
        <v>273</v>
      </c>
      <c r="B68" s="4" t="s">
        <v>92</v>
      </c>
      <c r="C68" s="19" t="n">
        <f aca="false">IF(C18&gt;0,C36/C18,0)</f>
        <v>0</v>
      </c>
      <c r="D68" s="19" t="n">
        <f aca="false">IF(D18&gt;0,D36/D18,0)</f>
        <v>0</v>
      </c>
      <c r="E68" s="19" t="n">
        <f aca="false">IF(E18&gt;0,E36/E18,0)</f>
        <v>14.31</v>
      </c>
      <c r="F68" s="19" t="n">
        <f aca="false">IF(F18&gt;0,F36/F18,0)</f>
        <v>14.31</v>
      </c>
      <c r="G68" s="19" t="n">
        <f aca="false">IF(G18&gt;0,G36/G18,0)</f>
        <v>14.31</v>
      </c>
      <c r="H68" s="19" t="n">
        <f aca="false">IF(H18&gt;0,H36/H18,0)</f>
        <v>14.31</v>
      </c>
      <c r="I68" s="19" t="n">
        <f aca="false">IF(I18&gt;0,I36/I18,0)</f>
        <v>14.31</v>
      </c>
      <c r="J68" s="19" t="n">
        <f aca="false">IF(J18&gt;0,J36/J18,0)</f>
        <v>14.31</v>
      </c>
      <c r="K68" s="19" t="n">
        <f aca="false">IF(K18&gt;0,K36/K18,0)</f>
        <v>14.31</v>
      </c>
      <c r="L68" s="19" t="n">
        <f aca="false">IF(L18&gt;0,L36/L18,0)</f>
        <v>14.31</v>
      </c>
      <c r="M68" s="19" t="n">
        <f aca="false">IF(M18&gt;0,M36/M18,0)</f>
        <v>14.31</v>
      </c>
      <c r="N68" s="19" t="n">
        <f aca="false">IF(N18&gt;0,N36/N18,0)</f>
        <v>14.31</v>
      </c>
      <c r="O68" s="19" t="n">
        <f aca="false">IF(O18&gt;0,O36/O18,0)</f>
        <v>14.31</v>
      </c>
      <c r="P68" s="19" t="n">
        <f aca="false">IF(P18&gt;0,P36/P18,0)</f>
        <v>14.31</v>
      </c>
      <c r="Q68" s="19" t="n">
        <f aca="false">IF(Q18&gt;0,Q36/Q18,0)</f>
        <v>14.31</v>
      </c>
      <c r="R68" s="19" t="n">
        <f aca="false">IF(R18&gt;0,R36/R18,0)</f>
        <v>14.31</v>
      </c>
      <c r="S68" s="19" t="n">
        <f aca="false">IF(S18&gt;0,S36/S18,0)</f>
        <v>14.31</v>
      </c>
      <c r="T68" s="19" t="n">
        <f aca="false">IF(T18&gt;0,T36/T18,0)</f>
        <v>14.31</v>
      </c>
      <c r="U68" s="19" t="n">
        <f aca="false">IF(U18&gt;0,U36/U18,0)</f>
        <v>14.31</v>
      </c>
      <c r="V68" s="19" t="n">
        <f aca="false">IF(V18&gt;0,V36/V18,0)</f>
        <v>14.31</v>
      </c>
      <c r="W68" s="19" t="n">
        <f aca="false">IF(W18&gt;0,W36/W18,0)</f>
        <v>14.31</v>
      </c>
      <c r="X68" s="19" t="n">
        <f aca="false">IF(X18&gt;0,X36/X18,0)</f>
        <v>14.31</v>
      </c>
      <c r="Y68" s="19" t="n">
        <f aca="false">IF(Y18&gt;0,Y36/Y18,0)</f>
        <v>14.31</v>
      </c>
      <c r="Z68" s="19" t="n">
        <f aca="false">IF(Z18&gt;0,Z36/Z18,0)</f>
        <v>14.31</v>
      </c>
      <c r="AA68" s="19" t="n">
        <f aca="false">IF(AA18&gt;0,AA36/AA18,0)</f>
        <v>14.31</v>
      </c>
      <c r="AB68" s="19" t="n">
        <f aca="false">IF(AB18&gt;0,AB36/AB18,0)</f>
        <v>14.31</v>
      </c>
      <c r="AC68" s="19" t="n">
        <f aca="false">IF(AC18&gt;0,AC36/AC18,0)</f>
        <v>14.31</v>
      </c>
      <c r="AD68" s="19" t="n">
        <f aca="false">IF(AD18&gt;0,AD36/AD18,0)</f>
        <v>14.31</v>
      </c>
      <c r="AE68" s="19" t="n">
        <f aca="false">IF(AE18&gt;0,AE36/AE18,0)</f>
        <v>14.31</v>
      </c>
      <c r="AF68" s="19" t="n">
        <f aca="false">IF(AF18&gt;0,AF36/AF18,0)</f>
        <v>14.31</v>
      </c>
      <c r="AG68" s="19" t="n">
        <f aca="false">IF(AG18&gt;0,AG36/AG18,0)</f>
        <v>14.31</v>
      </c>
      <c r="AH68" s="19" t="n">
        <f aca="false">IF(AH18&gt;0,AH36/AH18,0)</f>
        <v>14.31</v>
      </c>
      <c r="AI68" s="19" t="n">
        <f aca="false">IF(AI18&gt;0,AI36/AI18,0)</f>
        <v>14.31</v>
      </c>
      <c r="AJ68" s="19" t="n">
        <f aca="false">IF(AJ18&gt;0,AJ36/AJ18,0)</f>
        <v>14.31</v>
      </c>
      <c r="AK68" s="19" t="n">
        <f aca="false">IF(AK18&gt;0,AK36/AK18,0)</f>
        <v>14.31</v>
      </c>
      <c r="AL68" s="19" t="n">
        <f aca="false">IF(AL18&gt;0,AL36/AL18,0)</f>
        <v>14.31</v>
      </c>
      <c r="AN68" s="19" t="n">
        <f aca="false">N68</f>
        <v>14.31</v>
      </c>
      <c r="AO68" s="19" t="n">
        <f aca="false">Z68</f>
        <v>14.31</v>
      </c>
      <c r="AP68" s="19" t="n">
        <f aca="false">AL68</f>
        <v>14.31</v>
      </c>
    </row>
    <row r="69" customFormat="false" ht="15" hidden="false" customHeight="false" outlineLevel="0" collapsed="false">
      <c r="A69" s="9" t="s">
        <v>274</v>
      </c>
      <c r="B69" s="4" t="s">
        <v>92</v>
      </c>
      <c r="C69" s="19" t="n">
        <f aca="false">IF(C18&gt;0,C37/C18,0)</f>
        <v>0</v>
      </c>
      <c r="D69" s="19" t="n">
        <f aca="false">IF(D18&gt;0,D37/D18,0)</f>
        <v>0</v>
      </c>
      <c r="E69" s="19" t="n">
        <f aca="false">IF(E18&gt;0,E37/E18,0)</f>
        <v>45.3911</v>
      </c>
      <c r="F69" s="19" t="n">
        <f aca="false">IF(F18&gt;0,F37/F18,0)</f>
        <v>45.3911</v>
      </c>
      <c r="G69" s="19" t="n">
        <f aca="false">IF(G18&gt;0,G37/G18,0)</f>
        <v>45.3911</v>
      </c>
      <c r="H69" s="19" t="n">
        <f aca="false">IF(H18&gt;0,H37/H18,0)</f>
        <v>45.3911</v>
      </c>
      <c r="I69" s="19" t="n">
        <f aca="false">IF(I18&gt;0,I37/I18,0)</f>
        <v>45.3911</v>
      </c>
      <c r="J69" s="19" t="n">
        <f aca="false">IF(J18&gt;0,J37/J18,0)</f>
        <v>45.3911</v>
      </c>
      <c r="K69" s="19" t="n">
        <f aca="false">IF(K18&gt;0,K37/K18,0)</f>
        <v>45.3911</v>
      </c>
      <c r="L69" s="19" t="n">
        <f aca="false">IF(L18&gt;0,L37/L18,0)</f>
        <v>45.3911</v>
      </c>
      <c r="M69" s="19" t="n">
        <f aca="false">IF(M18&gt;0,M37/M18,0)</f>
        <v>45.3911</v>
      </c>
      <c r="N69" s="19" t="n">
        <f aca="false">IF(N18&gt;0,N37/N18,0)</f>
        <v>45.3911</v>
      </c>
      <c r="O69" s="19" t="n">
        <f aca="false">IF(O18&gt;0,O37/O18,0)</f>
        <v>45.3911</v>
      </c>
      <c r="P69" s="19" t="n">
        <f aca="false">IF(P18&gt;0,P37/P18,0)</f>
        <v>45.3911</v>
      </c>
      <c r="Q69" s="19" t="n">
        <f aca="false">IF(Q18&gt;0,Q37/Q18,0)</f>
        <v>45.3911</v>
      </c>
      <c r="R69" s="19" t="n">
        <f aca="false">IF(R18&gt;0,R37/R18,0)</f>
        <v>45.3911</v>
      </c>
      <c r="S69" s="19" t="n">
        <f aca="false">IF(S18&gt;0,S37/S18,0)</f>
        <v>45.3911</v>
      </c>
      <c r="T69" s="19" t="n">
        <f aca="false">IF(T18&gt;0,T37/T18,0)</f>
        <v>45.3911</v>
      </c>
      <c r="U69" s="19" t="n">
        <f aca="false">IF(U18&gt;0,U37/U18,0)</f>
        <v>45.3911</v>
      </c>
      <c r="V69" s="19" t="n">
        <f aca="false">IF(V18&gt;0,V37/V18,0)</f>
        <v>45.3911</v>
      </c>
      <c r="W69" s="19" t="n">
        <f aca="false">IF(W18&gt;0,W37/W18,0)</f>
        <v>45.3911</v>
      </c>
      <c r="X69" s="19" t="n">
        <f aca="false">IF(X18&gt;0,X37/X18,0)</f>
        <v>45.3911</v>
      </c>
      <c r="Y69" s="19" t="n">
        <f aca="false">IF(Y18&gt;0,Y37/Y18,0)</f>
        <v>45.3911</v>
      </c>
      <c r="Z69" s="19" t="n">
        <f aca="false">IF(Z18&gt;0,Z37/Z18,0)</f>
        <v>45.3911</v>
      </c>
      <c r="AA69" s="19" t="n">
        <f aca="false">IF(AA18&gt;0,AA37/AA18,0)</f>
        <v>45.3911</v>
      </c>
      <c r="AB69" s="19" t="n">
        <f aca="false">IF(AB18&gt;0,AB37/AB18,0)</f>
        <v>45.3911</v>
      </c>
      <c r="AC69" s="19" t="n">
        <f aca="false">IF(AC18&gt;0,AC37/AC18,0)</f>
        <v>45.3911</v>
      </c>
      <c r="AD69" s="19" t="n">
        <f aca="false">IF(AD18&gt;0,AD37/AD18,0)</f>
        <v>45.3911</v>
      </c>
      <c r="AE69" s="19" t="n">
        <f aca="false">IF(AE18&gt;0,AE37/AE18,0)</f>
        <v>45.3911</v>
      </c>
      <c r="AF69" s="19" t="n">
        <f aca="false">IF(AF18&gt;0,AF37/AF18,0)</f>
        <v>45.3911</v>
      </c>
      <c r="AG69" s="19" t="n">
        <f aca="false">IF(AG18&gt;0,AG37/AG18,0)</f>
        <v>45.3911</v>
      </c>
      <c r="AH69" s="19" t="n">
        <f aca="false">IF(AH18&gt;0,AH37/AH18,0)</f>
        <v>45.3911</v>
      </c>
      <c r="AI69" s="19" t="n">
        <f aca="false">IF(AI18&gt;0,AI37/AI18,0)</f>
        <v>45.3911</v>
      </c>
      <c r="AJ69" s="19" t="n">
        <f aca="false">IF(AJ18&gt;0,AJ37/AJ18,0)</f>
        <v>45.3911</v>
      </c>
      <c r="AK69" s="19" t="n">
        <f aca="false">IF(AK18&gt;0,AK37/AK18,0)</f>
        <v>45.3911</v>
      </c>
      <c r="AL69" s="19" t="n">
        <f aca="false">IF(AL18&gt;0,AL37/AL18,0)</f>
        <v>45.3911</v>
      </c>
      <c r="AN69" s="19" t="n">
        <f aca="false">N69</f>
        <v>45.3911</v>
      </c>
      <c r="AO69" s="19" t="n">
        <f aca="false">Z69</f>
        <v>45.3911</v>
      </c>
      <c r="AP69" s="19" t="n">
        <f aca="false">AL69</f>
        <v>45.3911</v>
      </c>
    </row>
    <row r="70" customFormat="false" ht="15" hidden="false" customHeight="false" outlineLevel="0" collapsed="false">
      <c r="A70" s="9" t="s">
        <v>275</v>
      </c>
      <c r="B70" s="4" t="s">
        <v>53</v>
      </c>
      <c r="C70" s="17" t="n">
        <f aca="false">IF(C28&gt;0,C37/C28,0)</f>
        <v>0</v>
      </c>
      <c r="D70" s="17" t="n">
        <f aca="false">IF(D28&gt;0,D37/D28,0)</f>
        <v>0</v>
      </c>
      <c r="E70" s="17" t="n">
        <f aca="false">IF(E28&gt;0,E37/E28,0)</f>
        <v>0.736071891891892</v>
      </c>
      <c r="F70" s="17" t="n">
        <f aca="false">IF(F28&gt;0,F37/F28,0)</f>
        <v>0.736071891891892</v>
      </c>
      <c r="G70" s="17" t="n">
        <f aca="false">IF(G28&gt;0,G37/G28,0)</f>
        <v>0.736071891891892</v>
      </c>
      <c r="H70" s="17" t="n">
        <f aca="false">IF(H28&gt;0,H37/H28,0)</f>
        <v>0.736071891891892</v>
      </c>
      <c r="I70" s="17" t="n">
        <f aca="false">IF(I28&gt;0,I37/I28,0)</f>
        <v>0.736071891891892</v>
      </c>
      <c r="J70" s="17" t="n">
        <f aca="false">IF(J28&gt;0,J37/J28,0)</f>
        <v>0.736071891891892</v>
      </c>
      <c r="K70" s="17" t="n">
        <f aca="false">IF(K28&gt;0,K37/K28,0)</f>
        <v>0.736071891891892</v>
      </c>
      <c r="L70" s="17" t="n">
        <f aca="false">IF(L28&gt;0,L37/L28,0)</f>
        <v>0.736071891891892</v>
      </c>
      <c r="M70" s="17" t="n">
        <f aca="false">IF(M28&gt;0,M37/M28,0)</f>
        <v>0.736071891891892</v>
      </c>
      <c r="N70" s="17" t="n">
        <f aca="false">IF(N28&gt;0,N37/N28,0)</f>
        <v>0.736071891891892</v>
      </c>
      <c r="O70" s="17" t="n">
        <f aca="false">IF(O28&gt;0,O37/O28,0)</f>
        <v>0.736071891891892</v>
      </c>
      <c r="P70" s="17" t="n">
        <f aca="false">IF(P28&gt;0,P37/P28,0)</f>
        <v>0.736071891891892</v>
      </c>
      <c r="Q70" s="17" t="n">
        <f aca="false">IF(Q28&gt;0,Q37/Q28,0)</f>
        <v>0.736071891891892</v>
      </c>
      <c r="R70" s="17" t="n">
        <f aca="false">IF(R28&gt;0,R37/R28,0)</f>
        <v>0.736071891891892</v>
      </c>
      <c r="S70" s="17" t="n">
        <f aca="false">IF(S28&gt;0,S37/S28,0)</f>
        <v>0.736071891891892</v>
      </c>
      <c r="T70" s="17" t="n">
        <f aca="false">IF(T28&gt;0,T37/T28,0)</f>
        <v>0.736071891891892</v>
      </c>
      <c r="U70" s="17" t="n">
        <f aca="false">IF(U28&gt;0,U37/U28,0)</f>
        <v>0.736071891891892</v>
      </c>
      <c r="V70" s="17" t="n">
        <f aca="false">IF(V28&gt;0,V37/V28,0)</f>
        <v>0.736071891891892</v>
      </c>
      <c r="W70" s="17" t="n">
        <f aca="false">IF(W28&gt;0,W37/W28,0)</f>
        <v>0.736071891891892</v>
      </c>
      <c r="X70" s="17" t="n">
        <f aca="false">IF(X28&gt;0,X37/X28,0)</f>
        <v>0.736071891891892</v>
      </c>
      <c r="Y70" s="17" t="n">
        <f aca="false">IF(Y28&gt;0,Y37/Y28,0)</f>
        <v>0.736071891891892</v>
      </c>
      <c r="Z70" s="17" t="n">
        <f aca="false">IF(Z28&gt;0,Z37/Z28,0)</f>
        <v>0.736071891891892</v>
      </c>
      <c r="AA70" s="17" t="n">
        <f aca="false">IF(AA28&gt;0,AA37/AA28,0)</f>
        <v>0.736071891891892</v>
      </c>
      <c r="AB70" s="17" t="n">
        <f aca="false">IF(AB28&gt;0,AB37/AB28,0)</f>
        <v>0.736071891891892</v>
      </c>
      <c r="AC70" s="17" t="n">
        <f aca="false">IF(AC28&gt;0,AC37/AC28,0)</f>
        <v>0.736071891891892</v>
      </c>
      <c r="AD70" s="17" t="n">
        <f aca="false">IF(AD28&gt;0,AD37/AD28,0)</f>
        <v>0.736071891891892</v>
      </c>
      <c r="AE70" s="17" t="n">
        <f aca="false">IF(AE28&gt;0,AE37/AE28,0)</f>
        <v>0.736071891891892</v>
      </c>
      <c r="AF70" s="17" t="n">
        <f aca="false">IF(AF28&gt;0,AF37/AF28,0)</f>
        <v>0.736071891891892</v>
      </c>
      <c r="AG70" s="17" t="n">
        <f aca="false">IF(AG28&gt;0,AG37/AG28,0)</f>
        <v>0.736071891891892</v>
      </c>
      <c r="AH70" s="17" t="n">
        <f aca="false">IF(AH28&gt;0,AH37/AH28,0)</f>
        <v>0.736071891891892</v>
      </c>
      <c r="AI70" s="17" t="n">
        <f aca="false">IF(AI28&gt;0,AI37/AI28,0)</f>
        <v>0.736071891891892</v>
      </c>
      <c r="AJ70" s="17" t="n">
        <f aca="false">IF(AJ28&gt;0,AJ37/AJ28,0)</f>
        <v>0.736071891891892</v>
      </c>
      <c r="AK70" s="17" t="n">
        <f aca="false">IF(AK28&gt;0,AK37/AK28,0)</f>
        <v>0.736071891891892</v>
      </c>
      <c r="AL70" s="17" t="n">
        <f aca="false">IF(AL28&gt;0,AL37/AL28,0)</f>
        <v>0.736071891891892</v>
      </c>
      <c r="AN70" s="17" t="n">
        <f aca="false">N70</f>
        <v>0.736071891891892</v>
      </c>
      <c r="AO70" s="17" t="n">
        <f aca="false">Z70</f>
        <v>0.736071891891892</v>
      </c>
      <c r="AP70" s="17" t="n">
        <f aca="false">AL70</f>
        <v>0.736071891891892</v>
      </c>
    </row>
    <row r="71" customFormat="false" ht="15" hidden="false" customHeight="false" outlineLevel="0" collapsed="false">
      <c r="A71" s="9" t="s">
        <v>276</v>
      </c>
      <c r="B71" s="4" t="s">
        <v>70</v>
      </c>
      <c r="C71" s="15" t="n">
        <f aca="false">IF(C14&gt;0,C39/C14,0)</f>
        <v>0</v>
      </c>
      <c r="D71" s="15" t="n">
        <f aca="false">IF(D14&gt;0,D39/D14,0)</f>
        <v>0</v>
      </c>
      <c r="E71" s="15" t="n">
        <f aca="false">IF(E14&gt;0,E39/E14,0)</f>
        <v>0</v>
      </c>
      <c r="F71" s="15" t="n">
        <f aca="false">IF(F14&gt;0,F39/F14,0)</f>
        <v>0</v>
      </c>
      <c r="G71" s="15" t="n">
        <f aca="false">IF(G14&gt;0,G39/G14,0)</f>
        <v>0</v>
      </c>
      <c r="H71" s="15" t="n">
        <f aca="false">IF(H14&gt;0,H39/H14,0)</f>
        <v>0</v>
      </c>
      <c r="I71" s="15" t="n">
        <f aca="false">IF(I14&gt;0,I39/I14,0)</f>
        <v>150</v>
      </c>
      <c r="J71" s="15" t="n">
        <f aca="false">IF(J14&gt;0,J39/J14,0)</f>
        <v>150</v>
      </c>
      <c r="K71" s="15" t="n">
        <f aca="false">IF(K14&gt;0,K39/K14,0)</f>
        <v>150</v>
      </c>
      <c r="L71" s="15" t="n">
        <f aca="false">IF(L14&gt;0,L39/L14,0)</f>
        <v>150</v>
      </c>
      <c r="M71" s="15" t="n">
        <f aca="false">IF(M14&gt;0,M39/M14,0)</f>
        <v>150</v>
      </c>
      <c r="N71" s="15" t="n">
        <f aca="false">IF(N14&gt;0,N39/N14,0)</f>
        <v>150</v>
      </c>
      <c r="O71" s="15" t="n">
        <f aca="false">IF(O14&gt;0,O39/O14,0)</f>
        <v>150</v>
      </c>
      <c r="P71" s="15" t="n">
        <f aca="false">IF(P14&gt;0,P39/P14,0)</f>
        <v>150</v>
      </c>
      <c r="Q71" s="15" t="n">
        <f aca="false">IF(Q14&gt;0,Q39/Q14,0)</f>
        <v>150</v>
      </c>
      <c r="R71" s="15" t="n">
        <f aca="false">IF(R14&gt;0,R39/R14,0)</f>
        <v>150</v>
      </c>
      <c r="S71" s="15" t="n">
        <f aca="false">IF(S14&gt;0,S39/S14,0)</f>
        <v>150</v>
      </c>
      <c r="T71" s="15" t="n">
        <f aca="false">IF(T14&gt;0,T39/T14,0)</f>
        <v>150</v>
      </c>
      <c r="U71" s="15" t="n">
        <f aca="false">IF(U14&gt;0,U39/U14,0)</f>
        <v>150</v>
      </c>
      <c r="V71" s="15" t="n">
        <f aca="false">IF(V14&gt;0,V39/V14,0)</f>
        <v>150</v>
      </c>
      <c r="W71" s="15" t="n">
        <f aca="false">IF(W14&gt;0,W39/W14,0)</f>
        <v>150</v>
      </c>
      <c r="X71" s="15" t="n">
        <f aca="false">IF(X14&gt;0,X39/X14,0)</f>
        <v>150</v>
      </c>
      <c r="Y71" s="15" t="n">
        <f aca="false">IF(Y14&gt;0,Y39/Y14,0)</f>
        <v>150</v>
      </c>
      <c r="Z71" s="15" t="n">
        <f aca="false">IF(Z14&gt;0,Z39/Z14,0)</f>
        <v>150</v>
      </c>
      <c r="AA71" s="15" t="n">
        <f aca="false">IF(AA14&gt;0,AA39/AA14,0)</f>
        <v>150</v>
      </c>
      <c r="AB71" s="15" t="n">
        <f aca="false">IF(AB14&gt;0,AB39/AB14,0)</f>
        <v>150</v>
      </c>
      <c r="AC71" s="15" t="n">
        <f aca="false">IF(AC14&gt;0,AC39/AC14,0)</f>
        <v>150</v>
      </c>
      <c r="AD71" s="15" t="n">
        <f aca="false">IF(AD14&gt;0,AD39/AD14,0)</f>
        <v>150</v>
      </c>
      <c r="AE71" s="15" t="n">
        <f aca="false">IF(AE14&gt;0,AE39/AE14,0)</f>
        <v>150</v>
      </c>
      <c r="AF71" s="15" t="n">
        <f aca="false">IF(AF14&gt;0,AF39/AF14,0)</f>
        <v>150</v>
      </c>
      <c r="AG71" s="15" t="n">
        <f aca="false">IF(AG14&gt;0,AG39/AG14,0)</f>
        <v>150</v>
      </c>
      <c r="AH71" s="15" t="n">
        <f aca="false">IF(AH14&gt;0,AH39/AH14,0)</f>
        <v>150</v>
      </c>
      <c r="AI71" s="15" t="n">
        <f aca="false">IF(AI14&gt;0,AI39/AI14,0)</f>
        <v>150</v>
      </c>
      <c r="AJ71" s="15" t="n">
        <f aca="false">IF(AJ14&gt;0,AJ39/AJ14,0)</f>
        <v>150</v>
      </c>
      <c r="AK71" s="15" t="n">
        <f aca="false">IF(AK14&gt;0,AK39/AK14,0)</f>
        <v>150</v>
      </c>
      <c r="AL71" s="15" t="n">
        <f aca="false">IF(AL14&gt;0,AL39/AL14,0)</f>
        <v>150</v>
      </c>
      <c r="AN71" s="15" t="n">
        <f aca="false">N71</f>
        <v>150</v>
      </c>
      <c r="AO71" s="15" t="n">
        <f aca="false">Z71</f>
        <v>150</v>
      </c>
      <c r="AP71" s="15" t="n">
        <f aca="false">AL71</f>
        <v>150</v>
      </c>
    </row>
    <row r="72" customFormat="false" ht="15" hidden="false" customHeight="false" outlineLevel="0" collapsed="false">
      <c r="A72" s="9" t="s">
        <v>158</v>
      </c>
      <c r="B72" s="4" t="s">
        <v>38</v>
      </c>
      <c r="C72" s="38" t="n">
        <f aca="false">IF(C69&gt;0,Hypothèses!$D$23*$E$4/C69,0)</f>
        <v>0</v>
      </c>
      <c r="D72" s="38" t="n">
        <f aca="false">IF(D69&gt;0,Hypothèses!$D$23*$E$4/D69,0)</f>
        <v>0</v>
      </c>
      <c r="E72" s="38" t="n">
        <f aca="false">IF(E69&gt;0,Hypothèses!$D$23*$E$4/E69,0)</f>
        <v>3.3046125782367</v>
      </c>
      <c r="F72" s="38" t="n">
        <f aca="false">IF(F69&gt;0,Hypothèses!$D$23*$E$4/F69,0)</f>
        <v>3.3046125782367</v>
      </c>
      <c r="G72" s="38" t="n">
        <f aca="false">IF(G69&gt;0,Hypothèses!$D$23*$E$4/G69,0)</f>
        <v>3.3046125782367</v>
      </c>
      <c r="H72" s="38" t="n">
        <f aca="false">IF(H69&gt;0,Hypothèses!$D$23*$E$4/H69,0)</f>
        <v>3.3046125782367</v>
      </c>
      <c r="I72" s="38" t="n">
        <f aca="false">IF(I69&gt;0,Hypothèses!$D$23*$E$4/I69,0)</f>
        <v>3.3046125782367</v>
      </c>
      <c r="J72" s="38" t="n">
        <f aca="false">IF(J69&gt;0,Hypothèses!$D$23*$E$4/J69,0)</f>
        <v>3.3046125782367</v>
      </c>
      <c r="K72" s="38" t="n">
        <f aca="false">IF(K69&gt;0,Hypothèses!$D$23*$E$4/K69,0)</f>
        <v>3.3046125782367</v>
      </c>
      <c r="L72" s="38" t="n">
        <f aca="false">IF(L69&gt;0,Hypothèses!$D$23*$E$4/L69,0)</f>
        <v>3.3046125782367</v>
      </c>
      <c r="M72" s="38" t="n">
        <f aca="false">IF(M69&gt;0,Hypothèses!$D$23*$E$4/M69,0)</f>
        <v>3.3046125782367</v>
      </c>
      <c r="N72" s="38" t="n">
        <f aca="false">IF(N69&gt;0,Hypothèses!$D$23*$E$4/N69,0)</f>
        <v>3.3046125782367</v>
      </c>
      <c r="O72" s="38" t="n">
        <f aca="false">IF(O69&gt;0,Hypothèses!$D$23*$E$4/O69,0)</f>
        <v>3.3046125782367</v>
      </c>
      <c r="P72" s="38" t="n">
        <f aca="false">IF(P69&gt;0,Hypothèses!$D$23*$E$4/P69,0)</f>
        <v>3.3046125782367</v>
      </c>
      <c r="Q72" s="38" t="n">
        <f aca="false">IF(Q69&gt;0,Hypothèses!$D$23*$E$4/Q69,0)</f>
        <v>3.3046125782367</v>
      </c>
      <c r="R72" s="38" t="n">
        <f aca="false">IF(R69&gt;0,Hypothèses!$D$23*$E$4/R69,0)</f>
        <v>3.3046125782367</v>
      </c>
      <c r="S72" s="38" t="n">
        <f aca="false">IF(S69&gt;0,Hypothèses!$D$23*$E$4/S69,0)</f>
        <v>3.3046125782367</v>
      </c>
      <c r="T72" s="38" t="n">
        <f aca="false">IF(T69&gt;0,Hypothèses!$D$23*$E$4/T69,0)</f>
        <v>3.3046125782367</v>
      </c>
      <c r="U72" s="38" t="n">
        <f aca="false">IF(U69&gt;0,Hypothèses!$D$23*$E$4/U69,0)</f>
        <v>3.3046125782367</v>
      </c>
      <c r="V72" s="38" t="n">
        <f aca="false">IF(V69&gt;0,Hypothèses!$D$23*$E$4/V69,0)</f>
        <v>3.3046125782367</v>
      </c>
      <c r="W72" s="38" t="n">
        <f aca="false">IF(W69&gt;0,Hypothèses!$D$23*$E$4/W69,0)</f>
        <v>3.3046125782367</v>
      </c>
      <c r="X72" s="38" t="n">
        <f aca="false">IF(X69&gt;0,Hypothèses!$D$23*$E$4/X69,0)</f>
        <v>3.3046125782367</v>
      </c>
      <c r="Y72" s="38" t="n">
        <f aca="false">IF(Y69&gt;0,Hypothèses!$D$23*$E$4/Y69,0)</f>
        <v>3.3046125782367</v>
      </c>
      <c r="Z72" s="38" t="n">
        <f aca="false">IF(Z69&gt;0,Hypothèses!$D$23*$E$4/Z69,0)</f>
        <v>3.3046125782367</v>
      </c>
      <c r="AA72" s="38" t="n">
        <f aca="false">IF(AA69&gt;0,Hypothèses!$D$23*$E$4/AA69,0)</f>
        <v>3.3046125782367</v>
      </c>
      <c r="AB72" s="38" t="n">
        <f aca="false">IF(AB69&gt;0,Hypothèses!$D$23*$E$4/AB69,0)</f>
        <v>3.3046125782367</v>
      </c>
      <c r="AC72" s="38" t="n">
        <f aca="false">IF(AC69&gt;0,Hypothèses!$D$23*$E$4/AC69,0)</f>
        <v>3.3046125782367</v>
      </c>
      <c r="AD72" s="38" t="n">
        <f aca="false">IF(AD69&gt;0,Hypothèses!$D$23*$E$4/AD69,0)</f>
        <v>3.3046125782367</v>
      </c>
      <c r="AE72" s="38" t="n">
        <f aca="false">IF(AE69&gt;0,Hypothèses!$D$23*$E$4/AE69,0)</f>
        <v>3.3046125782367</v>
      </c>
      <c r="AF72" s="38" t="n">
        <f aca="false">IF(AF69&gt;0,Hypothèses!$D$23*$E$4/AF69,0)</f>
        <v>3.3046125782367</v>
      </c>
      <c r="AG72" s="38" t="n">
        <f aca="false">IF(AG69&gt;0,Hypothèses!$D$23*$E$4/AG69,0)</f>
        <v>3.3046125782367</v>
      </c>
      <c r="AH72" s="38" t="n">
        <f aca="false">IF(AH69&gt;0,Hypothèses!$D$23*$E$4/AH69,0)</f>
        <v>3.3046125782367</v>
      </c>
      <c r="AI72" s="38" t="n">
        <f aca="false">IF(AI69&gt;0,Hypothèses!$D$23*$E$4/AI69,0)</f>
        <v>3.3046125782367</v>
      </c>
      <c r="AJ72" s="38" t="n">
        <f aca="false">IF(AJ69&gt;0,Hypothèses!$D$23*$E$4/AJ69,0)</f>
        <v>3.3046125782367</v>
      </c>
      <c r="AK72" s="38" t="n">
        <f aca="false">IF(AK69&gt;0,Hypothèses!$D$23*$E$4/AK69,0)</f>
        <v>3.3046125782367</v>
      </c>
      <c r="AL72" s="38" t="n">
        <f aca="false">IF(AL69&gt;0,Hypothèses!$D$23*$E$4/AL69,0)</f>
        <v>3.3046125782367</v>
      </c>
      <c r="AN72" s="38" t="n">
        <f aca="false">N72</f>
        <v>3.3046125782367</v>
      </c>
      <c r="AO72" s="38" t="n">
        <f aca="false">Z72</f>
        <v>3.3046125782367</v>
      </c>
      <c r="AP72" s="38" t="n">
        <f aca="false">AL72</f>
        <v>3.3046125782367</v>
      </c>
    </row>
    <row r="73" customFormat="false" ht="15" hidden="false" customHeight="false" outlineLevel="0" collapsed="false">
      <c r="A73" s="9" t="s">
        <v>159</v>
      </c>
      <c r="B73" s="4" t="s">
        <v>92</v>
      </c>
      <c r="C73" s="15" t="n">
        <f aca="false">IF(Hypothèses!$D$26*$D$4&gt;0,C69/(Hypothèses!$D$26*$D$4),0)</f>
        <v>0</v>
      </c>
      <c r="D73" s="15" t="n">
        <f aca="false">IF(Hypothèses!$D$26*$D$4&gt;0,D69/(Hypothèses!$D$26*$D$4),0)</f>
        <v>0</v>
      </c>
      <c r="E73" s="15" t="n">
        <f aca="false">IF(Hypothèses!$D$26*$D$4&gt;0,E69/(Hypothèses!$D$26*$D$4),0)</f>
        <v>567.381657729278</v>
      </c>
      <c r="F73" s="15" t="n">
        <f aca="false">IF(Hypothèses!$D$26*$D$4&gt;0,F69/(Hypothèses!$D$26*$D$4),0)</f>
        <v>567.381657729278</v>
      </c>
      <c r="G73" s="15" t="n">
        <f aca="false">IF(Hypothèses!$D$26*$D$4&gt;0,G69/(Hypothèses!$D$26*$D$4),0)</f>
        <v>567.381657729278</v>
      </c>
      <c r="H73" s="15" t="n">
        <f aca="false">IF(Hypothèses!$D$26*$D$4&gt;0,H69/(Hypothèses!$D$26*$D$4),0)</f>
        <v>567.381657729278</v>
      </c>
      <c r="I73" s="15" t="n">
        <f aca="false">IF(Hypothèses!$D$26*$D$4&gt;0,I69/(Hypothèses!$D$26*$D$4),0)</f>
        <v>567.381657729279</v>
      </c>
      <c r="J73" s="15" t="n">
        <f aca="false">IF(Hypothèses!$D$26*$D$4&gt;0,J69/(Hypothèses!$D$26*$D$4),0)</f>
        <v>567.381657729279</v>
      </c>
      <c r="K73" s="15" t="n">
        <f aca="false">IF(Hypothèses!$D$26*$D$4&gt;0,K69/(Hypothèses!$D$26*$D$4),0)</f>
        <v>567.381657729278</v>
      </c>
      <c r="L73" s="15" t="n">
        <f aca="false">IF(Hypothèses!$D$26*$D$4&gt;0,L69/(Hypothèses!$D$26*$D$4),0)</f>
        <v>567.381657729278</v>
      </c>
      <c r="M73" s="15" t="n">
        <f aca="false">IF(Hypothèses!$D$26*$D$4&gt;0,M69/(Hypothèses!$D$26*$D$4),0)</f>
        <v>567.381657729278</v>
      </c>
      <c r="N73" s="15" t="n">
        <f aca="false">IF(Hypothèses!$D$26*$D$4&gt;0,N69/(Hypothèses!$D$26*$D$4),0)</f>
        <v>567.381657729278</v>
      </c>
      <c r="O73" s="15" t="n">
        <f aca="false">IF(Hypothèses!$D$26*$D$4&gt;0,O69/(Hypothèses!$D$26*$D$4),0)</f>
        <v>567.381657729278</v>
      </c>
      <c r="P73" s="15" t="n">
        <f aca="false">IF(Hypothèses!$D$26*$D$4&gt;0,P69/(Hypothèses!$D$26*$D$4),0)</f>
        <v>567.381657729278</v>
      </c>
      <c r="Q73" s="15" t="n">
        <f aca="false">IF(Hypothèses!$D$26*$D$4&gt;0,Q69/(Hypothèses!$D$26*$D$4),0)</f>
        <v>567.381657729278</v>
      </c>
      <c r="R73" s="15" t="n">
        <f aca="false">IF(Hypothèses!$D$26*$D$4&gt;0,R69/(Hypothèses!$D$26*$D$4),0)</f>
        <v>567.381657729278</v>
      </c>
      <c r="S73" s="15" t="n">
        <f aca="false">IF(Hypothèses!$D$26*$D$4&gt;0,S69/(Hypothèses!$D$26*$D$4),0)</f>
        <v>567.381657729278</v>
      </c>
      <c r="T73" s="15" t="n">
        <f aca="false">IF(Hypothèses!$D$26*$D$4&gt;0,T69/(Hypothèses!$D$26*$D$4),0)</f>
        <v>567.381657729278</v>
      </c>
      <c r="U73" s="15" t="n">
        <f aca="false">IF(Hypothèses!$D$26*$D$4&gt;0,U69/(Hypothèses!$D$26*$D$4),0)</f>
        <v>567.381657729278</v>
      </c>
      <c r="V73" s="15" t="n">
        <f aca="false">IF(Hypothèses!$D$26*$D$4&gt;0,V69/(Hypothèses!$D$26*$D$4),0)</f>
        <v>567.381657729279</v>
      </c>
      <c r="W73" s="15" t="n">
        <f aca="false">IF(Hypothèses!$D$26*$D$4&gt;0,W69/(Hypothèses!$D$26*$D$4),0)</f>
        <v>567.381657729278</v>
      </c>
      <c r="X73" s="15" t="n">
        <f aca="false">IF(Hypothèses!$D$26*$D$4&gt;0,X69/(Hypothèses!$D$26*$D$4),0)</f>
        <v>567.381657729278</v>
      </c>
      <c r="Y73" s="15" t="n">
        <f aca="false">IF(Hypothèses!$D$26*$D$4&gt;0,Y69/(Hypothèses!$D$26*$D$4),0)</f>
        <v>567.381657729278</v>
      </c>
      <c r="Z73" s="15" t="n">
        <f aca="false">IF(Hypothèses!$D$26*$D$4&gt;0,Z69/(Hypothèses!$D$26*$D$4),0)</f>
        <v>567.381657729278</v>
      </c>
      <c r="AA73" s="15" t="n">
        <f aca="false">IF(Hypothèses!$D$26*$D$4&gt;0,AA69/(Hypothèses!$D$26*$D$4),0)</f>
        <v>567.381657729278</v>
      </c>
      <c r="AB73" s="15" t="n">
        <f aca="false">IF(Hypothèses!$D$26*$D$4&gt;0,AB69/(Hypothèses!$D$26*$D$4),0)</f>
        <v>567.381657729279</v>
      </c>
      <c r="AC73" s="15" t="n">
        <f aca="false">IF(Hypothèses!$D$26*$D$4&gt;0,AC69/(Hypothèses!$D$26*$D$4),0)</f>
        <v>567.381657729278</v>
      </c>
      <c r="AD73" s="15" t="n">
        <f aca="false">IF(Hypothèses!$D$26*$D$4&gt;0,AD69/(Hypothèses!$D$26*$D$4),0)</f>
        <v>567.381657729278</v>
      </c>
      <c r="AE73" s="15" t="n">
        <f aca="false">IF(Hypothèses!$D$26*$D$4&gt;0,AE69/(Hypothèses!$D$26*$D$4),0)</f>
        <v>567.381657729279</v>
      </c>
      <c r="AF73" s="15" t="n">
        <f aca="false">IF(Hypothèses!$D$26*$D$4&gt;0,AF69/(Hypothèses!$D$26*$D$4),0)</f>
        <v>567.381657729278</v>
      </c>
      <c r="AG73" s="15" t="n">
        <f aca="false">IF(Hypothèses!$D$26*$D$4&gt;0,AG69/(Hypothèses!$D$26*$D$4),0)</f>
        <v>567.381657729278</v>
      </c>
      <c r="AH73" s="15" t="n">
        <f aca="false">IF(Hypothèses!$D$26*$D$4&gt;0,AH69/(Hypothèses!$D$26*$D$4),0)</f>
        <v>567.381657729278</v>
      </c>
      <c r="AI73" s="15" t="n">
        <f aca="false">IF(Hypothèses!$D$26*$D$4&gt;0,AI69/(Hypothèses!$D$26*$D$4),0)</f>
        <v>567.381657729278</v>
      </c>
      <c r="AJ73" s="15" t="n">
        <f aca="false">IF(Hypothèses!$D$26*$D$4&gt;0,AJ69/(Hypothèses!$D$26*$D$4),0)</f>
        <v>567.381657729278</v>
      </c>
      <c r="AK73" s="15" t="n">
        <f aca="false">IF(Hypothèses!$D$26*$D$4&gt;0,AK69/(Hypothèses!$D$26*$D$4),0)</f>
        <v>567.381657729278</v>
      </c>
      <c r="AL73" s="15" t="n">
        <f aca="false">IF(Hypothèses!$D$26*$D$4&gt;0,AL69/(Hypothèses!$D$26*$D$4),0)</f>
        <v>567.381657729278</v>
      </c>
      <c r="AN73" s="15" t="n">
        <f aca="false">N73</f>
        <v>567.381657729278</v>
      </c>
      <c r="AO73" s="15" t="n">
        <f aca="false">Z73</f>
        <v>567.381657729278</v>
      </c>
      <c r="AP73" s="15" t="n">
        <f aca="false">AL73</f>
        <v>567.381657729278</v>
      </c>
    </row>
    <row r="74" customFormat="false" ht="15" hidden="false" customHeight="false" outlineLevel="0" collapsed="false">
      <c r="A74" s="9" t="s">
        <v>160</v>
      </c>
      <c r="B74" s="4" t="s">
        <v>277</v>
      </c>
      <c r="C74" s="41" t="n">
        <f aca="false">IF(Hypothèses!$D$23*$E$4&gt;0,C73/(Hypothèses!$D$23*$E$4),0)</f>
        <v>0</v>
      </c>
      <c r="D74" s="41" t="n">
        <f aca="false">IF(Hypothèses!$D$23*$E$4&gt;0,D73/(Hypothèses!$D$23*$E$4),0)</f>
        <v>0</v>
      </c>
      <c r="E74" s="41" t="n">
        <f aca="false">IF(Hypothèses!$D$23*$E$4&gt;0,E73/(Hypothèses!$D$23*$E$4),0)</f>
        <v>3.78254438486186</v>
      </c>
      <c r="F74" s="41" t="n">
        <f aca="false">IF(Hypothèses!$D$23*$E$4&gt;0,F73/(Hypothèses!$D$23*$E$4),0)</f>
        <v>3.78254438486186</v>
      </c>
      <c r="G74" s="41" t="n">
        <f aca="false">IF(Hypothèses!$D$23*$E$4&gt;0,G73/(Hypothèses!$D$23*$E$4),0)</f>
        <v>3.78254438486186</v>
      </c>
      <c r="H74" s="41" t="n">
        <f aca="false">IF(Hypothèses!$D$23*$E$4&gt;0,H73/(Hypothèses!$D$23*$E$4),0)</f>
        <v>3.78254438486186</v>
      </c>
      <c r="I74" s="41" t="n">
        <f aca="false">IF(Hypothèses!$D$23*$E$4&gt;0,I73/(Hypothèses!$D$23*$E$4),0)</f>
        <v>3.78254438486186</v>
      </c>
      <c r="J74" s="41" t="n">
        <f aca="false">IF(Hypothèses!$D$23*$E$4&gt;0,J73/(Hypothèses!$D$23*$E$4),0)</f>
        <v>3.78254438486186</v>
      </c>
      <c r="K74" s="41" t="n">
        <f aca="false">IF(Hypothèses!$D$23*$E$4&gt;0,K73/(Hypothèses!$D$23*$E$4),0)</f>
        <v>3.78254438486186</v>
      </c>
      <c r="L74" s="41" t="n">
        <f aca="false">IF(Hypothèses!$D$23*$E$4&gt;0,L73/(Hypothèses!$D$23*$E$4),0)</f>
        <v>3.78254438486186</v>
      </c>
      <c r="M74" s="41" t="n">
        <f aca="false">IF(Hypothèses!$D$23*$E$4&gt;0,M73/(Hypothèses!$D$23*$E$4),0)</f>
        <v>3.78254438486186</v>
      </c>
      <c r="N74" s="41" t="n">
        <f aca="false">IF(Hypothèses!$D$23*$E$4&gt;0,N73/(Hypothèses!$D$23*$E$4),0)</f>
        <v>3.78254438486186</v>
      </c>
      <c r="O74" s="41" t="n">
        <f aca="false">IF(Hypothèses!$D$23*$E$4&gt;0,O73/(Hypothèses!$D$23*$E$4),0)</f>
        <v>3.78254438486185</v>
      </c>
      <c r="P74" s="41" t="n">
        <f aca="false">IF(Hypothèses!$D$23*$E$4&gt;0,P73/(Hypothèses!$D$23*$E$4),0)</f>
        <v>3.78254438486186</v>
      </c>
      <c r="Q74" s="41" t="n">
        <f aca="false">IF(Hypothèses!$D$23*$E$4&gt;0,Q73/(Hypothèses!$D$23*$E$4),0)</f>
        <v>3.78254438486186</v>
      </c>
      <c r="R74" s="41" t="n">
        <f aca="false">IF(Hypothèses!$D$23*$E$4&gt;0,R73/(Hypothèses!$D$23*$E$4),0)</f>
        <v>3.78254438486186</v>
      </c>
      <c r="S74" s="41" t="n">
        <f aca="false">IF(Hypothèses!$D$23*$E$4&gt;0,S73/(Hypothèses!$D$23*$E$4),0)</f>
        <v>3.78254438486186</v>
      </c>
      <c r="T74" s="41" t="n">
        <f aca="false">IF(Hypothèses!$D$23*$E$4&gt;0,T73/(Hypothèses!$D$23*$E$4),0)</f>
        <v>3.78254438486186</v>
      </c>
      <c r="U74" s="41" t="n">
        <f aca="false">IF(Hypothèses!$D$23*$E$4&gt;0,U73/(Hypothèses!$D$23*$E$4),0)</f>
        <v>3.78254438486186</v>
      </c>
      <c r="V74" s="41" t="n">
        <f aca="false">IF(Hypothèses!$D$23*$E$4&gt;0,V73/(Hypothèses!$D$23*$E$4),0)</f>
        <v>3.78254438486186</v>
      </c>
      <c r="W74" s="41" t="n">
        <f aca="false">IF(Hypothèses!$D$23*$E$4&gt;0,W73/(Hypothèses!$D$23*$E$4),0)</f>
        <v>3.78254438486186</v>
      </c>
      <c r="X74" s="41" t="n">
        <f aca="false">IF(Hypothèses!$D$23*$E$4&gt;0,X73/(Hypothèses!$D$23*$E$4),0)</f>
        <v>3.78254438486186</v>
      </c>
      <c r="Y74" s="41" t="n">
        <f aca="false">IF(Hypothèses!$D$23*$E$4&gt;0,Y73/(Hypothèses!$D$23*$E$4),0)</f>
        <v>3.78254438486186</v>
      </c>
      <c r="Z74" s="41" t="n">
        <f aca="false">IF(Hypothèses!$D$23*$E$4&gt;0,Z73/(Hypothèses!$D$23*$E$4),0)</f>
        <v>3.78254438486186</v>
      </c>
      <c r="AA74" s="41" t="n">
        <f aca="false">IF(Hypothèses!$D$23*$E$4&gt;0,AA73/(Hypothèses!$D$23*$E$4),0)</f>
        <v>3.78254438486186</v>
      </c>
      <c r="AB74" s="41" t="n">
        <f aca="false">IF(Hypothèses!$D$23*$E$4&gt;0,AB73/(Hypothèses!$D$23*$E$4),0)</f>
        <v>3.78254438486186</v>
      </c>
      <c r="AC74" s="41" t="n">
        <f aca="false">IF(Hypothèses!$D$23*$E$4&gt;0,AC73/(Hypothèses!$D$23*$E$4),0)</f>
        <v>3.78254438486186</v>
      </c>
      <c r="AD74" s="41" t="n">
        <f aca="false">IF(Hypothèses!$D$23*$E$4&gt;0,AD73/(Hypothèses!$D$23*$E$4),0)</f>
        <v>3.78254438486186</v>
      </c>
      <c r="AE74" s="41" t="n">
        <f aca="false">IF(Hypothèses!$D$23*$E$4&gt;0,AE73/(Hypothèses!$D$23*$E$4),0)</f>
        <v>3.78254438486186</v>
      </c>
      <c r="AF74" s="41" t="n">
        <f aca="false">IF(Hypothèses!$D$23*$E$4&gt;0,AF73/(Hypothèses!$D$23*$E$4),0)</f>
        <v>3.78254438486186</v>
      </c>
      <c r="AG74" s="41" t="n">
        <f aca="false">IF(Hypothèses!$D$23*$E$4&gt;0,AG73/(Hypothèses!$D$23*$E$4),0)</f>
        <v>3.78254438486186</v>
      </c>
      <c r="AH74" s="41" t="n">
        <f aca="false">IF(Hypothèses!$D$23*$E$4&gt;0,AH73/(Hypothèses!$D$23*$E$4),0)</f>
        <v>3.78254438486186</v>
      </c>
      <c r="AI74" s="41" t="n">
        <f aca="false">IF(Hypothèses!$D$23*$E$4&gt;0,AI73/(Hypothèses!$D$23*$E$4),0)</f>
        <v>3.78254438486186</v>
      </c>
      <c r="AJ74" s="41" t="n">
        <f aca="false">IF(Hypothèses!$D$23*$E$4&gt;0,AJ73/(Hypothèses!$D$23*$E$4),0)</f>
        <v>3.78254438486186</v>
      </c>
      <c r="AK74" s="41" t="n">
        <f aca="false">IF(Hypothèses!$D$23*$E$4&gt;0,AK73/(Hypothèses!$D$23*$E$4),0)</f>
        <v>3.78254438486186</v>
      </c>
      <c r="AL74" s="41" t="n">
        <f aca="false">IF(Hypothèses!$D$23*$E$4&gt;0,AL73/(Hypothèses!$D$23*$E$4),0)</f>
        <v>3.78254438486186</v>
      </c>
      <c r="AN74" s="41" t="n">
        <f aca="false">N74</f>
        <v>3.78254438486186</v>
      </c>
      <c r="AO74" s="41" t="n">
        <f aca="false">Z74</f>
        <v>3.78254438486186</v>
      </c>
      <c r="AP74" s="41" t="n">
        <f aca="false">AL74</f>
        <v>3.78254438486186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2026-10-27T22:42:43Z</dcterms:created>
  <dc:creator>openpyxl</dc:creator>
  <dc:description/>
  <dc:language>en-US</dc:language>
  <cp:lastModifiedBy/>
  <dcterms:modified xsi:type="dcterms:W3CDTF">2026-10-27T22:42:46Z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