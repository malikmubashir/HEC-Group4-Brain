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Hypothèses" sheetId="2" state="visible" r:id="rId2"/>
    <sheet xmlns:r="http://schemas.openxmlformats.org/officeDocument/2006/relationships" name="Économie unitaire" sheetId="3" state="visible" r:id="rId3"/>
    <sheet xmlns:r="http://schemas.openxmlformats.org/officeDocument/2006/relationships" name="Modèle Prudent" sheetId="4" state="visible" r:id="rId4"/>
    <sheet xmlns:r="http://schemas.openxmlformats.org/officeDocument/2006/relationships" name="Modèle Central" sheetId="5" state="visible" r:id="rId5"/>
    <sheet xmlns:r="http://schemas.openxmlformats.org/officeDocument/2006/relationships" name="Modèle Ambitieux" sheetId="6" state="visible" r:id="rId6"/>
    <sheet xmlns:r="http://schemas.openxmlformats.org/officeDocument/2006/relationships" name="Synthèse" sheetId="7" state="visible" r:id="rId7"/>
    <sheet xmlns:r="http://schemas.openxmlformats.org/officeDocument/2006/relationships" name="Tornade" sheetId="8" state="visible" r:id="rId8"/>
    <sheet xmlns:r="http://schemas.openxmlformats.org/officeDocument/2006/relationships" name="KPI" sheetId="9" state="visible" r:id="rId9"/>
    <sheet xmlns:r="http://schemas.openxmlformats.org/officeDocument/2006/relationships" name="Financement" sheetId="10" state="visible" r:id="rId10"/>
    <sheet xmlns:r="http://schemas.openxmlformats.org/officeDocument/2006/relationships" name="S01" sheetId="11" state="visible" r:id="rId11"/>
    <sheet xmlns:r="http://schemas.openxmlformats.org/officeDocument/2006/relationships" name="S02" sheetId="12" state="visible" r:id="rId12"/>
    <sheet xmlns:r="http://schemas.openxmlformats.org/officeDocument/2006/relationships" name="S03" sheetId="13" state="visible" r:id="rId13"/>
    <sheet xmlns:r="http://schemas.openxmlformats.org/officeDocument/2006/relationships" name="S04" sheetId="14" state="visible" r:id="rId14"/>
    <sheet xmlns:r="http://schemas.openxmlformats.org/officeDocument/2006/relationships" name="S05" sheetId="15" state="visible" r:id="rId15"/>
    <sheet xmlns:r="http://schemas.openxmlformats.org/officeDocument/2006/relationships" name="S06" sheetId="16" state="visible" r:id="rId16"/>
    <sheet xmlns:r="http://schemas.openxmlformats.org/officeDocument/2006/relationships" name="S07" sheetId="17" state="visible" r:id="rId17"/>
    <sheet xmlns:r="http://schemas.openxmlformats.org/officeDocument/2006/relationships" name="S08" sheetId="18" state="visible" r:id="rId18"/>
    <sheet xmlns:r="http://schemas.openxmlformats.org/officeDocument/2006/relationships" name="S09" sheetId="19" state="visible" r:id="rId19"/>
    <sheet xmlns:r="http://schemas.openxmlformats.org/officeDocument/2006/relationships" name="S10" sheetId="20" state="visible" r:id="rId20"/>
    <sheet xmlns:r="http://schemas.openxmlformats.org/officeDocument/2006/relationships" name="S11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#,##0;(#,##0);&quot;-&quot;"/>
    <numFmt numFmtId="166" formatCode="#,##0&quot; €&quot;;(#,##0&quot; €&quot;);&quot;-&quot;"/>
    <numFmt numFmtId="167" formatCode="0.0%;(0.0%);&quot;-&quot;"/>
    <numFmt numFmtId="168" formatCode="#,##0.00&quot; €&quot;;(#,##0.00&quot; €&quot;);&quot;-&quot;"/>
    <numFmt numFmtId="169" formatCode="#,##0.0;(#,##0.0);&quot;-&quot;"/>
    <numFmt numFmtId="170" formatCode="0.00&quot;x&quot;;(0.00&quot;x&quot;);&quot;-&quot;"/>
  </numFmts>
  <fonts count="9">
    <font>
      <name val="Calibri"/>
      <family val="2"/>
      <color theme="1"/>
      <sz val="11"/>
      <scheme val="minor"/>
    </font>
    <font>
      <name val="Georgia"/>
      <color rgb="00201C19"/>
      <sz val="16"/>
    </font>
    <font>
      <name val="Arial"/>
      <i val="1"/>
      <color rgb="008A8178"/>
      <sz val="9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201C19"/>
      <sz val="10"/>
    </font>
    <font>
      <name val="Arial"/>
      <b val="1"/>
      <color rgb="00D9734F"/>
      <sz val="10"/>
    </font>
    <font>
      <name val="Arial"/>
      <color rgb="00000000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FE9E0"/>
      </patternFill>
    </fill>
    <fill>
      <patternFill patternType="solid">
        <fgColor rgb="00F0916A"/>
      </patternFill>
    </fill>
  </fills>
  <borders count="2">
    <border>
      <left/>
      <right/>
      <top/>
      <bottom/>
      <diagonal/>
    </border>
    <border>
      <bottom style="thin">
        <color rgb="00F0916A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2" borderId="0" pivotButton="0" quotePrefix="0" xfId="0"/>
    <xf numFmtId="0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17" fontId="4" fillId="0" borderId="0" pivotButton="0" quotePrefix="0" xfId="0"/>
    <xf numFmtId="17" fontId="7" fillId="0" borderId="0" pivotButton="0" quotePrefix="0" xfId="0"/>
    <xf numFmtId="165" fontId="4" fillId="0" borderId="0" pivotButton="0" quotePrefix="0" xfId="0"/>
    <xf numFmtId="165" fontId="7" fillId="0" borderId="0" pivotButton="0" quotePrefix="0" xfId="0"/>
    <xf numFmtId="166" fontId="4" fillId="0" borderId="0" pivotButton="0" quotePrefix="0" xfId="0"/>
    <xf numFmtId="166" fontId="7" fillId="0" borderId="0" pivotButton="0" quotePrefix="0" xfId="0"/>
    <xf numFmtId="167" fontId="4" fillId="0" borderId="0" pivotButton="0" quotePrefix="0" xfId="0"/>
    <xf numFmtId="167" fontId="7" fillId="0" borderId="0" pivotButton="0" quotePrefix="0" xfId="0"/>
    <xf numFmtId="168" fontId="4" fillId="0" borderId="0" pivotButton="0" quotePrefix="0" xfId="0"/>
    <xf numFmtId="168" fontId="7" fillId="0" borderId="0" pivotButton="0" quotePrefix="0" xfId="0"/>
    <xf numFmtId="166" fontId="8" fillId="0" borderId="0" pivotButton="0" quotePrefix="0" xfId="0"/>
    <xf numFmtId="168" fontId="8" fillId="0" borderId="0" pivotButton="0" quotePrefix="0" xfId="0"/>
    <xf numFmtId="165" fontId="8" fillId="0" borderId="0" pivotButton="0" quotePrefix="0" xfId="0"/>
    <xf numFmtId="168" fontId="3" fillId="0" borderId="0" pivotButton="0" quotePrefix="0" xfId="0"/>
    <xf numFmtId="167" fontId="0" fillId="0" borderId="0" pivotButton="0" quotePrefix="0" xfId="0"/>
    <xf numFmtId="169" fontId="0" fillId="0" borderId="0" pivotButton="0" quotePrefix="0" xfId="0"/>
    <xf numFmtId="166" fontId="0" fillId="0" borderId="0" pivotButton="0" quotePrefix="0" xfId="0"/>
    <xf numFmtId="170" fontId="3" fillId="0" borderId="0" pivotButton="0" quotePrefix="0" xfId="0"/>
    <xf numFmtId="0" fontId="5" fillId="0" borderId="0" pivotButton="0" quotePrefix="0" xfId="0"/>
    <xf numFmtId="166" fontId="4" fillId="3" borderId="0" pivotButton="0" quotePrefix="0" xfId="0"/>
    <xf numFmtId="170" fontId="0" fillId="0" borderId="0" pivotButton="0" quotePrefix="0" xfId="0"/>
    <xf numFmtId="165" fontId="4" fillId="3" borderId="0" pivotButton="0" quotePrefix="0" xfId="0"/>
    <xf numFmtId="168" fontId="0" fillId="0" borderId="0" pivotButton="0" quotePrefix="0" xfId="0"/>
    <xf numFmtId="0" fontId="2" fillId="0" borderId="0" applyAlignment="1" pivotButton="0" quotePrefix="0" xfId="0">
      <alignment horizontal="center" wrapText="1"/>
    </xf>
    <xf numFmtId="2" fontId="4" fillId="2" borderId="0" pivotButton="0" quotePrefix="0" xfId="0"/>
    <xf numFmtId="1" fontId="4" fillId="2" borderId="0" pivotButton="0" quotePrefix="0" xfId="0"/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9" fontId="7" fillId="0" borderId="0" pivotButton="0" quotePrefix="0" xfId="0"/>
    <xf numFmtId="169" fontId="3" fillId="0" borderId="0" pivotButton="0" quotePrefix="0" xfId="0"/>
    <xf numFmtId="166" fontId="3" fillId="0" borderId="0" pivotButton="0" quotePrefix="0" xfId="0"/>
    <xf numFmtId="170" fontId="7" fillId="0" borderId="0" pivotButton="0" quotePrefix="0" xfId="0"/>
    <xf numFmtId="167" fontId="8" fillId="0" borderId="0" pivotButton="0" quotePrefix="0" xfId="0"/>
    <xf numFmtId="169" fontId="8" fillId="0" borderId="0" pivotButton="0" quotePrefix="0" xfId="0"/>
    <xf numFmtId="170" fontId="8" fillId="0" borderId="0" pivotButton="0" quotePrefix="0" xfId="0"/>
    <xf numFmtId="0" fontId="5" fillId="3" borderId="1" applyAlignment="1" pivotButton="0" quotePrefix="0" xfId="0">
      <alignment vertical="center" wrapText="1"/>
    </xf>
    <xf numFmtId="165" fontId="0" fillId="0" borderId="0" pivotButton="0" quotePrefix="0" xfId="0"/>
    <xf numFmtId="0" fontId="3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Écart du point bas de trésorerie vs Central (€)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'Tornade'!$A$6:$A$16</f>
            </numRef>
          </cat>
          <val>
            <numRef>
              <f>'Tornade'!$D$6:$D$16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Écart de trésorerie fin A3 vs Central (€)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'Tornade'!$A$6:$A$16</f>
            </numRef>
          </cat>
          <val>
            <numRef>
              <f>'Tornade'!$J$6:$J$16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18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1" t="inlineStr">
        <is>
          <t>Helium, modèle financier 36 mois, V1</t>
        </is>
      </c>
    </row>
    <row r="3">
      <c r="A3" s="2" t="inlineStr">
        <is>
          <t>Objet</t>
        </is>
      </c>
      <c r="B3" s="3" t="inlineStr">
        <is>
          <t>Prévision mensuelle de trésorerie sur 36 mois pour le projet Helium (ex Super Majordome IA), HEC GEMM Group 4. Trois scénarios, économie unitaire, sensibilités, KPI et plan de financement.</t>
        </is>
      </c>
    </row>
    <row r="4">
      <c r="A4" s="2" t="inlineStr">
        <is>
          <t>Statut</t>
        </is>
      </c>
      <c r="B4" s="3" t="inlineStr">
        <is>
          <t>Document de travail. Toutes les hypothèses sont non validées par des mesures (voir colonne Source de l'onglet Hypothèses). Aucun chiffre n'est une dépense engagée ni un financement obtenu.</t>
        </is>
      </c>
    </row>
    <row r="5">
      <c r="A5" s="2" t="inlineStr">
        <is>
          <t>Préparé par</t>
        </is>
      </c>
      <c r="B5" s="3" t="inlineStr">
        <is>
          <t>Assistant IA Direction, à la demande du CEO (Malik), le 27 octobre 2026, pour Sébastien (Finance).</t>
        </is>
      </c>
    </row>
    <row r="6">
      <c r="A6" s="2" t="inlineStr">
        <is>
          <t>Légende</t>
        </is>
      </c>
      <c r="B6" s="3" t="inlineStr">
        <is>
          <t>Texte bleu = entrée modifiable. Fond jaune = levier clé. Texte noir = formule. Texte vert = lien vers un autre onglet. Ne rien saisir dans les onglets Modèle et S01 à S10 en dehors de la ligne de chocs.</t>
        </is>
      </c>
    </row>
    <row r="7">
      <c r="A7" s="2" t="inlineStr">
        <is>
          <t>Onglets</t>
        </is>
      </c>
      <c r="B7" s="3" t="inlineStr">
        <is>
          <t>Hypothèses (toutes les entrées, trois scénarios, sélecteur F3) · Économie unitaire (par offre, grilles de sensibilité) · Modèle Prudent / Central / Ambitieux (36 mois) · Synthèse (comparaison) · Tornade (sensibilités du Central) · S01 à S11 (copies du Central avec un choc) · KPI · Financement.</t>
        </is>
      </c>
    </row>
    <row r="8">
      <c r="A8" s="2" t="inlineStr">
        <is>
          <t>Mécanique</t>
        </is>
      </c>
      <c r="B8" s="3" t="inlineStr">
        <is>
          <t>Abonnés : ouverture + acquisition payante (budget / CAC) + pilote + organique − churn. Revenus TTC → TVA → CA HT. Coûts variables = missions × coût par mission + hébergement + support. Trésorerie : encaissements TTC, coûts HT, TVA nette réglée le mois suivant, financement optionnel.</t>
        </is>
      </c>
    </row>
    <row r="9">
      <c r="A9" s="2" t="inlineStr">
        <is>
          <t>Simplifications</t>
        </is>
      </c>
      <c r="B9" s="3" t="inlineStr">
        <is>
          <t>Mix par offre appliqué au total des abonnés. TVA récupérable sur tous les coûts externes (fournisseurs étrangers en autoliquidation). Pas d'impôt sur les sociétés (pertes), pas de CIR/CII, pas de délai de paiement fournisseurs. Développement MVP passé en charges.</t>
        </is>
      </c>
    </row>
    <row r="10">
      <c r="A10" s="2" t="inlineStr">
        <is>
          <t>Sensibilités</t>
        </is>
      </c>
      <c r="B10" s="3" t="inlineStr">
        <is>
          <t>Onglet Tornade : Churn 5 % (churn × 1,67 (3 % → 5 %)) ; Churn 2 % (churn × 0,67 (3 % → 2 %)) ; CAC 240 € (CAC × 1,6) ; CAC 105 € (CAC × 0,7) ; Coût IA +67 % (coût par mission × 1,67 (0,18 → 0,30 €)) ; Coût IA −33 % (coût par mission × 0,67 (0,18 → 0,12 €)) ; Prix −20 % (prix × 0,8 (Premium 79 → 63 €)) ; Prix +20 % (prix × 1,2 (Premium 79 → 95 €)) ; Lancement +3 mois (retard de lancement de 3 mois) ; Coûts fixes +30 % (coûts fixes × 1,3) ; Churn 8 % (type app store) (churn × 2,67 (3 % → 8 %)).</t>
        </is>
      </c>
    </row>
    <row r="11">
      <c r="A11" s="2" t="inlineStr">
        <is>
          <t>Contrôles effectués</t>
        </is>
      </c>
      <c r="B11" s="3" t="inlineStr">
        <is>
          <t>Recalcul complet sous LibreOffice, zéro erreur de formule ; mix = 100 % ; cohérence avec les ordres de grandeur Finance V3 (point bas central −173 k€, prudent −580 k€) ; hypothèses de coût IA, churn et CAC confrontées aux benchmarks publics d'octobre 2026 (sources dans la colonne G de l'onglet Hypothèses et dans l'analyse de marché).</t>
        </is>
      </c>
    </row>
    <row r="12">
      <c r="A12" s="2" t="inlineStr">
        <is>
          <t>À faire par Finance</t>
        </is>
      </c>
      <c r="B12" s="3" t="inlineStr">
        <is>
          <t>Remplacer les hypothèses de coût par mission et de missions par mois par les mesures de Produit/Opérations ; remplacer CAC, conversion et churn par les cohortes du pilote ; saisir les devis MVP réels ; valider le régime de TVA et les dates d'encaissement.</t>
        </is>
      </c>
    </row>
    <row r="13">
      <c r="A13" s="2" t="inlineStr">
        <is>
          <t>Sources internes</t>
        </is>
      </c>
      <c r="B13" s="3" t="inlineStr">
        <is>
          <t>0 INBOX/BMC V2 ; 2 FINANCE/PREVISIONS (Business plan Lean V1, Registre des hypothèses, Acquisition et économie unitaire) ; 2 FINANCE/TRESORERIE (Synthèse V3) ; 2 FINANCE/FINANCEMENT (Stratégie V1) ; 4 VENTES (Synthèse exécutive, Objectifs et dashboard) ; 5 PRODUIT (Contribution marketing au cadrage MVP).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C46A"/>
    <outlinePr summaryBelow="1" summaryRight="1"/>
    <pageSetUpPr/>
  </sheetPr>
  <dimension ref="A1:G6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90" customWidth="1" min="7" max="7"/>
  </cols>
  <sheetData>
    <row r="1">
      <c r="A1" s="1" t="inlineStr">
        <is>
          <t>Hypothèses par scénario</t>
        </is>
      </c>
    </row>
    <row r="2">
      <c r="A2" s="4" t="inlineStr">
        <is>
          <t>Cellules bleues = entrées modifiables. Colonne F = scénario actif (sélecteur en F3). Chaque ligne cite sa source ou dit qu'elle est une hypothèse.</t>
        </is>
      </c>
    </row>
    <row r="3">
      <c r="E3" s="5" t="inlineStr">
        <is>
          <t>Scénario actif (1 = Prudent, 2 = Central, 3 = Ambitieux)</t>
        </is>
      </c>
      <c r="F3" s="6" t="n">
        <v>2</v>
      </c>
    </row>
    <row r="5">
      <c r="A5" s="7" t="inlineStr">
        <is>
          <t>Hypothèse</t>
        </is>
      </c>
      <c r="B5" s="7" t="inlineStr">
        <is>
          <t>Unité</t>
        </is>
      </c>
      <c r="C5" s="7" t="inlineStr">
        <is>
          <t>Prudent</t>
        </is>
      </c>
      <c r="D5" s="7" t="inlineStr">
        <is>
          <t>Central</t>
        </is>
      </c>
      <c r="E5" s="7" t="inlineStr">
        <is>
          <t>Ambitieux</t>
        </is>
      </c>
      <c r="F5" s="7" t="inlineStr">
        <is>
          <t>Actif</t>
        </is>
      </c>
      <c r="G5" s="7" t="inlineStr">
        <is>
          <t>Source / commentaire</t>
        </is>
      </c>
    </row>
    <row r="6">
      <c r="A6" s="8" t="inlineStr">
        <is>
          <t>Calendrier</t>
        </is>
      </c>
    </row>
    <row r="7">
      <c r="A7" s="9" t="inlineStr">
        <is>
          <t>Date de début du modèle (M1)</t>
        </is>
      </c>
      <c r="B7" s="4" t="inlineStr">
        <is>
          <t>date</t>
        </is>
      </c>
      <c r="C7" s="10" t="n">
        <v>46327</v>
      </c>
      <c r="D7" s="10" t="n">
        <v>46327</v>
      </c>
      <c r="E7" s="10" t="n">
        <v>46327</v>
      </c>
      <c r="F7" s="11">
        <f>INDEX(C7:E7,1,$F$3)</f>
        <v/>
      </c>
      <c r="G7" s="4" t="inlineStr">
        <is>
          <t>Hypothèse de calendrier : M1 = novembre 2026. Modifiable.</t>
        </is>
      </c>
    </row>
    <row r="8">
      <c r="A8" s="9" t="inlineStr">
        <is>
          <t>Mois de démarrage du pilote payant</t>
        </is>
      </c>
      <c r="B8" s="4" t="inlineStr">
        <is>
          <t>mois</t>
        </is>
      </c>
      <c r="C8" s="12" t="n">
        <v>4</v>
      </c>
      <c r="D8" s="12" t="n">
        <v>3</v>
      </c>
      <c r="E8" s="12" t="n">
        <v>3</v>
      </c>
      <c r="F8" s="13">
        <f>INDEX(C8:E8,1,$F$3)</f>
        <v/>
      </c>
      <c r="G8" s="4" t="inlineStr">
        <is>
          <t>Plan Ventes 90 jours : 10 pilotes payants entre J31 et J60 (4 VENTES/2026 1027 01 Synthese executive).</t>
        </is>
      </c>
    </row>
    <row r="9">
      <c r="A9" s="9" t="inlineStr">
        <is>
          <t>Taille de la cohorte pilote payante</t>
        </is>
      </c>
      <c r="B9" s="4" t="inlineStr">
        <is>
          <t>abonnés</t>
        </is>
      </c>
      <c r="C9" s="12" t="n">
        <v>10</v>
      </c>
      <c r="D9" s="12" t="n">
        <v>10</v>
      </c>
      <c r="E9" s="12" t="n">
        <v>10</v>
      </c>
      <c r="F9" s="13">
        <f>INDEX(C9:E9,1,$F$3)</f>
        <v/>
      </c>
      <c r="G9" s="4" t="inlineStr">
        <is>
          <t>Même source. Les pilotes paient le prix public.</t>
        </is>
      </c>
    </row>
    <row r="10">
      <c r="A10" s="9" t="inlineStr">
        <is>
          <t>Mois de lancement commercial</t>
        </is>
      </c>
      <c r="B10" s="4" t="inlineStr">
        <is>
          <t>mois</t>
        </is>
      </c>
      <c r="C10" s="12" t="n">
        <v>10</v>
      </c>
      <c r="D10" s="12" t="n">
        <v>7</v>
      </c>
      <c r="E10" s="12" t="n">
        <v>6</v>
      </c>
      <c r="F10" s="13">
        <f>INDEX(C10:E10,1,$F$3)</f>
        <v/>
      </c>
      <c r="G10" s="4" t="inlineStr">
        <is>
          <t>Finance V3 : lancement M7 (central) / M10 (prudent). Source : 2 FINANCE/TRESORERIE/2026 1027 Synthese tresorerie V3.</t>
        </is>
      </c>
    </row>
    <row r="11">
      <c r="A11" s="8" t="inlineStr">
        <is>
          <t>Prix et mix (TTC par mois)</t>
        </is>
      </c>
    </row>
    <row r="12">
      <c r="A12" s="9" t="inlineStr">
        <is>
          <t>Prix Personal TTC</t>
        </is>
      </c>
      <c r="B12" s="4" t="inlineStr">
        <is>
          <t>€/mois</t>
        </is>
      </c>
      <c r="C12" s="14" t="n">
        <v>29</v>
      </c>
      <c r="D12" s="14" t="n">
        <v>29</v>
      </c>
      <c r="E12" s="14" t="n">
        <v>29</v>
      </c>
      <c r="F12" s="15">
        <f>INDEX(C12:E12,1,$F$3)</f>
        <v/>
      </c>
      <c r="G12" s="4" t="inlineStr">
        <is>
          <t>BMC V2, hypothèse H01 non validée. À tester (Van Westendorp).</t>
        </is>
      </c>
    </row>
    <row r="13">
      <c r="A13" s="9" t="inlineStr">
        <is>
          <t>Prix Premium TTC</t>
        </is>
      </c>
      <c r="B13" s="4" t="inlineStr">
        <is>
          <t>€/mois</t>
        </is>
      </c>
      <c r="C13" s="14" t="n">
        <v>79</v>
      </c>
      <c r="D13" s="14" t="n">
        <v>79</v>
      </c>
      <c r="E13" s="14" t="n">
        <v>79</v>
      </c>
      <c r="F13" s="15">
        <f>INDEX(C13:E13,1,$F$3)</f>
        <v/>
      </c>
      <c r="G13" s="4" t="inlineStr">
        <is>
          <t>BMC V2, hypothèse H01 non validée.</t>
        </is>
      </c>
    </row>
    <row r="14">
      <c r="A14" s="9" t="inlineStr">
        <is>
          <t>Prix Family TTC</t>
        </is>
      </c>
      <c r="B14" s="4" t="inlineStr">
        <is>
          <t>€/mois</t>
        </is>
      </c>
      <c r="C14" s="14" t="n">
        <v>129</v>
      </c>
      <c r="D14" s="14" t="n">
        <v>129</v>
      </c>
      <c r="E14" s="14" t="n">
        <v>129</v>
      </c>
      <c r="F14" s="15">
        <f>INDEX(C14:E14,1,$F$3)</f>
        <v/>
      </c>
      <c r="G14" s="4" t="inlineStr">
        <is>
          <t>BMC V2, hypothèse H01 non validée.</t>
        </is>
      </c>
    </row>
    <row r="15">
      <c r="A15" s="9" t="inlineStr">
        <is>
          <t>TVA</t>
        </is>
      </c>
      <c r="B15" s="4" t="inlineStr">
        <is>
          <t>%</t>
        </is>
      </c>
      <c r="C15" s="16" t="n">
        <v>0.2</v>
      </c>
      <c r="D15" s="16" t="n">
        <v>0.2</v>
      </c>
      <c r="E15" s="16" t="n">
        <v>0.2</v>
      </c>
      <c r="F15" s="17">
        <f>INDEX(C15:E15,1,$F$3)</f>
        <v/>
      </c>
      <c r="G15" s="4" t="inlineStr">
        <is>
          <t>Taux normal France (hypothèse H02). Ventes B2C UE hors France : TVA du pays du client (OSS).</t>
        </is>
      </c>
    </row>
    <row r="16">
      <c r="A16" s="9" t="inlineStr">
        <is>
          <t>Part Personal dans les abonnés</t>
        </is>
      </c>
      <c r="B16" s="4" t="inlineStr">
        <is>
          <t>%</t>
        </is>
      </c>
      <c r="C16" s="16" t="n">
        <v>0.3</v>
      </c>
      <c r="D16" s="16" t="n">
        <v>0.25</v>
      </c>
      <c r="E16" s="16" t="n">
        <v>0.2</v>
      </c>
      <c r="F16" s="17">
        <f>INDEX(C16:E16,1,$F$3)</f>
        <v/>
      </c>
      <c r="G16" s="4" t="inlineStr">
        <is>
          <t>Hypothèse de mix. Aucune donnée observée.</t>
        </is>
      </c>
    </row>
    <row r="17">
      <c r="A17" s="9" t="inlineStr">
        <is>
          <t>Part Premium</t>
        </is>
      </c>
      <c r="B17" s="4" t="inlineStr">
        <is>
          <t>%</t>
        </is>
      </c>
      <c r="C17" s="16" t="n">
        <v>0.55</v>
      </c>
      <c r="D17" s="16" t="n">
        <v>0.6</v>
      </c>
      <c r="E17" s="16" t="n">
        <v>0.6</v>
      </c>
      <c r="F17" s="17">
        <f>INDEX(C17:E17,1,$F$3)</f>
        <v/>
      </c>
      <c r="G17" s="4" t="inlineStr">
        <is>
          <t>Hypothèse de mix.</t>
        </is>
      </c>
    </row>
    <row r="18">
      <c r="A18" s="9" t="inlineStr">
        <is>
          <t>Part Family</t>
        </is>
      </c>
      <c r="B18" s="4" t="inlineStr">
        <is>
          <t>%</t>
        </is>
      </c>
      <c r="C18" s="16" t="n">
        <v>0.15</v>
      </c>
      <c r="D18" s="16" t="n">
        <v>0.15</v>
      </c>
      <c r="E18" s="16" t="n">
        <v>0.2</v>
      </c>
      <c r="F18" s="17">
        <f>INDEX(C18:E18,1,$F$3)</f>
        <v/>
      </c>
      <c r="G18" s="4" t="inlineStr">
        <is>
          <t>Hypothèse de mix. Doit sommer à 100 % avec les deux lignes précédentes.</t>
        </is>
      </c>
    </row>
    <row r="19">
      <c r="A19" s="8" t="inlineStr">
        <is>
          <t>Acquisition</t>
        </is>
      </c>
    </row>
    <row r="20">
      <c r="A20" s="9" t="inlineStr">
        <is>
          <t>Budget d'acquisition mensuel, du lancement à M12</t>
        </is>
      </c>
      <c r="B20" s="4" t="inlineStr">
        <is>
          <t>€ HT/mois</t>
        </is>
      </c>
      <c r="C20" s="14" t="n">
        <v>2000</v>
      </c>
      <c r="D20" s="14" t="n">
        <v>3000</v>
      </c>
      <c r="E20" s="14" t="n">
        <v>4000</v>
      </c>
      <c r="F20" s="15">
        <f>INDEX(C20:E20,1,$F$3)</f>
        <v/>
      </c>
      <c r="G20" s="4" t="inlineStr">
        <is>
          <t>Hypothèse. Finance V3 : 24 188 € d'acquisition en A1 (central).</t>
        </is>
      </c>
    </row>
    <row r="21">
      <c r="A21" s="9" t="inlineStr">
        <is>
          <t>Budget d'acquisition mensuel, M13 à M24</t>
        </is>
      </c>
      <c r="B21" s="4" t="inlineStr">
        <is>
          <t>€ HT/mois</t>
        </is>
      </c>
      <c r="C21" s="14" t="n">
        <v>6000</v>
      </c>
      <c r="D21" s="14" t="n">
        <v>10000</v>
      </c>
      <c r="E21" s="14" t="n">
        <v>12000</v>
      </c>
      <c r="F21" s="15">
        <f>INDEX(C21:E21,1,$F$3)</f>
        <v/>
      </c>
      <c r="G21" s="4" t="inlineStr">
        <is>
          <t>Hypothèse. Finance V3 : 121 688 € en A2.</t>
        </is>
      </c>
    </row>
    <row r="22">
      <c r="A22" s="9" t="inlineStr">
        <is>
          <t>Budget d'acquisition mensuel, M25 à M36</t>
        </is>
      </c>
      <c r="B22" s="4" t="inlineStr">
        <is>
          <t>€ HT/mois</t>
        </is>
      </c>
      <c r="C22" s="14" t="n">
        <v>12000</v>
      </c>
      <c r="D22" s="14" t="n">
        <v>25000</v>
      </c>
      <c r="E22" s="14" t="n">
        <v>25000</v>
      </c>
      <c r="F22" s="15">
        <f>INDEX(C22:E22,1,$F$3)</f>
        <v/>
      </c>
      <c r="G22" s="4" t="inlineStr">
        <is>
          <t>Hypothèse. Finance V3 : 340 275 € en A3.</t>
        </is>
      </c>
    </row>
    <row r="23">
      <c r="A23" s="9" t="inlineStr">
        <is>
          <t>CAC (coût par abonné payant acquis)</t>
        </is>
      </c>
      <c r="B23" s="4" t="inlineStr">
        <is>
          <t>€</t>
        </is>
      </c>
      <c r="C23" s="14" t="n">
        <v>240</v>
      </c>
      <c r="D23" s="14" t="n">
        <v>150</v>
      </c>
      <c r="E23" s="14" t="n">
        <v>110</v>
      </c>
      <c r="F23" s="15">
        <f>INDEX(C23:E23,1,$F$3)</f>
        <v/>
      </c>
      <c r="G23" s="4" t="inlineStr">
        <is>
          <t>Hypothèse H04 (150 €) et prudent (240 €). Benchmarks : CPI iOS 4,70 $ (Adapty 2026) / conversion téléchargement → payant 2 % (RevenueCat 2026) ≈ 235 $ par abonné payant en acquisition payante ; 44 $ avec paywall et essai. Réseau et parrainage visés pour rester sous 150 €. Non mesuré.</t>
        </is>
      </c>
    </row>
    <row r="24">
      <c r="A24" s="9" t="inlineStr">
        <is>
          <t>Acquisition organique (parrainage), % de la base par mois</t>
        </is>
      </c>
      <c r="B24" s="4" t="inlineStr">
        <is>
          <t>%</t>
        </is>
      </c>
      <c r="C24" s="16" t="n">
        <v>0.01</v>
      </c>
      <c r="D24" s="16" t="n">
        <v>0.02</v>
      </c>
      <c r="E24" s="16" t="n">
        <v>0.025</v>
      </c>
      <c r="F24" s="17">
        <f>INDEX(C24:E24,1,$F$3)</f>
        <v/>
      </c>
      <c r="G24" s="4" t="inlineStr">
        <is>
          <t>Hypothèse. À mesurer pendant le pilote.</t>
        </is>
      </c>
    </row>
    <row r="25">
      <c r="A25" s="8" t="inlineStr">
        <is>
          <t>Rétention et encaissement</t>
        </is>
      </c>
    </row>
    <row r="26">
      <c r="A26" s="9" t="inlineStr">
        <is>
          <t>Churn mensuel (résiliations / abonnés début de mois)</t>
        </is>
      </c>
      <c r="B26" s="4" t="inlineStr">
        <is>
          <t>%</t>
        </is>
      </c>
      <c r="C26" s="16" t="n">
        <v>0.06</v>
      </c>
      <c r="D26" s="16" t="n">
        <v>0.03</v>
      </c>
      <c r="E26" s="16" t="n">
        <v>0.025</v>
      </c>
      <c r="F26" s="17">
        <f>INDEX(C26:E26,1,$F$3)</f>
        <v/>
      </c>
      <c r="G26" s="4" t="inlineStr">
        <is>
          <t>Hypothèse H05 (3 %). Benchmarks : Recurly juillet 2026, ARPU 10 à 25 $ : 4,3 % par mois ; ProfitWell, ARPU 25 à 50 $ : 6,9 % par mois ; RevenueCat 2026, applications IA en plan mensuel : 6 % de rétention à 12 mois (churn précoce très élevé). Prudent fixé à 6 %. Non mesuré.</t>
        </is>
      </c>
    </row>
    <row r="27">
      <c r="A27" s="9" t="inlineStr">
        <is>
          <t>Impayés, % de la facturation</t>
        </is>
      </c>
      <c r="B27" s="4" t="inlineStr">
        <is>
          <t>%</t>
        </is>
      </c>
      <c r="C27" s="16" t="n">
        <v>0.02</v>
      </c>
      <c r="D27" s="16" t="n">
        <v>0.01</v>
      </c>
      <c r="E27" s="16" t="n">
        <v>0.005</v>
      </c>
      <c r="F27" s="17">
        <f>INDEX(C27:E27,1,$F$3)</f>
        <v/>
      </c>
      <c r="G27" s="4" t="inlineStr">
        <is>
          <t>Scénario prudent Finance : 2 %.</t>
        </is>
      </c>
    </row>
    <row r="28">
      <c r="A28" s="9" t="inlineStr">
        <is>
          <t>Frais de paiement, % du montant encaissé</t>
        </is>
      </c>
      <c r="B28" s="4" t="inlineStr">
        <is>
          <t>%</t>
        </is>
      </c>
      <c r="C28" s="16" t="n">
        <v>0.015</v>
      </c>
      <c r="D28" s="16" t="n">
        <v>0.015</v>
      </c>
      <c r="E28" s="16" t="n">
        <v>0.015</v>
      </c>
      <c r="F28" s="17">
        <f>INDEX(C28:E28,1,$F$3)</f>
        <v/>
      </c>
      <c r="G28" s="4" t="inlineStr">
        <is>
          <t>Ordre de grandeur Stripe cartes EEE : 1,5 % + 0,25 €. À vérifier sur la grille en vigueur.</t>
        </is>
      </c>
    </row>
    <row r="29">
      <c r="A29" s="9" t="inlineStr">
        <is>
          <t>Frais de paiement fixes par transaction</t>
        </is>
      </c>
      <c r="B29" s="4" t="inlineStr">
        <is>
          <t>€</t>
        </is>
      </c>
      <c r="C29" s="18" t="n">
        <v>0.25</v>
      </c>
      <c r="D29" s="18" t="n">
        <v>0.25</v>
      </c>
      <c r="E29" s="18" t="n">
        <v>0.25</v>
      </c>
      <c r="F29" s="19">
        <f>INDEX(C29:E29,1,$F$3)</f>
        <v/>
      </c>
      <c r="G29" s="4" t="inlineStr">
        <is>
          <t>Idem.</t>
        </is>
      </c>
    </row>
    <row r="30">
      <c r="A30" s="8" t="inlineStr">
        <is>
          <t>Coûts variables (HT, par abonné et par mois)</t>
        </is>
      </c>
    </row>
    <row r="31">
      <c r="A31" s="9" t="inlineStr">
        <is>
          <t>Missions exécutées par mois, Personal</t>
        </is>
      </c>
      <c r="B31" s="4" t="inlineStr">
        <is>
          <t>missions</t>
        </is>
      </c>
      <c r="C31" s="12" t="n">
        <v>20</v>
      </c>
      <c r="D31" s="12" t="n">
        <v>20</v>
      </c>
      <c r="E31" s="12" t="n">
        <v>20</v>
      </c>
      <c r="F31" s="13">
        <f>INDEX(C31:E31,1,$F$3)</f>
        <v/>
      </c>
      <c r="G31" s="4" t="inlineStr">
        <is>
          <t>Hypothèse d'usage. À mesurer (demande de cadrage Finance → Produit).</t>
        </is>
      </c>
    </row>
    <row r="32">
      <c r="A32" s="9" t="inlineStr">
        <is>
          <t>Missions exécutées par mois, Premium</t>
        </is>
      </c>
      <c r="B32" s="4" t="inlineStr">
        <is>
          <t>missions</t>
        </is>
      </c>
      <c r="C32" s="12" t="n">
        <v>60</v>
      </c>
      <c r="D32" s="12" t="n">
        <v>60</v>
      </c>
      <c r="E32" s="12" t="n">
        <v>60</v>
      </c>
      <c r="F32" s="13">
        <f>INDEX(C32:E32,1,$F$3)</f>
        <v/>
      </c>
      <c r="G32" s="4" t="inlineStr">
        <is>
          <t>Hypothèse : 2 missions par jour ouvré.</t>
        </is>
      </c>
    </row>
    <row r="33">
      <c r="A33" s="9" t="inlineStr">
        <is>
          <t>Missions exécutées par mois, Family</t>
        </is>
      </c>
      <c r="B33" s="4" t="inlineStr">
        <is>
          <t>missions</t>
        </is>
      </c>
      <c r="C33" s="12" t="n">
        <v>90</v>
      </c>
      <c r="D33" s="12" t="n">
        <v>90</v>
      </c>
      <c r="E33" s="12" t="n">
        <v>90</v>
      </c>
      <c r="F33" s="13">
        <f>INDEX(C33:E33,1,$F$3)</f>
        <v/>
      </c>
      <c r="G33" s="4" t="inlineStr">
        <is>
          <t>Hypothèse.</t>
        </is>
      </c>
    </row>
    <row r="34">
      <c r="A34" s="9" t="inlineStr">
        <is>
          <t>Coût IA et outils par mission (tokens, API, reprises)</t>
        </is>
      </c>
      <c r="B34" s="4" t="inlineStr">
        <is>
          <t>€ HT</t>
        </is>
      </c>
      <c r="C34" s="18" t="n">
        <v>0.3</v>
      </c>
      <c r="D34" s="18" t="n">
        <v>0.18</v>
      </c>
      <c r="E34" s="18" t="n">
        <v>0.12</v>
      </c>
      <c r="F34" s="19">
        <f>INDEX(C34:E34,1,$F$3)</f>
        <v/>
      </c>
      <c r="G34" s="4" t="inlineStr">
        <is>
          <t>Hypothèse conservée au-dessus de l'estimation ascendante : le classeur Technique/Helium_Cout_par_mission_V1.xlsx (28/10/2026, prix publics Mistral, Anthropic via Bedrock UE, Brave, Places, Browserbase) donne environ 0,07 € par mission visible pour un abonné Premium, socle nocturne réparti, et environ 1 € pour une prise de rendez-vous par navigateur piloté (support humain compris). 0,18 € (central) couvre 2,5 fois l'estimation ; 0,30 € (prudent) est le seuil au-delà duquel le plan prévoit limites d'usage et test de prix. Référence externe : tau2-bench 0,26 à 0,49 $ par trajectoire (classe Sonnet). À remplacer par les mesures des missions 1 et 5 (3 décembre) puis 3 et 4 (19 décembre).</t>
        </is>
      </c>
    </row>
    <row r="35">
      <c r="A35" s="9" t="inlineStr">
        <is>
          <t>Hébergement, stockage, connecteurs</t>
        </is>
      </c>
      <c r="B35" s="4" t="inlineStr">
        <is>
          <t>€ HT</t>
        </is>
      </c>
      <c r="C35" s="18" t="n">
        <v>2</v>
      </c>
      <c r="D35" s="18" t="n">
        <v>1.5</v>
      </c>
      <c r="E35" s="18" t="n">
        <v>1</v>
      </c>
      <c r="F35" s="19">
        <f>INDEX(C35:E35,1,$F$3)</f>
        <v/>
      </c>
      <c r="G35" s="4" t="inlineStr">
        <is>
          <t>Hypothèse.</t>
        </is>
      </c>
    </row>
    <row r="36">
      <c r="A36" s="9" t="inlineStr">
        <is>
          <t>Support humain (minutes × coût horaire)</t>
        </is>
      </c>
      <c r="B36" s="4" t="inlineStr">
        <is>
          <t>€ HT</t>
        </is>
      </c>
      <c r="C36" s="18" t="n">
        <v>5</v>
      </c>
      <c r="D36" s="18" t="n">
        <v>3</v>
      </c>
      <c r="E36" s="18" t="n">
        <v>2</v>
      </c>
      <c r="F36" s="19">
        <f>INDEX(C36:E36,1,$F$3)</f>
        <v/>
      </c>
      <c r="G36" s="4" t="inlineStr">
        <is>
          <t>Hypothèse.</t>
        </is>
      </c>
    </row>
    <row r="37">
      <c r="A37" s="8" t="inlineStr">
        <is>
          <t>Coûts fixes (HT, par mois)</t>
        </is>
      </c>
    </row>
    <row r="38">
      <c r="A38" s="9" t="inlineStr">
        <is>
          <t>Nombre de fondateurs rémunérés à partir du mois ci-dessous</t>
        </is>
      </c>
      <c r="B38" s="4" t="inlineStr">
        <is>
          <t>personnes</t>
        </is>
      </c>
      <c r="C38" s="12" t="n">
        <v>2</v>
      </c>
      <c r="D38" s="12" t="n">
        <v>2</v>
      </c>
      <c r="E38" s="12" t="n">
        <v>2</v>
      </c>
      <c r="F38" s="13">
        <f>INDEX(C38:E38,1,$F$3)</f>
        <v/>
      </c>
      <c r="G38" s="4" t="inlineStr">
        <is>
          <t>Hypothèse Finance : fondateurs non rémunérés M1 à M12.</t>
        </is>
      </c>
    </row>
    <row r="39">
      <c r="A39" s="9" t="inlineStr">
        <is>
          <t>Premier mois de rémunération des fondateurs</t>
        </is>
      </c>
      <c r="B39" s="4" t="inlineStr">
        <is>
          <t>mois</t>
        </is>
      </c>
      <c r="C39" s="12" t="n">
        <v>13</v>
      </c>
      <c r="D39" s="12" t="n">
        <v>13</v>
      </c>
      <c r="E39" s="12" t="n">
        <v>13</v>
      </c>
      <c r="F39" s="13">
        <f>INDEX(C39:E39,1,$F$3)</f>
        <v/>
      </c>
      <c r="G39" s="4" t="inlineStr">
        <is>
          <t>Idem.</t>
        </is>
      </c>
    </row>
    <row r="40">
      <c r="A40" s="9" t="inlineStr">
        <is>
          <t>Coût chargé mensuel par fondateur rémunéré</t>
        </is>
      </c>
      <c r="B40" s="4" t="inlineStr">
        <is>
          <t>€ HT</t>
        </is>
      </c>
      <c r="C40" s="14" t="n">
        <v>5500</v>
      </c>
      <c r="D40" s="14" t="n">
        <v>5000</v>
      </c>
      <c r="E40" s="14" t="n">
        <v>5000</v>
      </c>
      <c r="F40" s="15">
        <f>INDEX(C40:E40,1,$F$3)</f>
        <v/>
      </c>
      <c r="G40" s="4" t="inlineStr">
        <is>
          <t>Hypothèse modeste (≈ 3 000 € nets + charges, régime assimilé salarié).</t>
        </is>
      </c>
    </row>
    <row r="41">
      <c r="A41" s="9" t="inlineStr">
        <is>
          <t>Embauche 1 (growth / customer success), premier mois</t>
        </is>
      </c>
      <c r="B41" s="4" t="inlineStr">
        <is>
          <t>mois</t>
        </is>
      </c>
      <c r="C41" s="12" t="n">
        <v>16</v>
      </c>
      <c r="D41" s="12" t="n">
        <v>13</v>
      </c>
      <c r="E41" s="12" t="n">
        <v>10</v>
      </c>
      <c r="F41" s="13">
        <f>INDEX(C41:E41,1,$F$3)</f>
        <v/>
      </c>
      <c r="G41" s="4" t="inlineStr">
        <is>
          <t>Plan Ventes : growth 0,5 ETP puis customer success.</t>
        </is>
      </c>
    </row>
    <row r="42">
      <c r="A42" s="9" t="inlineStr">
        <is>
          <t>Coût chargé mensuel, embauche 1</t>
        </is>
      </c>
      <c r="B42" s="4" t="inlineStr">
        <is>
          <t>€ HT</t>
        </is>
      </c>
      <c r="C42" s="14" t="n">
        <v>4500</v>
      </c>
      <c r="D42" s="14" t="n">
        <v>4500</v>
      </c>
      <c r="E42" s="14" t="n">
        <v>4500</v>
      </c>
      <c r="F42" s="15">
        <f>INDEX(C42:E42,1,$F$3)</f>
        <v/>
      </c>
      <c r="G42" s="4" t="inlineStr">
        <is>
          <t>Hypothèse.</t>
        </is>
      </c>
    </row>
    <row r="43">
      <c r="A43" s="9" t="inlineStr">
        <is>
          <t>Embauche 2 (ingénieur), premier mois</t>
        </is>
      </c>
      <c r="B43" s="4" t="inlineStr">
        <is>
          <t>mois</t>
        </is>
      </c>
      <c r="C43" s="12" t="n">
        <v>24</v>
      </c>
      <c r="D43" s="12" t="n">
        <v>19</v>
      </c>
      <c r="E43" s="12" t="n">
        <v>14</v>
      </c>
      <c r="F43" s="13">
        <f>INDEX(C43:E43,1,$F$3)</f>
        <v/>
      </c>
      <c r="G43" s="4" t="inlineStr">
        <is>
          <t>Hypothèse.</t>
        </is>
      </c>
    </row>
    <row r="44">
      <c r="A44" s="9" t="inlineStr">
        <is>
          <t>Coût chargé mensuel, embauche 2</t>
        </is>
      </c>
      <c r="B44" s="4" t="inlineStr">
        <is>
          <t>€ HT</t>
        </is>
      </c>
      <c r="C44" s="14" t="n">
        <v>6500</v>
      </c>
      <c r="D44" s="14" t="n">
        <v>6500</v>
      </c>
      <c r="E44" s="14" t="n">
        <v>6500</v>
      </c>
      <c r="F44" s="15">
        <f>INDEX(C44:E44,1,$F$3)</f>
        <v/>
      </c>
      <c r="G44" s="4" t="inlineStr">
        <is>
          <t>Hypothèse.</t>
        </is>
      </c>
    </row>
    <row r="45">
      <c r="A45" s="9" t="inlineStr">
        <is>
          <t>Budget MVP externe (développement, UX, sécurité, juridique)</t>
        </is>
      </c>
      <c r="B45" s="4" t="inlineStr">
        <is>
          <t>€ HT</t>
        </is>
      </c>
      <c r="C45" s="14" t="n">
        <v>100000</v>
      </c>
      <c r="D45" s="14" t="n">
        <v>77050</v>
      </c>
      <c r="E45" s="14" t="n">
        <v>60000</v>
      </c>
      <c r="F45" s="15">
        <f>INDEX(C45:E45,1,$F$3)</f>
        <v/>
      </c>
      <c r="G45" s="4" t="inlineStr">
        <is>
          <t>Business plan Lean V1 : 77 050 € HT (central), 100 000 € (prudent). Étalé de M1 au mois précédant le lancement.</t>
        </is>
      </c>
    </row>
    <row r="46">
      <c r="A46" s="9" t="inlineStr">
        <is>
          <t>Outils et SaaS</t>
        </is>
      </c>
      <c r="B46" s="4" t="inlineStr">
        <is>
          <t>€ HT/mois</t>
        </is>
      </c>
      <c r="C46" s="14" t="n">
        <v>400</v>
      </c>
      <c r="D46" s="14" t="n">
        <v>400</v>
      </c>
      <c r="E46" s="14" t="n">
        <v>400</v>
      </c>
      <c r="F46" s="15">
        <f>INDEX(C46:E46,1,$F$3)</f>
        <v/>
      </c>
      <c r="G46" s="4" t="inlineStr">
        <is>
          <t>Hypothèse.</t>
        </is>
      </c>
    </row>
    <row r="47">
      <c r="A47" s="9" t="inlineStr">
        <is>
          <t>Juridique et expertise comptable</t>
        </is>
      </c>
      <c r="B47" s="4" t="inlineStr">
        <is>
          <t>€ HT/mois</t>
        </is>
      </c>
      <c r="C47" s="14" t="n">
        <v>1000</v>
      </c>
      <c r="D47" s="14" t="n">
        <v>800</v>
      </c>
      <c r="E47" s="14" t="n">
        <v>800</v>
      </c>
      <c r="F47" s="15">
        <f>INDEX(C47:E47,1,$F$3)</f>
        <v/>
      </c>
      <c r="G47" s="4" t="inlineStr">
        <is>
          <t>Hypothèse.</t>
        </is>
      </c>
    </row>
    <row r="48">
      <c r="A48" s="9" t="inlineStr">
        <is>
          <t>Assurance RC professionnelle (à partir du lancement)</t>
        </is>
      </c>
      <c r="B48" s="4" t="inlineStr">
        <is>
          <t>€/mois</t>
        </is>
      </c>
      <c r="C48" s="14" t="n">
        <v>150</v>
      </c>
      <c r="D48" s="14" t="n">
        <v>150</v>
      </c>
      <c r="E48" s="14" t="n">
        <v>150</v>
      </c>
      <c r="F48" s="15">
        <f>INDEX(C48:E48,1,$F$3)</f>
        <v/>
      </c>
      <c r="G48" s="4" t="inlineStr">
        <is>
          <t>Hypothèse. Pas de TVA.</t>
        </is>
      </c>
    </row>
    <row r="49">
      <c r="A49" s="9" t="inlineStr">
        <is>
          <t>Marketing fixe (marque, contenu), à partir du lancement</t>
        </is>
      </c>
      <c r="B49" s="4" t="inlineStr">
        <is>
          <t>€ HT/mois</t>
        </is>
      </c>
      <c r="C49" s="14" t="n">
        <v>500</v>
      </c>
      <c r="D49" s="14" t="n">
        <v>1000</v>
      </c>
      <c r="E49" s="14" t="n">
        <v>1500</v>
      </c>
      <c r="F49" s="15">
        <f>INDEX(C49:E49,1,$F$3)</f>
        <v/>
      </c>
      <c r="G49" s="4" t="inlineStr">
        <is>
          <t>Hypothèse.</t>
        </is>
      </c>
    </row>
    <row r="50">
      <c r="A50" s="9" t="inlineStr">
        <is>
          <t>Frais généraux</t>
        </is>
      </c>
      <c r="B50" s="4" t="inlineStr">
        <is>
          <t>€ HT/mois</t>
        </is>
      </c>
      <c r="C50" s="14" t="n">
        <v>300</v>
      </c>
      <c r="D50" s="14" t="n">
        <v>300</v>
      </c>
      <c r="E50" s="14" t="n">
        <v>300</v>
      </c>
      <c r="F50" s="15">
        <f>INDEX(C50:E50,1,$F$3)</f>
        <v/>
      </c>
      <c r="G50" s="4" t="inlineStr">
        <is>
          <t>Hypothèse.</t>
        </is>
      </c>
    </row>
    <row r="51">
      <c r="A51" s="9" t="inlineStr">
        <is>
          <t>Audit de sécurité annuel (évaluation CASA Tier 2 pour les scopes Gmail restreints, renouvelée chaque année)</t>
        </is>
      </c>
      <c r="B51" s="4" t="inlineStr">
        <is>
          <t>€ HT/an</t>
        </is>
      </c>
      <c r="C51" s="14" t="n">
        <v>8000</v>
      </c>
      <c r="D51" s="14" t="n">
        <v>5000</v>
      </c>
      <c r="E51" s="14" t="n">
        <v>3000</v>
      </c>
      <c r="F51" s="15">
        <f>INDEX(C51:E51,1,$F$3)</f>
        <v/>
      </c>
      <c r="G51" s="4" t="inlineStr">
        <is>
          <t>Scopes Gmail « restreints » : vérification Google + CASA Tier 2 annuelle, laboratoires 540 à 3 000 $ et plus, 4 à 6 semaines (Nango, Switch Labs, 2026). Le montant inclut le temps de préparation interne.</t>
        </is>
      </c>
    </row>
    <row r="52">
      <c r="A52" s="9" t="inlineStr">
        <is>
          <t>Frais de constitution (M2)</t>
        </is>
      </c>
      <c r="B52" s="4" t="inlineStr">
        <is>
          <t>€ HT</t>
        </is>
      </c>
      <c r="C52" s="14" t="n">
        <v>2500</v>
      </c>
      <c r="D52" s="14" t="n">
        <v>2500</v>
      </c>
      <c r="E52" s="14" t="n">
        <v>2500</v>
      </c>
      <c r="F52" s="15">
        <f>INDEX(C52:E52,1,$F$3)</f>
        <v/>
      </c>
      <c r="G52" s="4" t="inlineStr">
        <is>
          <t>Hypothèse : immatriculation, conseil, dépôt de marque.</t>
        </is>
      </c>
    </row>
    <row r="53">
      <c r="A53" s="9" t="inlineStr">
        <is>
          <t>Réserve de sécurité cible</t>
        </is>
      </c>
      <c r="B53" s="4" t="inlineStr">
        <is>
          <t>€</t>
        </is>
      </c>
      <c r="C53" s="14" t="n">
        <v>60000</v>
      </c>
      <c r="D53" s="14" t="n">
        <v>40000</v>
      </c>
      <c r="E53" s="14" t="n">
        <v>30000</v>
      </c>
      <c r="F53" s="15">
        <f>INDEX(C53:E53,1,$F$3)</f>
        <v/>
      </c>
      <c r="G53" s="4" t="inlineStr">
        <is>
          <t>Finance V3 : 60 000 € (prudent), 40 500 € (central).</t>
        </is>
      </c>
    </row>
    <row r="54">
      <c r="A54" s="9" t="inlineStr">
        <is>
          <t>Trésorerie initiale (apports déjà versés)</t>
        </is>
      </c>
      <c r="B54" s="4" t="inlineStr">
        <is>
          <t>€</t>
        </is>
      </c>
      <c r="C54" s="14" t="n">
        <v>0</v>
      </c>
      <c r="D54" s="14" t="n">
        <v>0</v>
      </c>
      <c r="E54" s="14" t="n">
        <v>0</v>
      </c>
      <c r="F54" s="15">
        <f>INDEX(C54:E54,1,$F$3)</f>
        <v/>
      </c>
      <c r="G54" s="4" t="inlineStr">
        <is>
          <t>Non établi par les sources.</t>
        </is>
      </c>
    </row>
    <row r="55">
      <c r="A55" s="8" t="inlineStr">
        <is>
          <t>Financement (désactivé par défaut : 0 = trésorerie avant financement)</t>
        </is>
      </c>
    </row>
    <row r="56">
      <c r="A56" s="9" t="inlineStr">
        <is>
          <t>Inclure le financement dans la trésorerie (1 = oui, 0 = non)</t>
        </is>
      </c>
      <c r="B56" s="4" t="inlineStr">
        <is>
          <t>0/1</t>
        </is>
      </c>
      <c r="C56" s="12" t="n">
        <v>0</v>
      </c>
      <c r="D56" s="12" t="n">
        <v>0</v>
      </c>
      <c r="E56" s="12" t="n">
        <v>0</v>
      </c>
      <c r="F56" s="13">
        <f>INDEX(C56:E56,1,$F$3)</f>
        <v/>
      </c>
      <c r="G56" s="4" t="inlineStr">
        <is>
          <t>Mettre 1 pour simuler le plan de financement de l'onglet Financement.</t>
        </is>
      </c>
    </row>
    <row r="57">
      <c r="A57" s="9" t="inlineStr">
        <is>
          <t>Tranche 1, mois</t>
        </is>
      </c>
      <c r="B57" s="4" t="inlineStr">
        <is>
          <t>mois</t>
        </is>
      </c>
      <c r="C57" s="12" t="n">
        <v>2</v>
      </c>
      <c r="D57" s="12" t="n">
        <v>2</v>
      </c>
      <c r="E57" s="12" t="n">
        <v>2</v>
      </c>
      <c r="F57" s="13">
        <f>INDEX(C57:E57,1,$F$3)</f>
        <v/>
      </c>
      <c r="G57" s="4" t="inlineStr">
        <is>
          <t>Voir onglet Financement.</t>
        </is>
      </c>
    </row>
    <row r="58">
      <c r="A58" s="9" t="inlineStr">
        <is>
          <t>Tranche 1, montant</t>
        </is>
      </c>
      <c r="B58" s="4" t="inlineStr">
        <is>
          <t>€</t>
        </is>
      </c>
      <c r="C58" s="14" t="n">
        <v>15000</v>
      </c>
      <c r="D58" s="14" t="n">
        <v>15000</v>
      </c>
      <c r="E58" s="14" t="n">
        <v>15000</v>
      </c>
      <c r="F58" s="15">
        <f>INDEX(C58:E58,1,$F$3)</f>
        <v/>
      </c>
      <c r="G58" s="4" t="inlineStr">
        <is>
          <t>Apports fondateurs, hypothèse.</t>
        </is>
      </c>
    </row>
    <row r="59">
      <c r="A59" s="9" t="inlineStr">
        <is>
          <t>Tranche 2, mois</t>
        </is>
      </c>
      <c r="B59" s="4" t="inlineStr">
        <is>
          <t>mois</t>
        </is>
      </c>
      <c r="C59" s="12" t="n">
        <v>10</v>
      </c>
      <c r="D59" s="12" t="n">
        <v>7</v>
      </c>
      <c r="E59" s="12" t="n">
        <v>6</v>
      </c>
      <c r="F59" s="13">
        <f>INDEX(C59:E59,1,$F$3)</f>
        <v/>
      </c>
      <c r="G59" s="4" t="inlineStr">
        <is>
          <t>À la création / au lancement.</t>
        </is>
      </c>
    </row>
    <row r="60">
      <c r="A60" s="9" t="inlineStr">
        <is>
          <t>Tranche 2, montant</t>
        </is>
      </c>
      <c r="B60" s="4" t="inlineStr">
        <is>
          <t>€</t>
        </is>
      </c>
      <c r="C60" s="14" t="n">
        <v>150000</v>
      </c>
      <c r="D60" s="14" t="n">
        <v>150000</v>
      </c>
      <c r="E60" s="14" t="n">
        <v>150000</v>
      </c>
      <c r="F60" s="15">
        <f>INDEX(C60:E60,1,$F$3)</f>
        <v/>
      </c>
      <c r="G60" s="4" t="inlineStr">
        <is>
          <t>Prêts d'honneur, Bourse French Tech, business angels : éligibilité non vérifiée.</t>
        </is>
      </c>
    </row>
    <row r="61">
      <c r="A61" s="9" t="inlineStr">
        <is>
          <t>Tranche 3, mois</t>
        </is>
      </c>
      <c r="B61" s="4" t="inlineStr">
        <is>
          <t>mois</t>
        </is>
      </c>
      <c r="C61" s="12" t="n">
        <v>16</v>
      </c>
      <c r="D61" s="12" t="n">
        <v>13</v>
      </c>
      <c r="E61" s="12" t="n">
        <v>13</v>
      </c>
      <c r="F61" s="13">
        <f>INDEX(C61:E61,1,$F$3)</f>
        <v/>
      </c>
      <c r="G61" s="4" t="inlineStr"/>
    </row>
    <row r="62">
      <c r="A62" s="9" t="inlineStr">
        <is>
          <t>Tranche 3, montant</t>
        </is>
      </c>
      <c r="B62" s="4" t="inlineStr">
        <is>
          <t>€</t>
        </is>
      </c>
      <c r="C62" s="14" t="n">
        <v>450000</v>
      </c>
      <c r="D62" s="14" t="n">
        <v>300000</v>
      </c>
      <c r="E62" s="14" t="n">
        <v>250000</v>
      </c>
      <c r="F62" s="15">
        <f>INDEX(C62:E62,1,$F$3)</f>
        <v/>
      </c>
      <c r="G62" s="4" t="inlineStr">
        <is>
          <t>Amorçage, sous réserve de traction.</t>
        </is>
      </c>
    </row>
    <row r="64">
      <c r="A64" s="2" t="inlineStr">
        <is>
          <t>Contrôle : somme du mix (doit être 100 %)</t>
        </is>
      </c>
      <c r="C64" s="17">
        <f>C16+C17+C18</f>
        <v/>
      </c>
      <c r="D64" s="17">
        <f>D16+D17+D18</f>
        <v/>
      </c>
      <c r="E64" s="17">
        <f>E16+E17+E18</f>
        <v/>
      </c>
      <c r="F64" s="17">
        <f>F16+F17+F18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Économie unitaire (scénario actif)</t>
        </is>
      </c>
    </row>
    <row r="2">
      <c r="A2" s="4" t="inlineStr">
        <is>
          <t>Par abonné et par mois, HT. Référence : colonne Actif de l'onglet Hypothèses.</t>
        </is>
      </c>
    </row>
    <row r="4">
      <c r="A4" s="7" t="inlineStr">
        <is>
          <t>Ligne</t>
        </is>
      </c>
      <c r="B4" s="7" t="inlineStr">
        <is>
          <t>Personal</t>
        </is>
      </c>
      <c r="C4" s="7" t="inlineStr">
        <is>
          <t>Premium</t>
        </is>
      </c>
      <c r="D4" s="7" t="inlineStr">
        <is>
          <t>Family</t>
        </is>
      </c>
      <c r="E4" s="7" t="inlineStr">
        <is>
          <t>Mix pondéré</t>
        </is>
      </c>
    </row>
    <row r="5">
      <c r="A5" s="9" t="inlineStr">
        <is>
          <t>Prix TTC</t>
        </is>
      </c>
      <c r="B5" s="20">
        <f>Hypothèses!$F$12</f>
        <v/>
      </c>
      <c r="C5" s="20">
        <f>Hypothèses!$F$13</f>
        <v/>
      </c>
      <c r="D5" s="20">
        <f>Hypothèses!$F$14</f>
        <v/>
      </c>
      <c r="E5" s="15">
        <f>B5*Hypothèses!$F$16+C5*Hypothèses!$F$17+D5*Hypothèses!$F$18</f>
        <v/>
      </c>
    </row>
    <row r="6">
      <c r="A6" s="9" t="inlineStr">
        <is>
          <t>Prix HT</t>
        </is>
      </c>
      <c r="B6" s="21">
        <f>Hypothèses!$F$12/(1+Hypothèses!$F$15)</f>
        <v/>
      </c>
      <c r="C6" s="21">
        <f>Hypothèses!$F$13/(1+Hypothèses!$F$15)</f>
        <v/>
      </c>
      <c r="D6" s="21">
        <f>Hypothèses!$F$14/(1+Hypothèses!$F$15)</f>
        <v/>
      </c>
      <c r="E6" s="19">
        <f>B6*Hypothèses!$F$16+C6*Hypothèses!$F$17+D6*Hypothèses!$F$18</f>
        <v/>
      </c>
    </row>
    <row r="7">
      <c r="A7" s="9" t="inlineStr">
        <is>
          <t>Missions par mois</t>
        </is>
      </c>
      <c r="B7" s="22">
        <f>Hypothèses!$F$31</f>
        <v/>
      </c>
      <c r="C7" s="22">
        <f>Hypothèses!$F$32</f>
        <v/>
      </c>
      <c r="D7" s="22">
        <f>Hypothèses!$F$33</f>
        <v/>
      </c>
      <c r="E7" s="13">
        <f>B7*Hypothèses!$F$16+C7*Hypothèses!$F$17+D7*Hypothèses!$F$18</f>
        <v/>
      </c>
    </row>
    <row r="8">
      <c r="A8" s="9" t="inlineStr">
        <is>
          <t>Coût IA et outils</t>
        </is>
      </c>
      <c r="B8" s="21">
        <f>Hypothèses!$F$31*Hypothèses!$F$34</f>
        <v/>
      </c>
      <c r="C8" s="21">
        <f>Hypothèses!$F$32*Hypothèses!$F$34</f>
        <v/>
      </c>
      <c r="D8" s="21">
        <f>Hypothèses!$F$33*Hypothèses!$F$34</f>
        <v/>
      </c>
      <c r="E8" s="19">
        <f>B8*Hypothèses!$F$16+C8*Hypothèses!$F$17+D8*Hypothèses!$F$18</f>
        <v/>
      </c>
    </row>
    <row r="9">
      <c r="A9" s="9" t="inlineStr">
        <is>
          <t>Hébergement</t>
        </is>
      </c>
      <c r="B9" s="21">
        <f>Hypothèses!$F$35</f>
        <v/>
      </c>
      <c r="C9" s="21">
        <f>Hypothèses!$F$35</f>
        <v/>
      </c>
      <c r="D9" s="21">
        <f>Hypothèses!$F$35</f>
        <v/>
      </c>
      <c r="E9" s="19">
        <f>B9*Hypothèses!$F$16+C9*Hypothèses!$F$17+D9*Hypothèses!$F$18</f>
        <v/>
      </c>
    </row>
    <row r="10">
      <c r="A10" s="9" t="inlineStr">
        <is>
          <t>Support</t>
        </is>
      </c>
      <c r="B10" s="21">
        <f>Hypothèses!$F$36</f>
        <v/>
      </c>
      <c r="C10" s="21">
        <f>Hypothèses!$F$36</f>
        <v/>
      </c>
      <c r="D10" s="21">
        <f>Hypothèses!$F$36</f>
        <v/>
      </c>
      <c r="E10" s="19">
        <f>B10*Hypothèses!$F$16+C10*Hypothèses!$F$17+D10*Hypothèses!$F$18</f>
        <v/>
      </c>
    </row>
    <row r="11">
      <c r="A11" s="9" t="inlineStr">
        <is>
          <t>Frais de paiement</t>
        </is>
      </c>
      <c r="B11" s="21">
        <f>Hypothèses!$F$12*(1-Hypothèses!$F$27)*Hypothèses!$F$28+Hypothèses!$F$29</f>
        <v/>
      </c>
      <c r="C11" s="21">
        <f>Hypothèses!$F$13*(1-Hypothèses!$F$27)*Hypothèses!$F$28+Hypothèses!$F$29</f>
        <v/>
      </c>
      <c r="D11" s="21">
        <f>Hypothèses!$F$14*(1-Hypothèses!$F$27)*Hypothèses!$F$28+Hypothèses!$F$29</f>
        <v/>
      </c>
      <c r="E11" s="19">
        <f>B11*Hypothèses!$F$16+C11*Hypothèses!$F$17+D11*Hypothèses!$F$18</f>
        <v/>
      </c>
    </row>
    <row r="12">
      <c r="A12" s="9" t="inlineStr">
        <is>
          <t>Impayés (HT)</t>
        </is>
      </c>
      <c r="B12" s="21">
        <f>Hypothèses!$F$12*Hypothèses!$F$27/(1+Hypothèses!$F$15)</f>
        <v/>
      </c>
      <c r="C12" s="21">
        <f>Hypothèses!$F$13*Hypothèses!$F$27/(1+Hypothèses!$F$15)</f>
        <v/>
      </c>
      <c r="D12" s="21">
        <f>Hypothèses!$F$14*Hypothèses!$F$27/(1+Hypothèses!$F$15)</f>
        <v/>
      </c>
      <c r="E12" s="19">
        <f>B12*Hypothèses!$F$16+C12*Hypothèses!$F$17+D12*Hypothèses!$F$18</f>
        <v/>
      </c>
    </row>
    <row r="13">
      <c r="A13" s="2" t="inlineStr">
        <is>
          <t>Contribution par abonné et par mois</t>
        </is>
      </c>
      <c r="B13" s="23">
        <f>B6-B8-B9-B10-B11-B12</f>
        <v/>
      </c>
      <c r="C13" s="23">
        <f>C6-C8-C9-C10-C11-C12</f>
        <v/>
      </c>
      <c r="D13" s="23">
        <f>D6-D8-D9-D10-D11-D12</f>
        <v/>
      </c>
      <c r="E13" s="23">
        <f>E6-E8-E9-E10-E11-E12</f>
        <v/>
      </c>
    </row>
    <row r="14">
      <c r="A14" s="9" t="inlineStr">
        <is>
          <t>Marge variable (% du prix HT)</t>
        </is>
      </c>
      <c r="B14" s="24">
        <f>IF(B6&gt;0,B13/B6,0)</f>
        <v/>
      </c>
      <c r="C14" s="24">
        <f>IF(C6&gt;0,C13/C6,0)</f>
        <v/>
      </c>
      <c r="D14" s="24">
        <f>IF(D6&gt;0,D13/D6,0)</f>
        <v/>
      </c>
      <c r="E14" s="24">
        <f>IF(E6&gt;0,E13/E6,0)</f>
        <v/>
      </c>
    </row>
    <row r="15">
      <c r="A15" s="9" t="inlineStr">
        <is>
          <t>Payback du CAC (mois)</t>
        </is>
      </c>
      <c r="B15" s="25">
        <f>IF(B13&gt;0,Hypothèses!$F$23/B13,0)</f>
        <v/>
      </c>
      <c r="C15" s="25">
        <f>IF(C13&gt;0,Hypothèses!$F$23/C13,0)</f>
        <v/>
      </c>
      <c r="D15" s="25">
        <f>IF(D13&gt;0,Hypothèses!$F$23/D13,0)</f>
        <v/>
      </c>
      <c r="E15" s="25">
        <f>IF(E13&gt;0,Hypothèses!$F$23/E13,0)</f>
        <v/>
      </c>
    </row>
    <row r="16">
      <c r="A16" s="9" t="inlineStr">
        <is>
          <t>LTV contributive simplifiée (contribution / churn)</t>
        </is>
      </c>
      <c r="B16" s="26">
        <f>IF(Hypothèses!$F$26&gt;0,B13/Hypothèses!$F$26,0)</f>
        <v/>
      </c>
      <c r="C16" s="26">
        <f>IF(Hypothèses!$F$26&gt;0,C13/Hypothèses!$F$26,0)</f>
        <v/>
      </c>
      <c r="D16" s="26">
        <f>IF(Hypothèses!$F$26&gt;0,D13/Hypothèses!$F$26,0)</f>
        <v/>
      </c>
      <c r="E16" s="26">
        <f>IF(Hypothèses!$F$26&gt;0,E13/Hypothèses!$F$26,0)</f>
        <v/>
      </c>
    </row>
    <row r="17">
      <c r="A17" s="2" t="inlineStr">
        <is>
          <t>LTV / CAC</t>
        </is>
      </c>
      <c r="B17" s="27">
        <f>IF(Hypothèses!$F$23&gt;0,B16/Hypothèses!$F$23,0)</f>
        <v/>
      </c>
      <c r="C17" s="27">
        <f>IF(Hypothèses!$F$23&gt;0,C16/Hypothèses!$F$23,0)</f>
        <v/>
      </c>
      <c r="D17" s="27">
        <f>IF(Hypothèses!$F$23&gt;0,D16/Hypothèses!$F$23,0)</f>
        <v/>
      </c>
      <c r="E17" s="27">
        <f>IF(Hypothèses!$F$23&gt;0,E16/Hypothèses!$F$23,0)</f>
        <v/>
      </c>
    </row>
    <row r="20">
      <c r="A20" s="2" t="inlineStr">
        <is>
          <t>Grille LTV / CAC, abonné Premium : churn mensuel (lignes) × CAC (colonnes)</t>
        </is>
      </c>
    </row>
    <row r="21">
      <c r="A21" s="28" t="inlineStr">
        <is>
          <t>Churn \ CAC</t>
        </is>
      </c>
      <c r="B21" s="29" t="n">
        <v>100</v>
      </c>
      <c r="C21" s="29" t="n">
        <v>150</v>
      </c>
      <c r="D21" s="29" t="n">
        <v>200</v>
      </c>
      <c r="E21" s="29" t="n">
        <v>250</v>
      </c>
      <c r="F21" s="29" t="n">
        <v>300</v>
      </c>
      <c r="G21" s="29" t="n">
        <v>400</v>
      </c>
    </row>
    <row r="22">
      <c r="A22" s="16" t="n">
        <v>0.02</v>
      </c>
      <c r="B22" s="30">
        <f>IF(AND($A22&gt;0,B$21&gt;0),($C$13/$A22)/B$21,0)</f>
        <v/>
      </c>
      <c r="C22" s="30">
        <f>IF(AND($A22&gt;0,C$21&gt;0),($C$13/$A22)/C$21,0)</f>
        <v/>
      </c>
      <c r="D22" s="30">
        <f>IF(AND($A22&gt;0,D$21&gt;0),($C$13/$A22)/D$21,0)</f>
        <v/>
      </c>
      <c r="E22" s="30">
        <f>IF(AND($A22&gt;0,E$21&gt;0),($C$13/$A22)/E$21,0)</f>
        <v/>
      </c>
      <c r="F22" s="30">
        <f>IF(AND($A22&gt;0,F$21&gt;0),($C$13/$A22)/F$21,0)</f>
        <v/>
      </c>
      <c r="G22" s="30">
        <f>IF(AND($A22&gt;0,G$21&gt;0),($C$13/$A22)/G$21,0)</f>
        <v/>
      </c>
    </row>
    <row r="23">
      <c r="A23" s="16" t="n">
        <v>0.03</v>
      </c>
      <c r="B23" s="30">
        <f>IF(AND($A23&gt;0,B$21&gt;0),($C$13/$A23)/B$21,0)</f>
        <v/>
      </c>
      <c r="C23" s="30">
        <f>IF(AND($A23&gt;0,C$21&gt;0),($C$13/$A23)/C$21,0)</f>
        <v/>
      </c>
      <c r="D23" s="30">
        <f>IF(AND($A23&gt;0,D$21&gt;0),($C$13/$A23)/D$21,0)</f>
        <v/>
      </c>
      <c r="E23" s="30">
        <f>IF(AND($A23&gt;0,E$21&gt;0),($C$13/$A23)/E$21,0)</f>
        <v/>
      </c>
      <c r="F23" s="30">
        <f>IF(AND($A23&gt;0,F$21&gt;0),($C$13/$A23)/F$21,0)</f>
        <v/>
      </c>
      <c r="G23" s="30">
        <f>IF(AND($A23&gt;0,G$21&gt;0),($C$13/$A23)/G$21,0)</f>
        <v/>
      </c>
    </row>
    <row r="24">
      <c r="A24" s="16" t="n">
        <v>0.04</v>
      </c>
      <c r="B24" s="30">
        <f>IF(AND($A24&gt;0,B$21&gt;0),($C$13/$A24)/B$21,0)</f>
        <v/>
      </c>
      <c r="C24" s="30">
        <f>IF(AND($A24&gt;0,C$21&gt;0),($C$13/$A24)/C$21,0)</f>
        <v/>
      </c>
      <c r="D24" s="30">
        <f>IF(AND($A24&gt;0,D$21&gt;0),($C$13/$A24)/D$21,0)</f>
        <v/>
      </c>
      <c r="E24" s="30">
        <f>IF(AND($A24&gt;0,E$21&gt;0),($C$13/$A24)/E$21,0)</f>
        <v/>
      </c>
      <c r="F24" s="30">
        <f>IF(AND($A24&gt;0,F$21&gt;0),($C$13/$A24)/F$21,0)</f>
        <v/>
      </c>
      <c r="G24" s="30">
        <f>IF(AND($A24&gt;0,G$21&gt;0),($C$13/$A24)/G$21,0)</f>
        <v/>
      </c>
    </row>
    <row r="25">
      <c r="A25" s="16" t="n">
        <v>0.05</v>
      </c>
      <c r="B25" s="30">
        <f>IF(AND($A25&gt;0,B$21&gt;0),($C$13/$A25)/B$21,0)</f>
        <v/>
      </c>
      <c r="C25" s="30">
        <f>IF(AND($A25&gt;0,C$21&gt;0),($C$13/$A25)/C$21,0)</f>
        <v/>
      </c>
      <c r="D25" s="30">
        <f>IF(AND($A25&gt;0,D$21&gt;0),($C$13/$A25)/D$21,0)</f>
        <v/>
      </c>
      <c r="E25" s="30">
        <f>IF(AND($A25&gt;0,E$21&gt;0),($C$13/$A25)/E$21,0)</f>
        <v/>
      </c>
      <c r="F25" s="30">
        <f>IF(AND($A25&gt;0,F$21&gt;0),($C$13/$A25)/F$21,0)</f>
        <v/>
      </c>
      <c r="G25" s="30">
        <f>IF(AND($A25&gt;0,G$21&gt;0),($C$13/$A25)/G$21,0)</f>
        <v/>
      </c>
    </row>
    <row r="26">
      <c r="A26" s="16" t="n">
        <v>0.07000000000000001</v>
      </c>
      <c r="B26" s="30">
        <f>IF(AND($A26&gt;0,B$21&gt;0),($C$13/$A26)/B$21,0)</f>
        <v/>
      </c>
      <c r="C26" s="30">
        <f>IF(AND($A26&gt;0,C$21&gt;0),($C$13/$A26)/C$21,0)</f>
        <v/>
      </c>
      <c r="D26" s="30">
        <f>IF(AND($A26&gt;0,D$21&gt;0),($C$13/$A26)/D$21,0)</f>
        <v/>
      </c>
      <c r="E26" s="30">
        <f>IF(AND($A26&gt;0,E$21&gt;0),($C$13/$A26)/E$21,0)</f>
        <v/>
      </c>
      <c r="F26" s="30">
        <f>IF(AND($A26&gt;0,F$21&gt;0),($C$13/$A26)/F$21,0)</f>
        <v/>
      </c>
      <c r="G26" s="30">
        <f>IF(AND($A26&gt;0,G$21&gt;0),($C$13/$A26)/G$21,0)</f>
        <v/>
      </c>
    </row>
    <row r="27">
      <c r="A27" s="16" t="n">
        <v>0.1</v>
      </c>
      <c r="B27" s="30">
        <f>IF(AND($A27&gt;0,B$21&gt;0),($C$13/$A27)/B$21,0)</f>
        <v/>
      </c>
      <c r="C27" s="30">
        <f>IF(AND($A27&gt;0,C$21&gt;0),($C$13/$A27)/C$21,0)</f>
        <v/>
      </c>
      <c r="D27" s="30">
        <f>IF(AND($A27&gt;0,D$21&gt;0),($C$13/$A27)/D$21,0)</f>
        <v/>
      </c>
      <c r="E27" s="30">
        <f>IF(AND($A27&gt;0,E$21&gt;0),($C$13/$A27)/E$21,0)</f>
        <v/>
      </c>
      <c r="F27" s="30">
        <f>IF(AND($A27&gt;0,F$21&gt;0),($C$13/$A27)/F$21,0)</f>
        <v/>
      </c>
      <c r="G27" s="30">
        <f>IF(AND($A27&gt;0,G$21&gt;0),($C$13/$A27)/G$21,0)</f>
        <v/>
      </c>
    </row>
    <row r="30">
      <c r="A30" s="2" t="inlineStr">
        <is>
          <t>Grille contribution Premium (€ HT/mois) : coût par mission (lignes) × missions par mois (colonnes)</t>
        </is>
      </c>
    </row>
    <row r="31">
      <c r="A31" s="28" t="inlineStr">
        <is>
          <t>Coût/mission \ Missions</t>
        </is>
      </c>
      <c r="B31" s="31" t="n">
        <v>30</v>
      </c>
      <c r="C31" s="31" t="n">
        <v>45</v>
      </c>
      <c r="D31" s="31" t="n">
        <v>60</v>
      </c>
      <c r="E31" s="31" t="n">
        <v>90</v>
      </c>
      <c r="F31" s="31" t="n">
        <v>120</v>
      </c>
    </row>
    <row r="32">
      <c r="A32" s="18" t="n">
        <v>0.08</v>
      </c>
      <c r="B32" s="32">
        <f>$C$6-$A32*B$31-$C$9-$C$10-$C$11-$C$12</f>
        <v/>
      </c>
      <c r="C32" s="32">
        <f>$C$6-$A32*C$31-$C$9-$C$10-$C$11-$C$12</f>
        <v/>
      </c>
      <c r="D32" s="32">
        <f>$C$6-$A32*D$31-$C$9-$C$10-$C$11-$C$12</f>
        <v/>
      </c>
      <c r="E32" s="32">
        <f>$C$6-$A32*E$31-$C$9-$C$10-$C$11-$C$12</f>
        <v/>
      </c>
      <c r="F32" s="32">
        <f>$C$6-$A32*F$31-$C$9-$C$10-$C$11-$C$12</f>
        <v/>
      </c>
    </row>
    <row r="33">
      <c r="A33" s="18" t="n">
        <v>0.12</v>
      </c>
      <c r="B33" s="32">
        <f>$C$6-$A33*B$31-$C$9-$C$10-$C$11-$C$12</f>
        <v/>
      </c>
      <c r="C33" s="32">
        <f>$C$6-$A33*C$31-$C$9-$C$10-$C$11-$C$12</f>
        <v/>
      </c>
      <c r="D33" s="32">
        <f>$C$6-$A33*D$31-$C$9-$C$10-$C$11-$C$12</f>
        <v/>
      </c>
      <c r="E33" s="32">
        <f>$C$6-$A33*E$31-$C$9-$C$10-$C$11-$C$12</f>
        <v/>
      </c>
      <c r="F33" s="32">
        <f>$C$6-$A33*F$31-$C$9-$C$10-$C$11-$C$12</f>
        <v/>
      </c>
    </row>
    <row r="34">
      <c r="A34" s="18" t="n">
        <v>0.18</v>
      </c>
      <c r="B34" s="32">
        <f>$C$6-$A34*B$31-$C$9-$C$10-$C$11-$C$12</f>
        <v/>
      </c>
      <c r="C34" s="32">
        <f>$C$6-$A34*C$31-$C$9-$C$10-$C$11-$C$12</f>
        <v/>
      </c>
      <c r="D34" s="32">
        <f>$C$6-$A34*D$31-$C$9-$C$10-$C$11-$C$12</f>
        <v/>
      </c>
      <c r="E34" s="32">
        <f>$C$6-$A34*E$31-$C$9-$C$10-$C$11-$C$12</f>
        <v/>
      </c>
      <c r="F34" s="32">
        <f>$C$6-$A34*F$31-$C$9-$C$10-$C$11-$C$12</f>
        <v/>
      </c>
    </row>
    <row r="35">
      <c r="A35" s="18" t="n">
        <v>0.25</v>
      </c>
      <c r="B35" s="32">
        <f>$C$6-$A35*B$31-$C$9-$C$10-$C$11-$C$12</f>
        <v/>
      </c>
      <c r="C35" s="32">
        <f>$C$6-$A35*C$31-$C$9-$C$10-$C$11-$C$12</f>
        <v/>
      </c>
      <c r="D35" s="32">
        <f>$C$6-$A35*D$31-$C$9-$C$10-$C$11-$C$12</f>
        <v/>
      </c>
      <c r="E35" s="32">
        <f>$C$6-$A35*E$31-$C$9-$C$10-$C$11-$C$12</f>
        <v/>
      </c>
      <c r="F35" s="32">
        <f>$C$6-$A35*F$31-$C$9-$C$10-$C$11-$C$12</f>
        <v/>
      </c>
    </row>
    <row r="36">
      <c r="A36" s="18" t="n">
        <v>0.35</v>
      </c>
      <c r="B36" s="32">
        <f>$C$6-$A36*B$31-$C$9-$C$10-$C$11-$C$12</f>
        <v/>
      </c>
      <c r="C36" s="32">
        <f>$C$6-$A36*C$31-$C$9-$C$10-$C$11-$C$12</f>
        <v/>
      </c>
      <c r="D36" s="32">
        <f>$C$6-$A36*D$31-$C$9-$C$10-$C$11-$C$12</f>
        <v/>
      </c>
      <c r="E36" s="32">
        <f>$C$6-$A36*E$31-$C$9-$C$10-$C$11-$C$12</f>
        <v/>
      </c>
      <c r="F36" s="32">
        <f>$C$6-$A36*F$31-$C$9-$C$10-$C$11-$C$12</f>
        <v/>
      </c>
    </row>
    <row r="37">
      <c r="A37" s="18" t="n">
        <v>0.5</v>
      </c>
      <c r="B37" s="32">
        <f>$C$6-$A37*B$31-$C$9-$C$10-$C$11-$C$12</f>
        <v/>
      </c>
      <c r="C37" s="32">
        <f>$C$6-$A37*C$31-$C$9-$C$10-$C$11-$C$12</f>
        <v/>
      </c>
      <c r="D37" s="32">
        <f>$C$6-$A37*D$31-$C$9-$C$10-$C$11-$C$12</f>
        <v/>
      </c>
      <c r="E37" s="32">
        <f>$C$6-$A37*E$31-$C$9-$C$10-$C$11-$C$12</f>
        <v/>
      </c>
      <c r="F37" s="32">
        <f>$C$6-$A37*F$31-$C$9-$C$10-$C$11-$C$12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0916A"/>
    <outlinePr summaryBelow="1" summaryRight="1"/>
    <pageSetUpPr/>
  </sheetPr>
  <dimension ref="A1:AP7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40" max="40"/>
    <col width="13" customWidth="1" min="41" max="41"/>
    <col width="13" customWidth="1" min="42" max="42"/>
  </cols>
  <sheetData>
    <row r="1">
      <c r="A1" s="1" t="inlineStr">
        <is>
          <t>Modèle Prudent (36 mois)</t>
        </is>
      </c>
    </row>
    <row r="2">
      <c r="A2" s="4" t="inlineStr">
        <is>
          <t>Flux en € HT sauf mention TTC. Formules vivantes ; ne saisir que dans l'onglet Hypothèses et la ligne de chocs ci-dessous.</t>
        </is>
      </c>
    </row>
    <row r="3">
      <c r="A3" s="2" t="inlineStr">
        <is>
          <t>Chocs de sensibilité (1 = aucun ; retard en mois)</t>
        </is>
      </c>
      <c r="C3" s="33" t="inlineStr">
        <is>
          <t>Prix ×</t>
        </is>
      </c>
      <c r="D3" s="33" t="inlineStr">
        <is>
          <t>Churn ×</t>
        </is>
      </c>
      <c r="E3" s="33" t="inlineStr">
        <is>
          <t>CAC ×</t>
        </is>
      </c>
      <c r="F3" s="33" t="inlineStr">
        <is>
          <t>Coût IA ×</t>
        </is>
      </c>
      <c r="G3" s="33" t="inlineStr">
        <is>
          <t>Coûts fixes ×</t>
        </is>
      </c>
      <c r="H3" s="33" t="inlineStr">
        <is>
          <t>Retard lancement (mois)</t>
        </is>
      </c>
    </row>
    <row r="4">
      <c r="C4" s="34" t="n">
        <v>1</v>
      </c>
      <c r="D4" s="34" t="n">
        <v>1</v>
      </c>
      <c r="E4" s="34" t="n">
        <v>1</v>
      </c>
      <c r="F4" s="34" t="n">
        <v>1</v>
      </c>
      <c r="G4" s="34" t="n">
        <v>1</v>
      </c>
      <c r="H4" s="35" t="n">
        <v>0</v>
      </c>
    </row>
    <row r="5">
      <c r="A5" s="2" t="inlineStr">
        <is>
          <t>Mois de lancement effectif</t>
        </is>
      </c>
      <c r="B5" s="22">
        <f>Hypothèses!$C$10+$H$4</f>
        <v/>
      </c>
    </row>
    <row r="6">
      <c r="A6" s="28" t="inlineStr">
        <is>
          <t>Ligne</t>
        </is>
      </c>
      <c r="B6" s="28" t="inlineStr">
        <is>
          <t>Unité</t>
        </is>
      </c>
      <c r="C6" s="36" t="inlineStr">
        <is>
          <t>M1</t>
        </is>
      </c>
      <c r="D6" s="36" t="inlineStr">
        <is>
          <t>M2</t>
        </is>
      </c>
      <c r="E6" s="36" t="inlineStr">
        <is>
          <t>M3</t>
        </is>
      </c>
      <c r="F6" s="36" t="inlineStr">
        <is>
          <t>M4</t>
        </is>
      </c>
      <c r="G6" s="36" t="inlineStr">
        <is>
          <t>M5</t>
        </is>
      </c>
      <c r="H6" s="36" t="inlineStr">
        <is>
          <t>M6</t>
        </is>
      </c>
      <c r="I6" s="36" t="inlineStr">
        <is>
          <t>M7</t>
        </is>
      </c>
      <c r="J6" s="36" t="inlineStr">
        <is>
          <t>M8</t>
        </is>
      </c>
      <c r="K6" s="36" t="inlineStr">
        <is>
          <t>M9</t>
        </is>
      </c>
      <c r="L6" s="36" t="inlineStr">
        <is>
          <t>M10</t>
        </is>
      </c>
      <c r="M6" s="36" t="inlineStr">
        <is>
          <t>M11</t>
        </is>
      </c>
      <c r="N6" s="36" t="inlineStr">
        <is>
          <t>M12</t>
        </is>
      </c>
      <c r="O6" s="36" t="inlineStr">
        <is>
          <t>M13</t>
        </is>
      </c>
      <c r="P6" s="36" t="inlineStr">
        <is>
          <t>M14</t>
        </is>
      </c>
      <c r="Q6" s="36" t="inlineStr">
        <is>
          <t>M15</t>
        </is>
      </c>
      <c r="R6" s="36" t="inlineStr">
        <is>
          <t>M16</t>
        </is>
      </c>
      <c r="S6" s="36" t="inlineStr">
        <is>
          <t>M17</t>
        </is>
      </c>
      <c r="T6" s="36" t="inlineStr">
        <is>
          <t>M18</t>
        </is>
      </c>
      <c r="U6" s="36" t="inlineStr">
        <is>
          <t>M19</t>
        </is>
      </c>
      <c r="V6" s="36" t="inlineStr">
        <is>
          <t>M20</t>
        </is>
      </c>
      <c r="W6" s="36" t="inlineStr">
        <is>
          <t>M21</t>
        </is>
      </c>
      <c r="X6" s="36" t="inlineStr">
        <is>
          <t>M22</t>
        </is>
      </c>
      <c r="Y6" s="36" t="inlineStr">
        <is>
          <t>M23</t>
        </is>
      </c>
      <c r="Z6" s="36" t="inlineStr">
        <is>
          <t>M24</t>
        </is>
      </c>
      <c r="AA6" s="36" t="inlineStr">
        <is>
          <t>M25</t>
        </is>
      </c>
      <c r="AB6" s="36" t="inlineStr">
        <is>
          <t>M26</t>
        </is>
      </c>
      <c r="AC6" s="36" t="inlineStr">
        <is>
          <t>M27</t>
        </is>
      </c>
      <c r="AD6" s="36" t="inlineStr">
        <is>
          <t>M28</t>
        </is>
      </c>
      <c r="AE6" s="36" t="inlineStr">
        <is>
          <t>M29</t>
        </is>
      </c>
      <c r="AF6" s="36" t="inlineStr">
        <is>
          <t>M30</t>
        </is>
      </c>
      <c r="AG6" s="36" t="inlineStr">
        <is>
          <t>M31</t>
        </is>
      </c>
      <c r="AH6" s="36" t="inlineStr">
        <is>
          <t>M32</t>
        </is>
      </c>
      <c r="AI6" s="36" t="inlineStr">
        <is>
          <t>M33</t>
        </is>
      </c>
      <c r="AJ6" s="36" t="inlineStr">
        <is>
          <t>M34</t>
        </is>
      </c>
      <c r="AK6" s="36" t="inlineStr">
        <is>
          <t>M35</t>
        </is>
      </c>
      <c r="AL6" s="36" t="inlineStr">
        <is>
          <t>M36</t>
        </is>
      </c>
      <c r="AN6" s="37" t="inlineStr">
        <is>
          <t>Année 1</t>
        </is>
      </c>
      <c r="AO6" s="37" t="inlineStr">
        <is>
          <t>Année 2</t>
        </is>
      </c>
      <c r="AP6" s="37" t="inlineStr">
        <is>
          <t>Année 3</t>
        </is>
      </c>
    </row>
    <row r="7">
      <c r="A7" s="9" t="inlineStr">
        <is>
          <t>Mois</t>
        </is>
      </c>
      <c r="B7" s="4" t="inlineStr">
        <is>
          <t>n°</t>
        </is>
      </c>
      <c r="C7" s="13" t="n">
        <v>1</v>
      </c>
      <c r="D7" s="13" t="n">
        <v>2</v>
      </c>
      <c r="E7" s="13" t="n">
        <v>3</v>
      </c>
      <c r="F7" s="13" t="n">
        <v>4</v>
      </c>
      <c r="G7" s="13" t="n">
        <v>5</v>
      </c>
      <c r="H7" s="13" t="n">
        <v>6</v>
      </c>
      <c r="I7" s="13" t="n">
        <v>7</v>
      </c>
      <c r="J7" s="13" t="n">
        <v>8</v>
      </c>
      <c r="K7" s="13" t="n">
        <v>9</v>
      </c>
      <c r="L7" s="13" t="n">
        <v>10</v>
      </c>
      <c r="M7" s="13" t="n">
        <v>11</v>
      </c>
      <c r="N7" s="13" t="n">
        <v>12</v>
      </c>
      <c r="O7" s="13" t="n">
        <v>13</v>
      </c>
      <c r="P7" s="13" t="n">
        <v>14</v>
      </c>
      <c r="Q7" s="13" t="n">
        <v>15</v>
      </c>
      <c r="R7" s="13" t="n">
        <v>16</v>
      </c>
      <c r="S7" s="13" t="n">
        <v>17</v>
      </c>
      <c r="T7" s="13" t="n">
        <v>18</v>
      </c>
      <c r="U7" s="13" t="n">
        <v>19</v>
      </c>
      <c r="V7" s="13" t="n">
        <v>20</v>
      </c>
      <c r="W7" s="13" t="n">
        <v>21</v>
      </c>
      <c r="X7" s="13" t="n">
        <v>22</v>
      </c>
      <c r="Y7" s="13" t="n">
        <v>23</v>
      </c>
      <c r="Z7" s="13" t="n">
        <v>24</v>
      </c>
      <c r="AA7" s="13" t="n">
        <v>25</v>
      </c>
      <c r="AB7" s="13" t="n">
        <v>26</v>
      </c>
      <c r="AC7" s="13" t="n">
        <v>27</v>
      </c>
      <c r="AD7" s="13" t="n">
        <v>28</v>
      </c>
      <c r="AE7" s="13" t="n">
        <v>29</v>
      </c>
      <c r="AF7" s="13" t="n">
        <v>30</v>
      </c>
      <c r="AG7" s="13" t="n">
        <v>31</v>
      </c>
      <c r="AH7" s="13" t="n">
        <v>32</v>
      </c>
      <c r="AI7" s="13" t="n">
        <v>33</v>
      </c>
      <c r="AJ7" s="13" t="n">
        <v>34</v>
      </c>
      <c r="AK7" s="13" t="n">
        <v>35</v>
      </c>
      <c r="AL7" s="13" t="n">
        <v>36</v>
      </c>
    </row>
    <row r="8">
      <c r="A8" s="9" t="inlineStr">
        <is>
          <t>Date</t>
        </is>
      </c>
      <c r="B8" s="4" t="inlineStr"/>
      <c r="C8" s="11">
        <f>EDATE(Hypothèses!$C$7,C7-1)</f>
        <v/>
      </c>
      <c r="D8" s="11">
        <f>EDATE(Hypothèses!$C$7,D7-1)</f>
        <v/>
      </c>
      <c r="E8" s="11">
        <f>EDATE(Hypothèses!$C$7,E7-1)</f>
        <v/>
      </c>
      <c r="F8" s="11">
        <f>EDATE(Hypothèses!$C$7,F7-1)</f>
        <v/>
      </c>
      <c r="G8" s="11">
        <f>EDATE(Hypothèses!$C$7,G7-1)</f>
        <v/>
      </c>
      <c r="H8" s="11">
        <f>EDATE(Hypothèses!$C$7,H7-1)</f>
        <v/>
      </c>
      <c r="I8" s="11">
        <f>EDATE(Hypothèses!$C$7,I7-1)</f>
        <v/>
      </c>
      <c r="J8" s="11">
        <f>EDATE(Hypothèses!$C$7,J7-1)</f>
        <v/>
      </c>
      <c r="K8" s="11">
        <f>EDATE(Hypothèses!$C$7,K7-1)</f>
        <v/>
      </c>
      <c r="L8" s="11">
        <f>EDATE(Hypothèses!$C$7,L7-1)</f>
        <v/>
      </c>
      <c r="M8" s="11">
        <f>EDATE(Hypothèses!$C$7,M7-1)</f>
        <v/>
      </c>
      <c r="N8" s="11">
        <f>EDATE(Hypothèses!$C$7,N7-1)</f>
        <v/>
      </c>
      <c r="O8" s="11">
        <f>EDATE(Hypothèses!$C$7,O7-1)</f>
        <v/>
      </c>
      <c r="P8" s="11">
        <f>EDATE(Hypothèses!$C$7,P7-1)</f>
        <v/>
      </c>
      <c r="Q8" s="11">
        <f>EDATE(Hypothèses!$C$7,Q7-1)</f>
        <v/>
      </c>
      <c r="R8" s="11">
        <f>EDATE(Hypothèses!$C$7,R7-1)</f>
        <v/>
      </c>
      <c r="S8" s="11">
        <f>EDATE(Hypothèses!$C$7,S7-1)</f>
        <v/>
      </c>
      <c r="T8" s="11">
        <f>EDATE(Hypothèses!$C$7,T7-1)</f>
        <v/>
      </c>
      <c r="U8" s="11">
        <f>EDATE(Hypothèses!$C$7,U7-1)</f>
        <v/>
      </c>
      <c r="V8" s="11">
        <f>EDATE(Hypothèses!$C$7,V7-1)</f>
        <v/>
      </c>
      <c r="W8" s="11">
        <f>EDATE(Hypothèses!$C$7,W7-1)</f>
        <v/>
      </c>
      <c r="X8" s="11">
        <f>EDATE(Hypothèses!$C$7,X7-1)</f>
        <v/>
      </c>
      <c r="Y8" s="11">
        <f>EDATE(Hypothèses!$C$7,Y7-1)</f>
        <v/>
      </c>
      <c r="Z8" s="11">
        <f>EDATE(Hypothèses!$C$7,Z7-1)</f>
        <v/>
      </c>
      <c r="AA8" s="11">
        <f>EDATE(Hypothèses!$C$7,AA7-1)</f>
        <v/>
      </c>
      <c r="AB8" s="11">
        <f>EDATE(Hypothèses!$C$7,AB7-1)</f>
        <v/>
      </c>
      <c r="AC8" s="11">
        <f>EDATE(Hypothèses!$C$7,AC7-1)</f>
        <v/>
      </c>
      <c r="AD8" s="11">
        <f>EDATE(Hypothèses!$C$7,AD7-1)</f>
        <v/>
      </c>
      <c r="AE8" s="11">
        <f>EDATE(Hypothèses!$C$7,AE7-1)</f>
        <v/>
      </c>
      <c r="AF8" s="11">
        <f>EDATE(Hypothèses!$C$7,AF7-1)</f>
        <v/>
      </c>
      <c r="AG8" s="11">
        <f>EDATE(Hypothèses!$C$7,AG7-1)</f>
        <v/>
      </c>
      <c r="AH8" s="11">
        <f>EDATE(Hypothèses!$C$7,AH7-1)</f>
        <v/>
      </c>
      <c r="AI8" s="11">
        <f>EDATE(Hypothèses!$C$7,AI7-1)</f>
        <v/>
      </c>
      <c r="AJ8" s="11">
        <f>EDATE(Hypothèses!$C$7,AJ7-1)</f>
        <v/>
      </c>
      <c r="AK8" s="11">
        <f>EDATE(Hypothèses!$C$7,AK7-1)</f>
        <v/>
      </c>
      <c r="AL8" s="11">
        <f>EDATE(Hypothèses!$C$7,AL7-1)</f>
        <v/>
      </c>
    </row>
    <row r="9">
      <c r="A9" s="9" t="inlineStr">
        <is>
          <t>Lancé ? (1 = oui)</t>
        </is>
      </c>
      <c r="B9" s="4" t="inlineStr">
        <is>
          <t>0/1</t>
        </is>
      </c>
      <c r="C9" s="13">
        <f>IF(C7&gt;=$B$5,1,0)</f>
        <v/>
      </c>
      <c r="D9" s="13">
        <f>IF(D7&gt;=$B$5,1,0)</f>
        <v/>
      </c>
      <c r="E9" s="13">
        <f>IF(E7&gt;=$B$5,1,0)</f>
        <v/>
      </c>
      <c r="F9" s="13">
        <f>IF(F7&gt;=$B$5,1,0)</f>
        <v/>
      </c>
      <c r="G9" s="13">
        <f>IF(G7&gt;=$B$5,1,0)</f>
        <v/>
      </c>
      <c r="H9" s="13">
        <f>IF(H7&gt;=$B$5,1,0)</f>
        <v/>
      </c>
      <c r="I9" s="13">
        <f>IF(I7&gt;=$B$5,1,0)</f>
        <v/>
      </c>
      <c r="J9" s="13">
        <f>IF(J7&gt;=$B$5,1,0)</f>
        <v/>
      </c>
      <c r="K9" s="13">
        <f>IF(K7&gt;=$B$5,1,0)</f>
        <v/>
      </c>
      <c r="L9" s="13">
        <f>IF(L7&gt;=$B$5,1,0)</f>
        <v/>
      </c>
      <c r="M9" s="13">
        <f>IF(M7&gt;=$B$5,1,0)</f>
        <v/>
      </c>
      <c r="N9" s="13">
        <f>IF(N7&gt;=$B$5,1,0)</f>
        <v/>
      </c>
      <c r="O9" s="13">
        <f>IF(O7&gt;=$B$5,1,0)</f>
        <v/>
      </c>
      <c r="P9" s="13">
        <f>IF(P7&gt;=$B$5,1,0)</f>
        <v/>
      </c>
      <c r="Q9" s="13">
        <f>IF(Q7&gt;=$B$5,1,0)</f>
        <v/>
      </c>
      <c r="R9" s="13">
        <f>IF(R7&gt;=$B$5,1,0)</f>
        <v/>
      </c>
      <c r="S9" s="13">
        <f>IF(S7&gt;=$B$5,1,0)</f>
        <v/>
      </c>
      <c r="T9" s="13">
        <f>IF(T7&gt;=$B$5,1,0)</f>
        <v/>
      </c>
      <c r="U9" s="13">
        <f>IF(U7&gt;=$B$5,1,0)</f>
        <v/>
      </c>
      <c r="V9" s="13">
        <f>IF(V7&gt;=$B$5,1,0)</f>
        <v/>
      </c>
      <c r="W9" s="13">
        <f>IF(W7&gt;=$B$5,1,0)</f>
        <v/>
      </c>
      <c r="X9" s="13">
        <f>IF(X7&gt;=$B$5,1,0)</f>
        <v/>
      </c>
      <c r="Y9" s="13">
        <f>IF(Y7&gt;=$B$5,1,0)</f>
        <v/>
      </c>
      <c r="Z9" s="13">
        <f>IF(Z7&gt;=$B$5,1,0)</f>
        <v/>
      </c>
      <c r="AA9" s="13">
        <f>IF(AA7&gt;=$B$5,1,0)</f>
        <v/>
      </c>
      <c r="AB9" s="13">
        <f>IF(AB7&gt;=$B$5,1,0)</f>
        <v/>
      </c>
      <c r="AC9" s="13">
        <f>IF(AC7&gt;=$B$5,1,0)</f>
        <v/>
      </c>
      <c r="AD9" s="13">
        <f>IF(AD7&gt;=$B$5,1,0)</f>
        <v/>
      </c>
      <c r="AE9" s="13">
        <f>IF(AE7&gt;=$B$5,1,0)</f>
        <v/>
      </c>
      <c r="AF9" s="13">
        <f>IF(AF7&gt;=$B$5,1,0)</f>
        <v/>
      </c>
      <c r="AG9" s="13">
        <f>IF(AG7&gt;=$B$5,1,0)</f>
        <v/>
      </c>
      <c r="AH9" s="13">
        <f>IF(AH7&gt;=$B$5,1,0)</f>
        <v/>
      </c>
      <c r="AI9" s="13">
        <f>IF(AI7&gt;=$B$5,1,0)</f>
        <v/>
      </c>
      <c r="AJ9" s="13">
        <f>IF(AJ7&gt;=$B$5,1,0)</f>
        <v/>
      </c>
      <c r="AK9" s="13">
        <f>IF(AK7&gt;=$B$5,1,0)</f>
        <v/>
      </c>
      <c r="AL9" s="13">
        <f>IF(AL7&gt;=$B$5,1,0)</f>
        <v/>
      </c>
    </row>
    <row r="10">
      <c r="A10" s="9" t="inlineStr">
        <is>
          <t>Pilote en cours ? (1 = oui)</t>
        </is>
      </c>
      <c r="B10" s="4" t="inlineStr">
        <is>
          <t>0/1</t>
        </is>
      </c>
      <c r="C10" s="13">
        <f>IF(AND(C7&gt;=Hypothèses!$C$8,C7&lt;$B$5),1,0)</f>
        <v/>
      </c>
      <c r="D10" s="13">
        <f>IF(AND(D7&gt;=Hypothèses!$C$8,D7&lt;$B$5),1,0)</f>
        <v/>
      </c>
      <c r="E10" s="13">
        <f>IF(AND(E7&gt;=Hypothèses!$C$8,E7&lt;$B$5),1,0)</f>
        <v/>
      </c>
      <c r="F10" s="13">
        <f>IF(AND(F7&gt;=Hypothèses!$C$8,F7&lt;$B$5),1,0)</f>
        <v/>
      </c>
      <c r="G10" s="13">
        <f>IF(AND(G7&gt;=Hypothèses!$C$8,G7&lt;$B$5),1,0)</f>
        <v/>
      </c>
      <c r="H10" s="13">
        <f>IF(AND(H7&gt;=Hypothèses!$C$8,H7&lt;$B$5),1,0)</f>
        <v/>
      </c>
      <c r="I10" s="13">
        <f>IF(AND(I7&gt;=Hypothèses!$C$8,I7&lt;$B$5),1,0)</f>
        <v/>
      </c>
      <c r="J10" s="13">
        <f>IF(AND(J7&gt;=Hypothèses!$C$8,J7&lt;$B$5),1,0)</f>
        <v/>
      </c>
      <c r="K10" s="13">
        <f>IF(AND(K7&gt;=Hypothèses!$C$8,K7&lt;$B$5),1,0)</f>
        <v/>
      </c>
      <c r="L10" s="13">
        <f>IF(AND(L7&gt;=Hypothèses!$C$8,L7&lt;$B$5),1,0)</f>
        <v/>
      </c>
      <c r="M10" s="13">
        <f>IF(AND(M7&gt;=Hypothèses!$C$8,M7&lt;$B$5),1,0)</f>
        <v/>
      </c>
      <c r="N10" s="13">
        <f>IF(AND(N7&gt;=Hypothèses!$C$8,N7&lt;$B$5),1,0)</f>
        <v/>
      </c>
      <c r="O10" s="13">
        <f>IF(AND(O7&gt;=Hypothèses!$C$8,O7&lt;$B$5),1,0)</f>
        <v/>
      </c>
      <c r="P10" s="13">
        <f>IF(AND(P7&gt;=Hypothèses!$C$8,P7&lt;$B$5),1,0)</f>
        <v/>
      </c>
      <c r="Q10" s="13">
        <f>IF(AND(Q7&gt;=Hypothèses!$C$8,Q7&lt;$B$5),1,0)</f>
        <v/>
      </c>
      <c r="R10" s="13">
        <f>IF(AND(R7&gt;=Hypothèses!$C$8,R7&lt;$B$5),1,0)</f>
        <v/>
      </c>
      <c r="S10" s="13">
        <f>IF(AND(S7&gt;=Hypothèses!$C$8,S7&lt;$B$5),1,0)</f>
        <v/>
      </c>
      <c r="T10" s="13">
        <f>IF(AND(T7&gt;=Hypothèses!$C$8,T7&lt;$B$5),1,0)</f>
        <v/>
      </c>
      <c r="U10" s="13">
        <f>IF(AND(U7&gt;=Hypothèses!$C$8,U7&lt;$B$5),1,0)</f>
        <v/>
      </c>
      <c r="V10" s="13">
        <f>IF(AND(V7&gt;=Hypothèses!$C$8,V7&lt;$B$5),1,0)</f>
        <v/>
      </c>
      <c r="W10" s="13">
        <f>IF(AND(W7&gt;=Hypothèses!$C$8,W7&lt;$B$5),1,0)</f>
        <v/>
      </c>
      <c r="X10" s="13">
        <f>IF(AND(X7&gt;=Hypothèses!$C$8,X7&lt;$B$5),1,0)</f>
        <v/>
      </c>
      <c r="Y10" s="13">
        <f>IF(AND(Y7&gt;=Hypothèses!$C$8,Y7&lt;$B$5),1,0)</f>
        <v/>
      </c>
      <c r="Z10" s="13">
        <f>IF(AND(Z7&gt;=Hypothèses!$C$8,Z7&lt;$B$5),1,0)</f>
        <v/>
      </c>
      <c r="AA10" s="13">
        <f>IF(AND(AA7&gt;=Hypothèses!$C$8,AA7&lt;$B$5),1,0)</f>
        <v/>
      </c>
      <c r="AB10" s="13">
        <f>IF(AND(AB7&gt;=Hypothèses!$C$8,AB7&lt;$B$5),1,0)</f>
        <v/>
      </c>
      <c r="AC10" s="13">
        <f>IF(AND(AC7&gt;=Hypothèses!$C$8,AC7&lt;$B$5),1,0)</f>
        <v/>
      </c>
      <c r="AD10" s="13">
        <f>IF(AND(AD7&gt;=Hypothèses!$C$8,AD7&lt;$B$5),1,0)</f>
        <v/>
      </c>
      <c r="AE10" s="13">
        <f>IF(AND(AE7&gt;=Hypothèses!$C$8,AE7&lt;$B$5),1,0)</f>
        <v/>
      </c>
      <c r="AF10" s="13">
        <f>IF(AND(AF7&gt;=Hypothèses!$C$8,AF7&lt;$B$5),1,0)</f>
        <v/>
      </c>
      <c r="AG10" s="13">
        <f>IF(AND(AG7&gt;=Hypothèses!$C$8,AG7&lt;$B$5),1,0)</f>
        <v/>
      </c>
      <c r="AH10" s="13">
        <f>IF(AND(AH7&gt;=Hypothèses!$C$8,AH7&lt;$B$5),1,0)</f>
        <v/>
      </c>
      <c r="AI10" s="13">
        <f>IF(AND(AI7&gt;=Hypothèses!$C$8,AI7&lt;$B$5),1,0)</f>
        <v/>
      </c>
      <c r="AJ10" s="13">
        <f>IF(AND(AJ7&gt;=Hypothèses!$C$8,AJ7&lt;$B$5),1,0)</f>
        <v/>
      </c>
      <c r="AK10" s="13">
        <f>IF(AND(AK7&gt;=Hypothèses!$C$8,AK7&lt;$B$5),1,0)</f>
        <v/>
      </c>
      <c r="AL10" s="13">
        <f>IF(AND(AL7&gt;=Hypothèses!$C$8,AL7&lt;$B$5),1,0)</f>
        <v/>
      </c>
    </row>
    <row r="11">
      <c r="A11" s="9" t="inlineStr">
        <is>
          <t>Budget d'acquisition du mois</t>
        </is>
      </c>
      <c r="B11" s="4" t="inlineStr">
        <is>
          <t>€ HT</t>
        </is>
      </c>
      <c r="C11" s="15">
        <f>IF(C9=1,IF(C7&lt;=12,Hypothèses!$C$20,IF(C7&lt;=24,Hypothèses!$C$21,Hypothèses!$C$22)),0)</f>
        <v/>
      </c>
      <c r="D11" s="15">
        <f>IF(D9=1,IF(D7&lt;=12,Hypothèses!$C$20,IF(D7&lt;=24,Hypothèses!$C$21,Hypothèses!$C$22)),0)</f>
        <v/>
      </c>
      <c r="E11" s="15">
        <f>IF(E9=1,IF(E7&lt;=12,Hypothèses!$C$20,IF(E7&lt;=24,Hypothèses!$C$21,Hypothèses!$C$22)),0)</f>
        <v/>
      </c>
      <c r="F11" s="15">
        <f>IF(F9=1,IF(F7&lt;=12,Hypothèses!$C$20,IF(F7&lt;=24,Hypothèses!$C$21,Hypothèses!$C$22)),0)</f>
        <v/>
      </c>
      <c r="G11" s="15">
        <f>IF(G9=1,IF(G7&lt;=12,Hypothèses!$C$20,IF(G7&lt;=24,Hypothèses!$C$21,Hypothèses!$C$22)),0)</f>
        <v/>
      </c>
      <c r="H11" s="15">
        <f>IF(H9=1,IF(H7&lt;=12,Hypothèses!$C$20,IF(H7&lt;=24,Hypothèses!$C$21,Hypothèses!$C$22)),0)</f>
        <v/>
      </c>
      <c r="I11" s="15">
        <f>IF(I9=1,IF(I7&lt;=12,Hypothèses!$C$20,IF(I7&lt;=24,Hypothèses!$C$21,Hypothèses!$C$22)),0)</f>
        <v/>
      </c>
      <c r="J11" s="15">
        <f>IF(J9=1,IF(J7&lt;=12,Hypothèses!$C$20,IF(J7&lt;=24,Hypothèses!$C$21,Hypothèses!$C$22)),0)</f>
        <v/>
      </c>
      <c r="K11" s="15">
        <f>IF(K9=1,IF(K7&lt;=12,Hypothèses!$C$20,IF(K7&lt;=24,Hypothèses!$C$21,Hypothèses!$C$22)),0)</f>
        <v/>
      </c>
      <c r="L11" s="15">
        <f>IF(L9=1,IF(L7&lt;=12,Hypothèses!$C$20,IF(L7&lt;=24,Hypothèses!$C$21,Hypothèses!$C$22)),0)</f>
        <v/>
      </c>
      <c r="M11" s="15">
        <f>IF(M9=1,IF(M7&lt;=12,Hypothèses!$C$20,IF(M7&lt;=24,Hypothèses!$C$21,Hypothèses!$C$22)),0)</f>
        <v/>
      </c>
      <c r="N11" s="15">
        <f>IF(N9=1,IF(N7&lt;=12,Hypothèses!$C$20,IF(N7&lt;=24,Hypothèses!$C$21,Hypothèses!$C$22)),0)</f>
        <v/>
      </c>
      <c r="O11" s="15">
        <f>IF(O9=1,IF(O7&lt;=12,Hypothèses!$C$20,IF(O7&lt;=24,Hypothèses!$C$21,Hypothèses!$C$22)),0)</f>
        <v/>
      </c>
      <c r="P11" s="15">
        <f>IF(P9=1,IF(P7&lt;=12,Hypothèses!$C$20,IF(P7&lt;=24,Hypothèses!$C$21,Hypothèses!$C$22)),0)</f>
        <v/>
      </c>
      <c r="Q11" s="15">
        <f>IF(Q9=1,IF(Q7&lt;=12,Hypothèses!$C$20,IF(Q7&lt;=24,Hypothèses!$C$21,Hypothèses!$C$22)),0)</f>
        <v/>
      </c>
      <c r="R11" s="15">
        <f>IF(R9=1,IF(R7&lt;=12,Hypothèses!$C$20,IF(R7&lt;=24,Hypothèses!$C$21,Hypothèses!$C$22)),0)</f>
        <v/>
      </c>
      <c r="S11" s="15">
        <f>IF(S9=1,IF(S7&lt;=12,Hypothèses!$C$20,IF(S7&lt;=24,Hypothèses!$C$21,Hypothèses!$C$22)),0)</f>
        <v/>
      </c>
      <c r="T11" s="15">
        <f>IF(T9=1,IF(T7&lt;=12,Hypothèses!$C$20,IF(T7&lt;=24,Hypothèses!$C$21,Hypothèses!$C$22)),0)</f>
        <v/>
      </c>
      <c r="U11" s="15">
        <f>IF(U9=1,IF(U7&lt;=12,Hypothèses!$C$20,IF(U7&lt;=24,Hypothèses!$C$21,Hypothèses!$C$22)),0)</f>
        <v/>
      </c>
      <c r="V11" s="15">
        <f>IF(V9=1,IF(V7&lt;=12,Hypothèses!$C$20,IF(V7&lt;=24,Hypothèses!$C$21,Hypothèses!$C$22)),0)</f>
        <v/>
      </c>
      <c r="W11" s="15">
        <f>IF(W9=1,IF(W7&lt;=12,Hypothèses!$C$20,IF(W7&lt;=24,Hypothèses!$C$21,Hypothèses!$C$22)),0)</f>
        <v/>
      </c>
      <c r="X11" s="15">
        <f>IF(X9=1,IF(X7&lt;=12,Hypothèses!$C$20,IF(X7&lt;=24,Hypothèses!$C$21,Hypothèses!$C$22)),0)</f>
        <v/>
      </c>
      <c r="Y11" s="15">
        <f>IF(Y9=1,IF(Y7&lt;=12,Hypothèses!$C$20,IF(Y7&lt;=24,Hypothèses!$C$21,Hypothèses!$C$22)),0)</f>
        <v/>
      </c>
      <c r="Z11" s="15">
        <f>IF(Z9=1,IF(Z7&lt;=12,Hypothèses!$C$20,IF(Z7&lt;=24,Hypothèses!$C$21,Hypothèses!$C$22)),0)</f>
        <v/>
      </c>
      <c r="AA11" s="15">
        <f>IF(AA9=1,IF(AA7&lt;=12,Hypothèses!$C$20,IF(AA7&lt;=24,Hypothèses!$C$21,Hypothèses!$C$22)),0)</f>
        <v/>
      </c>
      <c r="AB11" s="15">
        <f>IF(AB9=1,IF(AB7&lt;=12,Hypothèses!$C$20,IF(AB7&lt;=24,Hypothèses!$C$21,Hypothèses!$C$22)),0)</f>
        <v/>
      </c>
      <c r="AC11" s="15">
        <f>IF(AC9=1,IF(AC7&lt;=12,Hypothèses!$C$20,IF(AC7&lt;=24,Hypothèses!$C$21,Hypothèses!$C$22)),0)</f>
        <v/>
      </c>
      <c r="AD11" s="15">
        <f>IF(AD9=1,IF(AD7&lt;=12,Hypothèses!$C$20,IF(AD7&lt;=24,Hypothèses!$C$21,Hypothèses!$C$22)),0)</f>
        <v/>
      </c>
      <c r="AE11" s="15">
        <f>IF(AE9=1,IF(AE7&lt;=12,Hypothèses!$C$20,IF(AE7&lt;=24,Hypothèses!$C$21,Hypothèses!$C$22)),0)</f>
        <v/>
      </c>
      <c r="AF11" s="15">
        <f>IF(AF9=1,IF(AF7&lt;=12,Hypothèses!$C$20,IF(AF7&lt;=24,Hypothèses!$C$21,Hypothèses!$C$22)),0)</f>
        <v/>
      </c>
      <c r="AG11" s="15">
        <f>IF(AG9=1,IF(AG7&lt;=12,Hypothèses!$C$20,IF(AG7&lt;=24,Hypothèses!$C$21,Hypothèses!$C$22)),0)</f>
        <v/>
      </c>
      <c r="AH11" s="15">
        <f>IF(AH9=1,IF(AH7&lt;=12,Hypothèses!$C$20,IF(AH7&lt;=24,Hypothèses!$C$21,Hypothèses!$C$22)),0)</f>
        <v/>
      </c>
      <c r="AI11" s="15">
        <f>IF(AI9=1,IF(AI7&lt;=12,Hypothèses!$C$20,IF(AI7&lt;=24,Hypothèses!$C$21,Hypothèses!$C$22)),0)</f>
        <v/>
      </c>
      <c r="AJ11" s="15">
        <f>IF(AJ9=1,IF(AJ7&lt;=12,Hypothèses!$C$20,IF(AJ7&lt;=24,Hypothèses!$C$21,Hypothèses!$C$22)),0)</f>
        <v/>
      </c>
      <c r="AK11" s="15">
        <f>IF(AK9=1,IF(AK7&lt;=12,Hypothèses!$C$20,IF(AK7&lt;=24,Hypothèses!$C$21,Hypothèses!$C$22)),0)</f>
        <v/>
      </c>
      <c r="AL11" s="15">
        <f>IF(AL9=1,IF(AL7&lt;=12,Hypothèses!$C$20,IF(AL7&lt;=24,Hypothèses!$C$21,Hypothèses!$C$22)),0)</f>
        <v/>
      </c>
      <c r="AN11" s="15">
        <f>SUM(C11:N11)</f>
        <v/>
      </c>
      <c r="AO11" s="15">
        <f>SUM(O11:Z11)</f>
        <v/>
      </c>
      <c r="AP11" s="15">
        <f>SUM(AA11:AL11)</f>
        <v/>
      </c>
    </row>
    <row r="12">
      <c r="A12" s="8" t="inlineStr">
        <is>
          <t>Abonnés</t>
        </is>
      </c>
    </row>
    <row r="13">
      <c r="A13" s="9" t="inlineStr">
        <is>
          <t>Abonnés en début de mois</t>
        </is>
      </c>
      <c r="B13" s="4" t="inlineStr">
        <is>
          <t>abonnés</t>
        </is>
      </c>
      <c r="C13" s="38">
        <f>0</f>
        <v/>
      </c>
      <c r="D13" s="38">
        <f>C18</f>
        <v/>
      </c>
      <c r="E13" s="38">
        <f>D18</f>
        <v/>
      </c>
      <c r="F13" s="38">
        <f>E18</f>
        <v/>
      </c>
      <c r="G13" s="38">
        <f>F18</f>
        <v/>
      </c>
      <c r="H13" s="38">
        <f>G18</f>
        <v/>
      </c>
      <c r="I13" s="38">
        <f>H18</f>
        <v/>
      </c>
      <c r="J13" s="38">
        <f>I18</f>
        <v/>
      </c>
      <c r="K13" s="38">
        <f>J18</f>
        <v/>
      </c>
      <c r="L13" s="38">
        <f>K18</f>
        <v/>
      </c>
      <c r="M13" s="38">
        <f>L18</f>
        <v/>
      </c>
      <c r="N13" s="38">
        <f>M18</f>
        <v/>
      </c>
      <c r="O13" s="38">
        <f>N18</f>
        <v/>
      </c>
      <c r="P13" s="38">
        <f>O18</f>
        <v/>
      </c>
      <c r="Q13" s="38">
        <f>P18</f>
        <v/>
      </c>
      <c r="R13" s="38">
        <f>Q18</f>
        <v/>
      </c>
      <c r="S13" s="38">
        <f>R18</f>
        <v/>
      </c>
      <c r="T13" s="38">
        <f>S18</f>
        <v/>
      </c>
      <c r="U13" s="38">
        <f>T18</f>
        <v/>
      </c>
      <c r="V13" s="38">
        <f>U18</f>
        <v/>
      </c>
      <c r="W13" s="38">
        <f>V18</f>
        <v/>
      </c>
      <c r="X13" s="38">
        <f>W18</f>
        <v/>
      </c>
      <c r="Y13" s="38">
        <f>X18</f>
        <v/>
      </c>
      <c r="Z13" s="38">
        <f>Y18</f>
        <v/>
      </c>
      <c r="AA13" s="38">
        <f>Z18</f>
        <v/>
      </c>
      <c r="AB13" s="38">
        <f>AA18</f>
        <v/>
      </c>
      <c r="AC13" s="38">
        <f>AB18</f>
        <v/>
      </c>
      <c r="AD13" s="38">
        <f>AC18</f>
        <v/>
      </c>
      <c r="AE13" s="38">
        <f>AD18</f>
        <v/>
      </c>
      <c r="AF13" s="38">
        <f>AE18</f>
        <v/>
      </c>
      <c r="AG13" s="38">
        <f>AF18</f>
        <v/>
      </c>
      <c r="AH13" s="38">
        <f>AG18</f>
        <v/>
      </c>
      <c r="AI13" s="38">
        <f>AH18</f>
        <v/>
      </c>
      <c r="AJ13" s="38">
        <f>AI18</f>
        <v/>
      </c>
      <c r="AK13" s="38">
        <f>AJ18</f>
        <v/>
      </c>
      <c r="AL13" s="38">
        <f>AK18</f>
        <v/>
      </c>
    </row>
    <row r="14">
      <c r="A14" s="9" t="inlineStr">
        <is>
          <t>Nouveaux abonnés par acquisition payante</t>
        </is>
      </c>
      <c r="B14" s="4" t="inlineStr">
        <is>
          <t>abonnés</t>
        </is>
      </c>
      <c r="C14" s="38">
        <f>C11/(Hypothèses!$C$23*$E$4)</f>
        <v/>
      </c>
      <c r="D14" s="38">
        <f>D11/(Hypothèses!$C$23*$E$4)</f>
        <v/>
      </c>
      <c r="E14" s="38">
        <f>E11/(Hypothèses!$C$23*$E$4)</f>
        <v/>
      </c>
      <c r="F14" s="38">
        <f>F11/(Hypothèses!$C$23*$E$4)</f>
        <v/>
      </c>
      <c r="G14" s="38">
        <f>G11/(Hypothèses!$C$23*$E$4)</f>
        <v/>
      </c>
      <c r="H14" s="38">
        <f>H11/(Hypothèses!$C$23*$E$4)</f>
        <v/>
      </c>
      <c r="I14" s="38">
        <f>I11/(Hypothèses!$C$23*$E$4)</f>
        <v/>
      </c>
      <c r="J14" s="38">
        <f>J11/(Hypothèses!$C$23*$E$4)</f>
        <v/>
      </c>
      <c r="K14" s="38">
        <f>K11/(Hypothèses!$C$23*$E$4)</f>
        <v/>
      </c>
      <c r="L14" s="38">
        <f>L11/(Hypothèses!$C$23*$E$4)</f>
        <v/>
      </c>
      <c r="M14" s="38">
        <f>M11/(Hypothèses!$C$23*$E$4)</f>
        <v/>
      </c>
      <c r="N14" s="38">
        <f>N11/(Hypothèses!$C$23*$E$4)</f>
        <v/>
      </c>
      <c r="O14" s="38">
        <f>O11/(Hypothèses!$C$23*$E$4)</f>
        <v/>
      </c>
      <c r="P14" s="38">
        <f>P11/(Hypothèses!$C$23*$E$4)</f>
        <v/>
      </c>
      <c r="Q14" s="38">
        <f>Q11/(Hypothèses!$C$23*$E$4)</f>
        <v/>
      </c>
      <c r="R14" s="38">
        <f>R11/(Hypothèses!$C$23*$E$4)</f>
        <v/>
      </c>
      <c r="S14" s="38">
        <f>S11/(Hypothèses!$C$23*$E$4)</f>
        <v/>
      </c>
      <c r="T14" s="38">
        <f>T11/(Hypothèses!$C$23*$E$4)</f>
        <v/>
      </c>
      <c r="U14" s="38">
        <f>U11/(Hypothèses!$C$23*$E$4)</f>
        <v/>
      </c>
      <c r="V14" s="38">
        <f>V11/(Hypothèses!$C$23*$E$4)</f>
        <v/>
      </c>
      <c r="W14" s="38">
        <f>W11/(Hypothèses!$C$23*$E$4)</f>
        <v/>
      </c>
      <c r="X14" s="38">
        <f>X11/(Hypothèses!$C$23*$E$4)</f>
        <v/>
      </c>
      <c r="Y14" s="38">
        <f>Y11/(Hypothèses!$C$23*$E$4)</f>
        <v/>
      </c>
      <c r="Z14" s="38">
        <f>Z11/(Hypothèses!$C$23*$E$4)</f>
        <v/>
      </c>
      <c r="AA14" s="38">
        <f>AA11/(Hypothèses!$C$23*$E$4)</f>
        <v/>
      </c>
      <c r="AB14" s="38">
        <f>AB11/(Hypothèses!$C$23*$E$4)</f>
        <v/>
      </c>
      <c r="AC14" s="38">
        <f>AC11/(Hypothèses!$C$23*$E$4)</f>
        <v/>
      </c>
      <c r="AD14" s="38">
        <f>AD11/(Hypothèses!$C$23*$E$4)</f>
        <v/>
      </c>
      <c r="AE14" s="38">
        <f>AE11/(Hypothèses!$C$23*$E$4)</f>
        <v/>
      </c>
      <c r="AF14" s="38">
        <f>AF11/(Hypothèses!$C$23*$E$4)</f>
        <v/>
      </c>
      <c r="AG14" s="38">
        <f>AG11/(Hypothèses!$C$23*$E$4)</f>
        <v/>
      </c>
      <c r="AH14" s="38">
        <f>AH11/(Hypothèses!$C$23*$E$4)</f>
        <v/>
      </c>
      <c r="AI14" s="38">
        <f>AI11/(Hypothèses!$C$23*$E$4)</f>
        <v/>
      </c>
      <c r="AJ14" s="38">
        <f>AJ11/(Hypothèses!$C$23*$E$4)</f>
        <v/>
      </c>
      <c r="AK14" s="38">
        <f>AK11/(Hypothèses!$C$23*$E$4)</f>
        <v/>
      </c>
      <c r="AL14" s="38">
        <f>AL11/(Hypothèses!$C$23*$E$4)</f>
        <v/>
      </c>
      <c r="AN14" s="38">
        <f>SUM(C14:N14)</f>
        <v/>
      </c>
      <c r="AO14" s="38">
        <f>SUM(O14:Z14)</f>
        <v/>
      </c>
      <c r="AP14" s="38">
        <f>SUM(AA14:AL14)</f>
        <v/>
      </c>
    </row>
    <row r="15">
      <c r="A15" s="9" t="inlineStr">
        <is>
          <t>Nouveaux abonnés pilote</t>
        </is>
      </c>
      <c r="B15" s="4" t="inlineStr">
        <is>
          <t>abonnés</t>
        </is>
      </c>
      <c r="C15" s="38">
        <f>IF(C7=Hypothèses!$C$8,Hypothèses!$C$9,0)</f>
        <v/>
      </c>
      <c r="D15" s="38">
        <f>IF(D7=Hypothèses!$C$8,Hypothèses!$C$9,0)</f>
        <v/>
      </c>
      <c r="E15" s="38">
        <f>IF(E7=Hypothèses!$C$8,Hypothèses!$C$9,0)</f>
        <v/>
      </c>
      <c r="F15" s="38">
        <f>IF(F7=Hypothèses!$C$8,Hypothèses!$C$9,0)</f>
        <v/>
      </c>
      <c r="G15" s="38">
        <f>IF(G7=Hypothèses!$C$8,Hypothèses!$C$9,0)</f>
        <v/>
      </c>
      <c r="H15" s="38">
        <f>IF(H7=Hypothèses!$C$8,Hypothèses!$C$9,0)</f>
        <v/>
      </c>
      <c r="I15" s="38">
        <f>IF(I7=Hypothèses!$C$8,Hypothèses!$C$9,0)</f>
        <v/>
      </c>
      <c r="J15" s="38">
        <f>IF(J7=Hypothèses!$C$8,Hypothèses!$C$9,0)</f>
        <v/>
      </c>
      <c r="K15" s="38">
        <f>IF(K7=Hypothèses!$C$8,Hypothèses!$C$9,0)</f>
        <v/>
      </c>
      <c r="L15" s="38">
        <f>IF(L7=Hypothèses!$C$8,Hypothèses!$C$9,0)</f>
        <v/>
      </c>
      <c r="M15" s="38">
        <f>IF(M7=Hypothèses!$C$8,Hypothèses!$C$9,0)</f>
        <v/>
      </c>
      <c r="N15" s="38">
        <f>IF(N7=Hypothèses!$C$8,Hypothèses!$C$9,0)</f>
        <v/>
      </c>
      <c r="O15" s="38">
        <f>IF(O7=Hypothèses!$C$8,Hypothèses!$C$9,0)</f>
        <v/>
      </c>
      <c r="P15" s="38">
        <f>IF(P7=Hypothèses!$C$8,Hypothèses!$C$9,0)</f>
        <v/>
      </c>
      <c r="Q15" s="38">
        <f>IF(Q7=Hypothèses!$C$8,Hypothèses!$C$9,0)</f>
        <v/>
      </c>
      <c r="R15" s="38">
        <f>IF(R7=Hypothèses!$C$8,Hypothèses!$C$9,0)</f>
        <v/>
      </c>
      <c r="S15" s="38">
        <f>IF(S7=Hypothèses!$C$8,Hypothèses!$C$9,0)</f>
        <v/>
      </c>
      <c r="T15" s="38">
        <f>IF(T7=Hypothèses!$C$8,Hypothèses!$C$9,0)</f>
        <v/>
      </c>
      <c r="U15" s="38">
        <f>IF(U7=Hypothèses!$C$8,Hypothèses!$C$9,0)</f>
        <v/>
      </c>
      <c r="V15" s="38">
        <f>IF(V7=Hypothèses!$C$8,Hypothèses!$C$9,0)</f>
        <v/>
      </c>
      <c r="W15" s="38">
        <f>IF(W7=Hypothèses!$C$8,Hypothèses!$C$9,0)</f>
        <v/>
      </c>
      <c r="X15" s="38">
        <f>IF(X7=Hypothèses!$C$8,Hypothèses!$C$9,0)</f>
        <v/>
      </c>
      <c r="Y15" s="38">
        <f>IF(Y7=Hypothèses!$C$8,Hypothèses!$C$9,0)</f>
        <v/>
      </c>
      <c r="Z15" s="38">
        <f>IF(Z7=Hypothèses!$C$8,Hypothèses!$C$9,0)</f>
        <v/>
      </c>
      <c r="AA15" s="38">
        <f>IF(AA7=Hypothèses!$C$8,Hypothèses!$C$9,0)</f>
        <v/>
      </c>
      <c r="AB15" s="38">
        <f>IF(AB7=Hypothèses!$C$8,Hypothèses!$C$9,0)</f>
        <v/>
      </c>
      <c r="AC15" s="38">
        <f>IF(AC7=Hypothèses!$C$8,Hypothèses!$C$9,0)</f>
        <v/>
      </c>
      <c r="AD15" s="38">
        <f>IF(AD7=Hypothèses!$C$8,Hypothèses!$C$9,0)</f>
        <v/>
      </c>
      <c r="AE15" s="38">
        <f>IF(AE7=Hypothèses!$C$8,Hypothèses!$C$9,0)</f>
        <v/>
      </c>
      <c r="AF15" s="38">
        <f>IF(AF7=Hypothèses!$C$8,Hypothèses!$C$9,0)</f>
        <v/>
      </c>
      <c r="AG15" s="38">
        <f>IF(AG7=Hypothèses!$C$8,Hypothèses!$C$9,0)</f>
        <v/>
      </c>
      <c r="AH15" s="38">
        <f>IF(AH7=Hypothèses!$C$8,Hypothèses!$C$9,0)</f>
        <v/>
      </c>
      <c r="AI15" s="38">
        <f>IF(AI7=Hypothèses!$C$8,Hypothèses!$C$9,0)</f>
        <v/>
      </c>
      <c r="AJ15" s="38">
        <f>IF(AJ7=Hypothèses!$C$8,Hypothèses!$C$9,0)</f>
        <v/>
      </c>
      <c r="AK15" s="38">
        <f>IF(AK7=Hypothèses!$C$8,Hypothèses!$C$9,0)</f>
        <v/>
      </c>
      <c r="AL15" s="38">
        <f>IF(AL7=Hypothèses!$C$8,Hypothèses!$C$9,0)</f>
        <v/>
      </c>
      <c r="AN15" s="38">
        <f>SUM(C15:N15)</f>
        <v/>
      </c>
      <c r="AO15" s="38">
        <f>SUM(O15:Z15)</f>
        <v/>
      </c>
      <c r="AP15" s="38">
        <f>SUM(AA15:AL15)</f>
        <v/>
      </c>
    </row>
    <row r="16">
      <c r="A16" s="9" t="inlineStr">
        <is>
          <t>Nouveaux abonnés organiques (parrainage)</t>
        </is>
      </c>
      <c r="B16" s="4" t="inlineStr">
        <is>
          <t>abonnés</t>
        </is>
      </c>
      <c r="C16" s="38">
        <f>C9*C13*Hypothèses!$C$24</f>
        <v/>
      </c>
      <c r="D16" s="38">
        <f>D9*D13*Hypothèses!$C$24</f>
        <v/>
      </c>
      <c r="E16" s="38">
        <f>E9*E13*Hypothèses!$C$24</f>
        <v/>
      </c>
      <c r="F16" s="38">
        <f>F9*F13*Hypothèses!$C$24</f>
        <v/>
      </c>
      <c r="G16" s="38">
        <f>G9*G13*Hypothèses!$C$24</f>
        <v/>
      </c>
      <c r="H16" s="38">
        <f>H9*H13*Hypothèses!$C$24</f>
        <v/>
      </c>
      <c r="I16" s="38">
        <f>I9*I13*Hypothèses!$C$24</f>
        <v/>
      </c>
      <c r="J16" s="38">
        <f>J9*J13*Hypothèses!$C$24</f>
        <v/>
      </c>
      <c r="K16" s="38">
        <f>K9*K13*Hypothèses!$C$24</f>
        <v/>
      </c>
      <c r="L16" s="38">
        <f>L9*L13*Hypothèses!$C$24</f>
        <v/>
      </c>
      <c r="M16" s="38">
        <f>M9*M13*Hypothèses!$C$24</f>
        <v/>
      </c>
      <c r="N16" s="38">
        <f>N9*N13*Hypothèses!$C$24</f>
        <v/>
      </c>
      <c r="O16" s="38">
        <f>O9*O13*Hypothèses!$C$24</f>
        <v/>
      </c>
      <c r="P16" s="38">
        <f>P9*P13*Hypothèses!$C$24</f>
        <v/>
      </c>
      <c r="Q16" s="38">
        <f>Q9*Q13*Hypothèses!$C$24</f>
        <v/>
      </c>
      <c r="R16" s="38">
        <f>R9*R13*Hypothèses!$C$24</f>
        <v/>
      </c>
      <c r="S16" s="38">
        <f>S9*S13*Hypothèses!$C$24</f>
        <v/>
      </c>
      <c r="T16" s="38">
        <f>T9*T13*Hypothèses!$C$24</f>
        <v/>
      </c>
      <c r="U16" s="38">
        <f>U9*U13*Hypothèses!$C$24</f>
        <v/>
      </c>
      <c r="V16" s="38">
        <f>V9*V13*Hypothèses!$C$24</f>
        <v/>
      </c>
      <c r="W16" s="38">
        <f>W9*W13*Hypothèses!$C$24</f>
        <v/>
      </c>
      <c r="X16" s="38">
        <f>X9*X13*Hypothèses!$C$24</f>
        <v/>
      </c>
      <c r="Y16" s="38">
        <f>Y9*Y13*Hypothèses!$C$24</f>
        <v/>
      </c>
      <c r="Z16" s="38">
        <f>Z9*Z13*Hypothèses!$C$24</f>
        <v/>
      </c>
      <c r="AA16" s="38">
        <f>AA9*AA13*Hypothèses!$C$24</f>
        <v/>
      </c>
      <c r="AB16" s="38">
        <f>AB9*AB13*Hypothèses!$C$24</f>
        <v/>
      </c>
      <c r="AC16" s="38">
        <f>AC9*AC13*Hypothèses!$C$24</f>
        <v/>
      </c>
      <c r="AD16" s="38">
        <f>AD9*AD13*Hypothèses!$C$24</f>
        <v/>
      </c>
      <c r="AE16" s="38">
        <f>AE9*AE13*Hypothèses!$C$24</f>
        <v/>
      </c>
      <c r="AF16" s="38">
        <f>AF9*AF13*Hypothèses!$C$24</f>
        <v/>
      </c>
      <c r="AG16" s="38">
        <f>AG9*AG13*Hypothèses!$C$24</f>
        <v/>
      </c>
      <c r="AH16" s="38">
        <f>AH9*AH13*Hypothèses!$C$24</f>
        <v/>
      </c>
      <c r="AI16" s="38">
        <f>AI9*AI13*Hypothèses!$C$24</f>
        <v/>
      </c>
      <c r="AJ16" s="38">
        <f>AJ9*AJ13*Hypothèses!$C$24</f>
        <v/>
      </c>
      <c r="AK16" s="38">
        <f>AK9*AK13*Hypothèses!$C$24</f>
        <v/>
      </c>
      <c r="AL16" s="38">
        <f>AL9*AL13*Hypothèses!$C$24</f>
        <v/>
      </c>
      <c r="AN16" s="38">
        <f>SUM(C16:N16)</f>
        <v/>
      </c>
      <c r="AO16" s="38">
        <f>SUM(O16:Z16)</f>
        <v/>
      </c>
      <c r="AP16" s="38">
        <f>SUM(AA16:AL16)</f>
        <v/>
      </c>
    </row>
    <row r="17">
      <c r="A17" s="9" t="inlineStr">
        <is>
          <t>Résiliations</t>
        </is>
      </c>
      <c r="B17" s="4" t="inlineStr">
        <is>
          <t>abonnés</t>
        </is>
      </c>
      <c r="C17" s="38">
        <f>C13*Hypothèses!$C$26*$D$4</f>
        <v/>
      </c>
      <c r="D17" s="38">
        <f>D13*Hypothèses!$C$26*$D$4</f>
        <v/>
      </c>
      <c r="E17" s="38">
        <f>E13*Hypothèses!$C$26*$D$4</f>
        <v/>
      </c>
      <c r="F17" s="38">
        <f>F13*Hypothèses!$C$26*$D$4</f>
        <v/>
      </c>
      <c r="G17" s="38">
        <f>G13*Hypothèses!$C$26*$D$4</f>
        <v/>
      </c>
      <c r="H17" s="38">
        <f>H13*Hypothèses!$C$26*$D$4</f>
        <v/>
      </c>
      <c r="I17" s="38">
        <f>I13*Hypothèses!$C$26*$D$4</f>
        <v/>
      </c>
      <c r="J17" s="38">
        <f>J13*Hypothèses!$C$26*$D$4</f>
        <v/>
      </c>
      <c r="K17" s="38">
        <f>K13*Hypothèses!$C$26*$D$4</f>
        <v/>
      </c>
      <c r="L17" s="38">
        <f>L13*Hypothèses!$C$26*$D$4</f>
        <v/>
      </c>
      <c r="M17" s="38">
        <f>M13*Hypothèses!$C$26*$D$4</f>
        <v/>
      </c>
      <c r="N17" s="38">
        <f>N13*Hypothèses!$C$26*$D$4</f>
        <v/>
      </c>
      <c r="O17" s="38">
        <f>O13*Hypothèses!$C$26*$D$4</f>
        <v/>
      </c>
      <c r="P17" s="38">
        <f>P13*Hypothèses!$C$26*$D$4</f>
        <v/>
      </c>
      <c r="Q17" s="38">
        <f>Q13*Hypothèses!$C$26*$D$4</f>
        <v/>
      </c>
      <c r="R17" s="38">
        <f>R13*Hypothèses!$C$26*$D$4</f>
        <v/>
      </c>
      <c r="S17" s="38">
        <f>S13*Hypothèses!$C$26*$D$4</f>
        <v/>
      </c>
      <c r="T17" s="38">
        <f>T13*Hypothèses!$C$26*$D$4</f>
        <v/>
      </c>
      <c r="U17" s="38">
        <f>U13*Hypothèses!$C$26*$D$4</f>
        <v/>
      </c>
      <c r="V17" s="38">
        <f>V13*Hypothèses!$C$26*$D$4</f>
        <v/>
      </c>
      <c r="W17" s="38">
        <f>W13*Hypothèses!$C$26*$D$4</f>
        <v/>
      </c>
      <c r="X17" s="38">
        <f>X13*Hypothèses!$C$26*$D$4</f>
        <v/>
      </c>
      <c r="Y17" s="38">
        <f>Y13*Hypothèses!$C$26*$D$4</f>
        <v/>
      </c>
      <c r="Z17" s="38">
        <f>Z13*Hypothèses!$C$26*$D$4</f>
        <v/>
      </c>
      <c r="AA17" s="38">
        <f>AA13*Hypothèses!$C$26*$D$4</f>
        <v/>
      </c>
      <c r="AB17" s="38">
        <f>AB13*Hypothèses!$C$26*$D$4</f>
        <v/>
      </c>
      <c r="AC17" s="38">
        <f>AC13*Hypothèses!$C$26*$D$4</f>
        <v/>
      </c>
      <c r="AD17" s="38">
        <f>AD13*Hypothèses!$C$26*$D$4</f>
        <v/>
      </c>
      <c r="AE17" s="38">
        <f>AE13*Hypothèses!$C$26*$D$4</f>
        <v/>
      </c>
      <c r="AF17" s="38">
        <f>AF13*Hypothèses!$C$26*$D$4</f>
        <v/>
      </c>
      <c r="AG17" s="38">
        <f>AG13*Hypothèses!$C$26*$D$4</f>
        <v/>
      </c>
      <c r="AH17" s="38">
        <f>AH13*Hypothèses!$C$26*$D$4</f>
        <v/>
      </c>
      <c r="AI17" s="38">
        <f>AI13*Hypothèses!$C$26*$D$4</f>
        <v/>
      </c>
      <c r="AJ17" s="38">
        <f>AJ13*Hypothèses!$C$26*$D$4</f>
        <v/>
      </c>
      <c r="AK17" s="38">
        <f>AK13*Hypothèses!$C$26*$D$4</f>
        <v/>
      </c>
      <c r="AL17" s="38">
        <f>AL13*Hypothèses!$C$26*$D$4</f>
        <v/>
      </c>
      <c r="AN17" s="38">
        <f>SUM(C17:N17)</f>
        <v/>
      </c>
      <c r="AO17" s="38">
        <f>SUM(O17:Z17)</f>
        <v/>
      </c>
      <c r="AP17" s="38">
        <f>SUM(AA17:AL17)</f>
        <v/>
      </c>
    </row>
    <row r="18">
      <c r="A18" s="2" t="inlineStr">
        <is>
          <t>Abonnés en fin de mois</t>
        </is>
      </c>
      <c r="B18" s="4" t="inlineStr">
        <is>
          <t>abonnés</t>
        </is>
      </c>
      <c r="C18" s="39">
        <f>C13+C14+C15+C16-C17</f>
        <v/>
      </c>
      <c r="D18" s="39">
        <f>D13+D14+D15+D16-D17</f>
        <v/>
      </c>
      <c r="E18" s="39">
        <f>E13+E14+E15+E16-E17</f>
        <v/>
      </c>
      <c r="F18" s="39">
        <f>F13+F14+F15+F16-F17</f>
        <v/>
      </c>
      <c r="G18" s="39">
        <f>G13+G14+G15+G16-G17</f>
        <v/>
      </c>
      <c r="H18" s="39">
        <f>H13+H14+H15+H16-H17</f>
        <v/>
      </c>
      <c r="I18" s="39">
        <f>I13+I14+I15+I16-I17</f>
        <v/>
      </c>
      <c r="J18" s="39">
        <f>J13+J14+J15+J16-J17</f>
        <v/>
      </c>
      <c r="K18" s="39">
        <f>K13+K14+K15+K16-K17</f>
        <v/>
      </c>
      <c r="L18" s="39">
        <f>L13+L14+L15+L16-L17</f>
        <v/>
      </c>
      <c r="M18" s="39">
        <f>M13+M14+M15+M16-M17</f>
        <v/>
      </c>
      <c r="N18" s="39">
        <f>N13+N14+N15+N16-N17</f>
        <v/>
      </c>
      <c r="O18" s="39">
        <f>O13+O14+O15+O16-O17</f>
        <v/>
      </c>
      <c r="P18" s="39">
        <f>P13+P14+P15+P16-P17</f>
        <v/>
      </c>
      <c r="Q18" s="39">
        <f>Q13+Q14+Q15+Q16-Q17</f>
        <v/>
      </c>
      <c r="R18" s="39">
        <f>R13+R14+R15+R16-R17</f>
        <v/>
      </c>
      <c r="S18" s="39">
        <f>S13+S14+S15+S16-S17</f>
        <v/>
      </c>
      <c r="T18" s="39">
        <f>T13+T14+T15+T16-T17</f>
        <v/>
      </c>
      <c r="U18" s="39">
        <f>U13+U14+U15+U16-U17</f>
        <v/>
      </c>
      <c r="V18" s="39">
        <f>V13+V14+V15+V16-V17</f>
        <v/>
      </c>
      <c r="W18" s="39">
        <f>W13+W14+W15+W16-W17</f>
        <v/>
      </c>
      <c r="X18" s="39">
        <f>X13+X14+X15+X16-X17</f>
        <v/>
      </c>
      <c r="Y18" s="39">
        <f>Y13+Y14+Y15+Y16-Y17</f>
        <v/>
      </c>
      <c r="Z18" s="39">
        <f>Z13+Z14+Z15+Z16-Z17</f>
        <v/>
      </c>
      <c r="AA18" s="39">
        <f>AA13+AA14+AA15+AA16-AA17</f>
        <v/>
      </c>
      <c r="AB18" s="39">
        <f>AB13+AB14+AB15+AB16-AB17</f>
        <v/>
      </c>
      <c r="AC18" s="39">
        <f>AC13+AC14+AC15+AC16-AC17</f>
        <v/>
      </c>
      <c r="AD18" s="39">
        <f>AD13+AD14+AD15+AD16-AD17</f>
        <v/>
      </c>
      <c r="AE18" s="39">
        <f>AE13+AE14+AE15+AE16-AE17</f>
        <v/>
      </c>
      <c r="AF18" s="39">
        <f>AF13+AF14+AF15+AF16-AF17</f>
        <v/>
      </c>
      <c r="AG18" s="39">
        <f>AG13+AG14+AG15+AG16-AG17</f>
        <v/>
      </c>
      <c r="AH18" s="39">
        <f>AH13+AH14+AH15+AH16-AH17</f>
        <v/>
      </c>
      <c r="AI18" s="39">
        <f>AI13+AI14+AI15+AI16-AI17</f>
        <v/>
      </c>
      <c r="AJ18" s="39">
        <f>AJ13+AJ14+AJ15+AJ16-AJ17</f>
        <v/>
      </c>
      <c r="AK18" s="39">
        <f>AK13+AK14+AK15+AK16-AK17</f>
        <v/>
      </c>
      <c r="AL18" s="39">
        <f>AL13+AL14+AL15+AL16-AL17</f>
        <v/>
      </c>
      <c r="AN18" s="39">
        <f>N18</f>
        <v/>
      </c>
      <c r="AO18" s="39">
        <f>Z18</f>
        <v/>
      </c>
      <c r="AP18" s="39">
        <f>AL18</f>
        <v/>
      </c>
    </row>
    <row r="19">
      <c r="A19" s="9" t="inlineStr">
        <is>
          <t>dont Personal</t>
        </is>
      </c>
      <c r="B19" s="4" t="inlineStr">
        <is>
          <t>abonnés</t>
        </is>
      </c>
      <c r="C19" s="38">
        <f>C18*Hypothèses!$C$16</f>
        <v/>
      </c>
      <c r="D19" s="38">
        <f>D18*Hypothèses!$C$16</f>
        <v/>
      </c>
      <c r="E19" s="38">
        <f>E18*Hypothèses!$C$16</f>
        <v/>
      </c>
      <c r="F19" s="38">
        <f>F18*Hypothèses!$C$16</f>
        <v/>
      </c>
      <c r="G19" s="38">
        <f>G18*Hypothèses!$C$16</f>
        <v/>
      </c>
      <c r="H19" s="38">
        <f>H18*Hypothèses!$C$16</f>
        <v/>
      </c>
      <c r="I19" s="38">
        <f>I18*Hypothèses!$C$16</f>
        <v/>
      </c>
      <c r="J19" s="38">
        <f>J18*Hypothèses!$C$16</f>
        <v/>
      </c>
      <c r="K19" s="38">
        <f>K18*Hypothèses!$C$16</f>
        <v/>
      </c>
      <c r="L19" s="38">
        <f>L18*Hypothèses!$C$16</f>
        <v/>
      </c>
      <c r="M19" s="38">
        <f>M18*Hypothèses!$C$16</f>
        <v/>
      </c>
      <c r="N19" s="38">
        <f>N18*Hypothèses!$C$16</f>
        <v/>
      </c>
      <c r="O19" s="38">
        <f>O18*Hypothèses!$C$16</f>
        <v/>
      </c>
      <c r="P19" s="38">
        <f>P18*Hypothèses!$C$16</f>
        <v/>
      </c>
      <c r="Q19" s="38">
        <f>Q18*Hypothèses!$C$16</f>
        <v/>
      </c>
      <c r="R19" s="38">
        <f>R18*Hypothèses!$C$16</f>
        <v/>
      </c>
      <c r="S19" s="38">
        <f>S18*Hypothèses!$C$16</f>
        <v/>
      </c>
      <c r="T19" s="38">
        <f>T18*Hypothèses!$C$16</f>
        <v/>
      </c>
      <c r="U19" s="38">
        <f>U18*Hypothèses!$C$16</f>
        <v/>
      </c>
      <c r="V19" s="38">
        <f>V18*Hypothèses!$C$16</f>
        <v/>
      </c>
      <c r="W19" s="38">
        <f>W18*Hypothèses!$C$16</f>
        <v/>
      </c>
      <c r="X19" s="38">
        <f>X18*Hypothèses!$C$16</f>
        <v/>
      </c>
      <c r="Y19" s="38">
        <f>Y18*Hypothèses!$C$16</f>
        <v/>
      </c>
      <c r="Z19" s="38">
        <f>Z18*Hypothèses!$C$16</f>
        <v/>
      </c>
      <c r="AA19" s="38">
        <f>AA18*Hypothèses!$C$16</f>
        <v/>
      </c>
      <c r="AB19" s="38">
        <f>AB18*Hypothèses!$C$16</f>
        <v/>
      </c>
      <c r="AC19" s="38">
        <f>AC18*Hypothèses!$C$16</f>
        <v/>
      </c>
      <c r="AD19" s="38">
        <f>AD18*Hypothèses!$C$16</f>
        <v/>
      </c>
      <c r="AE19" s="38">
        <f>AE18*Hypothèses!$C$16</f>
        <v/>
      </c>
      <c r="AF19" s="38">
        <f>AF18*Hypothèses!$C$16</f>
        <v/>
      </c>
      <c r="AG19" s="38">
        <f>AG18*Hypothèses!$C$16</f>
        <v/>
      </c>
      <c r="AH19" s="38">
        <f>AH18*Hypothèses!$C$16</f>
        <v/>
      </c>
      <c r="AI19" s="38">
        <f>AI18*Hypothèses!$C$16</f>
        <v/>
      </c>
      <c r="AJ19" s="38">
        <f>AJ18*Hypothèses!$C$16</f>
        <v/>
      </c>
      <c r="AK19" s="38">
        <f>AK18*Hypothèses!$C$16</f>
        <v/>
      </c>
      <c r="AL19" s="38">
        <f>AL18*Hypothèses!$C$16</f>
        <v/>
      </c>
      <c r="AN19" s="38">
        <f>N19</f>
        <v/>
      </c>
      <c r="AO19" s="38">
        <f>Z19</f>
        <v/>
      </c>
      <c r="AP19" s="38">
        <f>AL19</f>
        <v/>
      </c>
    </row>
    <row r="20">
      <c r="A20" s="9" t="inlineStr">
        <is>
          <t>dont Premium</t>
        </is>
      </c>
      <c r="B20" s="4" t="inlineStr">
        <is>
          <t>abonnés</t>
        </is>
      </c>
      <c r="C20" s="38">
        <f>C18*Hypothèses!$C$17</f>
        <v/>
      </c>
      <c r="D20" s="38">
        <f>D18*Hypothèses!$C$17</f>
        <v/>
      </c>
      <c r="E20" s="38">
        <f>E18*Hypothèses!$C$17</f>
        <v/>
      </c>
      <c r="F20" s="38">
        <f>F18*Hypothèses!$C$17</f>
        <v/>
      </c>
      <c r="G20" s="38">
        <f>G18*Hypothèses!$C$17</f>
        <v/>
      </c>
      <c r="H20" s="38">
        <f>H18*Hypothèses!$C$17</f>
        <v/>
      </c>
      <c r="I20" s="38">
        <f>I18*Hypothèses!$C$17</f>
        <v/>
      </c>
      <c r="J20" s="38">
        <f>J18*Hypothèses!$C$17</f>
        <v/>
      </c>
      <c r="K20" s="38">
        <f>K18*Hypothèses!$C$17</f>
        <v/>
      </c>
      <c r="L20" s="38">
        <f>L18*Hypothèses!$C$17</f>
        <v/>
      </c>
      <c r="M20" s="38">
        <f>M18*Hypothèses!$C$17</f>
        <v/>
      </c>
      <c r="N20" s="38">
        <f>N18*Hypothèses!$C$17</f>
        <v/>
      </c>
      <c r="O20" s="38">
        <f>O18*Hypothèses!$C$17</f>
        <v/>
      </c>
      <c r="P20" s="38">
        <f>P18*Hypothèses!$C$17</f>
        <v/>
      </c>
      <c r="Q20" s="38">
        <f>Q18*Hypothèses!$C$17</f>
        <v/>
      </c>
      <c r="R20" s="38">
        <f>R18*Hypothèses!$C$17</f>
        <v/>
      </c>
      <c r="S20" s="38">
        <f>S18*Hypothèses!$C$17</f>
        <v/>
      </c>
      <c r="T20" s="38">
        <f>T18*Hypothèses!$C$17</f>
        <v/>
      </c>
      <c r="U20" s="38">
        <f>U18*Hypothèses!$C$17</f>
        <v/>
      </c>
      <c r="V20" s="38">
        <f>V18*Hypothèses!$C$17</f>
        <v/>
      </c>
      <c r="W20" s="38">
        <f>W18*Hypothèses!$C$17</f>
        <v/>
      </c>
      <c r="X20" s="38">
        <f>X18*Hypothèses!$C$17</f>
        <v/>
      </c>
      <c r="Y20" s="38">
        <f>Y18*Hypothèses!$C$17</f>
        <v/>
      </c>
      <c r="Z20" s="38">
        <f>Z18*Hypothèses!$C$17</f>
        <v/>
      </c>
      <c r="AA20" s="38">
        <f>AA18*Hypothèses!$C$17</f>
        <v/>
      </c>
      <c r="AB20" s="38">
        <f>AB18*Hypothèses!$C$17</f>
        <v/>
      </c>
      <c r="AC20" s="38">
        <f>AC18*Hypothèses!$C$17</f>
        <v/>
      </c>
      <c r="AD20" s="38">
        <f>AD18*Hypothèses!$C$17</f>
        <v/>
      </c>
      <c r="AE20" s="38">
        <f>AE18*Hypothèses!$C$17</f>
        <v/>
      </c>
      <c r="AF20" s="38">
        <f>AF18*Hypothèses!$C$17</f>
        <v/>
      </c>
      <c r="AG20" s="38">
        <f>AG18*Hypothèses!$C$17</f>
        <v/>
      </c>
      <c r="AH20" s="38">
        <f>AH18*Hypothèses!$C$17</f>
        <v/>
      </c>
      <c r="AI20" s="38">
        <f>AI18*Hypothèses!$C$17</f>
        <v/>
      </c>
      <c r="AJ20" s="38">
        <f>AJ18*Hypothèses!$C$17</f>
        <v/>
      </c>
      <c r="AK20" s="38">
        <f>AK18*Hypothèses!$C$17</f>
        <v/>
      </c>
      <c r="AL20" s="38">
        <f>AL18*Hypothèses!$C$17</f>
        <v/>
      </c>
      <c r="AN20" s="38">
        <f>N20</f>
        <v/>
      </c>
      <c r="AO20" s="38">
        <f>Z20</f>
        <v/>
      </c>
      <c r="AP20" s="38">
        <f>AL20</f>
        <v/>
      </c>
    </row>
    <row r="21">
      <c r="A21" s="9" t="inlineStr">
        <is>
          <t>dont Family</t>
        </is>
      </c>
      <c r="B21" s="4" t="inlineStr">
        <is>
          <t>abonnés</t>
        </is>
      </c>
      <c r="C21" s="38">
        <f>C18*Hypothèses!$C$18</f>
        <v/>
      </c>
      <c r="D21" s="38">
        <f>D18*Hypothèses!$C$18</f>
        <v/>
      </c>
      <c r="E21" s="38">
        <f>E18*Hypothèses!$C$18</f>
        <v/>
      </c>
      <c r="F21" s="38">
        <f>F18*Hypothèses!$C$18</f>
        <v/>
      </c>
      <c r="G21" s="38">
        <f>G18*Hypothèses!$C$18</f>
        <v/>
      </c>
      <c r="H21" s="38">
        <f>H18*Hypothèses!$C$18</f>
        <v/>
      </c>
      <c r="I21" s="38">
        <f>I18*Hypothèses!$C$18</f>
        <v/>
      </c>
      <c r="J21" s="38">
        <f>J18*Hypothèses!$C$18</f>
        <v/>
      </c>
      <c r="K21" s="38">
        <f>K18*Hypothèses!$C$18</f>
        <v/>
      </c>
      <c r="L21" s="38">
        <f>L18*Hypothèses!$C$18</f>
        <v/>
      </c>
      <c r="M21" s="38">
        <f>M18*Hypothèses!$C$18</f>
        <v/>
      </c>
      <c r="N21" s="38">
        <f>N18*Hypothèses!$C$18</f>
        <v/>
      </c>
      <c r="O21" s="38">
        <f>O18*Hypothèses!$C$18</f>
        <v/>
      </c>
      <c r="P21" s="38">
        <f>P18*Hypothèses!$C$18</f>
        <v/>
      </c>
      <c r="Q21" s="38">
        <f>Q18*Hypothèses!$C$18</f>
        <v/>
      </c>
      <c r="R21" s="38">
        <f>R18*Hypothèses!$C$18</f>
        <v/>
      </c>
      <c r="S21" s="38">
        <f>S18*Hypothèses!$C$18</f>
        <v/>
      </c>
      <c r="T21" s="38">
        <f>T18*Hypothèses!$C$18</f>
        <v/>
      </c>
      <c r="U21" s="38">
        <f>U18*Hypothèses!$C$18</f>
        <v/>
      </c>
      <c r="V21" s="38">
        <f>V18*Hypothèses!$C$18</f>
        <v/>
      </c>
      <c r="W21" s="38">
        <f>W18*Hypothèses!$C$18</f>
        <v/>
      </c>
      <c r="X21" s="38">
        <f>X18*Hypothèses!$C$18</f>
        <v/>
      </c>
      <c r="Y21" s="38">
        <f>Y18*Hypothèses!$C$18</f>
        <v/>
      </c>
      <c r="Z21" s="38">
        <f>Z18*Hypothèses!$C$18</f>
        <v/>
      </c>
      <c r="AA21" s="38">
        <f>AA18*Hypothèses!$C$18</f>
        <v/>
      </c>
      <c r="AB21" s="38">
        <f>AB18*Hypothèses!$C$18</f>
        <v/>
      </c>
      <c r="AC21" s="38">
        <f>AC18*Hypothèses!$C$18</f>
        <v/>
      </c>
      <c r="AD21" s="38">
        <f>AD18*Hypothèses!$C$18</f>
        <v/>
      </c>
      <c r="AE21" s="38">
        <f>AE18*Hypothèses!$C$18</f>
        <v/>
      </c>
      <c r="AF21" s="38">
        <f>AF18*Hypothèses!$C$18</f>
        <v/>
      </c>
      <c r="AG21" s="38">
        <f>AG18*Hypothèses!$C$18</f>
        <v/>
      </c>
      <c r="AH21" s="38">
        <f>AH18*Hypothèses!$C$18</f>
        <v/>
      </c>
      <c r="AI21" s="38">
        <f>AI18*Hypothèses!$C$18</f>
        <v/>
      </c>
      <c r="AJ21" s="38">
        <f>AJ18*Hypothèses!$C$18</f>
        <v/>
      </c>
      <c r="AK21" s="38">
        <f>AK18*Hypothèses!$C$18</f>
        <v/>
      </c>
      <c r="AL21" s="38">
        <f>AL18*Hypothèses!$C$18</f>
        <v/>
      </c>
      <c r="AN21" s="38">
        <f>N21</f>
        <v/>
      </c>
      <c r="AO21" s="38">
        <f>Z21</f>
        <v/>
      </c>
      <c r="AP21" s="38">
        <f>AL21</f>
        <v/>
      </c>
    </row>
    <row r="22">
      <c r="A22" s="8" t="inlineStr">
        <is>
          <t>Revenus</t>
        </is>
      </c>
    </row>
    <row r="23">
      <c r="A23" s="9" t="inlineStr">
        <is>
          <t>Facturation Personal TTC</t>
        </is>
      </c>
      <c r="B23" s="4" t="inlineStr">
        <is>
          <t>€ TTC</t>
        </is>
      </c>
      <c r="C23" s="15">
        <f>C19*Hypothèses!$C$12*$C$4</f>
        <v/>
      </c>
      <c r="D23" s="15">
        <f>D19*Hypothèses!$C$12*$C$4</f>
        <v/>
      </c>
      <c r="E23" s="15">
        <f>E19*Hypothèses!$C$12*$C$4</f>
        <v/>
      </c>
      <c r="F23" s="15">
        <f>F19*Hypothèses!$C$12*$C$4</f>
        <v/>
      </c>
      <c r="G23" s="15">
        <f>G19*Hypothèses!$C$12*$C$4</f>
        <v/>
      </c>
      <c r="H23" s="15">
        <f>H19*Hypothèses!$C$12*$C$4</f>
        <v/>
      </c>
      <c r="I23" s="15">
        <f>I19*Hypothèses!$C$12*$C$4</f>
        <v/>
      </c>
      <c r="J23" s="15">
        <f>J19*Hypothèses!$C$12*$C$4</f>
        <v/>
      </c>
      <c r="K23" s="15">
        <f>K19*Hypothèses!$C$12*$C$4</f>
        <v/>
      </c>
      <c r="L23" s="15">
        <f>L19*Hypothèses!$C$12*$C$4</f>
        <v/>
      </c>
      <c r="M23" s="15">
        <f>M19*Hypothèses!$C$12*$C$4</f>
        <v/>
      </c>
      <c r="N23" s="15">
        <f>N19*Hypothèses!$C$12*$C$4</f>
        <v/>
      </c>
      <c r="O23" s="15">
        <f>O19*Hypothèses!$C$12*$C$4</f>
        <v/>
      </c>
      <c r="P23" s="15">
        <f>P19*Hypothèses!$C$12*$C$4</f>
        <v/>
      </c>
      <c r="Q23" s="15">
        <f>Q19*Hypothèses!$C$12*$C$4</f>
        <v/>
      </c>
      <c r="R23" s="15">
        <f>R19*Hypothèses!$C$12*$C$4</f>
        <v/>
      </c>
      <c r="S23" s="15">
        <f>S19*Hypothèses!$C$12*$C$4</f>
        <v/>
      </c>
      <c r="T23" s="15">
        <f>T19*Hypothèses!$C$12*$C$4</f>
        <v/>
      </c>
      <c r="U23" s="15">
        <f>U19*Hypothèses!$C$12*$C$4</f>
        <v/>
      </c>
      <c r="V23" s="15">
        <f>V19*Hypothèses!$C$12*$C$4</f>
        <v/>
      </c>
      <c r="W23" s="15">
        <f>W19*Hypothèses!$C$12*$C$4</f>
        <v/>
      </c>
      <c r="X23" s="15">
        <f>X19*Hypothèses!$C$12*$C$4</f>
        <v/>
      </c>
      <c r="Y23" s="15">
        <f>Y19*Hypothèses!$C$12*$C$4</f>
        <v/>
      </c>
      <c r="Z23" s="15">
        <f>Z19*Hypothèses!$C$12*$C$4</f>
        <v/>
      </c>
      <c r="AA23" s="15">
        <f>AA19*Hypothèses!$C$12*$C$4</f>
        <v/>
      </c>
      <c r="AB23" s="15">
        <f>AB19*Hypothèses!$C$12*$C$4</f>
        <v/>
      </c>
      <c r="AC23" s="15">
        <f>AC19*Hypothèses!$C$12*$C$4</f>
        <v/>
      </c>
      <c r="AD23" s="15">
        <f>AD19*Hypothèses!$C$12*$C$4</f>
        <v/>
      </c>
      <c r="AE23" s="15">
        <f>AE19*Hypothèses!$C$12*$C$4</f>
        <v/>
      </c>
      <c r="AF23" s="15">
        <f>AF19*Hypothèses!$C$12*$C$4</f>
        <v/>
      </c>
      <c r="AG23" s="15">
        <f>AG19*Hypothèses!$C$12*$C$4</f>
        <v/>
      </c>
      <c r="AH23" s="15">
        <f>AH19*Hypothèses!$C$12*$C$4</f>
        <v/>
      </c>
      <c r="AI23" s="15">
        <f>AI19*Hypothèses!$C$12*$C$4</f>
        <v/>
      </c>
      <c r="AJ23" s="15">
        <f>AJ19*Hypothèses!$C$12*$C$4</f>
        <v/>
      </c>
      <c r="AK23" s="15">
        <f>AK19*Hypothèses!$C$12*$C$4</f>
        <v/>
      </c>
      <c r="AL23" s="15">
        <f>AL19*Hypothèses!$C$12*$C$4</f>
        <v/>
      </c>
      <c r="AN23" s="15">
        <f>SUM(C23:N23)</f>
        <v/>
      </c>
      <c r="AO23" s="15">
        <f>SUM(O23:Z23)</f>
        <v/>
      </c>
      <c r="AP23" s="15">
        <f>SUM(AA23:AL23)</f>
        <v/>
      </c>
    </row>
    <row r="24">
      <c r="A24" s="9" t="inlineStr">
        <is>
          <t>Facturation Premium TTC</t>
        </is>
      </c>
      <c r="B24" s="4" t="inlineStr">
        <is>
          <t>€ TTC</t>
        </is>
      </c>
      <c r="C24" s="15">
        <f>C20*Hypothèses!$C$13*$C$4</f>
        <v/>
      </c>
      <c r="D24" s="15">
        <f>D20*Hypothèses!$C$13*$C$4</f>
        <v/>
      </c>
      <c r="E24" s="15">
        <f>E20*Hypothèses!$C$13*$C$4</f>
        <v/>
      </c>
      <c r="F24" s="15">
        <f>F20*Hypothèses!$C$13*$C$4</f>
        <v/>
      </c>
      <c r="G24" s="15">
        <f>G20*Hypothèses!$C$13*$C$4</f>
        <v/>
      </c>
      <c r="H24" s="15">
        <f>H20*Hypothèses!$C$13*$C$4</f>
        <v/>
      </c>
      <c r="I24" s="15">
        <f>I20*Hypothèses!$C$13*$C$4</f>
        <v/>
      </c>
      <c r="J24" s="15">
        <f>J20*Hypothèses!$C$13*$C$4</f>
        <v/>
      </c>
      <c r="K24" s="15">
        <f>K20*Hypothèses!$C$13*$C$4</f>
        <v/>
      </c>
      <c r="L24" s="15">
        <f>L20*Hypothèses!$C$13*$C$4</f>
        <v/>
      </c>
      <c r="M24" s="15">
        <f>M20*Hypothèses!$C$13*$C$4</f>
        <v/>
      </c>
      <c r="N24" s="15">
        <f>N20*Hypothèses!$C$13*$C$4</f>
        <v/>
      </c>
      <c r="O24" s="15">
        <f>O20*Hypothèses!$C$13*$C$4</f>
        <v/>
      </c>
      <c r="P24" s="15">
        <f>P20*Hypothèses!$C$13*$C$4</f>
        <v/>
      </c>
      <c r="Q24" s="15">
        <f>Q20*Hypothèses!$C$13*$C$4</f>
        <v/>
      </c>
      <c r="R24" s="15">
        <f>R20*Hypothèses!$C$13*$C$4</f>
        <v/>
      </c>
      <c r="S24" s="15">
        <f>S20*Hypothèses!$C$13*$C$4</f>
        <v/>
      </c>
      <c r="T24" s="15">
        <f>T20*Hypothèses!$C$13*$C$4</f>
        <v/>
      </c>
      <c r="U24" s="15">
        <f>U20*Hypothèses!$C$13*$C$4</f>
        <v/>
      </c>
      <c r="V24" s="15">
        <f>V20*Hypothèses!$C$13*$C$4</f>
        <v/>
      </c>
      <c r="W24" s="15">
        <f>W20*Hypothèses!$C$13*$C$4</f>
        <v/>
      </c>
      <c r="X24" s="15">
        <f>X20*Hypothèses!$C$13*$C$4</f>
        <v/>
      </c>
      <c r="Y24" s="15">
        <f>Y20*Hypothèses!$C$13*$C$4</f>
        <v/>
      </c>
      <c r="Z24" s="15">
        <f>Z20*Hypothèses!$C$13*$C$4</f>
        <v/>
      </c>
      <c r="AA24" s="15">
        <f>AA20*Hypothèses!$C$13*$C$4</f>
        <v/>
      </c>
      <c r="AB24" s="15">
        <f>AB20*Hypothèses!$C$13*$C$4</f>
        <v/>
      </c>
      <c r="AC24" s="15">
        <f>AC20*Hypothèses!$C$13*$C$4</f>
        <v/>
      </c>
      <c r="AD24" s="15">
        <f>AD20*Hypothèses!$C$13*$C$4</f>
        <v/>
      </c>
      <c r="AE24" s="15">
        <f>AE20*Hypothèses!$C$13*$C$4</f>
        <v/>
      </c>
      <c r="AF24" s="15">
        <f>AF20*Hypothèses!$C$13*$C$4</f>
        <v/>
      </c>
      <c r="AG24" s="15">
        <f>AG20*Hypothèses!$C$13*$C$4</f>
        <v/>
      </c>
      <c r="AH24" s="15">
        <f>AH20*Hypothèses!$C$13*$C$4</f>
        <v/>
      </c>
      <c r="AI24" s="15">
        <f>AI20*Hypothèses!$C$13*$C$4</f>
        <v/>
      </c>
      <c r="AJ24" s="15">
        <f>AJ20*Hypothèses!$C$13*$C$4</f>
        <v/>
      </c>
      <c r="AK24" s="15">
        <f>AK20*Hypothèses!$C$13*$C$4</f>
        <v/>
      </c>
      <c r="AL24" s="15">
        <f>AL20*Hypothèses!$C$13*$C$4</f>
        <v/>
      </c>
      <c r="AN24" s="15">
        <f>SUM(C24:N24)</f>
        <v/>
      </c>
      <c r="AO24" s="15">
        <f>SUM(O24:Z24)</f>
        <v/>
      </c>
      <c r="AP24" s="15">
        <f>SUM(AA24:AL24)</f>
        <v/>
      </c>
    </row>
    <row r="25">
      <c r="A25" s="9" t="inlineStr">
        <is>
          <t>Facturation Family TTC</t>
        </is>
      </c>
      <c r="B25" s="4" t="inlineStr">
        <is>
          <t>€ TTC</t>
        </is>
      </c>
      <c r="C25" s="15">
        <f>C21*Hypothèses!$C$14*$C$4</f>
        <v/>
      </c>
      <c r="D25" s="15">
        <f>D21*Hypothèses!$C$14*$C$4</f>
        <v/>
      </c>
      <c r="E25" s="15">
        <f>E21*Hypothèses!$C$14*$C$4</f>
        <v/>
      </c>
      <c r="F25" s="15">
        <f>F21*Hypothèses!$C$14*$C$4</f>
        <v/>
      </c>
      <c r="G25" s="15">
        <f>G21*Hypothèses!$C$14*$C$4</f>
        <v/>
      </c>
      <c r="H25" s="15">
        <f>H21*Hypothèses!$C$14*$C$4</f>
        <v/>
      </c>
      <c r="I25" s="15">
        <f>I21*Hypothèses!$C$14*$C$4</f>
        <v/>
      </c>
      <c r="J25" s="15">
        <f>J21*Hypothèses!$C$14*$C$4</f>
        <v/>
      </c>
      <c r="K25" s="15">
        <f>K21*Hypothèses!$C$14*$C$4</f>
        <v/>
      </c>
      <c r="L25" s="15">
        <f>L21*Hypothèses!$C$14*$C$4</f>
        <v/>
      </c>
      <c r="M25" s="15">
        <f>M21*Hypothèses!$C$14*$C$4</f>
        <v/>
      </c>
      <c r="N25" s="15">
        <f>N21*Hypothèses!$C$14*$C$4</f>
        <v/>
      </c>
      <c r="O25" s="15">
        <f>O21*Hypothèses!$C$14*$C$4</f>
        <v/>
      </c>
      <c r="P25" s="15">
        <f>P21*Hypothèses!$C$14*$C$4</f>
        <v/>
      </c>
      <c r="Q25" s="15">
        <f>Q21*Hypothèses!$C$14*$C$4</f>
        <v/>
      </c>
      <c r="R25" s="15">
        <f>R21*Hypothèses!$C$14*$C$4</f>
        <v/>
      </c>
      <c r="S25" s="15">
        <f>S21*Hypothèses!$C$14*$C$4</f>
        <v/>
      </c>
      <c r="T25" s="15">
        <f>T21*Hypothèses!$C$14*$C$4</f>
        <v/>
      </c>
      <c r="U25" s="15">
        <f>U21*Hypothèses!$C$14*$C$4</f>
        <v/>
      </c>
      <c r="V25" s="15">
        <f>V21*Hypothèses!$C$14*$C$4</f>
        <v/>
      </c>
      <c r="W25" s="15">
        <f>W21*Hypothèses!$C$14*$C$4</f>
        <v/>
      </c>
      <c r="X25" s="15">
        <f>X21*Hypothèses!$C$14*$C$4</f>
        <v/>
      </c>
      <c r="Y25" s="15">
        <f>Y21*Hypothèses!$C$14*$C$4</f>
        <v/>
      </c>
      <c r="Z25" s="15">
        <f>Z21*Hypothèses!$C$14*$C$4</f>
        <v/>
      </c>
      <c r="AA25" s="15">
        <f>AA21*Hypothèses!$C$14*$C$4</f>
        <v/>
      </c>
      <c r="AB25" s="15">
        <f>AB21*Hypothèses!$C$14*$C$4</f>
        <v/>
      </c>
      <c r="AC25" s="15">
        <f>AC21*Hypothèses!$C$14*$C$4</f>
        <v/>
      </c>
      <c r="AD25" s="15">
        <f>AD21*Hypothèses!$C$14*$C$4</f>
        <v/>
      </c>
      <c r="AE25" s="15">
        <f>AE21*Hypothèses!$C$14*$C$4</f>
        <v/>
      </c>
      <c r="AF25" s="15">
        <f>AF21*Hypothèses!$C$14*$C$4</f>
        <v/>
      </c>
      <c r="AG25" s="15">
        <f>AG21*Hypothèses!$C$14*$C$4</f>
        <v/>
      </c>
      <c r="AH25" s="15">
        <f>AH21*Hypothèses!$C$14*$C$4</f>
        <v/>
      </c>
      <c r="AI25" s="15">
        <f>AI21*Hypothèses!$C$14*$C$4</f>
        <v/>
      </c>
      <c r="AJ25" s="15">
        <f>AJ21*Hypothèses!$C$14*$C$4</f>
        <v/>
      </c>
      <c r="AK25" s="15">
        <f>AK21*Hypothèses!$C$14*$C$4</f>
        <v/>
      </c>
      <c r="AL25" s="15">
        <f>AL21*Hypothèses!$C$14*$C$4</f>
        <v/>
      </c>
      <c r="AN25" s="15">
        <f>SUM(C25:N25)</f>
        <v/>
      </c>
      <c r="AO25" s="15">
        <f>SUM(O25:Z25)</f>
        <v/>
      </c>
      <c r="AP25" s="15">
        <f>SUM(AA25:AL25)</f>
        <v/>
      </c>
    </row>
    <row r="26">
      <c r="A26" s="2" t="inlineStr">
        <is>
          <t>Facturation totale TTC (MRR TTC)</t>
        </is>
      </c>
      <c r="B26" s="4" t="inlineStr">
        <is>
          <t>€ TTC</t>
        </is>
      </c>
      <c r="C26" s="40">
        <f>C23+C24+C25</f>
        <v/>
      </c>
      <c r="D26" s="40">
        <f>D23+D24+D25</f>
        <v/>
      </c>
      <c r="E26" s="40">
        <f>E23+E24+E25</f>
        <v/>
      </c>
      <c r="F26" s="40">
        <f>F23+F24+F25</f>
        <v/>
      </c>
      <c r="G26" s="40">
        <f>G23+G24+G25</f>
        <v/>
      </c>
      <c r="H26" s="40">
        <f>H23+H24+H25</f>
        <v/>
      </c>
      <c r="I26" s="40">
        <f>I23+I24+I25</f>
        <v/>
      </c>
      <c r="J26" s="40">
        <f>J23+J24+J25</f>
        <v/>
      </c>
      <c r="K26" s="40">
        <f>K23+K24+K25</f>
        <v/>
      </c>
      <c r="L26" s="40">
        <f>L23+L24+L25</f>
        <v/>
      </c>
      <c r="M26" s="40">
        <f>M23+M24+M25</f>
        <v/>
      </c>
      <c r="N26" s="40">
        <f>N23+N24+N25</f>
        <v/>
      </c>
      <c r="O26" s="40">
        <f>O23+O24+O25</f>
        <v/>
      </c>
      <c r="P26" s="40">
        <f>P23+P24+P25</f>
        <v/>
      </c>
      <c r="Q26" s="40">
        <f>Q23+Q24+Q25</f>
        <v/>
      </c>
      <c r="R26" s="40">
        <f>R23+R24+R25</f>
        <v/>
      </c>
      <c r="S26" s="40">
        <f>S23+S24+S25</f>
        <v/>
      </c>
      <c r="T26" s="40">
        <f>T23+T24+T25</f>
        <v/>
      </c>
      <c r="U26" s="40">
        <f>U23+U24+U25</f>
        <v/>
      </c>
      <c r="V26" s="40">
        <f>V23+V24+V25</f>
        <v/>
      </c>
      <c r="W26" s="40">
        <f>W23+W24+W25</f>
        <v/>
      </c>
      <c r="X26" s="40">
        <f>X23+X24+X25</f>
        <v/>
      </c>
      <c r="Y26" s="40">
        <f>Y23+Y24+Y25</f>
        <v/>
      </c>
      <c r="Z26" s="40">
        <f>Z23+Z24+Z25</f>
        <v/>
      </c>
      <c r="AA26" s="40">
        <f>AA23+AA24+AA25</f>
        <v/>
      </c>
      <c r="AB26" s="40">
        <f>AB23+AB24+AB25</f>
        <v/>
      </c>
      <c r="AC26" s="40">
        <f>AC23+AC24+AC25</f>
        <v/>
      </c>
      <c r="AD26" s="40">
        <f>AD23+AD24+AD25</f>
        <v/>
      </c>
      <c r="AE26" s="40">
        <f>AE23+AE24+AE25</f>
        <v/>
      </c>
      <c r="AF26" s="40">
        <f>AF23+AF24+AF25</f>
        <v/>
      </c>
      <c r="AG26" s="40">
        <f>AG23+AG24+AG25</f>
        <v/>
      </c>
      <c r="AH26" s="40">
        <f>AH23+AH24+AH25</f>
        <v/>
      </c>
      <c r="AI26" s="40">
        <f>AI23+AI24+AI25</f>
        <v/>
      </c>
      <c r="AJ26" s="40">
        <f>AJ23+AJ24+AJ25</f>
        <v/>
      </c>
      <c r="AK26" s="40">
        <f>AK23+AK24+AK25</f>
        <v/>
      </c>
      <c r="AL26" s="40">
        <f>AL23+AL24+AL25</f>
        <v/>
      </c>
      <c r="AN26" s="40">
        <f>SUM(C26:N26)</f>
        <v/>
      </c>
      <c r="AO26" s="40">
        <f>SUM(O26:Z26)</f>
        <v/>
      </c>
      <c r="AP26" s="40">
        <f>SUM(AA26:AL26)</f>
        <v/>
      </c>
    </row>
    <row r="27">
      <c r="A27" s="9" t="inlineStr">
        <is>
          <t>TVA collectée</t>
        </is>
      </c>
      <c r="B27" s="4" t="inlineStr">
        <is>
          <t>€</t>
        </is>
      </c>
      <c r="C27" s="15">
        <f>C26*Hypothèses!$C$15/(1+Hypothèses!$C$15)</f>
        <v/>
      </c>
      <c r="D27" s="15">
        <f>D26*Hypothèses!$C$15/(1+Hypothèses!$C$15)</f>
        <v/>
      </c>
      <c r="E27" s="15">
        <f>E26*Hypothèses!$C$15/(1+Hypothèses!$C$15)</f>
        <v/>
      </c>
      <c r="F27" s="15">
        <f>F26*Hypothèses!$C$15/(1+Hypothèses!$C$15)</f>
        <v/>
      </c>
      <c r="G27" s="15">
        <f>G26*Hypothèses!$C$15/(1+Hypothèses!$C$15)</f>
        <v/>
      </c>
      <c r="H27" s="15">
        <f>H26*Hypothèses!$C$15/(1+Hypothèses!$C$15)</f>
        <v/>
      </c>
      <c r="I27" s="15">
        <f>I26*Hypothèses!$C$15/(1+Hypothèses!$C$15)</f>
        <v/>
      </c>
      <c r="J27" s="15">
        <f>J26*Hypothèses!$C$15/(1+Hypothèses!$C$15)</f>
        <v/>
      </c>
      <c r="K27" s="15">
        <f>K26*Hypothèses!$C$15/(1+Hypothèses!$C$15)</f>
        <v/>
      </c>
      <c r="L27" s="15">
        <f>L26*Hypothèses!$C$15/(1+Hypothèses!$C$15)</f>
        <v/>
      </c>
      <c r="M27" s="15">
        <f>M26*Hypothèses!$C$15/(1+Hypothèses!$C$15)</f>
        <v/>
      </c>
      <c r="N27" s="15">
        <f>N26*Hypothèses!$C$15/(1+Hypothèses!$C$15)</f>
        <v/>
      </c>
      <c r="O27" s="15">
        <f>O26*Hypothèses!$C$15/(1+Hypothèses!$C$15)</f>
        <v/>
      </c>
      <c r="P27" s="15">
        <f>P26*Hypothèses!$C$15/(1+Hypothèses!$C$15)</f>
        <v/>
      </c>
      <c r="Q27" s="15">
        <f>Q26*Hypothèses!$C$15/(1+Hypothèses!$C$15)</f>
        <v/>
      </c>
      <c r="R27" s="15">
        <f>R26*Hypothèses!$C$15/(1+Hypothèses!$C$15)</f>
        <v/>
      </c>
      <c r="S27" s="15">
        <f>S26*Hypothèses!$C$15/(1+Hypothèses!$C$15)</f>
        <v/>
      </c>
      <c r="T27" s="15">
        <f>T26*Hypothèses!$C$15/(1+Hypothèses!$C$15)</f>
        <v/>
      </c>
      <c r="U27" s="15">
        <f>U26*Hypothèses!$C$15/(1+Hypothèses!$C$15)</f>
        <v/>
      </c>
      <c r="V27" s="15">
        <f>V26*Hypothèses!$C$15/(1+Hypothèses!$C$15)</f>
        <v/>
      </c>
      <c r="W27" s="15">
        <f>W26*Hypothèses!$C$15/(1+Hypothèses!$C$15)</f>
        <v/>
      </c>
      <c r="X27" s="15">
        <f>X26*Hypothèses!$C$15/(1+Hypothèses!$C$15)</f>
        <v/>
      </c>
      <c r="Y27" s="15">
        <f>Y26*Hypothèses!$C$15/(1+Hypothèses!$C$15)</f>
        <v/>
      </c>
      <c r="Z27" s="15">
        <f>Z26*Hypothèses!$C$15/(1+Hypothèses!$C$15)</f>
        <v/>
      </c>
      <c r="AA27" s="15">
        <f>AA26*Hypothèses!$C$15/(1+Hypothèses!$C$15)</f>
        <v/>
      </c>
      <c r="AB27" s="15">
        <f>AB26*Hypothèses!$C$15/(1+Hypothèses!$C$15)</f>
        <v/>
      </c>
      <c r="AC27" s="15">
        <f>AC26*Hypothèses!$C$15/(1+Hypothèses!$C$15)</f>
        <v/>
      </c>
      <c r="AD27" s="15">
        <f>AD26*Hypothèses!$C$15/(1+Hypothèses!$C$15)</f>
        <v/>
      </c>
      <c r="AE27" s="15">
        <f>AE26*Hypothèses!$C$15/(1+Hypothèses!$C$15)</f>
        <v/>
      </c>
      <c r="AF27" s="15">
        <f>AF26*Hypothèses!$C$15/(1+Hypothèses!$C$15)</f>
        <v/>
      </c>
      <c r="AG27" s="15">
        <f>AG26*Hypothèses!$C$15/(1+Hypothèses!$C$15)</f>
        <v/>
      </c>
      <c r="AH27" s="15">
        <f>AH26*Hypothèses!$C$15/(1+Hypothèses!$C$15)</f>
        <v/>
      </c>
      <c r="AI27" s="15">
        <f>AI26*Hypothèses!$C$15/(1+Hypothèses!$C$15)</f>
        <v/>
      </c>
      <c r="AJ27" s="15">
        <f>AJ26*Hypothèses!$C$15/(1+Hypothèses!$C$15)</f>
        <v/>
      </c>
      <c r="AK27" s="15">
        <f>AK26*Hypothèses!$C$15/(1+Hypothèses!$C$15)</f>
        <v/>
      </c>
      <c r="AL27" s="15">
        <f>AL26*Hypothèses!$C$15/(1+Hypothèses!$C$15)</f>
        <v/>
      </c>
      <c r="AN27" s="15">
        <f>SUM(C27:N27)</f>
        <v/>
      </c>
      <c r="AO27" s="15">
        <f>SUM(O27:Z27)</f>
        <v/>
      </c>
      <c r="AP27" s="15">
        <f>SUM(AA27:AL27)</f>
        <v/>
      </c>
    </row>
    <row r="28">
      <c r="A28" s="2" t="inlineStr">
        <is>
          <t>Chiffre d'affaires HT</t>
        </is>
      </c>
      <c r="B28" s="4" t="inlineStr">
        <is>
          <t>€ HT</t>
        </is>
      </c>
      <c r="C28" s="40">
        <f>C26-C27</f>
        <v/>
      </c>
      <c r="D28" s="40">
        <f>D26-D27</f>
        <v/>
      </c>
      <c r="E28" s="40">
        <f>E26-E27</f>
        <v/>
      </c>
      <c r="F28" s="40">
        <f>F26-F27</f>
        <v/>
      </c>
      <c r="G28" s="40">
        <f>G26-G27</f>
        <v/>
      </c>
      <c r="H28" s="40">
        <f>H26-H27</f>
        <v/>
      </c>
      <c r="I28" s="40">
        <f>I26-I27</f>
        <v/>
      </c>
      <c r="J28" s="40">
        <f>J26-J27</f>
        <v/>
      </c>
      <c r="K28" s="40">
        <f>K26-K27</f>
        <v/>
      </c>
      <c r="L28" s="40">
        <f>L26-L27</f>
        <v/>
      </c>
      <c r="M28" s="40">
        <f>M26-M27</f>
        <v/>
      </c>
      <c r="N28" s="40">
        <f>N26-N27</f>
        <v/>
      </c>
      <c r="O28" s="40">
        <f>O26-O27</f>
        <v/>
      </c>
      <c r="P28" s="40">
        <f>P26-P27</f>
        <v/>
      </c>
      <c r="Q28" s="40">
        <f>Q26-Q27</f>
        <v/>
      </c>
      <c r="R28" s="40">
        <f>R26-R27</f>
        <v/>
      </c>
      <c r="S28" s="40">
        <f>S26-S27</f>
        <v/>
      </c>
      <c r="T28" s="40">
        <f>T26-T27</f>
        <v/>
      </c>
      <c r="U28" s="40">
        <f>U26-U27</f>
        <v/>
      </c>
      <c r="V28" s="40">
        <f>V26-V27</f>
        <v/>
      </c>
      <c r="W28" s="40">
        <f>W26-W27</f>
        <v/>
      </c>
      <c r="X28" s="40">
        <f>X26-X27</f>
        <v/>
      </c>
      <c r="Y28" s="40">
        <f>Y26-Y27</f>
        <v/>
      </c>
      <c r="Z28" s="40">
        <f>Z26-Z27</f>
        <v/>
      </c>
      <c r="AA28" s="40">
        <f>AA26-AA27</f>
        <v/>
      </c>
      <c r="AB28" s="40">
        <f>AB26-AB27</f>
        <v/>
      </c>
      <c r="AC28" s="40">
        <f>AC26-AC27</f>
        <v/>
      </c>
      <c r="AD28" s="40">
        <f>AD26-AD27</f>
        <v/>
      </c>
      <c r="AE28" s="40">
        <f>AE26-AE27</f>
        <v/>
      </c>
      <c r="AF28" s="40">
        <f>AF26-AF27</f>
        <v/>
      </c>
      <c r="AG28" s="40">
        <f>AG26-AG27</f>
        <v/>
      </c>
      <c r="AH28" s="40">
        <f>AH26-AH27</f>
        <v/>
      </c>
      <c r="AI28" s="40">
        <f>AI26-AI27</f>
        <v/>
      </c>
      <c r="AJ28" s="40">
        <f>AJ26-AJ27</f>
        <v/>
      </c>
      <c r="AK28" s="40">
        <f>AK26-AK27</f>
        <v/>
      </c>
      <c r="AL28" s="40">
        <f>AL26-AL27</f>
        <v/>
      </c>
      <c r="AN28" s="40">
        <f>SUM(C28:N28)</f>
        <v/>
      </c>
      <c r="AO28" s="40">
        <f>SUM(O28:Z28)</f>
        <v/>
      </c>
      <c r="AP28" s="40">
        <f>SUM(AA28:AL28)</f>
        <v/>
      </c>
    </row>
    <row r="29">
      <c r="A29" s="9" t="inlineStr">
        <is>
          <t>Impayés (TTC)</t>
        </is>
      </c>
      <c r="B29" s="4" t="inlineStr">
        <is>
          <t>€ TTC</t>
        </is>
      </c>
      <c r="C29" s="15">
        <f>C26*Hypothèses!$C$27</f>
        <v/>
      </c>
      <c r="D29" s="15">
        <f>D26*Hypothèses!$C$27</f>
        <v/>
      </c>
      <c r="E29" s="15">
        <f>E26*Hypothèses!$C$27</f>
        <v/>
      </c>
      <c r="F29" s="15">
        <f>F26*Hypothèses!$C$27</f>
        <v/>
      </c>
      <c r="G29" s="15">
        <f>G26*Hypothèses!$C$27</f>
        <v/>
      </c>
      <c r="H29" s="15">
        <f>H26*Hypothèses!$C$27</f>
        <v/>
      </c>
      <c r="I29" s="15">
        <f>I26*Hypothèses!$C$27</f>
        <v/>
      </c>
      <c r="J29" s="15">
        <f>J26*Hypothèses!$C$27</f>
        <v/>
      </c>
      <c r="K29" s="15">
        <f>K26*Hypothèses!$C$27</f>
        <v/>
      </c>
      <c r="L29" s="15">
        <f>L26*Hypothèses!$C$27</f>
        <v/>
      </c>
      <c r="M29" s="15">
        <f>M26*Hypothèses!$C$27</f>
        <v/>
      </c>
      <c r="N29" s="15">
        <f>N26*Hypothèses!$C$27</f>
        <v/>
      </c>
      <c r="O29" s="15">
        <f>O26*Hypothèses!$C$27</f>
        <v/>
      </c>
      <c r="P29" s="15">
        <f>P26*Hypothèses!$C$27</f>
        <v/>
      </c>
      <c r="Q29" s="15">
        <f>Q26*Hypothèses!$C$27</f>
        <v/>
      </c>
      <c r="R29" s="15">
        <f>R26*Hypothèses!$C$27</f>
        <v/>
      </c>
      <c r="S29" s="15">
        <f>S26*Hypothèses!$C$27</f>
        <v/>
      </c>
      <c r="T29" s="15">
        <f>T26*Hypothèses!$C$27</f>
        <v/>
      </c>
      <c r="U29" s="15">
        <f>U26*Hypothèses!$C$27</f>
        <v/>
      </c>
      <c r="V29" s="15">
        <f>V26*Hypothèses!$C$27</f>
        <v/>
      </c>
      <c r="W29" s="15">
        <f>W26*Hypothèses!$C$27</f>
        <v/>
      </c>
      <c r="X29" s="15">
        <f>X26*Hypothèses!$C$27</f>
        <v/>
      </c>
      <c r="Y29" s="15">
        <f>Y26*Hypothèses!$C$27</f>
        <v/>
      </c>
      <c r="Z29" s="15">
        <f>Z26*Hypothèses!$C$27</f>
        <v/>
      </c>
      <c r="AA29" s="15">
        <f>AA26*Hypothèses!$C$27</f>
        <v/>
      </c>
      <c r="AB29" s="15">
        <f>AB26*Hypothèses!$C$27</f>
        <v/>
      </c>
      <c r="AC29" s="15">
        <f>AC26*Hypothèses!$C$27</f>
        <v/>
      </c>
      <c r="AD29" s="15">
        <f>AD26*Hypothèses!$C$27</f>
        <v/>
      </c>
      <c r="AE29" s="15">
        <f>AE26*Hypothèses!$C$27</f>
        <v/>
      </c>
      <c r="AF29" s="15">
        <f>AF26*Hypothèses!$C$27</f>
        <v/>
      </c>
      <c r="AG29" s="15">
        <f>AG26*Hypothèses!$C$27</f>
        <v/>
      </c>
      <c r="AH29" s="15">
        <f>AH26*Hypothèses!$C$27</f>
        <v/>
      </c>
      <c r="AI29" s="15">
        <f>AI26*Hypothèses!$C$27</f>
        <v/>
      </c>
      <c r="AJ29" s="15">
        <f>AJ26*Hypothèses!$C$27</f>
        <v/>
      </c>
      <c r="AK29" s="15">
        <f>AK26*Hypothèses!$C$27</f>
        <v/>
      </c>
      <c r="AL29" s="15">
        <f>AL26*Hypothèses!$C$27</f>
        <v/>
      </c>
      <c r="AN29" s="15">
        <f>SUM(C29:N29)</f>
        <v/>
      </c>
      <c r="AO29" s="15">
        <f>SUM(O29:Z29)</f>
        <v/>
      </c>
      <c r="AP29" s="15">
        <f>SUM(AA29:AL29)</f>
        <v/>
      </c>
    </row>
    <row r="30">
      <c r="A30" s="9" t="inlineStr">
        <is>
          <t>Frais de paiement</t>
        </is>
      </c>
      <c r="B30" s="4" t="inlineStr">
        <is>
          <t>€</t>
        </is>
      </c>
      <c r="C30" s="15">
        <f>(C26-C29)*Hypothèses!$C$28+C18*Hypothèses!$C$29</f>
        <v/>
      </c>
      <c r="D30" s="15">
        <f>(D26-D29)*Hypothèses!$C$28+D18*Hypothèses!$C$29</f>
        <v/>
      </c>
      <c r="E30" s="15">
        <f>(E26-E29)*Hypothèses!$C$28+E18*Hypothèses!$C$29</f>
        <v/>
      </c>
      <c r="F30" s="15">
        <f>(F26-F29)*Hypothèses!$C$28+F18*Hypothèses!$C$29</f>
        <v/>
      </c>
      <c r="G30" s="15">
        <f>(G26-G29)*Hypothèses!$C$28+G18*Hypothèses!$C$29</f>
        <v/>
      </c>
      <c r="H30" s="15">
        <f>(H26-H29)*Hypothèses!$C$28+H18*Hypothèses!$C$29</f>
        <v/>
      </c>
      <c r="I30" s="15">
        <f>(I26-I29)*Hypothèses!$C$28+I18*Hypothèses!$C$29</f>
        <v/>
      </c>
      <c r="J30" s="15">
        <f>(J26-J29)*Hypothèses!$C$28+J18*Hypothèses!$C$29</f>
        <v/>
      </c>
      <c r="K30" s="15">
        <f>(K26-K29)*Hypothèses!$C$28+K18*Hypothèses!$C$29</f>
        <v/>
      </c>
      <c r="L30" s="15">
        <f>(L26-L29)*Hypothèses!$C$28+L18*Hypothèses!$C$29</f>
        <v/>
      </c>
      <c r="M30" s="15">
        <f>(M26-M29)*Hypothèses!$C$28+M18*Hypothèses!$C$29</f>
        <v/>
      </c>
      <c r="N30" s="15">
        <f>(N26-N29)*Hypothèses!$C$28+N18*Hypothèses!$C$29</f>
        <v/>
      </c>
      <c r="O30" s="15">
        <f>(O26-O29)*Hypothèses!$C$28+O18*Hypothèses!$C$29</f>
        <v/>
      </c>
      <c r="P30" s="15">
        <f>(P26-P29)*Hypothèses!$C$28+P18*Hypothèses!$C$29</f>
        <v/>
      </c>
      <c r="Q30" s="15">
        <f>(Q26-Q29)*Hypothèses!$C$28+Q18*Hypothèses!$C$29</f>
        <v/>
      </c>
      <c r="R30" s="15">
        <f>(R26-R29)*Hypothèses!$C$28+R18*Hypothèses!$C$29</f>
        <v/>
      </c>
      <c r="S30" s="15">
        <f>(S26-S29)*Hypothèses!$C$28+S18*Hypothèses!$C$29</f>
        <v/>
      </c>
      <c r="T30" s="15">
        <f>(T26-T29)*Hypothèses!$C$28+T18*Hypothèses!$C$29</f>
        <v/>
      </c>
      <c r="U30" s="15">
        <f>(U26-U29)*Hypothèses!$C$28+U18*Hypothèses!$C$29</f>
        <v/>
      </c>
      <c r="V30" s="15">
        <f>(V26-V29)*Hypothèses!$C$28+V18*Hypothèses!$C$29</f>
        <v/>
      </c>
      <c r="W30" s="15">
        <f>(W26-W29)*Hypothèses!$C$28+W18*Hypothèses!$C$29</f>
        <v/>
      </c>
      <c r="X30" s="15">
        <f>(X26-X29)*Hypothèses!$C$28+X18*Hypothèses!$C$29</f>
        <v/>
      </c>
      <c r="Y30" s="15">
        <f>(Y26-Y29)*Hypothèses!$C$28+Y18*Hypothèses!$C$29</f>
        <v/>
      </c>
      <c r="Z30" s="15">
        <f>(Z26-Z29)*Hypothèses!$C$28+Z18*Hypothèses!$C$29</f>
        <v/>
      </c>
      <c r="AA30" s="15">
        <f>(AA26-AA29)*Hypothèses!$C$28+AA18*Hypothèses!$C$29</f>
        <v/>
      </c>
      <c r="AB30" s="15">
        <f>(AB26-AB29)*Hypothèses!$C$28+AB18*Hypothèses!$C$29</f>
        <v/>
      </c>
      <c r="AC30" s="15">
        <f>(AC26-AC29)*Hypothèses!$C$28+AC18*Hypothèses!$C$29</f>
        <v/>
      </c>
      <c r="AD30" s="15">
        <f>(AD26-AD29)*Hypothèses!$C$28+AD18*Hypothèses!$C$29</f>
        <v/>
      </c>
      <c r="AE30" s="15">
        <f>(AE26-AE29)*Hypothèses!$C$28+AE18*Hypothèses!$C$29</f>
        <v/>
      </c>
      <c r="AF30" s="15">
        <f>(AF26-AF29)*Hypothèses!$C$28+AF18*Hypothèses!$C$29</f>
        <v/>
      </c>
      <c r="AG30" s="15">
        <f>(AG26-AG29)*Hypothèses!$C$28+AG18*Hypothèses!$C$29</f>
        <v/>
      </c>
      <c r="AH30" s="15">
        <f>(AH26-AH29)*Hypothèses!$C$28+AH18*Hypothèses!$C$29</f>
        <v/>
      </c>
      <c r="AI30" s="15">
        <f>(AI26-AI29)*Hypothèses!$C$28+AI18*Hypothèses!$C$29</f>
        <v/>
      </c>
      <c r="AJ30" s="15">
        <f>(AJ26-AJ29)*Hypothèses!$C$28+AJ18*Hypothèses!$C$29</f>
        <v/>
      </c>
      <c r="AK30" s="15">
        <f>(AK26-AK29)*Hypothèses!$C$28+AK18*Hypothèses!$C$29</f>
        <v/>
      </c>
      <c r="AL30" s="15">
        <f>(AL26-AL29)*Hypothèses!$C$28+AL18*Hypothèses!$C$29</f>
        <v/>
      </c>
      <c r="AN30" s="15">
        <f>SUM(C30:N30)</f>
        <v/>
      </c>
      <c r="AO30" s="15">
        <f>SUM(O30:Z30)</f>
        <v/>
      </c>
      <c r="AP30" s="15">
        <f>SUM(AA30:AL30)</f>
        <v/>
      </c>
    </row>
    <row r="31">
      <c r="A31" s="2" t="inlineStr">
        <is>
          <t>Encaissements nets TTC</t>
        </is>
      </c>
      <c r="B31" s="4" t="inlineStr">
        <is>
          <t>€ TTC</t>
        </is>
      </c>
      <c r="C31" s="40">
        <f>C26-C29-C30</f>
        <v/>
      </c>
      <c r="D31" s="40">
        <f>D26-D29-D30</f>
        <v/>
      </c>
      <c r="E31" s="40">
        <f>E26-E29-E30</f>
        <v/>
      </c>
      <c r="F31" s="40">
        <f>F26-F29-F30</f>
        <v/>
      </c>
      <c r="G31" s="40">
        <f>G26-G29-G30</f>
        <v/>
      </c>
      <c r="H31" s="40">
        <f>H26-H29-H30</f>
        <v/>
      </c>
      <c r="I31" s="40">
        <f>I26-I29-I30</f>
        <v/>
      </c>
      <c r="J31" s="40">
        <f>J26-J29-J30</f>
        <v/>
      </c>
      <c r="K31" s="40">
        <f>K26-K29-K30</f>
        <v/>
      </c>
      <c r="L31" s="40">
        <f>L26-L29-L30</f>
        <v/>
      </c>
      <c r="M31" s="40">
        <f>M26-M29-M30</f>
        <v/>
      </c>
      <c r="N31" s="40">
        <f>N26-N29-N30</f>
        <v/>
      </c>
      <c r="O31" s="40">
        <f>O26-O29-O30</f>
        <v/>
      </c>
      <c r="P31" s="40">
        <f>P26-P29-P30</f>
        <v/>
      </c>
      <c r="Q31" s="40">
        <f>Q26-Q29-Q30</f>
        <v/>
      </c>
      <c r="R31" s="40">
        <f>R26-R29-R30</f>
        <v/>
      </c>
      <c r="S31" s="40">
        <f>S26-S29-S30</f>
        <v/>
      </c>
      <c r="T31" s="40">
        <f>T26-T29-T30</f>
        <v/>
      </c>
      <c r="U31" s="40">
        <f>U26-U29-U30</f>
        <v/>
      </c>
      <c r="V31" s="40">
        <f>V26-V29-V30</f>
        <v/>
      </c>
      <c r="W31" s="40">
        <f>W26-W29-W30</f>
        <v/>
      </c>
      <c r="X31" s="40">
        <f>X26-X29-X30</f>
        <v/>
      </c>
      <c r="Y31" s="40">
        <f>Y26-Y29-Y30</f>
        <v/>
      </c>
      <c r="Z31" s="40">
        <f>Z26-Z29-Z30</f>
        <v/>
      </c>
      <c r="AA31" s="40">
        <f>AA26-AA29-AA30</f>
        <v/>
      </c>
      <c r="AB31" s="40">
        <f>AB26-AB29-AB30</f>
        <v/>
      </c>
      <c r="AC31" s="40">
        <f>AC26-AC29-AC30</f>
        <v/>
      </c>
      <c r="AD31" s="40">
        <f>AD26-AD29-AD30</f>
        <v/>
      </c>
      <c r="AE31" s="40">
        <f>AE26-AE29-AE30</f>
        <v/>
      </c>
      <c r="AF31" s="40">
        <f>AF26-AF29-AF30</f>
        <v/>
      </c>
      <c r="AG31" s="40">
        <f>AG26-AG29-AG30</f>
        <v/>
      </c>
      <c r="AH31" s="40">
        <f>AH26-AH29-AH30</f>
        <v/>
      </c>
      <c r="AI31" s="40">
        <f>AI26-AI29-AI30</f>
        <v/>
      </c>
      <c r="AJ31" s="40">
        <f>AJ26-AJ29-AJ30</f>
        <v/>
      </c>
      <c r="AK31" s="40">
        <f>AK26-AK29-AK30</f>
        <v/>
      </c>
      <c r="AL31" s="40">
        <f>AL26-AL29-AL30</f>
        <v/>
      </c>
      <c r="AN31" s="40">
        <f>SUM(C31:N31)</f>
        <v/>
      </c>
      <c r="AO31" s="40">
        <f>SUM(O31:Z31)</f>
        <v/>
      </c>
      <c r="AP31" s="40">
        <f>SUM(AA31:AL31)</f>
        <v/>
      </c>
    </row>
    <row r="32">
      <c r="A32" s="8" t="inlineStr">
        <is>
          <t>Coûts variables</t>
        </is>
      </c>
    </row>
    <row r="33">
      <c r="A33" s="9" t="inlineStr">
        <is>
          <t>Coût IA et outils (missions × coût par mission)</t>
        </is>
      </c>
      <c r="B33" s="4" t="inlineStr">
        <is>
          <t>€ HT</t>
        </is>
      </c>
      <c r="C33" s="15">
        <f>(C19*Hypothèses!$C$31+C20*Hypothèses!$C$32+C21*Hypothèses!$C$33)*Hypothèses!$C$34*$F$4</f>
        <v/>
      </c>
      <c r="D33" s="15">
        <f>(D19*Hypothèses!$C$31+D20*Hypothèses!$C$32+D21*Hypothèses!$C$33)*Hypothèses!$C$34*$F$4</f>
        <v/>
      </c>
      <c r="E33" s="15">
        <f>(E19*Hypothèses!$C$31+E20*Hypothèses!$C$32+E21*Hypothèses!$C$33)*Hypothèses!$C$34*$F$4</f>
        <v/>
      </c>
      <c r="F33" s="15">
        <f>(F19*Hypothèses!$C$31+F20*Hypothèses!$C$32+F21*Hypothèses!$C$33)*Hypothèses!$C$34*$F$4</f>
        <v/>
      </c>
      <c r="G33" s="15">
        <f>(G19*Hypothèses!$C$31+G20*Hypothèses!$C$32+G21*Hypothèses!$C$33)*Hypothèses!$C$34*$F$4</f>
        <v/>
      </c>
      <c r="H33" s="15">
        <f>(H19*Hypothèses!$C$31+H20*Hypothèses!$C$32+H21*Hypothèses!$C$33)*Hypothèses!$C$34*$F$4</f>
        <v/>
      </c>
      <c r="I33" s="15">
        <f>(I19*Hypothèses!$C$31+I20*Hypothèses!$C$32+I21*Hypothèses!$C$33)*Hypothèses!$C$34*$F$4</f>
        <v/>
      </c>
      <c r="J33" s="15">
        <f>(J19*Hypothèses!$C$31+J20*Hypothèses!$C$32+J21*Hypothèses!$C$33)*Hypothèses!$C$34*$F$4</f>
        <v/>
      </c>
      <c r="K33" s="15">
        <f>(K19*Hypothèses!$C$31+K20*Hypothèses!$C$32+K21*Hypothèses!$C$33)*Hypothèses!$C$34*$F$4</f>
        <v/>
      </c>
      <c r="L33" s="15">
        <f>(L19*Hypothèses!$C$31+L20*Hypothèses!$C$32+L21*Hypothèses!$C$33)*Hypothèses!$C$34*$F$4</f>
        <v/>
      </c>
      <c r="M33" s="15">
        <f>(M19*Hypothèses!$C$31+M20*Hypothèses!$C$32+M21*Hypothèses!$C$33)*Hypothèses!$C$34*$F$4</f>
        <v/>
      </c>
      <c r="N33" s="15">
        <f>(N19*Hypothèses!$C$31+N20*Hypothèses!$C$32+N21*Hypothèses!$C$33)*Hypothèses!$C$34*$F$4</f>
        <v/>
      </c>
      <c r="O33" s="15">
        <f>(O19*Hypothèses!$C$31+O20*Hypothèses!$C$32+O21*Hypothèses!$C$33)*Hypothèses!$C$34*$F$4</f>
        <v/>
      </c>
      <c r="P33" s="15">
        <f>(P19*Hypothèses!$C$31+P20*Hypothèses!$C$32+P21*Hypothèses!$C$33)*Hypothèses!$C$34*$F$4</f>
        <v/>
      </c>
      <c r="Q33" s="15">
        <f>(Q19*Hypothèses!$C$31+Q20*Hypothèses!$C$32+Q21*Hypothèses!$C$33)*Hypothèses!$C$34*$F$4</f>
        <v/>
      </c>
      <c r="R33" s="15">
        <f>(R19*Hypothèses!$C$31+R20*Hypothèses!$C$32+R21*Hypothèses!$C$33)*Hypothèses!$C$34*$F$4</f>
        <v/>
      </c>
      <c r="S33" s="15">
        <f>(S19*Hypothèses!$C$31+S20*Hypothèses!$C$32+S21*Hypothèses!$C$33)*Hypothèses!$C$34*$F$4</f>
        <v/>
      </c>
      <c r="T33" s="15">
        <f>(T19*Hypothèses!$C$31+T20*Hypothèses!$C$32+T21*Hypothèses!$C$33)*Hypothèses!$C$34*$F$4</f>
        <v/>
      </c>
      <c r="U33" s="15">
        <f>(U19*Hypothèses!$C$31+U20*Hypothèses!$C$32+U21*Hypothèses!$C$33)*Hypothèses!$C$34*$F$4</f>
        <v/>
      </c>
      <c r="V33" s="15">
        <f>(V19*Hypothèses!$C$31+V20*Hypothèses!$C$32+V21*Hypothèses!$C$33)*Hypothèses!$C$34*$F$4</f>
        <v/>
      </c>
      <c r="W33" s="15">
        <f>(W19*Hypothèses!$C$31+W20*Hypothèses!$C$32+W21*Hypothèses!$C$33)*Hypothèses!$C$34*$F$4</f>
        <v/>
      </c>
      <c r="X33" s="15">
        <f>(X19*Hypothèses!$C$31+X20*Hypothèses!$C$32+X21*Hypothèses!$C$33)*Hypothèses!$C$34*$F$4</f>
        <v/>
      </c>
      <c r="Y33" s="15">
        <f>(Y19*Hypothèses!$C$31+Y20*Hypothèses!$C$32+Y21*Hypothèses!$C$33)*Hypothèses!$C$34*$F$4</f>
        <v/>
      </c>
      <c r="Z33" s="15">
        <f>(Z19*Hypothèses!$C$31+Z20*Hypothèses!$C$32+Z21*Hypothèses!$C$33)*Hypothèses!$C$34*$F$4</f>
        <v/>
      </c>
      <c r="AA33" s="15">
        <f>(AA19*Hypothèses!$C$31+AA20*Hypothèses!$C$32+AA21*Hypothèses!$C$33)*Hypothèses!$C$34*$F$4</f>
        <v/>
      </c>
      <c r="AB33" s="15">
        <f>(AB19*Hypothèses!$C$31+AB20*Hypothèses!$C$32+AB21*Hypothèses!$C$33)*Hypothèses!$C$34*$F$4</f>
        <v/>
      </c>
      <c r="AC33" s="15">
        <f>(AC19*Hypothèses!$C$31+AC20*Hypothèses!$C$32+AC21*Hypothèses!$C$33)*Hypothèses!$C$34*$F$4</f>
        <v/>
      </c>
      <c r="AD33" s="15">
        <f>(AD19*Hypothèses!$C$31+AD20*Hypothèses!$C$32+AD21*Hypothèses!$C$33)*Hypothèses!$C$34*$F$4</f>
        <v/>
      </c>
      <c r="AE33" s="15">
        <f>(AE19*Hypothèses!$C$31+AE20*Hypothèses!$C$32+AE21*Hypothèses!$C$33)*Hypothèses!$C$34*$F$4</f>
        <v/>
      </c>
      <c r="AF33" s="15">
        <f>(AF19*Hypothèses!$C$31+AF20*Hypothèses!$C$32+AF21*Hypothèses!$C$33)*Hypothèses!$C$34*$F$4</f>
        <v/>
      </c>
      <c r="AG33" s="15">
        <f>(AG19*Hypothèses!$C$31+AG20*Hypothèses!$C$32+AG21*Hypothèses!$C$33)*Hypothèses!$C$34*$F$4</f>
        <v/>
      </c>
      <c r="AH33" s="15">
        <f>(AH19*Hypothèses!$C$31+AH20*Hypothèses!$C$32+AH21*Hypothèses!$C$33)*Hypothèses!$C$34*$F$4</f>
        <v/>
      </c>
      <c r="AI33" s="15">
        <f>(AI19*Hypothèses!$C$31+AI20*Hypothèses!$C$32+AI21*Hypothèses!$C$33)*Hypothèses!$C$34*$F$4</f>
        <v/>
      </c>
      <c r="AJ33" s="15">
        <f>(AJ19*Hypothèses!$C$31+AJ20*Hypothèses!$C$32+AJ21*Hypothèses!$C$33)*Hypothèses!$C$34*$F$4</f>
        <v/>
      </c>
      <c r="AK33" s="15">
        <f>(AK19*Hypothèses!$C$31+AK20*Hypothèses!$C$32+AK21*Hypothèses!$C$33)*Hypothèses!$C$34*$F$4</f>
        <v/>
      </c>
      <c r="AL33" s="15">
        <f>(AL19*Hypothèses!$C$31+AL20*Hypothèses!$C$32+AL21*Hypothèses!$C$33)*Hypothèses!$C$34*$F$4</f>
        <v/>
      </c>
      <c r="AN33" s="15">
        <f>SUM(C33:N33)</f>
        <v/>
      </c>
      <c r="AO33" s="15">
        <f>SUM(O33:Z33)</f>
        <v/>
      </c>
      <c r="AP33" s="15">
        <f>SUM(AA33:AL33)</f>
        <v/>
      </c>
    </row>
    <row r="34">
      <c r="A34" s="9" t="inlineStr">
        <is>
          <t>Hébergement, stockage, connecteurs</t>
        </is>
      </c>
      <c r="B34" s="4" t="inlineStr">
        <is>
          <t>€ HT</t>
        </is>
      </c>
      <c r="C34" s="15">
        <f>C18*Hypothèses!$C$35</f>
        <v/>
      </c>
      <c r="D34" s="15">
        <f>D18*Hypothèses!$C$35</f>
        <v/>
      </c>
      <c r="E34" s="15">
        <f>E18*Hypothèses!$C$35</f>
        <v/>
      </c>
      <c r="F34" s="15">
        <f>F18*Hypothèses!$C$35</f>
        <v/>
      </c>
      <c r="G34" s="15">
        <f>G18*Hypothèses!$C$35</f>
        <v/>
      </c>
      <c r="H34" s="15">
        <f>H18*Hypothèses!$C$35</f>
        <v/>
      </c>
      <c r="I34" s="15">
        <f>I18*Hypothèses!$C$35</f>
        <v/>
      </c>
      <c r="J34" s="15">
        <f>J18*Hypothèses!$C$35</f>
        <v/>
      </c>
      <c r="K34" s="15">
        <f>K18*Hypothèses!$C$35</f>
        <v/>
      </c>
      <c r="L34" s="15">
        <f>L18*Hypothèses!$C$35</f>
        <v/>
      </c>
      <c r="M34" s="15">
        <f>M18*Hypothèses!$C$35</f>
        <v/>
      </c>
      <c r="N34" s="15">
        <f>N18*Hypothèses!$C$35</f>
        <v/>
      </c>
      <c r="O34" s="15">
        <f>O18*Hypothèses!$C$35</f>
        <v/>
      </c>
      <c r="P34" s="15">
        <f>P18*Hypothèses!$C$35</f>
        <v/>
      </c>
      <c r="Q34" s="15">
        <f>Q18*Hypothèses!$C$35</f>
        <v/>
      </c>
      <c r="R34" s="15">
        <f>R18*Hypothèses!$C$35</f>
        <v/>
      </c>
      <c r="S34" s="15">
        <f>S18*Hypothèses!$C$35</f>
        <v/>
      </c>
      <c r="T34" s="15">
        <f>T18*Hypothèses!$C$35</f>
        <v/>
      </c>
      <c r="U34" s="15">
        <f>U18*Hypothèses!$C$35</f>
        <v/>
      </c>
      <c r="V34" s="15">
        <f>V18*Hypothèses!$C$35</f>
        <v/>
      </c>
      <c r="W34" s="15">
        <f>W18*Hypothèses!$C$35</f>
        <v/>
      </c>
      <c r="X34" s="15">
        <f>X18*Hypothèses!$C$35</f>
        <v/>
      </c>
      <c r="Y34" s="15">
        <f>Y18*Hypothèses!$C$35</f>
        <v/>
      </c>
      <c r="Z34" s="15">
        <f>Z18*Hypothèses!$C$35</f>
        <v/>
      </c>
      <c r="AA34" s="15">
        <f>AA18*Hypothèses!$C$35</f>
        <v/>
      </c>
      <c r="AB34" s="15">
        <f>AB18*Hypothèses!$C$35</f>
        <v/>
      </c>
      <c r="AC34" s="15">
        <f>AC18*Hypothèses!$C$35</f>
        <v/>
      </c>
      <c r="AD34" s="15">
        <f>AD18*Hypothèses!$C$35</f>
        <v/>
      </c>
      <c r="AE34" s="15">
        <f>AE18*Hypothèses!$C$35</f>
        <v/>
      </c>
      <c r="AF34" s="15">
        <f>AF18*Hypothèses!$C$35</f>
        <v/>
      </c>
      <c r="AG34" s="15">
        <f>AG18*Hypothèses!$C$35</f>
        <v/>
      </c>
      <c r="AH34" s="15">
        <f>AH18*Hypothèses!$C$35</f>
        <v/>
      </c>
      <c r="AI34" s="15">
        <f>AI18*Hypothèses!$C$35</f>
        <v/>
      </c>
      <c r="AJ34" s="15">
        <f>AJ18*Hypothèses!$C$35</f>
        <v/>
      </c>
      <c r="AK34" s="15">
        <f>AK18*Hypothèses!$C$35</f>
        <v/>
      </c>
      <c r="AL34" s="15">
        <f>AL18*Hypothèses!$C$35</f>
        <v/>
      </c>
      <c r="AN34" s="15">
        <f>SUM(C34:N34)</f>
        <v/>
      </c>
      <c r="AO34" s="15">
        <f>SUM(O34:Z34)</f>
        <v/>
      </c>
      <c r="AP34" s="15">
        <f>SUM(AA34:AL34)</f>
        <v/>
      </c>
    </row>
    <row r="35">
      <c r="A35" s="9" t="inlineStr">
        <is>
          <t>Support humain</t>
        </is>
      </c>
      <c r="B35" s="4" t="inlineStr">
        <is>
          <t>€ HT</t>
        </is>
      </c>
      <c r="C35" s="15">
        <f>C18*Hypothèses!$C$36</f>
        <v/>
      </c>
      <c r="D35" s="15">
        <f>D18*Hypothèses!$C$36</f>
        <v/>
      </c>
      <c r="E35" s="15">
        <f>E18*Hypothèses!$C$36</f>
        <v/>
      </c>
      <c r="F35" s="15">
        <f>F18*Hypothèses!$C$36</f>
        <v/>
      </c>
      <c r="G35" s="15">
        <f>G18*Hypothèses!$C$36</f>
        <v/>
      </c>
      <c r="H35" s="15">
        <f>H18*Hypothèses!$C$36</f>
        <v/>
      </c>
      <c r="I35" s="15">
        <f>I18*Hypothèses!$C$36</f>
        <v/>
      </c>
      <c r="J35" s="15">
        <f>J18*Hypothèses!$C$36</f>
        <v/>
      </c>
      <c r="K35" s="15">
        <f>K18*Hypothèses!$C$36</f>
        <v/>
      </c>
      <c r="L35" s="15">
        <f>L18*Hypothèses!$C$36</f>
        <v/>
      </c>
      <c r="M35" s="15">
        <f>M18*Hypothèses!$C$36</f>
        <v/>
      </c>
      <c r="N35" s="15">
        <f>N18*Hypothèses!$C$36</f>
        <v/>
      </c>
      <c r="O35" s="15">
        <f>O18*Hypothèses!$C$36</f>
        <v/>
      </c>
      <c r="P35" s="15">
        <f>P18*Hypothèses!$C$36</f>
        <v/>
      </c>
      <c r="Q35" s="15">
        <f>Q18*Hypothèses!$C$36</f>
        <v/>
      </c>
      <c r="R35" s="15">
        <f>R18*Hypothèses!$C$36</f>
        <v/>
      </c>
      <c r="S35" s="15">
        <f>S18*Hypothèses!$C$36</f>
        <v/>
      </c>
      <c r="T35" s="15">
        <f>T18*Hypothèses!$C$36</f>
        <v/>
      </c>
      <c r="U35" s="15">
        <f>U18*Hypothèses!$C$36</f>
        <v/>
      </c>
      <c r="V35" s="15">
        <f>V18*Hypothèses!$C$36</f>
        <v/>
      </c>
      <c r="W35" s="15">
        <f>W18*Hypothèses!$C$36</f>
        <v/>
      </c>
      <c r="X35" s="15">
        <f>X18*Hypothèses!$C$36</f>
        <v/>
      </c>
      <c r="Y35" s="15">
        <f>Y18*Hypothèses!$C$36</f>
        <v/>
      </c>
      <c r="Z35" s="15">
        <f>Z18*Hypothèses!$C$36</f>
        <v/>
      </c>
      <c r="AA35" s="15">
        <f>AA18*Hypothèses!$C$36</f>
        <v/>
      </c>
      <c r="AB35" s="15">
        <f>AB18*Hypothèses!$C$36</f>
        <v/>
      </c>
      <c r="AC35" s="15">
        <f>AC18*Hypothèses!$C$36</f>
        <v/>
      </c>
      <c r="AD35" s="15">
        <f>AD18*Hypothèses!$C$36</f>
        <v/>
      </c>
      <c r="AE35" s="15">
        <f>AE18*Hypothèses!$C$36</f>
        <v/>
      </c>
      <c r="AF35" s="15">
        <f>AF18*Hypothèses!$C$36</f>
        <v/>
      </c>
      <c r="AG35" s="15">
        <f>AG18*Hypothèses!$C$36</f>
        <v/>
      </c>
      <c r="AH35" s="15">
        <f>AH18*Hypothèses!$C$36</f>
        <v/>
      </c>
      <c r="AI35" s="15">
        <f>AI18*Hypothèses!$C$36</f>
        <v/>
      </c>
      <c r="AJ35" s="15">
        <f>AJ18*Hypothèses!$C$36</f>
        <v/>
      </c>
      <c r="AK35" s="15">
        <f>AK18*Hypothèses!$C$36</f>
        <v/>
      </c>
      <c r="AL35" s="15">
        <f>AL18*Hypothèses!$C$36</f>
        <v/>
      </c>
      <c r="AN35" s="15">
        <f>SUM(C35:N35)</f>
        <v/>
      </c>
      <c r="AO35" s="15">
        <f>SUM(O35:Z35)</f>
        <v/>
      </c>
      <c r="AP35" s="15">
        <f>SUM(AA35:AL35)</f>
        <v/>
      </c>
    </row>
    <row r="36">
      <c r="A36" s="2" t="inlineStr">
        <is>
          <t>Total coûts variables</t>
        </is>
      </c>
      <c r="B36" s="4" t="inlineStr">
        <is>
          <t>€ HT</t>
        </is>
      </c>
      <c r="C36" s="40">
        <f>C33+C34+C35</f>
        <v/>
      </c>
      <c r="D36" s="40">
        <f>D33+D34+D35</f>
        <v/>
      </c>
      <c r="E36" s="40">
        <f>E33+E34+E35</f>
        <v/>
      </c>
      <c r="F36" s="40">
        <f>F33+F34+F35</f>
        <v/>
      </c>
      <c r="G36" s="40">
        <f>G33+G34+G35</f>
        <v/>
      </c>
      <c r="H36" s="40">
        <f>H33+H34+H35</f>
        <v/>
      </c>
      <c r="I36" s="40">
        <f>I33+I34+I35</f>
        <v/>
      </c>
      <c r="J36" s="40">
        <f>J33+J34+J35</f>
        <v/>
      </c>
      <c r="K36" s="40">
        <f>K33+K34+K35</f>
        <v/>
      </c>
      <c r="L36" s="40">
        <f>L33+L34+L35</f>
        <v/>
      </c>
      <c r="M36" s="40">
        <f>M33+M34+M35</f>
        <v/>
      </c>
      <c r="N36" s="40">
        <f>N33+N34+N35</f>
        <v/>
      </c>
      <c r="O36" s="40">
        <f>O33+O34+O35</f>
        <v/>
      </c>
      <c r="P36" s="40">
        <f>P33+P34+P35</f>
        <v/>
      </c>
      <c r="Q36" s="40">
        <f>Q33+Q34+Q35</f>
        <v/>
      </c>
      <c r="R36" s="40">
        <f>R33+R34+R35</f>
        <v/>
      </c>
      <c r="S36" s="40">
        <f>S33+S34+S35</f>
        <v/>
      </c>
      <c r="T36" s="40">
        <f>T33+T34+T35</f>
        <v/>
      </c>
      <c r="U36" s="40">
        <f>U33+U34+U35</f>
        <v/>
      </c>
      <c r="V36" s="40">
        <f>V33+V34+V35</f>
        <v/>
      </c>
      <c r="W36" s="40">
        <f>W33+W34+W35</f>
        <v/>
      </c>
      <c r="X36" s="40">
        <f>X33+X34+X35</f>
        <v/>
      </c>
      <c r="Y36" s="40">
        <f>Y33+Y34+Y35</f>
        <v/>
      </c>
      <c r="Z36" s="40">
        <f>Z33+Z34+Z35</f>
        <v/>
      </c>
      <c r="AA36" s="40">
        <f>AA33+AA34+AA35</f>
        <v/>
      </c>
      <c r="AB36" s="40">
        <f>AB33+AB34+AB35</f>
        <v/>
      </c>
      <c r="AC36" s="40">
        <f>AC33+AC34+AC35</f>
        <v/>
      </c>
      <c r="AD36" s="40">
        <f>AD33+AD34+AD35</f>
        <v/>
      </c>
      <c r="AE36" s="40">
        <f>AE33+AE34+AE35</f>
        <v/>
      </c>
      <c r="AF36" s="40">
        <f>AF33+AF34+AF35</f>
        <v/>
      </c>
      <c r="AG36" s="40">
        <f>AG33+AG34+AG35</f>
        <v/>
      </c>
      <c r="AH36" s="40">
        <f>AH33+AH34+AH35</f>
        <v/>
      </c>
      <c r="AI36" s="40">
        <f>AI33+AI34+AI35</f>
        <v/>
      </c>
      <c r="AJ36" s="40">
        <f>AJ33+AJ34+AJ35</f>
        <v/>
      </c>
      <c r="AK36" s="40">
        <f>AK33+AK34+AK35</f>
        <v/>
      </c>
      <c r="AL36" s="40">
        <f>AL33+AL34+AL35</f>
        <v/>
      </c>
      <c r="AN36" s="40">
        <f>SUM(C36:N36)</f>
        <v/>
      </c>
      <c r="AO36" s="40">
        <f>SUM(O36:Z36)</f>
        <v/>
      </c>
      <c r="AP36" s="40">
        <f>SUM(AA36:AL36)</f>
        <v/>
      </c>
    </row>
    <row r="37">
      <c r="A37" s="2" t="inlineStr">
        <is>
          <t>Marge sur coûts variables (CA HT − variables − frais − impayés HT)</t>
        </is>
      </c>
      <c r="B37" s="4" t="inlineStr">
        <is>
          <t>€ HT</t>
        </is>
      </c>
      <c r="C37" s="40">
        <f>C28-C36-C30-C29/(1+Hypothèses!$C$15)</f>
        <v/>
      </c>
      <c r="D37" s="40">
        <f>D28-D36-D30-D29/(1+Hypothèses!$C$15)</f>
        <v/>
      </c>
      <c r="E37" s="40">
        <f>E28-E36-E30-E29/(1+Hypothèses!$C$15)</f>
        <v/>
      </c>
      <c r="F37" s="40">
        <f>F28-F36-F30-F29/(1+Hypothèses!$C$15)</f>
        <v/>
      </c>
      <c r="G37" s="40">
        <f>G28-G36-G30-G29/(1+Hypothèses!$C$15)</f>
        <v/>
      </c>
      <c r="H37" s="40">
        <f>H28-H36-H30-H29/(1+Hypothèses!$C$15)</f>
        <v/>
      </c>
      <c r="I37" s="40">
        <f>I28-I36-I30-I29/(1+Hypothèses!$C$15)</f>
        <v/>
      </c>
      <c r="J37" s="40">
        <f>J28-J36-J30-J29/(1+Hypothèses!$C$15)</f>
        <v/>
      </c>
      <c r="K37" s="40">
        <f>K28-K36-K30-K29/(1+Hypothèses!$C$15)</f>
        <v/>
      </c>
      <c r="L37" s="40">
        <f>L28-L36-L30-L29/(1+Hypothèses!$C$15)</f>
        <v/>
      </c>
      <c r="M37" s="40">
        <f>M28-M36-M30-M29/(1+Hypothèses!$C$15)</f>
        <v/>
      </c>
      <c r="N37" s="40">
        <f>N28-N36-N30-N29/(1+Hypothèses!$C$15)</f>
        <v/>
      </c>
      <c r="O37" s="40">
        <f>O28-O36-O30-O29/(1+Hypothèses!$C$15)</f>
        <v/>
      </c>
      <c r="P37" s="40">
        <f>P28-P36-P30-P29/(1+Hypothèses!$C$15)</f>
        <v/>
      </c>
      <c r="Q37" s="40">
        <f>Q28-Q36-Q30-Q29/(1+Hypothèses!$C$15)</f>
        <v/>
      </c>
      <c r="R37" s="40">
        <f>R28-R36-R30-R29/(1+Hypothèses!$C$15)</f>
        <v/>
      </c>
      <c r="S37" s="40">
        <f>S28-S36-S30-S29/(1+Hypothèses!$C$15)</f>
        <v/>
      </c>
      <c r="T37" s="40">
        <f>T28-T36-T30-T29/(1+Hypothèses!$C$15)</f>
        <v/>
      </c>
      <c r="U37" s="40">
        <f>U28-U36-U30-U29/(1+Hypothèses!$C$15)</f>
        <v/>
      </c>
      <c r="V37" s="40">
        <f>V28-V36-V30-V29/(1+Hypothèses!$C$15)</f>
        <v/>
      </c>
      <c r="W37" s="40">
        <f>W28-W36-W30-W29/(1+Hypothèses!$C$15)</f>
        <v/>
      </c>
      <c r="X37" s="40">
        <f>X28-X36-X30-X29/(1+Hypothèses!$C$15)</f>
        <v/>
      </c>
      <c r="Y37" s="40">
        <f>Y28-Y36-Y30-Y29/(1+Hypothèses!$C$15)</f>
        <v/>
      </c>
      <c r="Z37" s="40">
        <f>Z28-Z36-Z30-Z29/(1+Hypothèses!$C$15)</f>
        <v/>
      </c>
      <c r="AA37" s="40">
        <f>AA28-AA36-AA30-AA29/(1+Hypothèses!$C$15)</f>
        <v/>
      </c>
      <c r="AB37" s="40">
        <f>AB28-AB36-AB30-AB29/(1+Hypothèses!$C$15)</f>
        <v/>
      </c>
      <c r="AC37" s="40">
        <f>AC28-AC36-AC30-AC29/(1+Hypothèses!$C$15)</f>
        <v/>
      </c>
      <c r="AD37" s="40">
        <f>AD28-AD36-AD30-AD29/(1+Hypothèses!$C$15)</f>
        <v/>
      </c>
      <c r="AE37" s="40">
        <f>AE28-AE36-AE30-AE29/(1+Hypothèses!$C$15)</f>
        <v/>
      </c>
      <c r="AF37" s="40">
        <f>AF28-AF36-AF30-AF29/(1+Hypothèses!$C$15)</f>
        <v/>
      </c>
      <c r="AG37" s="40">
        <f>AG28-AG36-AG30-AG29/(1+Hypothèses!$C$15)</f>
        <v/>
      </c>
      <c r="AH37" s="40">
        <f>AH28-AH36-AH30-AH29/(1+Hypothèses!$C$15)</f>
        <v/>
      </c>
      <c r="AI37" s="40">
        <f>AI28-AI36-AI30-AI29/(1+Hypothèses!$C$15)</f>
        <v/>
      </c>
      <c r="AJ37" s="40">
        <f>AJ28-AJ36-AJ30-AJ29/(1+Hypothèses!$C$15)</f>
        <v/>
      </c>
      <c r="AK37" s="40">
        <f>AK28-AK36-AK30-AK29/(1+Hypothèses!$C$15)</f>
        <v/>
      </c>
      <c r="AL37" s="40">
        <f>AL28-AL36-AL30-AL29/(1+Hypothèses!$C$15)</f>
        <v/>
      </c>
      <c r="AN37" s="40">
        <f>SUM(C37:N37)</f>
        <v/>
      </c>
      <c r="AO37" s="40">
        <f>SUM(O37:Z37)</f>
        <v/>
      </c>
      <c r="AP37" s="40">
        <f>SUM(AA37:AL37)</f>
        <v/>
      </c>
    </row>
    <row r="38">
      <c r="A38" s="8" t="inlineStr">
        <is>
          <t>Acquisition et coûts fixes</t>
        </is>
      </c>
    </row>
    <row r="39">
      <c r="A39" s="9" t="inlineStr">
        <is>
          <t>Dépenses d'acquisition</t>
        </is>
      </c>
      <c r="B39" s="4" t="inlineStr">
        <is>
          <t>€ HT</t>
        </is>
      </c>
      <c r="C39" s="15">
        <f>C11</f>
        <v/>
      </c>
      <c r="D39" s="15">
        <f>D11</f>
        <v/>
      </c>
      <c r="E39" s="15">
        <f>E11</f>
        <v/>
      </c>
      <c r="F39" s="15">
        <f>F11</f>
        <v/>
      </c>
      <c r="G39" s="15">
        <f>G11</f>
        <v/>
      </c>
      <c r="H39" s="15">
        <f>H11</f>
        <v/>
      </c>
      <c r="I39" s="15">
        <f>I11</f>
        <v/>
      </c>
      <c r="J39" s="15">
        <f>J11</f>
        <v/>
      </c>
      <c r="K39" s="15">
        <f>K11</f>
        <v/>
      </c>
      <c r="L39" s="15">
        <f>L11</f>
        <v/>
      </c>
      <c r="M39" s="15">
        <f>M11</f>
        <v/>
      </c>
      <c r="N39" s="15">
        <f>N11</f>
        <v/>
      </c>
      <c r="O39" s="15">
        <f>O11</f>
        <v/>
      </c>
      <c r="P39" s="15">
        <f>P11</f>
        <v/>
      </c>
      <c r="Q39" s="15">
        <f>Q11</f>
        <v/>
      </c>
      <c r="R39" s="15">
        <f>R11</f>
        <v/>
      </c>
      <c r="S39" s="15">
        <f>S11</f>
        <v/>
      </c>
      <c r="T39" s="15">
        <f>T11</f>
        <v/>
      </c>
      <c r="U39" s="15">
        <f>U11</f>
        <v/>
      </c>
      <c r="V39" s="15">
        <f>V11</f>
        <v/>
      </c>
      <c r="W39" s="15">
        <f>W11</f>
        <v/>
      </c>
      <c r="X39" s="15">
        <f>X11</f>
        <v/>
      </c>
      <c r="Y39" s="15">
        <f>Y11</f>
        <v/>
      </c>
      <c r="Z39" s="15">
        <f>Z11</f>
        <v/>
      </c>
      <c r="AA39" s="15">
        <f>AA11</f>
        <v/>
      </c>
      <c r="AB39" s="15">
        <f>AB11</f>
        <v/>
      </c>
      <c r="AC39" s="15">
        <f>AC11</f>
        <v/>
      </c>
      <c r="AD39" s="15">
        <f>AD11</f>
        <v/>
      </c>
      <c r="AE39" s="15">
        <f>AE11</f>
        <v/>
      </c>
      <c r="AF39" s="15">
        <f>AF11</f>
        <v/>
      </c>
      <c r="AG39" s="15">
        <f>AG11</f>
        <v/>
      </c>
      <c r="AH39" s="15">
        <f>AH11</f>
        <v/>
      </c>
      <c r="AI39" s="15">
        <f>AI11</f>
        <v/>
      </c>
      <c r="AJ39" s="15">
        <f>AJ11</f>
        <v/>
      </c>
      <c r="AK39" s="15">
        <f>AK11</f>
        <v/>
      </c>
      <c r="AL39" s="15">
        <f>AL11</f>
        <v/>
      </c>
      <c r="AN39" s="15">
        <f>SUM(C39:N39)</f>
        <v/>
      </c>
      <c r="AO39" s="15">
        <f>SUM(O39:Z39)</f>
        <v/>
      </c>
      <c r="AP39" s="15">
        <f>SUM(AA39:AL39)</f>
        <v/>
      </c>
    </row>
    <row r="40">
      <c r="A40" s="9" t="inlineStr">
        <is>
          <t>Rémunération des fondateurs</t>
        </is>
      </c>
      <c r="B40" s="4" t="inlineStr">
        <is>
          <t>€ HT</t>
        </is>
      </c>
      <c r="C40" s="15">
        <f>IF(C7&gt;=Hypothèses!$C$39,Hypothèses!$C$38*Hypothèses!$C$40,0)*$G$4</f>
        <v/>
      </c>
      <c r="D40" s="15">
        <f>IF(D7&gt;=Hypothèses!$C$39,Hypothèses!$C$38*Hypothèses!$C$40,0)*$G$4</f>
        <v/>
      </c>
      <c r="E40" s="15">
        <f>IF(E7&gt;=Hypothèses!$C$39,Hypothèses!$C$38*Hypothèses!$C$40,0)*$G$4</f>
        <v/>
      </c>
      <c r="F40" s="15">
        <f>IF(F7&gt;=Hypothèses!$C$39,Hypothèses!$C$38*Hypothèses!$C$40,0)*$G$4</f>
        <v/>
      </c>
      <c r="G40" s="15">
        <f>IF(G7&gt;=Hypothèses!$C$39,Hypothèses!$C$38*Hypothèses!$C$40,0)*$G$4</f>
        <v/>
      </c>
      <c r="H40" s="15">
        <f>IF(H7&gt;=Hypothèses!$C$39,Hypothèses!$C$38*Hypothèses!$C$40,0)*$G$4</f>
        <v/>
      </c>
      <c r="I40" s="15">
        <f>IF(I7&gt;=Hypothèses!$C$39,Hypothèses!$C$38*Hypothèses!$C$40,0)*$G$4</f>
        <v/>
      </c>
      <c r="J40" s="15">
        <f>IF(J7&gt;=Hypothèses!$C$39,Hypothèses!$C$38*Hypothèses!$C$40,0)*$G$4</f>
        <v/>
      </c>
      <c r="K40" s="15">
        <f>IF(K7&gt;=Hypothèses!$C$39,Hypothèses!$C$38*Hypothèses!$C$40,0)*$G$4</f>
        <v/>
      </c>
      <c r="L40" s="15">
        <f>IF(L7&gt;=Hypothèses!$C$39,Hypothèses!$C$38*Hypothèses!$C$40,0)*$G$4</f>
        <v/>
      </c>
      <c r="M40" s="15">
        <f>IF(M7&gt;=Hypothèses!$C$39,Hypothèses!$C$38*Hypothèses!$C$40,0)*$G$4</f>
        <v/>
      </c>
      <c r="N40" s="15">
        <f>IF(N7&gt;=Hypothèses!$C$39,Hypothèses!$C$38*Hypothèses!$C$40,0)*$G$4</f>
        <v/>
      </c>
      <c r="O40" s="15">
        <f>IF(O7&gt;=Hypothèses!$C$39,Hypothèses!$C$38*Hypothèses!$C$40,0)*$G$4</f>
        <v/>
      </c>
      <c r="P40" s="15">
        <f>IF(P7&gt;=Hypothèses!$C$39,Hypothèses!$C$38*Hypothèses!$C$40,0)*$G$4</f>
        <v/>
      </c>
      <c r="Q40" s="15">
        <f>IF(Q7&gt;=Hypothèses!$C$39,Hypothèses!$C$38*Hypothèses!$C$40,0)*$G$4</f>
        <v/>
      </c>
      <c r="R40" s="15">
        <f>IF(R7&gt;=Hypothèses!$C$39,Hypothèses!$C$38*Hypothèses!$C$40,0)*$G$4</f>
        <v/>
      </c>
      <c r="S40" s="15">
        <f>IF(S7&gt;=Hypothèses!$C$39,Hypothèses!$C$38*Hypothèses!$C$40,0)*$G$4</f>
        <v/>
      </c>
      <c r="T40" s="15">
        <f>IF(T7&gt;=Hypothèses!$C$39,Hypothèses!$C$38*Hypothèses!$C$40,0)*$G$4</f>
        <v/>
      </c>
      <c r="U40" s="15">
        <f>IF(U7&gt;=Hypothèses!$C$39,Hypothèses!$C$38*Hypothèses!$C$40,0)*$G$4</f>
        <v/>
      </c>
      <c r="V40" s="15">
        <f>IF(V7&gt;=Hypothèses!$C$39,Hypothèses!$C$38*Hypothèses!$C$40,0)*$G$4</f>
        <v/>
      </c>
      <c r="W40" s="15">
        <f>IF(W7&gt;=Hypothèses!$C$39,Hypothèses!$C$38*Hypothèses!$C$40,0)*$G$4</f>
        <v/>
      </c>
      <c r="X40" s="15">
        <f>IF(X7&gt;=Hypothèses!$C$39,Hypothèses!$C$38*Hypothèses!$C$40,0)*$G$4</f>
        <v/>
      </c>
      <c r="Y40" s="15">
        <f>IF(Y7&gt;=Hypothèses!$C$39,Hypothèses!$C$38*Hypothèses!$C$40,0)*$G$4</f>
        <v/>
      </c>
      <c r="Z40" s="15">
        <f>IF(Z7&gt;=Hypothèses!$C$39,Hypothèses!$C$38*Hypothèses!$C$40,0)*$G$4</f>
        <v/>
      </c>
      <c r="AA40" s="15">
        <f>IF(AA7&gt;=Hypothèses!$C$39,Hypothèses!$C$38*Hypothèses!$C$40,0)*$G$4</f>
        <v/>
      </c>
      <c r="AB40" s="15">
        <f>IF(AB7&gt;=Hypothèses!$C$39,Hypothèses!$C$38*Hypothèses!$C$40,0)*$G$4</f>
        <v/>
      </c>
      <c r="AC40" s="15">
        <f>IF(AC7&gt;=Hypothèses!$C$39,Hypothèses!$C$38*Hypothèses!$C$40,0)*$G$4</f>
        <v/>
      </c>
      <c r="AD40" s="15">
        <f>IF(AD7&gt;=Hypothèses!$C$39,Hypothèses!$C$38*Hypothèses!$C$40,0)*$G$4</f>
        <v/>
      </c>
      <c r="AE40" s="15">
        <f>IF(AE7&gt;=Hypothèses!$C$39,Hypothèses!$C$38*Hypothèses!$C$40,0)*$G$4</f>
        <v/>
      </c>
      <c r="AF40" s="15">
        <f>IF(AF7&gt;=Hypothèses!$C$39,Hypothèses!$C$38*Hypothèses!$C$40,0)*$G$4</f>
        <v/>
      </c>
      <c r="AG40" s="15">
        <f>IF(AG7&gt;=Hypothèses!$C$39,Hypothèses!$C$38*Hypothèses!$C$40,0)*$G$4</f>
        <v/>
      </c>
      <c r="AH40" s="15">
        <f>IF(AH7&gt;=Hypothèses!$C$39,Hypothèses!$C$38*Hypothèses!$C$40,0)*$G$4</f>
        <v/>
      </c>
      <c r="AI40" s="15">
        <f>IF(AI7&gt;=Hypothèses!$C$39,Hypothèses!$C$38*Hypothèses!$C$40,0)*$G$4</f>
        <v/>
      </c>
      <c r="AJ40" s="15">
        <f>IF(AJ7&gt;=Hypothèses!$C$39,Hypothèses!$C$38*Hypothèses!$C$40,0)*$G$4</f>
        <v/>
      </c>
      <c r="AK40" s="15">
        <f>IF(AK7&gt;=Hypothèses!$C$39,Hypothèses!$C$38*Hypothèses!$C$40,0)*$G$4</f>
        <v/>
      </c>
      <c r="AL40" s="15">
        <f>IF(AL7&gt;=Hypothèses!$C$39,Hypothèses!$C$38*Hypothèses!$C$40,0)*$G$4</f>
        <v/>
      </c>
      <c r="AN40" s="15">
        <f>SUM(C40:N40)</f>
        <v/>
      </c>
      <c r="AO40" s="15">
        <f>SUM(O40:Z40)</f>
        <v/>
      </c>
      <c r="AP40" s="15">
        <f>SUM(AA40:AL40)</f>
        <v/>
      </c>
    </row>
    <row r="41">
      <c r="A41" s="9" t="inlineStr">
        <is>
          <t>Salarié 1 (growth / customer success)</t>
        </is>
      </c>
      <c r="B41" s="4" t="inlineStr">
        <is>
          <t>€ HT</t>
        </is>
      </c>
      <c r="C41" s="15">
        <f>IF(C7&gt;=Hypothèses!$C$41,Hypothèses!$C$42,0)*$G$4</f>
        <v/>
      </c>
      <c r="D41" s="15">
        <f>IF(D7&gt;=Hypothèses!$C$41,Hypothèses!$C$42,0)*$G$4</f>
        <v/>
      </c>
      <c r="E41" s="15">
        <f>IF(E7&gt;=Hypothèses!$C$41,Hypothèses!$C$42,0)*$G$4</f>
        <v/>
      </c>
      <c r="F41" s="15">
        <f>IF(F7&gt;=Hypothèses!$C$41,Hypothèses!$C$42,0)*$G$4</f>
        <v/>
      </c>
      <c r="G41" s="15">
        <f>IF(G7&gt;=Hypothèses!$C$41,Hypothèses!$C$42,0)*$G$4</f>
        <v/>
      </c>
      <c r="H41" s="15">
        <f>IF(H7&gt;=Hypothèses!$C$41,Hypothèses!$C$42,0)*$G$4</f>
        <v/>
      </c>
      <c r="I41" s="15">
        <f>IF(I7&gt;=Hypothèses!$C$41,Hypothèses!$C$42,0)*$G$4</f>
        <v/>
      </c>
      <c r="J41" s="15">
        <f>IF(J7&gt;=Hypothèses!$C$41,Hypothèses!$C$42,0)*$G$4</f>
        <v/>
      </c>
      <c r="K41" s="15">
        <f>IF(K7&gt;=Hypothèses!$C$41,Hypothèses!$C$42,0)*$G$4</f>
        <v/>
      </c>
      <c r="L41" s="15">
        <f>IF(L7&gt;=Hypothèses!$C$41,Hypothèses!$C$42,0)*$G$4</f>
        <v/>
      </c>
      <c r="M41" s="15">
        <f>IF(M7&gt;=Hypothèses!$C$41,Hypothèses!$C$42,0)*$G$4</f>
        <v/>
      </c>
      <c r="N41" s="15">
        <f>IF(N7&gt;=Hypothèses!$C$41,Hypothèses!$C$42,0)*$G$4</f>
        <v/>
      </c>
      <c r="O41" s="15">
        <f>IF(O7&gt;=Hypothèses!$C$41,Hypothèses!$C$42,0)*$G$4</f>
        <v/>
      </c>
      <c r="P41" s="15">
        <f>IF(P7&gt;=Hypothèses!$C$41,Hypothèses!$C$42,0)*$G$4</f>
        <v/>
      </c>
      <c r="Q41" s="15">
        <f>IF(Q7&gt;=Hypothèses!$C$41,Hypothèses!$C$42,0)*$G$4</f>
        <v/>
      </c>
      <c r="R41" s="15">
        <f>IF(R7&gt;=Hypothèses!$C$41,Hypothèses!$C$42,0)*$G$4</f>
        <v/>
      </c>
      <c r="S41" s="15">
        <f>IF(S7&gt;=Hypothèses!$C$41,Hypothèses!$C$42,0)*$G$4</f>
        <v/>
      </c>
      <c r="T41" s="15">
        <f>IF(T7&gt;=Hypothèses!$C$41,Hypothèses!$C$42,0)*$G$4</f>
        <v/>
      </c>
      <c r="U41" s="15">
        <f>IF(U7&gt;=Hypothèses!$C$41,Hypothèses!$C$42,0)*$G$4</f>
        <v/>
      </c>
      <c r="V41" s="15">
        <f>IF(V7&gt;=Hypothèses!$C$41,Hypothèses!$C$42,0)*$G$4</f>
        <v/>
      </c>
      <c r="W41" s="15">
        <f>IF(W7&gt;=Hypothèses!$C$41,Hypothèses!$C$42,0)*$G$4</f>
        <v/>
      </c>
      <c r="X41" s="15">
        <f>IF(X7&gt;=Hypothèses!$C$41,Hypothèses!$C$42,0)*$G$4</f>
        <v/>
      </c>
      <c r="Y41" s="15">
        <f>IF(Y7&gt;=Hypothèses!$C$41,Hypothèses!$C$42,0)*$G$4</f>
        <v/>
      </c>
      <c r="Z41" s="15">
        <f>IF(Z7&gt;=Hypothèses!$C$41,Hypothèses!$C$42,0)*$G$4</f>
        <v/>
      </c>
      <c r="AA41" s="15">
        <f>IF(AA7&gt;=Hypothèses!$C$41,Hypothèses!$C$42,0)*$G$4</f>
        <v/>
      </c>
      <c r="AB41" s="15">
        <f>IF(AB7&gt;=Hypothèses!$C$41,Hypothèses!$C$42,0)*$G$4</f>
        <v/>
      </c>
      <c r="AC41" s="15">
        <f>IF(AC7&gt;=Hypothèses!$C$41,Hypothèses!$C$42,0)*$G$4</f>
        <v/>
      </c>
      <c r="AD41" s="15">
        <f>IF(AD7&gt;=Hypothèses!$C$41,Hypothèses!$C$42,0)*$G$4</f>
        <v/>
      </c>
      <c r="AE41" s="15">
        <f>IF(AE7&gt;=Hypothèses!$C$41,Hypothèses!$C$42,0)*$G$4</f>
        <v/>
      </c>
      <c r="AF41" s="15">
        <f>IF(AF7&gt;=Hypothèses!$C$41,Hypothèses!$C$42,0)*$G$4</f>
        <v/>
      </c>
      <c r="AG41" s="15">
        <f>IF(AG7&gt;=Hypothèses!$C$41,Hypothèses!$C$42,0)*$G$4</f>
        <v/>
      </c>
      <c r="AH41" s="15">
        <f>IF(AH7&gt;=Hypothèses!$C$41,Hypothèses!$C$42,0)*$G$4</f>
        <v/>
      </c>
      <c r="AI41" s="15">
        <f>IF(AI7&gt;=Hypothèses!$C$41,Hypothèses!$C$42,0)*$G$4</f>
        <v/>
      </c>
      <c r="AJ41" s="15">
        <f>IF(AJ7&gt;=Hypothèses!$C$41,Hypothèses!$C$42,0)*$G$4</f>
        <v/>
      </c>
      <c r="AK41" s="15">
        <f>IF(AK7&gt;=Hypothèses!$C$41,Hypothèses!$C$42,0)*$G$4</f>
        <v/>
      </c>
      <c r="AL41" s="15">
        <f>IF(AL7&gt;=Hypothèses!$C$41,Hypothèses!$C$42,0)*$G$4</f>
        <v/>
      </c>
      <c r="AN41" s="15">
        <f>SUM(C41:N41)</f>
        <v/>
      </c>
      <c r="AO41" s="15">
        <f>SUM(O41:Z41)</f>
        <v/>
      </c>
      <c r="AP41" s="15">
        <f>SUM(AA41:AL41)</f>
        <v/>
      </c>
    </row>
    <row r="42">
      <c r="A42" s="9" t="inlineStr">
        <is>
          <t>Salarié 2 (ingénieur)</t>
        </is>
      </c>
      <c r="B42" s="4" t="inlineStr">
        <is>
          <t>€ HT</t>
        </is>
      </c>
      <c r="C42" s="15">
        <f>IF(C7&gt;=Hypothèses!$C$43,Hypothèses!$C$44,0)*$G$4</f>
        <v/>
      </c>
      <c r="D42" s="15">
        <f>IF(D7&gt;=Hypothèses!$C$43,Hypothèses!$C$44,0)*$G$4</f>
        <v/>
      </c>
      <c r="E42" s="15">
        <f>IF(E7&gt;=Hypothèses!$C$43,Hypothèses!$C$44,0)*$G$4</f>
        <v/>
      </c>
      <c r="F42" s="15">
        <f>IF(F7&gt;=Hypothèses!$C$43,Hypothèses!$C$44,0)*$G$4</f>
        <v/>
      </c>
      <c r="G42" s="15">
        <f>IF(G7&gt;=Hypothèses!$C$43,Hypothèses!$C$44,0)*$G$4</f>
        <v/>
      </c>
      <c r="H42" s="15">
        <f>IF(H7&gt;=Hypothèses!$C$43,Hypothèses!$C$44,0)*$G$4</f>
        <v/>
      </c>
      <c r="I42" s="15">
        <f>IF(I7&gt;=Hypothèses!$C$43,Hypothèses!$C$44,0)*$G$4</f>
        <v/>
      </c>
      <c r="J42" s="15">
        <f>IF(J7&gt;=Hypothèses!$C$43,Hypothèses!$C$44,0)*$G$4</f>
        <v/>
      </c>
      <c r="K42" s="15">
        <f>IF(K7&gt;=Hypothèses!$C$43,Hypothèses!$C$44,0)*$G$4</f>
        <v/>
      </c>
      <c r="L42" s="15">
        <f>IF(L7&gt;=Hypothèses!$C$43,Hypothèses!$C$44,0)*$G$4</f>
        <v/>
      </c>
      <c r="M42" s="15">
        <f>IF(M7&gt;=Hypothèses!$C$43,Hypothèses!$C$44,0)*$G$4</f>
        <v/>
      </c>
      <c r="N42" s="15">
        <f>IF(N7&gt;=Hypothèses!$C$43,Hypothèses!$C$44,0)*$G$4</f>
        <v/>
      </c>
      <c r="O42" s="15">
        <f>IF(O7&gt;=Hypothèses!$C$43,Hypothèses!$C$44,0)*$G$4</f>
        <v/>
      </c>
      <c r="P42" s="15">
        <f>IF(P7&gt;=Hypothèses!$C$43,Hypothèses!$C$44,0)*$G$4</f>
        <v/>
      </c>
      <c r="Q42" s="15">
        <f>IF(Q7&gt;=Hypothèses!$C$43,Hypothèses!$C$44,0)*$G$4</f>
        <v/>
      </c>
      <c r="R42" s="15">
        <f>IF(R7&gt;=Hypothèses!$C$43,Hypothèses!$C$44,0)*$G$4</f>
        <v/>
      </c>
      <c r="S42" s="15">
        <f>IF(S7&gt;=Hypothèses!$C$43,Hypothèses!$C$44,0)*$G$4</f>
        <v/>
      </c>
      <c r="T42" s="15">
        <f>IF(T7&gt;=Hypothèses!$C$43,Hypothèses!$C$44,0)*$G$4</f>
        <v/>
      </c>
      <c r="U42" s="15">
        <f>IF(U7&gt;=Hypothèses!$C$43,Hypothèses!$C$44,0)*$G$4</f>
        <v/>
      </c>
      <c r="V42" s="15">
        <f>IF(V7&gt;=Hypothèses!$C$43,Hypothèses!$C$44,0)*$G$4</f>
        <v/>
      </c>
      <c r="W42" s="15">
        <f>IF(W7&gt;=Hypothèses!$C$43,Hypothèses!$C$44,0)*$G$4</f>
        <v/>
      </c>
      <c r="X42" s="15">
        <f>IF(X7&gt;=Hypothèses!$C$43,Hypothèses!$C$44,0)*$G$4</f>
        <v/>
      </c>
      <c r="Y42" s="15">
        <f>IF(Y7&gt;=Hypothèses!$C$43,Hypothèses!$C$44,0)*$G$4</f>
        <v/>
      </c>
      <c r="Z42" s="15">
        <f>IF(Z7&gt;=Hypothèses!$C$43,Hypothèses!$C$44,0)*$G$4</f>
        <v/>
      </c>
      <c r="AA42" s="15">
        <f>IF(AA7&gt;=Hypothèses!$C$43,Hypothèses!$C$44,0)*$G$4</f>
        <v/>
      </c>
      <c r="AB42" s="15">
        <f>IF(AB7&gt;=Hypothèses!$C$43,Hypothèses!$C$44,0)*$G$4</f>
        <v/>
      </c>
      <c r="AC42" s="15">
        <f>IF(AC7&gt;=Hypothèses!$C$43,Hypothèses!$C$44,0)*$G$4</f>
        <v/>
      </c>
      <c r="AD42" s="15">
        <f>IF(AD7&gt;=Hypothèses!$C$43,Hypothèses!$C$44,0)*$G$4</f>
        <v/>
      </c>
      <c r="AE42" s="15">
        <f>IF(AE7&gt;=Hypothèses!$C$43,Hypothèses!$C$44,0)*$G$4</f>
        <v/>
      </c>
      <c r="AF42" s="15">
        <f>IF(AF7&gt;=Hypothèses!$C$43,Hypothèses!$C$44,0)*$G$4</f>
        <v/>
      </c>
      <c r="AG42" s="15">
        <f>IF(AG7&gt;=Hypothèses!$C$43,Hypothèses!$C$44,0)*$G$4</f>
        <v/>
      </c>
      <c r="AH42" s="15">
        <f>IF(AH7&gt;=Hypothèses!$C$43,Hypothèses!$C$44,0)*$G$4</f>
        <v/>
      </c>
      <c r="AI42" s="15">
        <f>IF(AI7&gt;=Hypothèses!$C$43,Hypothèses!$C$44,0)*$G$4</f>
        <v/>
      </c>
      <c r="AJ42" s="15">
        <f>IF(AJ7&gt;=Hypothèses!$C$43,Hypothèses!$C$44,0)*$G$4</f>
        <v/>
      </c>
      <c r="AK42" s="15">
        <f>IF(AK7&gt;=Hypothèses!$C$43,Hypothèses!$C$44,0)*$G$4</f>
        <v/>
      </c>
      <c r="AL42" s="15">
        <f>IF(AL7&gt;=Hypothèses!$C$43,Hypothèses!$C$44,0)*$G$4</f>
        <v/>
      </c>
      <c r="AN42" s="15">
        <f>SUM(C42:N42)</f>
        <v/>
      </c>
      <c r="AO42" s="15">
        <f>SUM(O42:Z42)</f>
        <v/>
      </c>
      <c r="AP42" s="15">
        <f>SUM(AA42:AL42)</f>
        <v/>
      </c>
    </row>
    <row r="43">
      <c r="A43" s="9" t="inlineStr">
        <is>
          <t>Développement MVP externe (étalé jusqu'au lancement)</t>
        </is>
      </c>
      <c r="B43" s="4" t="inlineStr">
        <is>
          <t>€ HT</t>
        </is>
      </c>
      <c r="C43" s="15">
        <f>IF(C7&lt;$B$5,Hypothèses!$C$45/MAX(1,$B$5-1),0)</f>
        <v/>
      </c>
      <c r="D43" s="15">
        <f>IF(D7&lt;$B$5,Hypothèses!$C$45/MAX(1,$B$5-1),0)</f>
        <v/>
      </c>
      <c r="E43" s="15">
        <f>IF(E7&lt;$B$5,Hypothèses!$C$45/MAX(1,$B$5-1),0)</f>
        <v/>
      </c>
      <c r="F43" s="15">
        <f>IF(F7&lt;$B$5,Hypothèses!$C$45/MAX(1,$B$5-1),0)</f>
        <v/>
      </c>
      <c r="G43" s="15">
        <f>IF(G7&lt;$B$5,Hypothèses!$C$45/MAX(1,$B$5-1),0)</f>
        <v/>
      </c>
      <c r="H43" s="15">
        <f>IF(H7&lt;$B$5,Hypothèses!$C$45/MAX(1,$B$5-1),0)</f>
        <v/>
      </c>
      <c r="I43" s="15">
        <f>IF(I7&lt;$B$5,Hypothèses!$C$45/MAX(1,$B$5-1),0)</f>
        <v/>
      </c>
      <c r="J43" s="15">
        <f>IF(J7&lt;$B$5,Hypothèses!$C$45/MAX(1,$B$5-1),0)</f>
        <v/>
      </c>
      <c r="K43" s="15">
        <f>IF(K7&lt;$B$5,Hypothèses!$C$45/MAX(1,$B$5-1),0)</f>
        <v/>
      </c>
      <c r="L43" s="15">
        <f>IF(L7&lt;$B$5,Hypothèses!$C$45/MAX(1,$B$5-1),0)</f>
        <v/>
      </c>
      <c r="M43" s="15">
        <f>IF(M7&lt;$B$5,Hypothèses!$C$45/MAX(1,$B$5-1),0)</f>
        <v/>
      </c>
      <c r="N43" s="15">
        <f>IF(N7&lt;$B$5,Hypothèses!$C$45/MAX(1,$B$5-1),0)</f>
        <v/>
      </c>
      <c r="O43" s="15">
        <f>IF(O7&lt;$B$5,Hypothèses!$C$45/MAX(1,$B$5-1),0)</f>
        <v/>
      </c>
      <c r="P43" s="15">
        <f>IF(P7&lt;$B$5,Hypothèses!$C$45/MAX(1,$B$5-1),0)</f>
        <v/>
      </c>
      <c r="Q43" s="15">
        <f>IF(Q7&lt;$B$5,Hypothèses!$C$45/MAX(1,$B$5-1),0)</f>
        <v/>
      </c>
      <c r="R43" s="15">
        <f>IF(R7&lt;$B$5,Hypothèses!$C$45/MAX(1,$B$5-1),0)</f>
        <v/>
      </c>
      <c r="S43" s="15">
        <f>IF(S7&lt;$B$5,Hypothèses!$C$45/MAX(1,$B$5-1),0)</f>
        <v/>
      </c>
      <c r="T43" s="15">
        <f>IF(T7&lt;$B$5,Hypothèses!$C$45/MAX(1,$B$5-1),0)</f>
        <v/>
      </c>
      <c r="U43" s="15">
        <f>IF(U7&lt;$B$5,Hypothèses!$C$45/MAX(1,$B$5-1),0)</f>
        <v/>
      </c>
      <c r="V43" s="15">
        <f>IF(V7&lt;$B$5,Hypothèses!$C$45/MAX(1,$B$5-1),0)</f>
        <v/>
      </c>
      <c r="W43" s="15">
        <f>IF(W7&lt;$B$5,Hypothèses!$C$45/MAX(1,$B$5-1),0)</f>
        <v/>
      </c>
      <c r="X43" s="15">
        <f>IF(X7&lt;$B$5,Hypothèses!$C$45/MAX(1,$B$5-1),0)</f>
        <v/>
      </c>
      <c r="Y43" s="15">
        <f>IF(Y7&lt;$B$5,Hypothèses!$C$45/MAX(1,$B$5-1),0)</f>
        <v/>
      </c>
      <c r="Z43" s="15">
        <f>IF(Z7&lt;$B$5,Hypothèses!$C$45/MAX(1,$B$5-1),0)</f>
        <v/>
      </c>
      <c r="AA43" s="15">
        <f>IF(AA7&lt;$B$5,Hypothèses!$C$45/MAX(1,$B$5-1),0)</f>
        <v/>
      </c>
      <c r="AB43" s="15">
        <f>IF(AB7&lt;$B$5,Hypothèses!$C$45/MAX(1,$B$5-1),0)</f>
        <v/>
      </c>
      <c r="AC43" s="15">
        <f>IF(AC7&lt;$B$5,Hypothèses!$C$45/MAX(1,$B$5-1),0)</f>
        <v/>
      </c>
      <c r="AD43" s="15">
        <f>IF(AD7&lt;$B$5,Hypothèses!$C$45/MAX(1,$B$5-1),0)</f>
        <v/>
      </c>
      <c r="AE43" s="15">
        <f>IF(AE7&lt;$B$5,Hypothèses!$C$45/MAX(1,$B$5-1),0)</f>
        <v/>
      </c>
      <c r="AF43" s="15">
        <f>IF(AF7&lt;$B$5,Hypothèses!$C$45/MAX(1,$B$5-1),0)</f>
        <v/>
      </c>
      <c r="AG43" s="15">
        <f>IF(AG7&lt;$B$5,Hypothèses!$C$45/MAX(1,$B$5-1),0)</f>
        <v/>
      </c>
      <c r="AH43" s="15">
        <f>IF(AH7&lt;$B$5,Hypothèses!$C$45/MAX(1,$B$5-1),0)</f>
        <v/>
      </c>
      <c r="AI43" s="15">
        <f>IF(AI7&lt;$B$5,Hypothèses!$C$45/MAX(1,$B$5-1),0)</f>
        <v/>
      </c>
      <c r="AJ43" s="15">
        <f>IF(AJ7&lt;$B$5,Hypothèses!$C$45/MAX(1,$B$5-1),0)</f>
        <v/>
      </c>
      <c r="AK43" s="15">
        <f>IF(AK7&lt;$B$5,Hypothèses!$C$45/MAX(1,$B$5-1),0)</f>
        <v/>
      </c>
      <c r="AL43" s="15">
        <f>IF(AL7&lt;$B$5,Hypothèses!$C$45/MAX(1,$B$5-1),0)</f>
        <v/>
      </c>
      <c r="AN43" s="15">
        <f>SUM(C43:N43)</f>
        <v/>
      </c>
      <c r="AO43" s="15">
        <f>SUM(O43:Z43)</f>
        <v/>
      </c>
      <c r="AP43" s="15">
        <f>SUM(AA43:AL43)</f>
        <v/>
      </c>
    </row>
    <row r="44">
      <c r="A44" s="9" t="inlineStr">
        <is>
          <t>Outils et SaaS</t>
        </is>
      </c>
      <c r="B44" s="4" t="inlineStr">
        <is>
          <t>€ HT</t>
        </is>
      </c>
      <c r="C44" s="15">
        <f>Hypothèses!$C$46*$G$4</f>
        <v/>
      </c>
      <c r="D44" s="15">
        <f>Hypothèses!$C$46*$G$4</f>
        <v/>
      </c>
      <c r="E44" s="15">
        <f>Hypothèses!$C$46*$G$4</f>
        <v/>
      </c>
      <c r="F44" s="15">
        <f>Hypothèses!$C$46*$G$4</f>
        <v/>
      </c>
      <c r="G44" s="15">
        <f>Hypothèses!$C$46*$G$4</f>
        <v/>
      </c>
      <c r="H44" s="15">
        <f>Hypothèses!$C$46*$G$4</f>
        <v/>
      </c>
      <c r="I44" s="15">
        <f>Hypothèses!$C$46*$G$4</f>
        <v/>
      </c>
      <c r="J44" s="15">
        <f>Hypothèses!$C$46*$G$4</f>
        <v/>
      </c>
      <c r="K44" s="15">
        <f>Hypothèses!$C$46*$G$4</f>
        <v/>
      </c>
      <c r="L44" s="15">
        <f>Hypothèses!$C$46*$G$4</f>
        <v/>
      </c>
      <c r="M44" s="15">
        <f>Hypothèses!$C$46*$G$4</f>
        <v/>
      </c>
      <c r="N44" s="15">
        <f>Hypothèses!$C$46*$G$4</f>
        <v/>
      </c>
      <c r="O44" s="15">
        <f>Hypothèses!$C$46*$G$4</f>
        <v/>
      </c>
      <c r="P44" s="15">
        <f>Hypothèses!$C$46*$G$4</f>
        <v/>
      </c>
      <c r="Q44" s="15">
        <f>Hypothèses!$C$46*$G$4</f>
        <v/>
      </c>
      <c r="R44" s="15">
        <f>Hypothèses!$C$46*$G$4</f>
        <v/>
      </c>
      <c r="S44" s="15">
        <f>Hypothèses!$C$46*$G$4</f>
        <v/>
      </c>
      <c r="T44" s="15">
        <f>Hypothèses!$C$46*$G$4</f>
        <v/>
      </c>
      <c r="U44" s="15">
        <f>Hypothèses!$C$46*$G$4</f>
        <v/>
      </c>
      <c r="V44" s="15">
        <f>Hypothèses!$C$46*$G$4</f>
        <v/>
      </c>
      <c r="W44" s="15">
        <f>Hypothèses!$C$46*$G$4</f>
        <v/>
      </c>
      <c r="X44" s="15">
        <f>Hypothèses!$C$46*$G$4</f>
        <v/>
      </c>
      <c r="Y44" s="15">
        <f>Hypothèses!$C$46*$G$4</f>
        <v/>
      </c>
      <c r="Z44" s="15">
        <f>Hypothèses!$C$46*$G$4</f>
        <v/>
      </c>
      <c r="AA44" s="15">
        <f>Hypothèses!$C$46*$G$4</f>
        <v/>
      </c>
      <c r="AB44" s="15">
        <f>Hypothèses!$C$46*$G$4</f>
        <v/>
      </c>
      <c r="AC44" s="15">
        <f>Hypothèses!$C$46*$G$4</f>
        <v/>
      </c>
      <c r="AD44" s="15">
        <f>Hypothèses!$C$46*$G$4</f>
        <v/>
      </c>
      <c r="AE44" s="15">
        <f>Hypothèses!$C$46*$G$4</f>
        <v/>
      </c>
      <c r="AF44" s="15">
        <f>Hypothèses!$C$46*$G$4</f>
        <v/>
      </c>
      <c r="AG44" s="15">
        <f>Hypothèses!$C$46*$G$4</f>
        <v/>
      </c>
      <c r="AH44" s="15">
        <f>Hypothèses!$C$46*$G$4</f>
        <v/>
      </c>
      <c r="AI44" s="15">
        <f>Hypothèses!$C$46*$G$4</f>
        <v/>
      </c>
      <c r="AJ44" s="15">
        <f>Hypothèses!$C$46*$G$4</f>
        <v/>
      </c>
      <c r="AK44" s="15">
        <f>Hypothèses!$C$46*$G$4</f>
        <v/>
      </c>
      <c r="AL44" s="15">
        <f>Hypothèses!$C$46*$G$4</f>
        <v/>
      </c>
      <c r="AN44" s="15">
        <f>SUM(C44:N44)</f>
        <v/>
      </c>
      <c r="AO44" s="15">
        <f>SUM(O44:Z44)</f>
        <v/>
      </c>
      <c r="AP44" s="15">
        <f>SUM(AA44:AL44)</f>
        <v/>
      </c>
    </row>
    <row r="45">
      <c r="A45" s="9" t="inlineStr">
        <is>
          <t>Juridique et comptabilité</t>
        </is>
      </c>
      <c r="B45" s="4" t="inlineStr">
        <is>
          <t>€ HT</t>
        </is>
      </c>
      <c r="C45" s="15">
        <f>Hypothèses!$C$47*$G$4</f>
        <v/>
      </c>
      <c r="D45" s="15">
        <f>Hypothèses!$C$47*$G$4</f>
        <v/>
      </c>
      <c r="E45" s="15">
        <f>Hypothèses!$C$47*$G$4</f>
        <v/>
      </c>
      <c r="F45" s="15">
        <f>Hypothèses!$C$47*$G$4</f>
        <v/>
      </c>
      <c r="G45" s="15">
        <f>Hypothèses!$C$47*$G$4</f>
        <v/>
      </c>
      <c r="H45" s="15">
        <f>Hypothèses!$C$47*$G$4</f>
        <v/>
      </c>
      <c r="I45" s="15">
        <f>Hypothèses!$C$47*$G$4</f>
        <v/>
      </c>
      <c r="J45" s="15">
        <f>Hypothèses!$C$47*$G$4</f>
        <v/>
      </c>
      <c r="K45" s="15">
        <f>Hypothèses!$C$47*$G$4</f>
        <v/>
      </c>
      <c r="L45" s="15">
        <f>Hypothèses!$C$47*$G$4</f>
        <v/>
      </c>
      <c r="M45" s="15">
        <f>Hypothèses!$C$47*$G$4</f>
        <v/>
      </c>
      <c r="N45" s="15">
        <f>Hypothèses!$C$47*$G$4</f>
        <v/>
      </c>
      <c r="O45" s="15">
        <f>Hypothèses!$C$47*$G$4</f>
        <v/>
      </c>
      <c r="P45" s="15">
        <f>Hypothèses!$C$47*$G$4</f>
        <v/>
      </c>
      <c r="Q45" s="15">
        <f>Hypothèses!$C$47*$G$4</f>
        <v/>
      </c>
      <c r="R45" s="15">
        <f>Hypothèses!$C$47*$G$4</f>
        <v/>
      </c>
      <c r="S45" s="15">
        <f>Hypothèses!$C$47*$G$4</f>
        <v/>
      </c>
      <c r="T45" s="15">
        <f>Hypothèses!$C$47*$G$4</f>
        <v/>
      </c>
      <c r="U45" s="15">
        <f>Hypothèses!$C$47*$G$4</f>
        <v/>
      </c>
      <c r="V45" s="15">
        <f>Hypothèses!$C$47*$G$4</f>
        <v/>
      </c>
      <c r="W45" s="15">
        <f>Hypothèses!$C$47*$G$4</f>
        <v/>
      </c>
      <c r="X45" s="15">
        <f>Hypothèses!$C$47*$G$4</f>
        <v/>
      </c>
      <c r="Y45" s="15">
        <f>Hypothèses!$C$47*$G$4</f>
        <v/>
      </c>
      <c r="Z45" s="15">
        <f>Hypothèses!$C$47*$G$4</f>
        <v/>
      </c>
      <c r="AA45" s="15">
        <f>Hypothèses!$C$47*$G$4</f>
        <v/>
      </c>
      <c r="AB45" s="15">
        <f>Hypothèses!$C$47*$G$4</f>
        <v/>
      </c>
      <c r="AC45" s="15">
        <f>Hypothèses!$C$47*$G$4</f>
        <v/>
      </c>
      <c r="AD45" s="15">
        <f>Hypothèses!$C$47*$G$4</f>
        <v/>
      </c>
      <c r="AE45" s="15">
        <f>Hypothèses!$C$47*$G$4</f>
        <v/>
      </c>
      <c r="AF45" s="15">
        <f>Hypothèses!$C$47*$G$4</f>
        <v/>
      </c>
      <c r="AG45" s="15">
        <f>Hypothèses!$C$47*$G$4</f>
        <v/>
      </c>
      <c r="AH45" s="15">
        <f>Hypothèses!$C$47*$G$4</f>
        <v/>
      </c>
      <c r="AI45" s="15">
        <f>Hypothèses!$C$47*$G$4</f>
        <v/>
      </c>
      <c r="AJ45" s="15">
        <f>Hypothèses!$C$47*$G$4</f>
        <v/>
      </c>
      <c r="AK45" s="15">
        <f>Hypothèses!$C$47*$G$4</f>
        <v/>
      </c>
      <c r="AL45" s="15">
        <f>Hypothèses!$C$47*$G$4</f>
        <v/>
      </c>
      <c r="AN45" s="15">
        <f>SUM(C45:N45)</f>
        <v/>
      </c>
      <c r="AO45" s="15">
        <f>SUM(O45:Z45)</f>
        <v/>
      </c>
      <c r="AP45" s="15">
        <f>SUM(AA45:AL45)</f>
        <v/>
      </c>
    </row>
    <row r="46">
      <c r="A46" s="9" t="inlineStr">
        <is>
          <t>Assurance RC pro</t>
        </is>
      </c>
      <c r="B46" s="4" t="inlineStr">
        <is>
          <t>€</t>
        </is>
      </c>
      <c r="C46" s="15">
        <f>C9*Hypothèses!$C$48*$G$4</f>
        <v/>
      </c>
      <c r="D46" s="15">
        <f>D9*Hypothèses!$C$48*$G$4</f>
        <v/>
      </c>
      <c r="E46" s="15">
        <f>E9*Hypothèses!$C$48*$G$4</f>
        <v/>
      </c>
      <c r="F46" s="15">
        <f>F9*Hypothèses!$C$48*$G$4</f>
        <v/>
      </c>
      <c r="G46" s="15">
        <f>G9*Hypothèses!$C$48*$G$4</f>
        <v/>
      </c>
      <c r="H46" s="15">
        <f>H9*Hypothèses!$C$48*$G$4</f>
        <v/>
      </c>
      <c r="I46" s="15">
        <f>I9*Hypothèses!$C$48*$G$4</f>
        <v/>
      </c>
      <c r="J46" s="15">
        <f>J9*Hypothèses!$C$48*$G$4</f>
        <v/>
      </c>
      <c r="K46" s="15">
        <f>K9*Hypothèses!$C$48*$G$4</f>
        <v/>
      </c>
      <c r="L46" s="15">
        <f>L9*Hypothèses!$C$48*$G$4</f>
        <v/>
      </c>
      <c r="M46" s="15">
        <f>M9*Hypothèses!$C$48*$G$4</f>
        <v/>
      </c>
      <c r="N46" s="15">
        <f>N9*Hypothèses!$C$48*$G$4</f>
        <v/>
      </c>
      <c r="O46" s="15">
        <f>O9*Hypothèses!$C$48*$G$4</f>
        <v/>
      </c>
      <c r="P46" s="15">
        <f>P9*Hypothèses!$C$48*$G$4</f>
        <v/>
      </c>
      <c r="Q46" s="15">
        <f>Q9*Hypothèses!$C$48*$G$4</f>
        <v/>
      </c>
      <c r="R46" s="15">
        <f>R9*Hypothèses!$C$48*$G$4</f>
        <v/>
      </c>
      <c r="S46" s="15">
        <f>S9*Hypothèses!$C$48*$G$4</f>
        <v/>
      </c>
      <c r="T46" s="15">
        <f>T9*Hypothèses!$C$48*$G$4</f>
        <v/>
      </c>
      <c r="U46" s="15">
        <f>U9*Hypothèses!$C$48*$G$4</f>
        <v/>
      </c>
      <c r="V46" s="15">
        <f>V9*Hypothèses!$C$48*$G$4</f>
        <v/>
      </c>
      <c r="W46" s="15">
        <f>W9*Hypothèses!$C$48*$G$4</f>
        <v/>
      </c>
      <c r="X46" s="15">
        <f>X9*Hypothèses!$C$48*$G$4</f>
        <v/>
      </c>
      <c r="Y46" s="15">
        <f>Y9*Hypothèses!$C$48*$G$4</f>
        <v/>
      </c>
      <c r="Z46" s="15">
        <f>Z9*Hypothèses!$C$48*$G$4</f>
        <v/>
      </c>
      <c r="AA46" s="15">
        <f>AA9*Hypothèses!$C$48*$G$4</f>
        <v/>
      </c>
      <c r="AB46" s="15">
        <f>AB9*Hypothèses!$C$48*$G$4</f>
        <v/>
      </c>
      <c r="AC46" s="15">
        <f>AC9*Hypothèses!$C$48*$G$4</f>
        <v/>
      </c>
      <c r="AD46" s="15">
        <f>AD9*Hypothèses!$C$48*$G$4</f>
        <v/>
      </c>
      <c r="AE46" s="15">
        <f>AE9*Hypothèses!$C$48*$G$4</f>
        <v/>
      </c>
      <c r="AF46" s="15">
        <f>AF9*Hypothèses!$C$48*$G$4</f>
        <v/>
      </c>
      <c r="AG46" s="15">
        <f>AG9*Hypothèses!$C$48*$G$4</f>
        <v/>
      </c>
      <c r="AH46" s="15">
        <f>AH9*Hypothèses!$C$48*$G$4</f>
        <v/>
      </c>
      <c r="AI46" s="15">
        <f>AI9*Hypothèses!$C$48*$G$4</f>
        <v/>
      </c>
      <c r="AJ46" s="15">
        <f>AJ9*Hypothèses!$C$48*$G$4</f>
        <v/>
      </c>
      <c r="AK46" s="15">
        <f>AK9*Hypothèses!$C$48*$G$4</f>
        <v/>
      </c>
      <c r="AL46" s="15">
        <f>AL9*Hypothèses!$C$48*$G$4</f>
        <v/>
      </c>
      <c r="AN46" s="15">
        <f>SUM(C46:N46)</f>
        <v/>
      </c>
      <c r="AO46" s="15">
        <f>SUM(O46:Z46)</f>
        <v/>
      </c>
      <c r="AP46" s="15">
        <f>SUM(AA46:AL46)</f>
        <v/>
      </c>
    </row>
    <row r="47">
      <c r="A47" s="9" t="inlineStr">
        <is>
          <t>Marketing fixe</t>
        </is>
      </c>
      <c r="B47" s="4" t="inlineStr">
        <is>
          <t>€ HT</t>
        </is>
      </c>
      <c r="C47" s="15">
        <f>C9*Hypothèses!$C$49*$G$4</f>
        <v/>
      </c>
      <c r="D47" s="15">
        <f>D9*Hypothèses!$C$49*$G$4</f>
        <v/>
      </c>
      <c r="E47" s="15">
        <f>E9*Hypothèses!$C$49*$G$4</f>
        <v/>
      </c>
      <c r="F47" s="15">
        <f>F9*Hypothèses!$C$49*$G$4</f>
        <v/>
      </c>
      <c r="G47" s="15">
        <f>G9*Hypothèses!$C$49*$G$4</f>
        <v/>
      </c>
      <c r="H47" s="15">
        <f>H9*Hypothèses!$C$49*$G$4</f>
        <v/>
      </c>
      <c r="I47" s="15">
        <f>I9*Hypothèses!$C$49*$G$4</f>
        <v/>
      </c>
      <c r="J47" s="15">
        <f>J9*Hypothèses!$C$49*$G$4</f>
        <v/>
      </c>
      <c r="K47" s="15">
        <f>K9*Hypothèses!$C$49*$G$4</f>
        <v/>
      </c>
      <c r="L47" s="15">
        <f>L9*Hypothèses!$C$49*$G$4</f>
        <v/>
      </c>
      <c r="M47" s="15">
        <f>M9*Hypothèses!$C$49*$G$4</f>
        <v/>
      </c>
      <c r="N47" s="15">
        <f>N9*Hypothèses!$C$49*$G$4</f>
        <v/>
      </c>
      <c r="O47" s="15">
        <f>O9*Hypothèses!$C$49*$G$4</f>
        <v/>
      </c>
      <c r="P47" s="15">
        <f>P9*Hypothèses!$C$49*$G$4</f>
        <v/>
      </c>
      <c r="Q47" s="15">
        <f>Q9*Hypothèses!$C$49*$G$4</f>
        <v/>
      </c>
      <c r="R47" s="15">
        <f>R9*Hypothèses!$C$49*$G$4</f>
        <v/>
      </c>
      <c r="S47" s="15">
        <f>S9*Hypothèses!$C$49*$G$4</f>
        <v/>
      </c>
      <c r="T47" s="15">
        <f>T9*Hypothèses!$C$49*$G$4</f>
        <v/>
      </c>
      <c r="U47" s="15">
        <f>U9*Hypothèses!$C$49*$G$4</f>
        <v/>
      </c>
      <c r="V47" s="15">
        <f>V9*Hypothèses!$C$49*$G$4</f>
        <v/>
      </c>
      <c r="W47" s="15">
        <f>W9*Hypothèses!$C$49*$G$4</f>
        <v/>
      </c>
      <c r="X47" s="15">
        <f>X9*Hypothèses!$C$49*$G$4</f>
        <v/>
      </c>
      <c r="Y47" s="15">
        <f>Y9*Hypothèses!$C$49*$G$4</f>
        <v/>
      </c>
      <c r="Z47" s="15">
        <f>Z9*Hypothèses!$C$49*$G$4</f>
        <v/>
      </c>
      <c r="AA47" s="15">
        <f>AA9*Hypothèses!$C$49*$G$4</f>
        <v/>
      </c>
      <c r="AB47" s="15">
        <f>AB9*Hypothèses!$C$49*$G$4</f>
        <v/>
      </c>
      <c r="AC47" s="15">
        <f>AC9*Hypothèses!$C$49*$G$4</f>
        <v/>
      </c>
      <c r="AD47" s="15">
        <f>AD9*Hypothèses!$C$49*$G$4</f>
        <v/>
      </c>
      <c r="AE47" s="15">
        <f>AE9*Hypothèses!$C$49*$G$4</f>
        <v/>
      </c>
      <c r="AF47" s="15">
        <f>AF9*Hypothèses!$C$49*$G$4</f>
        <v/>
      </c>
      <c r="AG47" s="15">
        <f>AG9*Hypothèses!$C$49*$G$4</f>
        <v/>
      </c>
      <c r="AH47" s="15">
        <f>AH9*Hypothèses!$C$49*$G$4</f>
        <v/>
      </c>
      <c r="AI47" s="15">
        <f>AI9*Hypothèses!$C$49*$G$4</f>
        <v/>
      </c>
      <c r="AJ47" s="15">
        <f>AJ9*Hypothèses!$C$49*$G$4</f>
        <v/>
      </c>
      <c r="AK47" s="15">
        <f>AK9*Hypothèses!$C$49*$G$4</f>
        <v/>
      </c>
      <c r="AL47" s="15">
        <f>AL9*Hypothèses!$C$49*$G$4</f>
        <v/>
      </c>
      <c r="AN47" s="15">
        <f>SUM(C47:N47)</f>
        <v/>
      </c>
      <c r="AO47" s="15">
        <f>SUM(O47:Z47)</f>
        <v/>
      </c>
      <c r="AP47" s="15">
        <f>SUM(AA47:AL47)</f>
        <v/>
      </c>
    </row>
    <row r="48">
      <c r="A48" s="9" t="inlineStr">
        <is>
          <t>Frais généraux</t>
        </is>
      </c>
      <c r="B48" s="4" t="inlineStr">
        <is>
          <t>€ HT</t>
        </is>
      </c>
      <c r="C48" s="15">
        <f>Hypothèses!$C$50*$G$4</f>
        <v/>
      </c>
      <c r="D48" s="15">
        <f>Hypothèses!$C$50*$G$4</f>
        <v/>
      </c>
      <c r="E48" s="15">
        <f>Hypothèses!$C$50*$G$4</f>
        <v/>
      </c>
      <c r="F48" s="15">
        <f>Hypothèses!$C$50*$G$4</f>
        <v/>
      </c>
      <c r="G48" s="15">
        <f>Hypothèses!$C$50*$G$4</f>
        <v/>
      </c>
      <c r="H48" s="15">
        <f>Hypothèses!$C$50*$G$4</f>
        <v/>
      </c>
      <c r="I48" s="15">
        <f>Hypothèses!$C$50*$G$4</f>
        <v/>
      </c>
      <c r="J48" s="15">
        <f>Hypothèses!$C$50*$G$4</f>
        <v/>
      </c>
      <c r="K48" s="15">
        <f>Hypothèses!$C$50*$G$4</f>
        <v/>
      </c>
      <c r="L48" s="15">
        <f>Hypothèses!$C$50*$G$4</f>
        <v/>
      </c>
      <c r="M48" s="15">
        <f>Hypothèses!$C$50*$G$4</f>
        <v/>
      </c>
      <c r="N48" s="15">
        <f>Hypothèses!$C$50*$G$4</f>
        <v/>
      </c>
      <c r="O48" s="15">
        <f>Hypothèses!$C$50*$G$4</f>
        <v/>
      </c>
      <c r="P48" s="15">
        <f>Hypothèses!$C$50*$G$4</f>
        <v/>
      </c>
      <c r="Q48" s="15">
        <f>Hypothèses!$C$50*$G$4</f>
        <v/>
      </c>
      <c r="R48" s="15">
        <f>Hypothèses!$C$50*$G$4</f>
        <v/>
      </c>
      <c r="S48" s="15">
        <f>Hypothèses!$C$50*$G$4</f>
        <v/>
      </c>
      <c r="T48" s="15">
        <f>Hypothèses!$C$50*$G$4</f>
        <v/>
      </c>
      <c r="U48" s="15">
        <f>Hypothèses!$C$50*$G$4</f>
        <v/>
      </c>
      <c r="V48" s="15">
        <f>Hypothèses!$C$50*$G$4</f>
        <v/>
      </c>
      <c r="W48" s="15">
        <f>Hypothèses!$C$50*$G$4</f>
        <v/>
      </c>
      <c r="X48" s="15">
        <f>Hypothèses!$C$50*$G$4</f>
        <v/>
      </c>
      <c r="Y48" s="15">
        <f>Hypothèses!$C$50*$G$4</f>
        <v/>
      </c>
      <c r="Z48" s="15">
        <f>Hypothèses!$C$50*$G$4</f>
        <v/>
      </c>
      <c r="AA48" s="15">
        <f>Hypothèses!$C$50*$G$4</f>
        <v/>
      </c>
      <c r="AB48" s="15">
        <f>Hypothèses!$C$50*$G$4</f>
        <v/>
      </c>
      <c r="AC48" s="15">
        <f>Hypothèses!$C$50*$G$4</f>
        <v/>
      </c>
      <c r="AD48" s="15">
        <f>Hypothèses!$C$50*$G$4</f>
        <v/>
      </c>
      <c r="AE48" s="15">
        <f>Hypothèses!$C$50*$G$4</f>
        <v/>
      </c>
      <c r="AF48" s="15">
        <f>Hypothèses!$C$50*$G$4</f>
        <v/>
      </c>
      <c r="AG48" s="15">
        <f>Hypothèses!$C$50*$G$4</f>
        <v/>
      </c>
      <c r="AH48" s="15">
        <f>Hypothèses!$C$50*$G$4</f>
        <v/>
      </c>
      <c r="AI48" s="15">
        <f>Hypothèses!$C$50*$G$4</f>
        <v/>
      </c>
      <c r="AJ48" s="15">
        <f>Hypothèses!$C$50*$G$4</f>
        <v/>
      </c>
      <c r="AK48" s="15">
        <f>Hypothèses!$C$50*$G$4</f>
        <v/>
      </c>
      <c r="AL48" s="15">
        <f>Hypothèses!$C$50*$G$4</f>
        <v/>
      </c>
      <c r="AN48" s="15">
        <f>SUM(C48:N48)</f>
        <v/>
      </c>
      <c r="AO48" s="15">
        <f>SUM(O48:Z48)</f>
        <v/>
      </c>
      <c r="AP48" s="15">
        <f>SUM(AA48:AL48)</f>
        <v/>
      </c>
    </row>
    <row r="49">
      <c r="A49" s="9" t="inlineStr">
        <is>
          <t>Audit de sécurité (annuel, à partir du lancement)</t>
        </is>
      </c>
      <c r="B49" s="4" t="inlineStr">
        <is>
          <t>€ HT</t>
        </is>
      </c>
      <c r="C49" s="15">
        <f>IF(AND(C9=1,MOD(C7-$B$5,12)=0),Hypothèses!$C$51,0)*$G$4</f>
        <v/>
      </c>
      <c r="D49" s="15">
        <f>IF(AND(D9=1,MOD(D7-$B$5,12)=0),Hypothèses!$C$51,0)*$G$4</f>
        <v/>
      </c>
      <c r="E49" s="15">
        <f>IF(AND(E9=1,MOD(E7-$B$5,12)=0),Hypothèses!$C$51,0)*$G$4</f>
        <v/>
      </c>
      <c r="F49" s="15">
        <f>IF(AND(F9=1,MOD(F7-$B$5,12)=0),Hypothèses!$C$51,0)*$G$4</f>
        <v/>
      </c>
      <c r="G49" s="15">
        <f>IF(AND(G9=1,MOD(G7-$B$5,12)=0),Hypothèses!$C$51,0)*$G$4</f>
        <v/>
      </c>
      <c r="H49" s="15">
        <f>IF(AND(H9=1,MOD(H7-$B$5,12)=0),Hypothèses!$C$51,0)*$G$4</f>
        <v/>
      </c>
      <c r="I49" s="15">
        <f>IF(AND(I9=1,MOD(I7-$B$5,12)=0),Hypothèses!$C$51,0)*$G$4</f>
        <v/>
      </c>
      <c r="J49" s="15">
        <f>IF(AND(J9=1,MOD(J7-$B$5,12)=0),Hypothèses!$C$51,0)*$G$4</f>
        <v/>
      </c>
      <c r="K49" s="15">
        <f>IF(AND(K9=1,MOD(K7-$B$5,12)=0),Hypothèses!$C$51,0)*$G$4</f>
        <v/>
      </c>
      <c r="L49" s="15">
        <f>IF(AND(L9=1,MOD(L7-$B$5,12)=0),Hypothèses!$C$51,0)*$G$4</f>
        <v/>
      </c>
      <c r="M49" s="15">
        <f>IF(AND(M9=1,MOD(M7-$B$5,12)=0),Hypothèses!$C$51,0)*$G$4</f>
        <v/>
      </c>
      <c r="N49" s="15">
        <f>IF(AND(N9=1,MOD(N7-$B$5,12)=0),Hypothèses!$C$51,0)*$G$4</f>
        <v/>
      </c>
      <c r="O49" s="15">
        <f>IF(AND(O9=1,MOD(O7-$B$5,12)=0),Hypothèses!$C$51,0)*$G$4</f>
        <v/>
      </c>
      <c r="P49" s="15">
        <f>IF(AND(P9=1,MOD(P7-$B$5,12)=0),Hypothèses!$C$51,0)*$G$4</f>
        <v/>
      </c>
      <c r="Q49" s="15">
        <f>IF(AND(Q9=1,MOD(Q7-$B$5,12)=0),Hypothèses!$C$51,0)*$G$4</f>
        <v/>
      </c>
      <c r="R49" s="15">
        <f>IF(AND(R9=1,MOD(R7-$B$5,12)=0),Hypothèses!$C$51,0)*$G$4</f>
        <v/>
      </c>
      <c r="S49" s="15">
        <f>IF(AND(S9=1,MOD(S7-$B$5,12)=0),Hypothèses!$C$51,0)*$G$4</f>
        <v/>
      </c>
      <c r="T49" s="15">
        <f>IF(AND(T9=1,MOD(T7-$B$5,12)=0),Hypothèses!$C$51,0)*$G$4</f>
        <v/>
      </c>
      <c r="U49" s="15">
        <f>IF(AND(U9=1,MOD(U7-$B$5,12)=0),Hypothèses!$C$51,0)*$G$4</f>
        <v/>
      </c>
      <c r="V49" s="15">
        <f>IF(AND(V9=1,MOD(V7-$B$5,12)=0),Hypothèses!$C$51,0)*$G$4</f>
        <v/>
      </c>
      <c r="W49" s="15">
        <f>IF(AND(W9=1,MOD(W7-$B$5,12)=0),Hypothèses!$C$51,0)*$G$4</f>
        <v/>
      </c>
      <c r="X49" s="15">
        <f>IF(AND(X9=1,MOD(X7-$B$5,12)=0),Hypothèses!$C$51,0)*$G$4</f>
        <v/>
      </c>
      <c r="Y49" s="15">
        <f>IF(AND(Y9=1,MOD(Y7-$B$5,12)=0),Hypothèses!$C$51,0)*$G$4</f>
        <v/>
      </c>
      <c r="Z49" s="15">
        <f>IF(AND(Z9=1,MOD(Z7-$B$5,12)=0),Hypothèses!$C$51,0)*$G$4</f>
        <v/>
      </c>
      <c r="AA49" s="15">
        <f>IF(AND(AA9=1,MOD(AA7-$B$5,12)=0),Hypothèses!$C$51,0)*$G$4</f>
        <v/>
      </c>
      <c r="AB49" s="15">
        <f>IF(AND(AB9=1,MOD(AB7-$B$5,12)=0),Hypothèses!$C$51,0)*$G$4</f>
        <v/>
      </c>
      <c r="AC49" s="15">
        <f>IF(AND(AC9=1,MOD(AC7-$B$5,12)=0),Hypothèses!$C$51,0)*$G$4</f>
        <v/>
      </c>
      <c r="AD49" s="15">
        <f>IF(AND(AD9=1,MOD(AD7-$B$5,12)=0),Hypothèses!$C$51,0)*$G$4</f>
        <v/>
      </c>
      <c r="AE49" s="15">
        <f>IF(AND(AE9=1,MOD(AE7-$B$5,12)=0),Hypothèses!$C$51,0)*$G$4</f>
        <v/>
      </c>
      <c r="AF49" s="15">
        <f>IF(AND(AF9=1,MOD(AF7-$B$5,12)=0),Hypothèses!$C$51,0)*$G$4</f>
        <v/>
      </c>
      <c r="AG49" s="15">
        <f>IF(AND(AG9=1,MOD(AG7-$B$5,12)=0),Hypothèses!$C$51,0)*$G$4</f>
        <v/>
      </c>
      <c r="AH49" s="15">
        <f>IF(AND(AH9=1,MOD(AH7-$B$5,12)=0),Hypothèses!$C$51,0)*$G$4</f>
        <v/>
      </c>
      <c r="AI49" s="15">
        <f>IF(AND(AI9=1,MOD(AI7-$B$5,12)=0),Hypothèses!$C$51,0)*$G$4</f>
        <v/>
      </c>
      <c r="AJ49" s="15">
        <f>IF(AND(AJ9=1,MOD(AJ7-$B$5,12)=0),Hypothèses!$C$51,0)*$G$4</f>
        <v/>
      </c>
      <c r="AK49" s="15">
        <f>IF(AND(AK9=1,MOD(AK7-$B$5,12)=0),Hypothèses!$C$51,0)*$G$4</f>
        <v/>
      </c>
      <c r="AL49" s="15">
        <f>IF(AND(AL9=1,MOD(AL7-$B$5,12)=0),Hypothèses!$C$51,0)*$G$4</f>
        <v/>
      </c>
      <c r="AN49" s="15">
        <f>SUM(C49:N49)</f>
        <v/>
      </c>
      <c r="AO49" s="15">
        <f>SUM(O49:Z49)</f>
        <v/>
      </c>
      <c r="AP49" s="15">
        <f>SUM(AA49:AL49)</f>
        <v/>
      </c>
    </row>
    <row r="50">
      <c r="A50" s="9" t="inlineStr">
        <is>
          <t>Frais de constitution</t>
        </is>
      </c>
      <c r="B50" s="4" t="inlineStr">
        <is>
          <t>€ HT</t>
        </is>
      </c>
      <c r="C50" s="15">
        <f>IF(C7=2,Hypothèses!$C$52,0)</f>
        <v/>
      </c>
      <c r="D50" s="15">
        <f>IF(D7=2,Hypothèses!$C$52,0)</f>
        <v/>
      </c>
      <c r="E50" s="15">
        <f>IF(E7=2,Hypothèses!$C$52,0)</f>
        <v/>
      </c>
      <c r="F50" s="15">
        <f>IF(F7=2,Hypothèses!$C$52,0)</f>
        <v/>
      </c>
      <c r="G50" s="15">
        <f>IF(G7=2,Hypothèses!$C$52,0)</f>
        <v/>
      </c>
      <c r="H50" s="15">
        <f>IF(H7=2,Hypothèses!$C$52,0)</f>
        <v/>
      </c>
      <c r="I50" s="15">
        <f>IF(I7=2,Hypothèses!$C$52,0)</f>
        <v/>
      </c>
      <c r="J50" s="15">
        <f>IF(J7=2,Hypothèses!$C$52,0)</f>
        <v/>
      </c>
      <c r="K50" s="15">
        <f>IF(K7=2,Hypothèses!$C$52,0)</f>
        <v/>
      </c>
      <c r="L50" s="15">
        <f>IF(L7=2,Hypothèses!$C$52,0)</f>
        <v/>
      </c>
      <c r="M50" s="15">
        <f>IF(M7=2,Hypothèses!$C$52,0)</f>
        <v/>
      </c>
      <c r="N50" s="15">
        <f>IF(N7=2,Hypothèses!$C$52,0)</f>
        <v/>
      </c>
      <c r="O50" s="15">
        <f>IF(O7=2,Hypothèses!$C$52,0)</f>
        <v/>
      </c>
      <c r="P50" s="15">
        <f>IF(P7=2,Hypothèses!$C$52,0)</f>
        <v/>
      </c>
      <c r="Q50" s="15">
        <f>IF(Q7=2,Hypothèses!$C$52,0)</f>
        <v/>
      </c>
      <c r="R50" s="15">
        <f>IF(R7=2,Hypothèses!$C$52,0)</f>
        <v/>
      </c>
      <c r="S50" s="15">
        <f>IF(S7=2,Hypothèses!$C$52,0)</f>
        <v/>
      </c>
      <c r="T50" s="15">
        <f>IF(T7=2,Hypothèses!$C$52,0)</f>
        <v/>
      </c>
      <c r="U50" s="15">
        <f>IF(U7=2,Hypothèses!$C$52,0)</f>
        <v/>
      </c>
      <c r="V50" s="15">
        <f>IF(V7=2,Hypothèses!$C$52,0)</f>
        <v/>
      </c>
      <c r="W50" s="15">
        <f>IF(W7=2,Hypothèses!$C$52,0)</f>
        <v/>
      </c>
      <c r="X50" s="15">
        <f>IF(X7=2,Hypothèses!$C$52,0)</f>
        <v/>
      </c>
      <c r="Y50" s="15">
        <f>IF(Y7=2,Hypothèses!$C$52,0)</f>
        <v/>
      </c>
      <c r="Z50" s="15">
        <f>IF(Z7=2,Hypothèses!$C$52,0)</f>
        <v/>
      </c>
      <c r="AA50" s="15">
        <f>IF(AA7=2,Hypothèses!$C$52,0)</f>
        <v/>
      </c>
      <c r="AB50" s="15">
        <f>IF(AB7=2,Hypothèses!$C$52,0)</f>
        <v/>
      </c>
      <c r="AC50" s="15">
        <f>IF(AC7=2,Hypothèses!$C$52,0)</f>
        <v/>
      </c>
      <c r="AD50" s="15">
        <f>IF(AD7=2,Hypothèses!$C$52,0)</f>
        <v/>
      </c>
      <c r="AE50" s="15">
        <f>IF(AE7=2,Hypothèses!$C$52,0)</f>
        <v/>
      </c>
      <c r="AF50" s="15">
        <f>IF(AF7=2,Hypothèses!$C$52,0)</f>
        <v/>
      </c>
      <c r="AG50" s="15">
        <f>IF(AG7=2,Hypothèses!$C$52,0)</f>
        <v/>
      </c>
      <c r="AH50" s="15">
        <f>IF(AH7=2,Hypothèses!$C$52,0)</f>
        <v/>
      </c>
      <c r="AI50" s="15">
        <f>IF(AI7=2,Hypothèses!$C$52,0)</f>
        <v/>
      </c>
      <c r="AJ50" s="15">
        <f>IF(AJ7=2,Hypothèses!$C$52,0)</f>
        <v/>
      </c>
      <c r="AK50" s="15">
        <f>IF(AK7=2,Hypothèses!$C$52,0)</f>
        <v/>
      </c>
      <c r="AL50" s="15">
        <f>IF(AL7=2,Hypothèses!$C$52,0)</f>
        <v/>
      </c>
      <c r="AN50" s="15">
        <f>SUM(C50:N50)</f>
        <v/>
      </c>
      <c r="AO50" s="15">
        <f>SUM(O50:Z50)</f>
        <v/>
      </c>
      <c r="AP50" s="15">
        <f>SUM(AA50:AL50)</f>
        <v/>
      </c>
    </row>
    <row r="51">
      <c r="A51" s="2" t="inlineStr">
        <is>
          <t>Total coûts fixes</t>
        </is>
      </c>
      <c r="B51" s="4" t="inlineStr">
        <is>
          <t>€ HT</t>
        </is>
      </c>
      <c r="C51" s="40">
        <f>SUM(C40:C50)</f>
        <v/>
      </c>
      <c r="D51" s="40">
        <f>SUM(D40:D50)</f>
        <v/>
      </c>
      <c r="E51" s="40">
        <f>SUM(E40:E50)</f>
        <v/>
      </c>
      <c r="F51" s="40">
        <f>SUM(F40:F50)</f>
        <v/>
      </c>
      <c r="G51" s="40">
        <f>SUM(G40:G50)</f>
        <v/>
      </c>
      <c r="H51" s="40">
        <f>SUM(H40:H50)</f>
        <v/>
      </c>
      <c r="I51" s="40">
        <f>SUM(I40:I50)</f>
        <v/>
      </c>
      <c r="J51" s="40">
        <f>SUM(J40:J50)</f>
        <v/>
      </c>
      <c r="K51" s="40">
        <f>SUM(K40:K50)</f>
        <v/>
      </c>
      <c r="L51" s="40">
        <f>SUM(L40:L50)</f>
        <v/>
      </c>
      <c r="M51" s="40">
        <f>SUM(M40:M50)</f>
        <v/>
      </c>
      <c r="N51" s="40">
        <f>SUM(N40:N50)</f>
        <v/>
      </c>
      <c r="O51" s="40">
        <f>SUM(O40:O50)</f>
        <v/>
      </c>
      <c r="P51" s="40">
        <f>SUM(P40:P50)</f>
        <v/>
      </c>
      <c r="Q51" s="40">
        <f>SUM(Q40:Q50)</f>
        <v/>
      </c>
      <c r="R51" s="40">
        <f>SUM(R40:R50)</f>
        <v/>
      </c>
      <c r="S51" s="40">
        <f>SUM(S40:S50)</f>
        <v/>
      </c>
      <c r="T51" s="40">
        <f>SUM(T40:T50)</f>
        <v/>
      </c>
      <c r="U51" s="40">
        <f>SUM(U40:U50)</f>
        <v/>
      </c>
      <c r="V51" s="40">
        <f>SUM(V40:V50)</f>
        <v/>
      </c>
      <c r="W51" s="40">
        <f>SUM(W40:W50)</f>
        <v/>
      </c>
      <c r="X51" s="40">
        <f>SUM(X40:X50)</f>
        <v/>
      </c>
      <c r="Y51" s="40">
        <f>SUM(Y40:Y50)</f>
        <v/>
      </c>
      <c r="Z51" s="40">
        <f>SUM(Z40:Z50)</f>
        <v/>
      </c>
      <c r="AA51" s="40">
        <f>SUM(AA40:AA50)</f>
        <v/>
      </c>
      <c r="AB51" s="40">
        <f>SUM(AB40:AB50)</f>
        <v/>
      </c>
      <c r="AC51" s="40">
        <f>SUM(AC40:AC50)</f>
        <v/>
      </c>
      <c r="AD51" s="40">
        <f>SUM(AD40:AD50)</f>
        <v/>
      </c>
      <c r="AE51" s="40">
        <f>SUM(AE40:AE50)</f>
        <v/>
      </c>
      <c r="AF51" s="40">
        <f>SUM(AF40:AF50)</f>
        <v/>
      </c>
      <c r="AG51" s="40">
        <f>SUM(AG40:AG50)</f>
        <v/>
      </c>
      <c r="AH51" s="40">
        <f>SUM(AH40:AH50)</f>
        <v/>
      </c>
      <c r="AI51" s="40">
        <f>SUM(AI40:AI50)</f>
        <v/>
      </c>
      <c r="AJ51" s="40">
        <f>SUM(AJ40:AJ50)</f>
        <v/>
      </c>
      <c r="AK51" s="40">
        <f>SUM(AK40:AK50)</f>
        <v/>
      </c>
      <c r="AL51" s="40">
        <f>SUM(AL40:AL50)</f>
        <v/>
      </c>
      <c r="AN51" s="40">
        <f>SUM(C51:N51)</f>
        <v/>
      </c>
      <c r="AO51" s="40">
        <f>SUM(O51:Z51)</f>
        <v/>
      </c>
      <c r="AP51" s="40">
        <f>SUM(AA51:AL51)</f>
        <v/>
      </c>
    </row>
    <row r="52">
      <c r="A52" s="2" t="inlineStr">
        <is>
          <t>EBITDA (marge variable − acquisition − fixes)</t>
        </is>
      </c>
      <c r="B52" s="4" t="inlineStr">
        <is>
          <t>€ HT</t>
        </is>
      </c>
      <c r="C52" s="40">
        <f>C37-C39-C51</f>
        <v/>
      </c>
      <c r="D52" s="40">
        <f>D37-D39-D51</f>
        <v/>
      </c>
      <c r="E52" s="40">
        <f>E37-E39-E51</f>
        <v/>
      </c>
      <c r="F52" s="40">
        <f>F37-F39-F51</f>
        <v/>
      </c>
      <c r="G52" s="40">
        <f>G37-G39-G51</f>
        <v/>
      </c>
      <c r="H52" s="40">
        <f>H37-H39-H51</f>
        <v/>
      </c>
      <c r="I52" s="40">
        <f>I37-I39-I51</f>
        <v/>
      </c>
      <c r="J52" s="40">
        <f>J37-J39-J51</f>
        <v/>
      </c>
      <c r="K52" s="40">
        <f>K37-K39-K51</f>
        <v/>
      </c>
      <c r="L52" s="40">
        <f>L37-L39-L51</f>
        <v/>
      </c>
      <c r="M52" s="40">
        <f>M37-M39-M51</f>
        <v/>
      </c>
      <c r="N52" s="40">
        <f>N37-N39-N51</f>
        <v/>
      </c>
      <c r="O52" s="40">
        <f>O37-O39-O51</f>
        <v/>
      </c>
      <c r="P52" s="40">
        <f>P37-P39-P51</f>
        <v/>
      </c>
      <c r="Q52" s="40">
        <f>Q37-Q39-Q51</f>
        <v/>
      </c>
      <c r="R52" s="40">
        <f>R37-R39-R51</f>
        <v/>
      </c>
      <c r="S52" s="40">
        <f>S37-S39-S51</f>
        <v/>
      </c>
      <c r="T52" s="40">
        <f>T37-T39-T51</f>
        <v/>
      </c>
      <c r="U52" s="40">
        <f>U37-U39-U51</f>
        <v/>
      </c>
      <c r="V52" s="40">
        <f>V37-V39-V51</f>
        <v/>
      </c>
      <c r="W52" s="40">
        <f>W37-W39-W51</f>
        <v/>
      </c>
      <c r="X52" s="40">
        <f>X37-X39-X51</f>
        <v/>
      </c>
      <c r="Y52" s="40">
        <f>Y37-Y39-Y51</f>
        <v/>
      </c>
      <c r="Z52" s="40">
        <f>Z37-Z39-Z51</f>
        <v/>
      </c>
      <c r="AA52" s="40">
        <f>AA37-AA39-AA51</f>
        <v/>
      </c>
      <c r="AB52" s="40">
        <f>AB37-AB39-AB51</f>
        <v/>
      </c>
      <c r="AC52" s="40">
        <f>AC37-AC39-AC51</f>
        <v/>
      </c>
      <c r="AD52" s="40">
        <f>AD37-AD39-AD51</f>
        <v/>
      </c>
      <c r="AE52" s="40">
        <f>AE37-AE39-AE51</f>
        <v/>
      </c>
      <c r="AF52" s="40">
        <f>AF37-AF39-AF51</f>
        <v/>
      </c>
      <c r="AG52" s="40">
        <f>AG37-AG39-AG51</f>
        <v/>
      </c>
      <c r="AH52" s="40">
        <f>AH37-AH39-AH51</f>
        <v/>
      </c>
      <c r="AI52" s="40">
        <f>AI37-AI39-AI51</f>
        <v/>
      </c>
      <c r="AJ52" s="40">
        <f>AJ37-AJ39-AJ51</f>
        <v/>
      </c>
      <c r="AK52" s="40">
        <f>AK37-AK39-AK51</f>
        <v/>
      </c>
      <c r="AL52" s="40">
        <f>AL37-AL39-AL51</f>
        <v/>
      </c>
      <c r="AN52" s="40">
        <f>SUM(C52:N52)</f>
        <v/>
      </c>
      <c r="AO52" s="40">
        <f>SUM(O52:Z52)</f>
        <v/>
      </c>
      <c r="AP52" s="40">
        <f>SUM(AA52:AL52)</f>
        <v/>
      </c>
    </row>
    <row r="53">
      <c r="A53" s="9" t="inlineStr">
        <is>
          <t>EBITDA positif ? (1 = oui)</t>
        </is>
      </c>
      <c r="B53" s="4" t="inlineStr">
        <is>
          <t>0/1</t>
        </is>
      </c>
      <c r="C53" s="13">
        <f>IF(C52&gt;0,1,0)</f>
        <v/>
      </c>
      <c r="D53" s="13">
        <f>IF(D52&gt;0,1,0)</f>
        <v/>
      </c>
      <c r="E53" s="13">
        <f>IF(E52&gt;0,1,0)</f>
        <v/>
      </c>
      <c r="F53" s="13">
        <f>IF(F52&gt;0,1,0)</f>
        <v/>
      </c>
      <c r="G53" s="13">
        <f>IF(G52&gt;0,1,0)</f>
        <v/>
      </c>
      <c r="H53" s="13">
        <f>IF(H52&gt;0,1,0)</f>
        <v/>
      </c>
      <c r="I53" s="13">
        <f>IF(I52&gt;0,1,0)</f>
        <v/>
      </c>
      <c r="J53" s="13">
        <f>IF(J52&gt;0,1,0)</f>
        <v/>
      </c>
      <c r="K53" s="13">
        <f>IF(K52&gt;0,1,0)</f>
        <v/>
      </c>
      <c r="L53" s="13">
        <f>IF(L52&gt;0,1,0)</f>
        <v/>
      </c>
      <c r="M53" s="13">
        <f>IF(M52&gt;0,1,0)</f>
        <v/>
      </c>
      <c r="N53" s="13">
        <f>IF(N52&gt;0,1,0)</f>
        <v/>
      </c>
      <c r="O53" s="13">
        <f>IF(O52&gt;0,1,0)</f>
        <v/>
      </c>
      <c r="P53" s="13">
        <f>IF(P52&gt;0,1,0)</f>
        <v/>
      </c>
      <c r="Q53" s="13">
        <f>IF(Q52&gt;0,1,0)</f>
        <v/>
      </c>
      <c r="R53" s="13">
        <f>IF(R52&gt;0,1,0)</f>
        <v/>
      </c>
      <c r="S53" s="13">
        <f>IF(S52&gt;0,1,0)</f>
        <v/>
      </c>
      <c r="T53" s="13">
        <f>IF(T52&gt;0,1,0)</f>
        <v/>
      </c>
      <c r="U53" s="13">
        <f>IF(U52&gt;0,1,0)</f>
        <v/>
      </c>
      <c r="V53" s="13">
        <f>IF(V52&gt;0,1,0)</f>
        <v/>
      </c>
      <c r="W53" s="13">
        <f>IF(W52&gt;0,1,0)</f>
        <v/>
      </c>
      <c r="X53" s="13">
        <f>IF(X52&gt;0,1,0)</f>
        <v/>
      </c>
      <c r="Y53" s="13">
        <f>IF(Y52&gt;0,1,0)</f>
        <v/>
      </c>
      <c r="Z53" s="13">
        <f>IF(Z52&gt;0,1,0)</f>
        <v/>
      </c>
      <c r="AA53" s="13">
        <f>IF(AA52&gt;0,1,0)</f>
        <v/>
      </c>
      <c r="AB53" s="13">
        <f>IF(AB52&gt;0,1,0)</f>
        <v/>
      </c>
      <c r="AC53" s="13">
        <f>IF(AC52&gt;0,1,0)</f>
        <v/>
      </c>
      <c r="AD53" s="13">
        <f>IF(AD52&gt;0,1,0)</f>
        <v/>
      </c>
      <c r="AE53" s="13">
        <f>IF(AE52&gt;0,1,0)</f>
        <v/>
      </c>
      <c r="AF53" s="13">
        <f>IF(AF52&gt;0,1,0)</f>
        <v/>
      </c>
      <c r="AG53" s="13">
        <f>IF(AG52&gt;0,1,0)</f>
        <v/>
      </c>
      <c r="AH53" s="13">
        <f>IF(AH52&gt;0,1,0)</f>
        <v/>
      </c>
      <c r="AI53" s="13">
        <f>IF(AI52&gt;0,1,0)</f>
        <v/>
      </c>
      <c r="AJ53" s="13">
        <f>IF(AJ52&gt;0,1,0)</f>
        <v/>
      </c>
      <c r="AK53" s="13">
        <f>IF(AK52&gt;0,1,0)</f>
        <v/>
      </c>
      <c r="AL53" s="13">
        <f>IF(AL52&gt;0,1,0)</f>
        <v/>
      </c>
    </row>
    <row r="54">
      <c r="A54" s="8" t="inlineStr">
        <is>
          <t>Trésorerie</t>
        </is>
      </c>
    </row>
    <row r="55">
      <c r="A55" s="9" t="inlineStr">
        <is>
          <t>TVA collectée reversée (mois suivant)</t>
        </is>
      </c>
      <c r="B55" s="4" t="inlineStr">
        <is>
          <t>€</t>
        </is>
      </c>
      <c r="C55" s="15">
        <f>0</f>
        <v/>
      </c>
      <c r="D55" s="15">
        <f>C27</f>
        <v/>
      </c>
      <c r="E55" s="15">
        <f>D27</f>
        <v/>
      </c>
      <c r="F55" s="15">
        <f>E27</f>
        <v/>
      </c>
      <c r="G55" s="15">
        <f>F27</f>
        <v/>
      </c>
      <c r="H55" s="15">
        <f>G27</f>
        <v/>
      </c>
      <c r="I55" s="15">
        <f>H27</f>
        <v/>
      </c>
      <c r="J55" s="15">
        <f>I27</f>
        <v/>
      </c>
      <c r="K55" s="15">
        <f>J27</f>
        <v/>
      </c>
      <c r="L55" s="15">
        <f>K27</f>
        <v/>
      </c>
      <c r="M55" s="15">
        <f>L27</f>
        <v/>
      </c>
      <c r="N55" s="15">
        <f>M27</f>
        <v/>
      </c>
      <c r="O55" s="15">
        <f>N27</f>
        <v/>
      </c>
      <c r="P55" s="15">
        <f>O27</f>
        <v/>
      </c>
      <c r="Q55" s="15">
        <f>P27</f>
        <v/>
      </c>
      <c r="R55" s="15">
        <f>Q27</f>
        <v/>
      </c>
      <c r="S55" s="15">
        <f>R27</f>
        <v/>
      </c>
      <c r="T55" s="15">
        <f>S27</f>
        <v/>
      </c>
      <c r="U55" s="15">
        <f>T27</f>
        <v/>
      </c>
      <c r="V55" s="15">
        <f>U27</f>
        <v/>
      </c>
      <c r="W55" s="15">
        <f>V27</f>
        <v/>
      </c>
      <c r="X55" s="15">
        <f>W27</f>
        <v/>
      </c>
      <c r="Y55" s="15">
        <f>X27</f>
        <v/>
      </c>
      <c r="Z55" s="15">
        <f>Y27</f>
        <v/>
      </c>
      <c r="AA55" s="15">
        <f>Z27</f>
        <v/>
      </c>
      <c r="AB55" s="15">
        <f>AA27</f>
        <v/>
      </c>
      <c r="AC55" s="15">
        <f>AB27</f>
        <v/>
      </c>
      <c r="AD55" s="15">
        <f>AC27</f>
        <v/>
      </c>
      <c r="AE55" s="15">
        <f>AD27</f>
        <v/>
      </c>
      <c r="AF55" s="15">
        <f>AE27</f>
        <v/>
      </c>
      <c r="AG55" s="15">
        <f>AF27</f>
        <v/>
      </c>
      <c r="AH55" s="15">
        <f>AG27</f>
        <v/>
      </c>
      <c r="AI55" s="15">
        <f>AH27</f>
        <v/>
      </c>
      <c r="AJ55" s="15">
        <f>AI27</f>
        <v/>
      </c>
      <c r="AK55" s="15">
        <f>AJ27</f>
        <v/>
      </c>
      <c r="AL55" s="15">
        <f>AK27</f>
        <v/>
      </c>
      <c r="AN55" s="15">
        <f>SUM(C55:N55)</f>
        <v/>
      </c>
      <c r="AO55" s="15">
        <f>SUM(O55:Z55)</f>
        <v/>
      </c>
      <c r="AP55" s="15">
        <f>SUM(AA55:AL55)</f>
        <v/>
      </c>
    </row>
    <row r="56">
      <c r="A56" s="9" t="inlineStr">
        <is>
          <t>TVA déductible récupérée (mois suivant, coûts externes)</t>
        </is>
      </c>
      <c r="B56" s="4" t="inlineStr">
        <is>
          <t>€</t>
        </is>
      </c>
      <c r="C56" s="15">
        <f>0</f>
        <v/>
      </c>
      <c r="D56" s="15">
        <f>(C36+C39+C43+C44+C45+C47+C48+C49+C50)*Hypothèses!$C$15</f>
        <v/>
      </c>
      <c r="E56" s="15">
        <f>(D36+D39+D43+D44+D45+D47+D48+D49+D50)*Hypothèses!$C$15</f>
        <v/>
      </c>
      <c r="F56" s="15">
        <f>(E36+E39+E43+E44+E45+E47+E48+E49+E50)*Hypothèses!$C$15</f>
        <v/>
      </c>
      <c r="G56" s="15">
        <f>(F36+F39+F43+F44+F45+F47+F48+F49+F50)*Hypothèses!$C$15</f>
        <v/>
      </c>
      <c r="H56" s="15">
        <f>(G36+G39+G43+G44+G45+G47+G48+G49+G50)*Hypothèses!$C$15</f>
        <v/>
      </c>
      <c r="I56" s="15">
        <f>(H36+H39+H43+H44+H45+H47+H48+H49+H50)*Hypothèses!$C$15</f>
        <v/>
      </c>
      <c r="J56" s="15">
        <f>(I36+I39+I43+I44+I45+I47+I48+I49+I50)*Hypothèses!$C$15</f>
        <v/>
      </c>
      <c r="K56" s="15">
        <f>(J36+J39+J43+J44+J45+J47+J48+J49+J50)*Hypothèses!$C$15</f>
        <v/>
      </c>
      <c r="L56" s="15">
        <f>(K36+K39+K43+K44+K45+K47+K48+K49+K50)*Hypothèses!$C$15</f>
        <v/>
      </c>
      <c r="M56" s="15">
        <f>(L36+L39+L43+L44+L45+L47+L48+L49+L50)*Hypothèses!$C$15</f>
        <v/>
      </c>
      <c r="N56" s="15">
        <f>(M36+M39+M43+M44+M45+M47+M48+M49+M50)*Hypothèses!$C$15</f>
        <v/>
      </c>
      <c r="O56" s="15">
        <f>(N36+N39+N43+N44+N45+N47+N48+N49+N50)*Hypothèses!$C$15</f>
        <v/>
      </c>
      <c r="P56" s="15">
        <f>(O36+O39+O43+O44+O45+O47+O48+O49+O50)*Hypothèses!$C$15</f>
        <v/>
      </c>
      <c r="Q56" s="15">
        <f>(P36+P39+P43+P44+P45+P47+P48+P49+P50)*Hypothèses!$C$15</f>
        <v/>
      </c>
      <c r="R56" s="15">
        <f>(Q36+Q39+Q43+Q44+Q45+Q47+Q48+Q49+Q50)*Hypothèses!$C$15</f>
        <v/>
      </c>
      <c r="S56" s="15">
        <f>(R36+R39+R43+R44+R45+R47+R48+R49+R50)*Hypothèses!$C$15</f>
        <v/>
      </c>
      <c r="T56" s="15">
        <f>(S36+S39+S43+S44+S45+S47+S48+S49+S50)*Hypothèses!$C$15</f>
        <v/>
      </c>
      <c r="U56" s="15">
        <f>(T36+T39+T43+T44+T45+T47+T48+T49+T50)*Hypothèses!$C$15</f>
        <v/>
      </c>
      <c r="V56" s="15">
        <f>(U36+U39+U43+U44+U45+U47+U48+U49+U50)*Hypothèses!$C$15</f>
        <v/>
      </c>
      <c r="W56" s="15">
        <f>(V36+V39+V43+V44+V45+V47+V48+V49+V50)*Hypothèses!$C$15</f>
        <v/>
      </c>
      <c r="X56" s="15">
        <f>(W36+W39+W43+W44+W45+W47+W48+W49+W50)*Hypothèses!$C$15</f>
        <v/>
      </c>
      <c r="Y56" s="15">
        <f>(X36+X39+X43+X44+X45+X47+X48+X49+X50)*Hypothèses!$C$15</f>
        <v/>
      </c>
      <c r="Z56" s="15">
        <f>(Y36+Y39+Y43+Y44+Y45+Y47+Y48+Y49+Y50)*Hypothèses!$C$15</f>
        <v/>
      </c>
      <c r="AA56" s="15">
        <f>(Z36+Z39+Z43+Z44+Z45+Z47+Z48+Z49+Z50)*Hypothèses!$C$15</f>
        <v/>
      </c>
      <c r="AB56" s="15">
        <f>(AA36+AA39+AA43+AA44+AA45+AA47+AA48+AA49+AA50)*Hypothèses!$C$15</f>
        <v/>
      </c>
      <c r="AC56" s="15">
        <f>(AB36+AB39+AB43+AB44+AB45+AB47+AB48+AB49+AB50)*Hypothèses!$C$15</f>
        <v/>
      </c>
      <c r="AD56" s="15">
        <f>(AC36+AC39+AC43+AC44+AC45+AC47+AC48+AC49+AC50)*Hypothèses!$C$15</f>
        <v/>
      </c>
      <c r="AE56" s="15">
        <f>(AD36+AD39+AD43+AD44+AD45+AD47+AD48+AD49+AD50)*Hypothèses!$C$15</f>
        <v/>
      </c>
      <c r="AF56" s="15">
        <f>(AE36+AE39+AE43+AE44+AE45+AE47+AE48+AE49+AE50)*Hypothèses!$C$15</f>
        <v/>
      </c>
      <c r="AG56" s="15">
        <f>(AF36+AF39+AF43+AF44+AF45+AF47+AF48+AF49+AF50)*Hypothèses!$C$15</f>
        <v/>
      </c>
      <c r="AH56" s="15">
        <f>(AG36+AG39+AG43+AG44+AG45+AG47+AG48+AG49+AG50)*Hypothèses!$C$15</f>
        <v/>
      </c>
      <c r="AI56" s="15">
        <f>(AH36+AH39+AH43+AH44+AH45+AH47+AH48+AH49+AH50)*Hypothèses!$C$15</f>
        <v/>
      </c>
      <c r="AJ56" s="15">
        <f>(AI36+AI39+AI43+AI44+AI45+AI47+AI48+AI49+AI50)*Hypothèses!$C$15</f>
        <v/>
      </c>
      <c r="AK56" s="15">
        <f>(AJ36+AJ39+AJ43+AJ44+AJ45+AJ47+AJ48+AJ49+AJ50)*Hypothèses!$C$15</f>
        <v/>
      </c>
      <c r="AL56" s="15">
        <f>(AK36+AK39+AK43+AK44+AK45+AK47+AK48+AK49+AK50)*Hypothèses!$C$15</f>
        <v/>
      </c>
      <c r="AN56" s="15">
        <f>SUM(C56:N56)</f>
        <v/>
      </c>
      <c r="AO56" s="15">
        <f>SUM(O56:Z56)</f>
        <v/>
      </c>
      <c r="AP56" s="15">
        <f>SUM(AA56:AL56)</f>
        <v/>
      </c>
    </row>
    <row r="57">
      <c r="A57" s="9" t="inlineStr">
        <is>
          <t>Financement reçu</t>
        </is>
      </c>
      <c r="B57" s="4" t="inlineStr">
        <is>
          <t>€</t>
        </is>
      </c>
      <c r="C57" s="15">
        <f>Hypothèses!$C$56*(IF(C7=Hypothèses!$C$57,Hypothèses!$C$58,0)+IF(C7=Hypothèses!$C$59,Hypothèses!$C$60,0)+IF(C7=Hypothèses!$C$61,Hypothèses!$C$62,0))</f>
        <v/>
      </c>
      <c r="D57" s="15">
        <f>Hypothèses!$C$56*(IF(D7=Hypothèses!$C$57,Hypothèses!$C$58,0)+IF(D7=Hypothèses!$C$59,Hypothèses!$C$60,0)+IF(D7=Hypothèses!$C$61,Hypothèses!$C$62,0))</f>
        <v/>
      </c>
      <c r="E57" s="15">
        <f>Hypothèses!$C$56*(IF(E7=Hypothèses!$C$57,Hypothèses!$C$58,0)+IF(E7=Hypothèses!$C$59,Hypothèses!$C$60,0)+IF(E7=Hypothèses!$C$61,Hypothèses!$C$62,0))</f>
        <v/>
      </c>
      <c r="F57" s="15">
        <f>Hypothèses!$C$56*(IF(F7=Hypothèses!$C$57,Hypothèses!$C$58,0)+IF(F7=Hypothèses!$C$59,Hypothèses!$C$60,0)+IF(F7=Hypothèses!$C$61,Hypothèses!$C$62,0))</f>
        <v/>
      </c>
      <c r="G57" s="15">
        <f>Hypothèses!$C$56*(IF(G7=Hypothèses!$C$57,Hypothèses!$C$58,0)+IF(G7=Hypothèses!$C$59,Hypothèses!$C$60,0)+IF(G7=Hypothèses!$C$61,Hypothèses!$C$62,0))</f>
        <v/>
      </c>
      <c r="H57" s="15">
        <f>Hypothèses!$C$56*(IF(H7=Hypothèses!$C$57,Hypothèses!$C$58,0)+IF(H7=Hypothèses!$C$59,Hypothèses!$C$60,0)+IF(H7=Hypothèses!$C$61,Hypothèses!$C$62,0))</f>
        <v/>
      </c>
      <c r="I57" s="15">
        <f>Hypothèses!$C$56*(IF(I7=Hypothèses!$C$57,Hypothèses!$C$58,0)+IF(I7=Hypothèses!$C$59,Hypothèses!$C$60,0)+IF(I7=Hypothèses!$C$61,Hypothèses!$C$62,0))</f>
        <v/>
      </c>
      <c r="J57" s="15">
        <f>Hypothèses!$C$56*(IF(J7=Hypothèses!$C$57,Hypothèses!$C$58,0)+IF(J7=Hypothèses!$C$59,Hypothèses!$C$60,0)+IF(J7=Hypothèses!$C$61,Hypothèses!$C$62,0))</f>
        <v/>
      </c>
      <c r="K57" s="15">
        <f>Hypothèses!$C$56*(IF(K7=Hypothèses!$C$57,Hypothèses!$C$58,0)+IF(K7=Hypothèses!$C$59,Hypothèses!$C$60,0)+IF(K7=Hypothèses!$C$61,Hypothèses!$C$62,0))</f>
        <v/>
      </c>
      <c r="L57" s="15">
        <f>Hypothèses!$C$56*(IF(L7=Hypothèses!$C$57,Hypothèses!$C$58,0)+IF(L7=Hypothèses!$C$59,Hypothèses!$C$60,0)+IF(L7=Hypothèses!$C$61,Hypothèses!$C$62,0))</f>
        <v/>
      </c>
      <c r="M57" s="15">
        <f>Hypothèses!$C$56*(IF(M7=Hypothèses!$C$57,Hypothèses!$C$58,0)+IF(M7=Hypothèses!$C$59,Hypothèses!$C$60,0)+IF(M7=Hypothèses!$C$61,Hypothèses!$C$62,0))</f>
        <v/>
      </c>
      <c r="N57" s="15">
        <f>Hypothèses!$C$56*(IF(N7=Hypothèses!$C$57,Hypothèses!$C$58,0)+IF(N7=Hypothèses!$C$59,Hypothèses!$C$60,0)+IF(N7=Hypothèses!$C$61,Hypothèses!$C$62,0))</f>
        <v/>
      </c>
      <c r="O57" s="15">
        <f>Hypothèses!$C$56*(IF(O7=Hypothèses!$C$57,Hypothèses!$C$58,0)+IF(O7=Hypothèses!$C$59,Hypothèses!$C$60,0)+IF(O7=Hypothèses!$C$61,Hypothèses!$C$62,0))</f>
        <v/>
      </c>
      <c r="P57" s="15">
        <f>Hypothèses!$C$56*(IF(P7=Hypothèses!$C$57,Hypothèses!$C$58,0)+IF(P7=Hypothèses!$C$59,Hypothèses!$C$60,0)+IF(P7=Hypothèses!$C$61,Hypothèses!$C$62,0))</f>
        <v/>
      </c>
      <c r="Q57" s="15">
        <f>Hypothèses!$C$56*(IF(Q7=Hypothèses!$C$57,Hypothèses!$C$58,0)+IF(Q7=Hypothèses!$C$59,Hypothèses!$C$60,0)+IF(Q7=Hypothèses!$C$61,Hypothèses!$C$62,0))</f>
        <v/>
      </c>
      <c r="R57" s="15">
        <f>Hypothèses!$C$56*(IF(R7=Hypothèses!$C$57,Hypothèses!$C$58,0)+IF(R7=Hypothèses!$C$59,Hypothèses!$C$60,0)+IF(R7=Hypothèses!$C$61,Hypothèses!$C$62,0))</f>
        <v/>
      </c>
      <c r="S57" s="15">
        <f>Hypothèses!$C$56*(IF(S7=Hypothèses!$C$57,Hypothèses!$C$58,0)+IF(S7=Hypothèses!$C$59,Hypothèses!$C$60,0)+IF(S7=Hypothèses!$C$61,Hypothèses!$C$62,0))</f>
        <v/>
      </c>
      <c r="T57" s="15">
        <f>Hypothèses!$C$56*(IF(T7=Hypothèses!$C$57,Hypothèses!$C$58,0)+IF(T7=Hypothèses!$C$59,Hypothèses!$C$60,0)+IF(T7=Hypothèses!$C$61,Hypothèses!$C$62,0))</f>
        <v/>
      </c>
      <c r="U57" s="15">
        <f>Hypothèses!$C$56*(IF(U7=Hypothèses!$C$57,Hypothèses!$C$58,0)+IF(U7=Hypothèses!$C$59,Hypothèses!$C$60,0)+IF(U7=Hypothèses!$C$61,Hypothèses!$C$62,0))</f>
        <v/>
      </c>
      <c r="V57" s="15">
        <f>Hypothèses!$C$56*(IF(V7=Hypothèses!$C$57,Hypothèses!$C$58,0)+IF(V7=Hypothèses!$C$59,Hypothèses!$C$60,0)+IF(V7=Hypothèses!$C$61,Hypothèses!$C$62,0))</f>
        <v/>
      </c>
      <c r="W57" s="15">
        <f>Hypothèses!$C$56*(IF(W7=Hypothèses!$C$57,Hypothèses!$C$58,0)+IF(W7=Hypothèses!$C$59,Hypothèses!$C$60,0)+IF(W7=Hypothèses!$C$61,Hypothèses!$C$62,0))</f>
        <v/>
      </c>
      <c r="X57" s="15">
        <f>Hypothèses!$C$56*(IF(X7=Hypothèses!$C$57,Hypothèses!$C$58,0)+IF(X7=Hypothèses!$C$59,Hypothèses!$C$60,0)+IF(X7=Hypothèses!$C$61,Hypothèses!$C$62,0))</f>
        <v/>
      </c>
      <c r="Y57" s="15">
        <f>Hypothèses!$C$56*(IF(Y7=Hypothèses!$C$57,Hypothèses!$C$58,0)+IF(Y7=Hypothèses!$C$59,Hypothèses!$C$60,0)+IF(Y7=Hypothèses!$C$61,Hypothèses!$C$62,0))</f>
        <v/>
      </c>
      <c r="Z57" s="15">
        <f>Hypothèses!$C$56*(IF(Z7=Hypothèses!$C$57,Hypothèses!$C$58,0)+IF(Z7=Hypothèses!$C$59,Hypothèses!$C$60,0)+IF(Z7=Hypothèses!$C$61,Hypothèses!$C$62,0))</f>
        <v/>
      </c>
      <c r="AA57" s="15">
        <f>Hypothèses!$C$56*(IF(AA7=Hypothèses!$C$57,Hypothèses!$C$58,0)+IF(AA7=Hypothèses!$C$59,Hypothèses!$C$60,0)+IF(AA7=Hypothèses!$C$61,Hypothèses!$C$62,0))</f>
        <v/>
      </c>
      <c r="AB57" s="15">
        <f>Hypothèses!$C$56*(IF(AB7=Hypothèses!$C$57,Hypothèses!$C$58,0)+IF(AB7=Hypothèses!$C$59,Hypothèses!$C$60,0)+IF(AB7=Hypothèses!$C$61,Hypothèses!$C$62,0))</f>
        <v/>
      </c>
      <c r="AC57" s="15">
        <f>Hypothèses!$C$56*(IF(AC7=Hypothèses!$C$57,Hypothèses!$C$58,0)+IF(AC7=Hypothèses!$C$59,Hypothèses!$C$60,0)+IF(AC7=Hypothèses!$C$61,Hypothèses!$C$62,0))</f>
        <v/>
      </c>
      <c r="AD57" s="15">
        <f>Hypothèses!$C$56*(IF(AD7=Hypothèses!$C$57,Hypothèses!$C$58,0)+IF(AD7=Hypothèses!$C$59,Hypothèses!$C$60,0)+IF(AD7=Hypothèses!$C$61,Hypothèses!$C$62,0))</f>
        <v/>
      </c>
      <c r="AE57" s="15">
        <f>Hypothèses!$C$56*(IF(AE7=Hypothèses!$C$57,Hypothèses!$C$58,0)+IF(AE7=Hypothèses!$C$59,Hypothèses!$C$60,0)+IF(AE7=Hypothèses!$C$61,Hypothèses!$C$62,0))</f>
        <v/>
      </c>
      <c r="AF57" s="15">
        <f>Hypothèses!$C$56*(IF(AF7=Hypothèses!$C$57,Hypothèses!$C$58,0)+IF(AF7=Hypothèses!$C$59,Hypothèses!$C$60,0)+IF(AF7=Hypothèses!$C$61,Hypothèses!$C$62,0))</f>
        <v/>
      </c>
      <c r="AG57" s="15">
        <f>Hypothèses!$C$56*(IF(AG7=Hypothèses!$C$57,Hypothèses!$C$58,0)+IF(AG7=Hypothèses!$C$59,Hypothèses!$C$60,0)+IF(AG7=Hypothèses!$C$61,Hypothèses!$C$62,0))</f>
        <v/>
      </c>
      <c r="AH57" s="15">
        <f>Hypothèses!$C$56*(IF(AH7=Hypothèses!$C$57,Hypothèses!$C$58,0)+IF(AH7=Hypothèses!$C$59,Hypothèses!$C$60,0)+IF(AH7=Hypothèses!$C$61,Hypothèses!$C$62,0))</f>
        <v/>
      </c>
      <c r="AI57" s="15">
        <f>Hypothèses!$C$56*(IF(AI7=Hypothèses!$C$57,Hypothèses!$C$58,0)+IF(AI7=Hypothèses!$C$59,Hypothèses!$C$60,0)+IF(AI7=Hypothèses!$C$61,Hypothèses!$C$62,0))</f>
        <v/>
      </c>
      <c r="AJ57" s="15">
        <f>Hypothèses!$C$56*(IF(AJ7=Hypothèses!$C$57,Hypothèses!$C$58,0)+IF(AJ7=Hypothèses!$C$59,Hypothèses!$C$60,0)+IF(AJ7=Hypothèses!$C$61,Hypothèses!$C$62,0))</f>
        <v/>
      </c>
      <c r="AK57" s="15">
        <f>Hypothèses!$C$56*(IF(AK7=Hypothèses!$C$57,Hypothèses!$C$58,0)+IF(AK7=Hypothèses!$C$59,Hypothèses!$C$60,0)+IF(AK7=Hypothèses!$C$61,Hypothèses!$C$62,0))</f>
        <v/>
      </c>
      <c r="AL57" s="15">
        <f>Hypothèses!$C$56*(IF(AL7=Hypothèses!$C$57,Hypothèses!$C$58,0)+IF(AL7=Hypothèses!$C$59,Hypothèses!$C$60,0)+IF(AL7=Hypothèses!$C$61,Hypothèses!$C$62,0))</f>
        <v/>
      </c>
      <c r="AN57" s="15">
        <f>SUM(C57:N57)</f>
        <v/>
      </c>
      <c r="AO57" s="15">
        <f>SUM(O57:Z57)</f>
        <v/>
      </c>
      <c r="AP57" s="15">
        <f>SUM(AA57:AL57)</f>
        <v/>
      </c>
    </row>
    <row r="58">
      <c r="A58" s="9" t="inlineStr">
        <is>
          <t>Trésorerie d'ouverture</t>
        </is>
      </c>
      <c r="B58" s="4" t="inlineStr">
        <is>
          <t>€</t>
        </is>
      </c>
      <c r="C58" s="15">
        <f>Hypothèses!$C$54</f>
        <v/>
      </c>
      <c r="D58" s="15">
        <f>C60</f>
        <v/>
      </c>
      <c r="E58" s="15">
        <f>D60</f>
        <v/>
      </c>
      <c r="F58" s="15">
        <f>E60</f>
        <v/>
      </c>
      <c r="G58" s="15">
        <f>F60</f>
        <v/>
      </c>
      <c r="H58" s="15">
        <f>G60</f>
        <v/>
      </c>
      <c r="I58" s="15">
        <f>H60</f>
        <v/>
      </c>
      <c r="J58" s="15">
        <f>I60</f>
        <v/>
      </c>
      <c r="K58" s="15">
        <f>J60</f>
        <v/>
      </c>
      <c r="L58" s="15">
        <f>K60</f>
        <v/>
      </c>
      <c r="M58" s="15">
        <f>L60</f>
        <v/>
      </c>
      <c r="N58" s="15">
        <f>M60</f>
        <v/>
      </c>
      <c r="O58" s="15">
        <f>N60</f>
        <v/>
      </c>
      <c r="P58" s="15">
        <f>O60</f>
        <v/>
      </c>
      <c r="Q58" s="15">
        <f>P60</f>
        <v/>
      </c>
      <c r="R58" s="15">
        <f>Q60</f>
        <v/>
      </c>
      <c r="S58" s="15">
        <f>R60</f>
        <v/>
      </c>
      <c r="T58" s="15">
        <f>S60</f>
        <v/>
      </c>
      <c r="U58" s="15">
        <f>T60</f>
        <v/>
      </c>
      <c r="V58" s="15">
        <f>U60</f>
        <v/>
      </c>
      <c r="W58" s="15">
        <f>V60</f>
        <v/>
      </c>
      <c r="X58" s="15">
        <f>W60</f>
        <v/>
      </c>
      <c r="Y58" s="15">
        <f>X60</f>
        <v/>
      </c>
      <c r="Z58" s="15">
        <f>Y60</f>
        <v/>
      </c>
      <c r="AA58" s="15">
        <f>Z60</f>
        <v/>
      </c>
      <c r="AB58" s="15">
        <f>AA60</f>
        <v/>
      </c>
      <c r="AC58" s="15">
        <f>AB60</f>
        <v/>
      </c>
      <c r="AD58" s="15">
        <f>AC60</f>
        <v/>
      </c>
      <c r="AE58" s="15">
        <f>AD60</f>
        <v/>
      </c>
      <c r="AF58" s="15">
        <f>AE60</f>
        <v/>
      </c>
      <c r="AG58" s="15">
        <f>AF60</f>
        <v/>
      </c>
      <c r="AH58" s="15">
        <f>AG60</f>
        <v/>
      </c>
      <c r="AI58" s="15">
        <f>AH60</f>
        <v/>
      </c>
      <c r="AJ58" s="15">
        <f>AI60</f>
        <v/>
      </c>
      <c r="AK58" s="15">
        <f>AJ60</f>
        <v/>
      </c>
      <c r="AL58" s="15">
        <f>AK60</f>
        <v/>
      </c>
    </row>
    <row r="59">
      <c r="A59" s="9" t="inlineStr">
        <is>
          <t>Flux de trésorerie du mois</t>
        </is>
      </c>
      <c r="B59" s="4" t="inlineStr">
        <is>
          <t>€</t>
        </is>
      </c>
      <c r="C59" s="15">
        <f>C31-C36-C39-C51-C55+C56+C57</f>
        <v/>
      </c>
      <c r="D59" s="15">
        <f>D31-D36-D39-D51-D55+D56+D57</f>
        <v/>
      </c>
      <c r="E59" s="15">
        <f>E31-E36-E39-E51-E55+E56+E57</f>
        <v/>
      </c>
      <c r="F59" s="15">
        <f>F31-F36-F39-F51-F55+F56+F57</f>
        <v/>
      </c>
      <c r="G59" s="15">
        <f>G31-G36-G39-G51-G55+G56+G57</f>
        <v/>
      </c>
      <c r="H59" s="15">
        <f>H31-H36-H39-H51-H55+H56+H57</f>
        <v/>
      </c>
      <c r="I59" s="15">
        <f>I31-I36-I39-I51-I55+I56+I57</f>
        <v/>
      </c>
      <c r="J59" s="15">
        <f>J31-J36-J39-J51-J55+J56+J57</f>
        <v/>
      </c>
      <c r="K59" s="15">
        <f>K31-K36-K39-K51-K55+K56+K57</f>
        <v/>
      </c>
      <c r="L59" s="15">
        <f>L31-L36-L39-L51-L55+L56+L57</f>
        <v/>
      </c>
      <c r="M59" s="15">
        <f>M31-M36-M39-M51-M55+M56+M57</f>
        <v/>
      </c>
      <c r="N59" s="15">
        <f>N31-N36-N39-N51-N55+N56+N57</f>
        <v/>
      </c>
      <c r="O59" s="15">
        <f>O31-O36-O39-O51-O55+O56+O57</f>
        <v/>
      </c>
      <c r="P59" s="15">
        <f>P31-P36-P39-P51-P55+P56+P57</f>
        <v/>
      </c>
      <c r="Q59" s="15">
        <f>Q31-Q36-Q39-Q51-Q55+Q56+Q57</f>
        <v/>
      </c>
      <c r="R59" s="15">
        <f>R31-R36-R39-R51-R55+R56+R57</f>
        <v/>
      </c>
      <c r="S59" s="15">
        <f>S31-S36-S39-S51-S55+S56+S57</f>
        <v/>
      </c>
      <c r="T59" s="15">
        <f>T31-T36-T39-T51-T55+T56+T57</f>
        <v/>
      </c>
      <c r="U59" s="15">
        <f>U31-U36-U39-U51-U55+U56+U57</f>
        <v/>
      </c>
      <c r="V59" s="15">
        <f>V31-V36-V39-V51-V55+V56+V57</f>
        <v/>
      </c>
      <c r="W59" s="15">
        <f>W31-W36-W39-W51-W55+W56+W57</f>
        <v/>
      </c>
      <c r="X59" s="15">
        <f>X31-X36-X39-X51-X55+X56+X57</f>
        <v/>
      </c>
      <c r="Y59" s="15">
        <f>Y31-Y36-Y39-Y51-Y55+Y56+Y57</f>
        <v/>
      </c>
      <c r="Z59" s="15">
        <f>Z31-Z36-Z39-Z51-Z55+Z56+Z57</f>
        <v/>
      </c>
      <c r="AA59" s="15">
        <f>AA31-AA36-AA39-AA51-AA55+AA56+AA57</f>
        <v/>
      </c>
      <c r="AB59" s="15">
        <f>AB31-AB36-AB39-AB51-AB55+AB56+AB57</f>
        <v/>
      </c>
      <c r="AC59" s="15">
        <f>AC31-AC36-AC39-AC51-AC55+AC56+AC57</f>
        <v/>
      </c>
      <c r="AD59" s="15">
        <f>AD31-AD36-AD39-AD51-AD55+AD56+AD57</f>
        <v/>
      </c>
      <c r="AE59" s="15">
        <f>AE31-AE36-AE39-AE51-AE55+AE56+AE57</f>
        <v/>
      </c>
      <c r="AF59" s="15">
        <f>AF31-AF36-AF39-AF51-AF55+AF56+AF57</f>
        <v/>
      </c>
      <c r="AG59" s="15">
        <f>AG31-AG36-AG39-AG51-AG55+AG56+AG57</f>
        <v/>
      </c>
      <c r="AH59" s="15">
        <f>AH31-AH36-AH39-AH51-AH55+AH56+AH57</f>
        <v/>
      </c>
      <c r="AI59" s="15">
        <f>AI31-AI36-AI39-AI51-AI55+AI56+AI57</f>
        <v/>
      </c>
      <c r="AJ59" s="15">
        <f>AJ31-AJ36-AJ39-AJ51-AJ55+AJ56+AJ57</f>
        <v/>
      </c>
      <c r="AK59" s="15">
        <f>AK31-AK36-AK39-AK51-AK55+AK56+AK57</f>
        <v/>
      </c>
      <c r="AL59" s="15">
        <f>AL31-AL36-AL39-AL51-AL55+AL56+AL57</f>
        <v/>
      </c>
      <c r="AN59" s="15">
        <f>SUM(C59:N59)</f>
        <v/>
      </c>
      <c r="AO59" s="15">
        <f>SUM(O59:Z59)</f>
        <v/>
      </c>
      <c r="AP59" s="15">
        <f>SUM(AA59:AL59)</f>
        <v/>
      </c>
    </row>
    <row r="60">
      <c r="A60" s="2" t="inlineStr">
        <is>
          <t>Trésorerie de clôture</t>
        </is>
      </c>
      <c r="B60" s="4" t="inlineStr">
        <is>
          <t>€</t>
        </is>
      </c>
      <c r="C60" s="40">
        <f>C58+C59</f>
        <v/>
      </c>
      <c r="D60" s="40">
        <f>D58+D59</f>
        <v/>
      </c>
      <c r="E60" s="40">
        <f>E58+E59</f>
        <v/>
      </c>
      <c r="F60" s="40">
        <f>F58+F59</f>
        <v/>
      </c>
      <c r="G60" s="40">
        <f>G58+G59</f>
        <v/>
      </c>
      <c r="H60" s="40">
        <f>H58+H59</f>
        <v/>
      </c>
      <c r="I60" s="40">
        <f>I58+I59</f>
        <v/>
      </c>
      <c r="J60" s="40">
        <f>J58+J59</f>
        <v/>
      </c>
      <c r="K60" s="40">
        <f>K58+K59</f>
        <v/>
      </c>
      <c r="L60" s="40">
        <f>L58+L59</f>
        <v/>
      </c>
      <c r="M60" s="40">
        <f>M58+M59</f>
        <v/>
      </c>
      <c r="N60" s="40">
        <f>N58+N59</f>
        <v/>
      </c>
      <c r="O60" s="40">
        <f>O58+O59</f>
        <v/>
      </c>
      <c r="P60" s="40">
        <f>P58+P59</f>
        <v/>
      </c>
      <c r="Q60" s="40">
        <f>Q58+Q59</f>
        <v/>
      </c>
      <c r="R60" s="40">
        <f>R58+R59</f>
        <v/>
      </c>
      <c r="S60" s="40">
        <f>S58+S59</f>
        <v/>
      </c>
      <c r="T60" s="40">
        <f>T58+T59</f>
        <v/>
      </c>
      <c r="U60" s="40">
        <f>U58+U59</f>
        <v/>
      </c>
      <c r="V60" s="40">
        <f>V58+V59</f>
        <v/>
      </c>
      <c r="W60" s="40">
        <f>W58+W59</f>
        <v/>
      </c>
      <c r="X60" s="40">
        <f>X58+X59</f>
        <v/>
      </c>
      <c r="Y60" s="40">
        <f>Y58+Y59</f>
        <v/>
      </c>
      <c r="Z60" s="40">
        <f>Z58+Z59</f>
        <v/>
      </c>
      <c r="AA60" s="40">
        <f>AA58+AA59</f>
        <v/>
      </c>
      <c r="AB60" s="40">
        <f>AB58+AB59</f>
        <v/>
      </c>
      <c r="AC60" s="40">
        <f>AC58+AC59</f>
        <v/>
      </c>
      <c r="AD60" s="40">
        <f>AD58+AD59</f>
        <v/>
      </c>
      <c r="AE60" s="40">
        <f>AE58+AE59</f>
        <v/>
      </c>
      <c r="AF60" s="40">
        <f>AF58+AF59</f>
        <v/>
      </c>
      <c r="AG60" s="40">
        <f>AG58+AG59</f>
        <v/>
      </c>
      <c r="AH60" s="40">
        <f>AH58+AH59</f>
        <v/>
      </c>
      <c r="AI60" s="40">
        <f>AI58+AI59</f>
        <v/>
      </c>
      <c r="AJ60" s="40">
        <f>AJ58+AJ59</f>
        <v/>
      </c>
      <c r="AK60" s="40">
        <f>AK58+AK59</f>
        <v/>
      </c>
      <c r="AL60" s="40">
        <f>AL58+AL59</f>
        <v/>
      </c>
      <c r="AN60" s="40">
        <f>N60</f>
        <v/>
      </c>
      <c r="AO60" s="40">
        <f>Z60</f>
        <v/>
      </c>
      <c r="AP60" s="40">
        <f>AL60</f>
        <v/>
      </c>
    </row>
    <row r="61">
      <c r="A61" s="9" t="inlineStr">
        <is>
          <t>Financement cumulé</t>
        </is>
      </c>
      <c r="B61" s="4" t="inlineStr">
        <is>
          <t>€</t>
        </is>
      </c>
      <c r="C61" s="15">
        <f>0+C57</f>
        <v/>
      </c>
      <c r="D61" s="15">
        <f>C61+D57</f>
        <v/>
      </c>
      <c r="E61" s="15">
        <f>D61+E57</f>
        <v/>
      </c>
      <c r="F61" s="15">
        <f>E61+F57</f>
        <v/>
      </c>
      <c r="G61" s="15">
        <f>F61+G57</f>
        <v/>
      </c>
      <c r="H61" s="15">
        <f>G61+H57</f>
        <v/>
      </c>
      <c r="I61" s="15">
        <f>H61+I57</f>
        <v/>
      </c>
      <c r="J61" s="15">
        <f>I61+J57</f>
        <v/>
      </c>
      <c r="K61" s="15">
        <f>J61+K57</f>
        <v/>
      </c>
      <c r="L61" s="15">
        <f>K61+L57</f>
        <v/>
      </c>
      <c r="M61" s="15">
        <f>L61+M57</f>
        <v/>
      </c>
      <c r="N61" s="15">
        <f>M61+N57</f>
        <v/>
      </c>
      <c r="O61" s="15">
        <f>N61+O57</f>
        <v/>
      </c>
      <c r="P61" s="15">
        <f>O61+P57</f>
        <v/>
      </c>
      <c r="Q61" s="15">
        <f>P61+Q57</f>
        <v/>
      </c>
      <c r="R61" s="15">
        <f>Q61+R57</f>
        <v/>
      </c>
      <c r="S61" s="15">
        <f>R61+S57</f>
        <v/>
      </c>
      <c r="T61" s="15">
        <f>S61+T57</f>
        <v/>
      </c>
      <c r="U61" s="15">
        <f>T61+U57</f>
        <v/>
      </c>
      <c r="V61" s="15">
        <f>U61+V57</f>
        <v/>
      </c>
      <c r="W61" s="15">
        <f>V61+W57</f>
        <v/>
      </c>
      <c r="X61" s="15">
        <f>W61+X57</f>
        <v/>
      </c>
      <c r="Y61" s="15">
        <f>X61+Y57</f>
        <v/>
      </c>
      <c r="Z61" s="15">
        <f>Y61+Z57</f>
        <v/>
      </c>
      <c r="AA61" s="15">
        <f>Z61+AA57</f>
        <v/>
      </c>
      <c r="AB61" s="15">
        <f>AA61+AB57</f>
        <v/>
      </c>
      <c r="AC61" s="15">
        <f>AB61+AC57</f>
        <v/>
      </c>
      <c r="AD61" s="15">
        <f>AC61+AD57</f>
        <v/>
      </c>
      <c r="AE61" s="15">
        <f>AD61+AE57</f>
        <v/>
      </c>
      <c r="AF61" s="15">
        <f>AE61+AF57</f>
        <v/>
      </c>
      <c r="AG61" s="15">
        <f>AF61+AG57</f>
        <v/>
      </c>
      <c r="AH61" s="15">
        <f>AG61+AH57</f>
        <v/>
      </c>
      <c r="AI61" s="15">
        <f>AH61+AI57</f>
        <v/>
      </c>
      <c r="AJ61" s="15">
        <f>AI61+AJ57</f>
        <v/>
      </c>
      <c r="AK61" s="15">
        <f>AJ61+AK57</f>
        <v/>
      </c>
      <c r="AL61" s="15">
        <f>AK61+AL57</f>
        <v/>
      </c>
      <c r="AN61" s="15">
        <f>N61</f>
        <v/>
      </c>
      <c r="AO61" s="15">
        <f>Z61</f>
        <v/>
      </c>
      <c r="AP61" s="15">
        <f>AL61</f>
        <v/>
      </c>
    </row>
    <row r="62">
      <c r="A62" s="2" t="inlineStr">
        <is>
          <t>Trésorerie cumulée hors financement</t>
        </is>
      </c>
      <c r="B62" s="4" t="inlineStr">
        <is>
          <t>€</t>
        </is>
      </c>
      <c r="C62" s="40">
        <f>C60-C61</f>
        <v/>
      </c>
      <c r="D62" s="40">
        <f>D60-D61</f>
        <v/>
      </c>
      <c r="E62" s="40">
        <f>E60-E61</f>
        <v/>
      </c>
      <c r="F62" s="40">
        <f>F60-F61</f>
        <v/>
      </c>
      <c r="G62" s="40">
        <f>G60-G61</f>
        <v/>
      </c>
      <c r="H62" s="40">
        <f>H60-H61</f>
        <v/>
      </c>
      <c r="I62" s="40">
        <f>I60-I61</f>
        <v/>
      </c>
      <c r="J62" s="40">
        <f>J60-J61</f>
        <v/>
      </c>
      <c r="K62" s="40">
        <f>K60-K61</f>
        <v/>
      </c>
      <c r="L62" s="40">
        <f>L60-L61</f>
        <v/>
      </c>
      <c r="M62" s="40">
        <f>M60-M61</f>
        <v/>
      </c>
      <c r="N62" s="40">
        <f>N60-N61</f>
        <v/>
      </c>
      <c r="O62" s="40">
        <f>O60-O61</f>
        <v/>
      </c>
      <c r="P62" s="40">
        <f>P60-P61</f>
        <v/>
      </c>
      <c r="Q62" s="40">
        <f>Q60-Q61</f>
        <v/>
      </c>
      <c r="R62" s="40">
        <f>R60-R61</f>
        <v/>
      </c>
      <c r="S62" s="40">
        <f>S60-S61</f>
        <v/>
      </c>
      <c r="T62" s="40">
        <f>T60-T61</f>
        <v/>
      </c>
      <c r="U62" s="40">
        <f>U60-U61</f>
        <v/>
      </c>
      <c r="V62" s="40">
        <f>V60-V61</f>
        <v/>
      </c>
      <c r="W62" s="40">
        <f>W60-W61</f>
        <v/>
      </c>
      <c r="X62" s="40">
        <f>X60-X61</f>
        <v/>
      </c>
      <c r="Y62" s="40">
        <f>Y60-Y61</f>
        <v/>
      </c>
      <c r="Z62" s="40">
        <f>Z60-Z61</f>
        <v/>
      </c>
      <c r="AA62" s="40">
        <f>AA60-AA61</f>
        <v/>
      </c>
      <c r="AB62" s="40">
        <f>AB60-AB61</f>
        <v/>
      </c>
      <c r="AC62" s="40">
        <f>AC60-AC61</f>
        <v/>
      </c>
      <c r="AD62" s="40">
        <f>AD60-AD61</f>
        <v/>
      </c>
      <c r="AE62" s="40">
        <f>AE60-AE61</f>
        <v/>
      </c>
      <c r="AF62" s="40">
        <f>AF60-AF61</f>
        <v/>
      </c>
      <c r="AG62" s="40">
        <f>AG60-AG61</f>
        <v/>
      </c>
      <c r="AH62" s="40">
        <f>AH60-AH61</f>
        <v/>
      </c>
      <c r="AI62" s="40">
        <f>AI60-AI61</f>
        <v/>
      </c>
      <c r="AJ62" s="40">
        <f>AJ60-AJ61</f>
        <v/>
      </c>
      <c r="AK62" s="40">
        <f>AK60-AK61</f>
        <v/>
      </c>
      <c r="AL62" s="40">
        <f>AL60-AL61</f>
        <v/>
      </c>
      <c r="AN62" s="40">
        <f>N62</f>
        <v/>
      </c>
      <c r="AO62" s="40">
        <f>Z62</f>
        <v/>
      </c>
      <c r="AP62" s="40">
        <f>AL62</f>
        <v/>
      </c>
    </row>
    <row r="63">
      <c r="A63" s="9" t="inlineStr">
        <is>
          <t>Point bas glissant hors financement</t>
        </is>
      </c>
      <c r="B63" s="4" t="inlineStr">
        <is>
          <t>€</t>
        </is>
      </c>
      <c r="C63" s="15">
        <f>C62</f>
        <v/>
      </c>
      <c r="D63" s="15">
        <f>MIN(C63,D62)</f>
        <v/>
      </c>
      <c r="E63" s="15">
        <f>MIN(D63,E62)</f>
        <v/>
      </c>
      <c r="F63" s="15">
        <f>MIN(E63,F62)</f>
        <v/>
      </c>
      <c r="G63" s="15">
        <f>MIN(F63,G62)</f>
        <v/>
      </c>
      <c r="H63" s="15">
        <f>MIN(G63,H62)</f>
        <v/>
      </c>
      <c r="I63" s="15">
        <f>MIN(H63,I62)</f>
        <v/>
      </c>
      <c r="J63" s="15">
        <f>MIN(I63,J62)</f>
        <v/>
      </c>
      <c r="K63" s="15">
        <f>MIN(J63,K62)</f>
        <v/>
      </c>
      <c r="L63" s="15">
        <f>MIN(K63,L62)</f>
        <v/>
      </c>
      <c r="M63" s="15">
        <f>MIN(L63,M62)</f>
        <v/>
      </c>
      <c r="N63" s="15">
        <f>MIN(M63,N62)</f>
        <v/>
      </c>
      <c r="O63" s="15">
        <f>MIN(N63,O62)</f>
        <v/>
      </c>
      <c r="P63" s="15">
        <f>MIN(O63,P62)</f>
        <v/>
      </c>
      <c r="Q63" s="15">
        <f>MIN(P63,Q62)</f>
        <v/>
      </c>
      <c r="R63" s="15">
        <f>MIN(Q63,R62)</f>
        <v/>
      </c>
      <c r="S63" s="15">
        <f>MIN(R63,S62)</f>
        <v/>
      </c>
      <c r="T63" s="15">
        <f>MIN(S63,T62)</f>
        <v/>
      </c>
      <c r="U63" s="15">
        <f>MIN(T63,U62)</f>
        <v/>
      </c>
      <c r="V63" s="15">
        <f>MIN(U63,V62)</f>
        <v/>
      </c>
      <c r="W63" s="15">
        <f>MIN(V63,W62)</f>
        <v/>
      </c>
      <c r="X63" s="15">
        <f>MIN(W63,X62)</f>
        <v/>
      </c>
      <c r="Y63" s="15">
        <f>MIN(X63,Y62)</f>
        <v/>
      </c>
      <c r="Z63" s="15">
        <f>MIN(Y63,Z62)</f>
        <v/>
      </c>
      <c r="AA63" s="15">
        <f>MIN(Z63,AA62)</f>
        <v/>
      </c>
      <c r="AB63" s="15">
        <f>MIN(AA63,AB62)</f>
        <v/>
      </c>
      <c r="AC63" s="15">
        <f>MIN(AB63,AC62)</f>
        <v/>
      </c>
      <c r="AD63" s="15">
        <f>MIN(AC63,AD62)</f>
        <v/>
      </c>
      <c r="AE63" s="15">
        <f>MIN(AD63,AE62)</f>
        <v/>
      </c>
      <c r="AF63" s="15">
        <f>MIN(AE63,AF62)</f>
        <v/>
      </c>
      <c r="AG63" s="15">
        <f>MIN(AF63,AG62)</f>
        <v/>
      </c>
      <c r="AH63" s="15">
        <f>MIN(AG63,AH62)</f>
        <v/>
      </c>
      <c r="AI63" s="15">
        <f>MIN(AH63,AI62)</f>
        <v/>
      </c>
      <c r="AJ63" s="15">
        <f>MIN(AI63,AJ62)</f>
        <v/>
      </c>
      <c r="AK63" s="15">
        <f>MIN(AJ63,AK62)</f>
        <v/>
      </c>
      <c r="AL63" s="15">
        <f>MIN(AK63,AL62)</f>
        <v/>
      </c>
      <c r="AN63" s="15">
        <f>N63</f>
        <v/>
      </c>
      <c r="AO63" s="15">
        <f>Z63</f>
        <v/>
      </c>
      <c r="AP63" s="15">
        <f>AL63</f>
        <v/>
      </c>
    </row>
    <row r="64">
      <c r="A64" s="9" t="inlineStr">
        <is>
          <t>Trésorerie cumulée hors financement positive après lancement ? (1 = oui)</t>
        </is>
      </c>
      <c r="B64" s="4" t="inlineStr">
        <is>
          <t>0/1</t>
        </is>
      </c>
      <c r="C64" s="13">
        <f>IF(AND(C9=1,C62&gt;0),1,0)</f>
        <v/>
      </c>
      <c r="D64" s="13">
        <f>IF(AND(D9=1,D62&gt;0),1,0)</f>
        <v/>
      </c>
      <c r="E64" s="13">
        <f>IF(AND(E9=1,E62&gt;0),1,0)</f>
        <v/>
      </c>
      <c r="F64" s="13">
        <f>IF(AND(F9=1,F62&gt;0),1,0)</f>
        <v/>
      </c>
      <c r="G64" s="13">
        <f>IF(AND(G9=1,G62&gt;0),1,0)</f>
        <v/>
      </c>
      <c r="H64" s="13">
        <f>IF(AND(H9=1,H62&gt;0),1,0)</f>
        <v/>
      </c>
      <c r="I64" s="13">
        <f>IF(AND(I9=1,I62&gt;0),1,0)</f>
        <v/>
      </c>
      <c r="J64" s="13">
        <f>IF(AND(J9=1,J62&gt;0),1,0)</f>
        <v/>
      </c>
      <c r="K64" s="13">
        <f>IF(AND(K9=1,K62&gt;0),1,0)</f>
        <v/>
      </c>
      <c r="L64" s="13">
        <f>IF(AND(L9=1,L62&gt;0),1,0)</f>
        <v/>
      </c>
      <c r="M64" s="13">
        <f>IF(AND(M9=1,M62&gt;0),1,0)</f>
        <v/>
      </c>
      <c r="N64" s="13">
        <f>IF(AND(N9=1,N62&gt;0),1,0)</f>
        <v/>
      </c>
      <c r="O64" s="13">
        <f>IF(AND(O9=1,O62&gt;0),1,0)</f>
        <v/>
      </c>
      <c r="P64" s="13">
        <f>IF(AND(P9=1,P62&gt;0),1,0)</f>
        <v/>
      </c>
      <c r="Q64" s="13">
        <f>IF(AND(Q9=1,Q62&gt;0),1,0)</f>
        <v/>
      </c>
      <c r="R64" s="13">
        <f>IF(AND(R9=1,R62&gt;0),1,0)</f>
        <v/>
      </c>
      <c r="S64" s="13">
        <f>IF(AND(S9=1,S62&gt;0),1,0)</f>
        <v/>
      </c>
      <c r="T64" s="13">
        <f>IF(AND(T9=1,T62&gt;0),1,0)</f>
        <v/>
      </c>
      <c r="U64" s="13">
        <f>IF(AND(U9=1,U62&gt;0),1,0)</f>
        <v/>
      </c>
      <c r="V64" s="13">
        <f>IF(AND(V9=1,V62&gt;0),1,0)</f>
        <v/>
      </c>
      <c r="W64" s="13">
        <f>IF(AND(W9=1,W62&gt;0),1,0)</f>
        <v/>
      </c>
      <c r="X64" s="13">
        <f>IF(AND(X9=1,X62&gt;0),1,0)</f>
        <v/>
      </c>
      <c r="Y64" s="13">
        <f>IF(AND(Y9=1,Y62&gt;0),1,0)</f>
        <v/>
      </c>
      <c r="Z64" s="13">
        <f>IF(AND(Z9=1,Z62&gt;0),1,0)</f>
        <v/>
      </c>
      <c r="AA64" s="13">
        <f>IF(AND(AA9=1,AA62&gt;0),1,0)</f>
        <v/>
      </c>
      <c r="AB64" s="13">
        <f>IF(AND(AB9=1,AB62&gt;0),1,0)</f>
        <v/>
      </c>
      <c r="AC64" s="13">
        <f>IF(AND(AC9=1,AC62&gt;0),1,0)</f>
        <v/>
      </c>
      <c r="AD64" s="13">
        <f>IF(AND(AD9=1,AD62&gt;0),1,0)</f>
        <v/>
      </c>
      <c r="AE64" s="13">
        <f>IF(AND(AE9=1,AE62&gt;0),1,0)</f>
        <v/>
      </c>
      <c r="AF64" s="13">
        <f>IF(AND(AF9=1,AF62&gt;0),1,0)</f>
        <v/>
      </c>
      <c r="AG64" s="13">
        <f>IF(AND(AG9=1,AG62&gt;0),1,0)</f>
        <v/>
      </c>
      <c r="AH64" s="13">
        <f>IF(AND(AH9=1,AH62&gt;0),1,0)</f>
        <v/>
      </c>
      <c r="AI64" s="13">
        <f>IF(AND(AI9=1,AI62&gt;0),1,0)</f>
        <v/>
      </c>
      <c r="AJ64" s="13">
        <f>IF(AND(AJ9=1,AJ62&gt;0),1,0)</f>
        <v/>
      </c>
      <c r="AK64" s="13">
        <f>IF(AND(AK9=1,AK62&gt;0),1,0)</f>
        <v/>
      </c>
      <c r="AL64" s="13">
        <f>IF(AND(AL9=1,AL62&gt;0),1,0)</f>
        <v/>
      </c>
    </row>
    <row r="65">
      <c r="A65" s="8" t="inlineStr">
        <is>
          <t>Indicateurs</t>
        </is>
      </c>
    </row>
    <row r="66">
      <c r="A66" s="9" t="inlineStr">
        <is>
          <t>ARR HT instantané (CA HT × 12)</t>
        </is>
      </c>
      <c r="B66" s="4" t="inlineStr">
        <is>
          <t>€ HT</t>
        </is>
      </c>
      <c r="C66" s="15">
        <f>C28*12</f>
        <v/>
      </c>
      <c r="D66" s="15">
        <f>D28*12</f>
        <v/>
      </c>
      <c r="E66" s="15">
        <f>E28*12</f>
        <v/>
      </c>
      <c r="F66" s="15">
        <f>F28*12</f>
        <v/>
      </c>
      <c r="G66" s="15">
        <f>G28*12</f>
        <v/>
      </c>
      <c r="H66" s="15">
        <f>H28*12</f>
        <v/>
      </c>
      <c r="I66" s="15">
        <f>I28*12</f>
        <v/>
      </c>
      <c r="J66" s="15">
        <f>J28*12</f>
        <v/>
      </c>
      <c r="K66" s="15">
        <f>K28*12</f>
        <v/>
      </c>
      <c r="L66" s="15">
        <f>L28*12</f>
        <v/>
      </c>
      <c r="M66" s="15">
        <f>M28*12</f>
        <v/>
      </c>
      <c r="N66" s="15">
        <f>N28*12</f>
        <v/>
      </c>
      <c r="O66" s="15">
        <f>O28*12</f>
        <v/>
      </c>
      <c r="P66" s="15">
        <f>P28*12</f>
        <v/>
      </c>
      <c r="Q66" s="15">
        <f>Q28*12</f>
        <v/>
      </c>
      <c r="R66" s="15">
        <f>R28*12</f>
        <v/>
      </c>
      <c r="S66" s="15">
        <f>S28*12</f>
        <v/>
      </c>
      <c r="T66" s="15">
        <f>T28*12</f>
        <v/>
      </c>
      <c r="U66" s="15">
        <f>U28*12</f>
        <v/>
      </c>
      <c r="V66" s="15">
        <f>V28*12</f>
        <v/>
      </c>
      <c r="W66" s="15">
        <f>W28*12</f>
        <v/>
      </c>
      <c r="X66" s="15">
        <f>X28*12</f>
        <v/>
      </c>
      <c r="Y66" s="15">
        <f>Y28*12</f>
        <v/>
      </c>
      <c r="Z66" s="15">
        <f>Z28*12</f>
        <v/>
      </c>
      <c r="AA66" s="15">
        <f>AA28*12</f>
        <v/>
      </c>
      <c r="AB66" s="15">
        <f>AB28*12</f>
        <v/>
      </c>
      <c r="AC66" s="15">
        <f>AC28*12</f>
        <v/>
      </c>
      <c r="AD66" s="15">
        <f>AD28*12</f>
        <v/>
      </c>
      <c r="AE66" s="15">
        <f>AE28*12</f>
        <v/>
      </c>
      <c r="AF66" s="15">
        <f>AF28*12</f>
        <v/>
      </c>
      <c r="AG66" s="15">
        <f>AG28*12</f>
        <v/>
      </c>
      <c r="AH66" s="15">
        <f>AH28*12</f>
        <v/>
      </c>
      <c r="AI66" s="15">
        <f>AI28*12</f>
        <v/>
      </c>
      <c r="AJ66" s="15">
        <f>AJ28*12</f>
        <v/>
      </c>
      <c r="AK66" s="15">
        <f>AK28*12</f>
        <v/>
      </c>
      <c r="AL66" s="15">
        <f>AL28*12</f>
        <v/>
      </c>
      <c r="AN66" s="15">
        <f>N66</f>
        <v/>
      </c>
      <c r="AO66" s="15">
        <f>Z66</f>
        <v/>
      </c>
      <c r="AP66" s="15">
        <f>AL66</f>
        <v/>
      </c>
    </row>
    <row r="67">
      <c r="A67" s="9" t="inlineStr">
        <is>
          <t>ARPA HT (CA HT / abonnés)</t>
        </is>
      </c>
      <c r="B67" s="4" t="inlineStr">
        <is>
          <t>€ HT</t>
        </is>
      </c>
      <c r="C67" s="19">
        <f>IF(C18&gt;0,C28/C18,0)</f>
        <v/>
      </c>
      <c r="D67" s="19">
        <f>IF(D18&gt;0,D28/D18,0)</f>
        <v/>
      </c>
      <c r="E67" s="19">
        <f>IF(E18&gt;0,E28/E18,0)</f>
        <v/>
      </c>
      <c r="F67" s="19">
        <f>IF(F18&gt;0,F28/F18,0)</f>
        <v/>
      </c>
      <c r="G67" s="19">
        <f>IF(G18&gt;0,G28/G18,0)</f>
        <v/>
      </c>
      <c r="H67" s="19">
        <f>IF(H18&gt;0,H28/H18,0)</f>
        <v/>
      </c>
      <c r="I67" s="19">
        <f>IF(I18&gt;0,I28/I18,0)</f>
        <v/>
      </c>
      <c r="J67" s="19">
        <f>IF(J18&gt;0,J28/J18,0)</f>
        <v/>
      </c>
      <c r="K67" s="19">
        <f>IF(K18&gt;0,K28/K18,0)</f>
        <v/>
      </c>
      <c r="L67" s="19">
        <f>IF(L18&gt;0,L28/L18,0)</f>
        <v/>
      </c>
      <c r="M67" s="19">
        <f>IF(M18&gt;0,M28/M18,0)</f>
        <v/>
      </c>
      <c r="N67" s="19">
        <f>IF(N18&gt;0,N28/N18,0)</f>
        <v/>
      </c>
      <c r="O67" s="19">
        <f>IF(O18&gt;0,O28/O18,0)</f>
        <v/>
      </c>
      <c r="P67" s="19">
        <f>IF(P18&gt;0,P28/P18,0)</f>
        <v/>
      </c>
      <c r="Q67" s="19">
        <f>IF(Q18&gt;0,Q28/Q18,0)</f>
        <v/>
      </c>
      <c r="R67" s="19">
        <f>IF(R18&gt;0,R28/R18,0)</f>
        <v/>
      </c>
      <c r="S67" s="19">
        <f>IF(S18&gt;0,S28/S18,0)</f>
        <v/>
      </c>
      <c r="T67" s="19">
        <f>IF(T18&gt;0,T28/T18,0)</f>
        <v/>
      </c>
      <c r="U67" s="19">
        <f>IF(U18&gt;0,U28/U18,0)</f>
        <v/>
      </c>
      <c r="V67" s="19">
        <f>IF(V18&gt;0,V28/V18,0)</f>
        <v/>
      </c>
      <c r="W67" s="19">
        <f>IF(W18&gt;0,W28/W18,0)</f>
        <v/>
      </c>
      <c r="X67" s="19">
        <f>IF(X18&gt;0,X28/X18,0)</f>
        <v/>
      </c>
      <c r="Y67" s="19">
        <f>IF(Y18&gt;0,Y28/Y18,0)</f>
        <v/>
      </c>
      <c r="Z67" s="19">
        <f>IF(Z18&gt;0,Z28/Z18,0)</f>
        <v/>
      </c>
      <c r="AA67" s="19">
        <f>IF(AA18&gt;0,AA28/AA18,0)</f>
        <v/>
      </c>
      <c r="AB67" s="19">
        <f>IF(AB18&gt;0,AB28/AB18,0)</f>
        <v/>
      </c>
      <c r="AC67" s="19">
        <f>IF(AC18&gt;0,AC28/AC18,0)</f>
        <v/>
      </c>
      <c r="AD67" s="19">
        <f>IF(AD18&gt;0,AD28/AD18,0)</f>
        <v/>
      </c>
      <c r="AE67" s="19">
        <f>IF(AE18&gt;0,AE28/AE18,0)</f>
        <v/>
      </c>
      <c r="AF67" s="19">
        <f>IF(AF18&gt;0,AF28/AF18,0)</f>
        <v/>
      </c>
      <c r="AG67" s="19">
        <f>IF(AG18&gt;0,AG28/AG18,0)</f>
        <v/>
      </c>
      <c r="AH67" s="19">
        <f>IF(AH18&gt;0,AH28/AH18,0)</f>
        <v/>
      </c>
      <c r="AI67" s="19">
        <f>IF(AI18&gt;0,AI28/AI18,0)</f>
        <v/>
      </c>
      <c r="AJ67" s="19">
        <f>IF(AJ18&gt;0,AJ28/AJ18,0)</f>
        <v/>
      </c>
      <c r="AK67" s="19">
        <f>IF(AK18&gt;0,AK28/AK18,0)</f>
        <v/>
      </c>
      <c r="AL67" s="19">
        <f>IF(AL18&gt;0,AL28/AL18,0)</f>
        <v/>
      </c>
      <c r="AN67" s="19">
        <f>N67</f>
        <v/>
      </c>
      <c r="AO67" s="19">
        <f>Z67</f>
        <v/>
      </c>
      <c r="AP67" s="19">
        <f>AL67</f>
        <v/>
      </c>
    </row>
    <row r="68">
      <c r="A68" s="9" t="inlineStr">
        <is>
          <t>Coût variable par abonné</t>
        </is>
      </c>
      <c r="B68" s="4" t="inlineStr">
        <is>
          <t>€ HT</t>
        </is>
      </c>
      <c r="C68" s="19">
        <f>IF(C18&gt;0,C36/C18,0)</f>
        <v/>
      </c>
      <c r="D68" s="19">
        <f>IF(D18&gt;0,D36/D18,0)</f>
        <v/>
      </c>
      <c r="E68" s="19">
        <f>IF(E18&gt;0,E36/E18,0)</f>
        <v/>
      </c>
      <c r="F68" s="19">
        <f>IF(F18&gt;0,F36/F18,0)</f>
        <v/>
      </c>
      <c r="G68" s="19">
        <f>IF(G18&gt;0,G36/G18,0)</f>
        <v/>
      </c>
      <c r="H68" s="19">
        <f>IF(H18&gt;0,H36/H18,0)</f>
        <v/>
      </c>
      <c r="I68" s="19">
        <f>IF(I18&gt;0,I36/I18,0)</f>
        <v/>
      </c>
      <c r="J68" s="19">
        <f>IF(J18&gt;0,J36/J18,0)</f>
        <v/>
      </c>
      <c r="K68" s="19">
        <f>IF(K18&gt;0,K36/K18,0)</f>
        <v/>
      </c>
      <c r="L68" s="19">
        <f>IF(L18&gt;0,L36/L18,0)</f>
        <v/>
      </c>
      <c r="M68" s="19">
        <f>IF(M18&gt;0,M36/M18,0)</f>
        <v/>
      </c>
      <c r="N68" s="19">
        <f>IF(N18&gt;0,N36/N18,0)</f>
        <v/>
      </c>
      <c r="O68" s="19">
        <f>IF(O18&gt;0,O36/O18,0)</f>
        <v/>
      </c>
      <c r="P68" s="19">
        <f>IF(P18&gt;0,P36/P18,0)</f>
        <v/>
      </c>
      <c r="Q68" s="19">
        <f>IF(Q18&gt;0,Q36/Q18,0)</f>
        <v/>
      </c>
      <c r="R68" s="19">
        <f>IF(R18&gt;0,R36/R18,0)</f>
        <v/>
      </c>
      <c r="S68" s="19">
        <f>IF(S18&gt;0,S36/S18,0)</f>
        <v/>
      </c>
      <c r="T68" s="19">
        <f>IF(T18&gt;0,T36/T18,0)</f>
        <v/>
      </c>
      <c r="U68" s="19">
        <f>IF(U18&gt;0,U36/U18,0)</f>
        <v/>
      </c>
      <c r="V68" s="19">
        <f>IF(V18&gt;0,V36/V18,0)</f>
        <v/>
      </c>
      <c r="W68" s="19">
        <f>IF(W18&gt;0,W36/W18,0)</f>
        <v/>
      </c>
      <c r="X68" s="19">
        <f>IF(X18&gt;0,X36/X18,0)</f>
        <v/>
      </c>
      <c r="Y68" s="19">
        <f>IF(Y18&gt;0,Y36/Y18,0)</f>
        <v/>
      </c>
      <c r="Z68" s="19">
        <f>IF(Z18&gt;0,Z36/Z18,0)</f>
        <v/>
      </c>
      <c r="AA68" s="19">
        <f>IF(AA18&gt;0,AA36/AA18,0)</f>
        <v/>
      </c>
      <c r="AB68" s="19">
        <f>IF(AB18&gt;0,AB36/AB18,0)</f>
        <v/>
      </c>
      <c r="AC68" s="19">
        <f>IF(AC18&gt;0,AC36/AC18,0)</f>
        <v/>
      </c>
      <c r="AD68" s="19">
        <f>IF(AD18&gt;0,AD36/AD18,0)</f>
        <v/>
      </c>
      <c r="AE68" s="19">
        <f>IF(AE18&gt;0,AE36/AE18,0)</f>
        <v/>
      </c>
      <c r="AF68" s="19">
        <f>IF(AF18&gt;0,AF36/AF18,0)</f>
        <v/>
      </c>
      <c r="AG68" s="19">
        <f>IF(AG18&gt;0,AG36/AG18,0)</f>
        <v/>
      </c>
      <c r="AH68" s="19">
        <f>IF(AH18&gt;0,AH36/AH18,0)</f>
        <v/>
      </c>
      <c r="AI68" s="19">
        <f>IF(AI18&gt;0,AI36/AI18,0)</f>
        <v/>
      </c>
      <c r="AJ68" s="19">
        <f>IF(AJ18&gt;0,AJ36/AJ18,0)</f>
        <v/>
      </c>
      <c r="AK68" s="19">
        <f>IF(AK18&gt;0,AK36/AK18,0)</f>
        <v/>
      </c>
      <c r="AL68" s="19">
        <f>IF(AL18&gt;0,AL36/AL18,0)</f>
        <v/>
      </c>
      <c r="AN68" s="19">
        <f>N68</f>
        <v/>
      </c>
      <c r="AO68" s="19">
        <f>Z68</f>
        <v/>
      </c>
      <c r="AP68" s="19">
        <f>AL68</f>
        <v/>
      </c>
    </row>
    <row r="69">
      <c r="A69" s="9" t="inlineStr">
        <is>
          <t>Contribution par abonné</t>
        </is>
      </c>
      <c r="B69" s="4" t="inlineStr">
        <is>
          <t>€ HT</t>
        </is>
      </c>
      <c r="C69" s="19">
        <f>IF(C18&gt;0,C37/C18,0)</f>
        <v/>
      </c>
      <c r="D69" s="19">
        <f>IF(D18&gt;0,D37/D18,0)</f>
        <v/>
      </c>
      <c r="E69" s="19">
        <f>IF(E18&gt;0,E37/E18,0)</f>
        <v/>
      </c>
      <c r="F69" s="19">
        <f>IF(F18&gt;0,F37/F18,0)</f>
        <v/>
      </c>
      <c r="G69" s="19">
        <f>IF(G18&gt;0,G37/G18,0)</f>
        <v/>
      </c>
      <c r="H69" s="19">
        <f>IF(H18&gt;0,H37/H18,0)</f>
        <v/>
      </c>
      <c r="I69" s="19">
        <f>IF(I18&gt;0,I37/I18,0)</f>
        <v/>
      </c>
      <c r="J69" s="19">
        <f>IF(J18&gt;0,J37/J18,0)</f>
        <v/>
      </c>
      <c r="K69" s="19">
        <f>IF(K18&gt;0,K37/K18,0)</f>
        <v/>
      </c>
      <c r="L69" s="19">
        <f>IF(L18&gt;0,L37/L18,0)</f>
        <v/>
      </c>
      <c r="M69" s="19">
        <f>IF(M18&gt;0,M37/M18,0)</f>
        <v/>
      </c>
      <c r="N69" s="19">
        <f>IF(N18&gt;0,N37/N18,0)</f>
        <v/>
      </c>
      <c r="O69" s="19">
        <f>IF(O18&gt;0,O37/O18,0)</f>
        <v/>
      </c>
      <c r="P69" s="19">
        <f>IF(P18&gt;0,P37/P18,0)</f>
        <v/>
      </c>
      <c r="Q69" s="19">
        <f>IF(Q18&gt;0,Q37/Q18,0)</f>
        <v/>
      </c>
      <c r="R69" s="19">
        <f>IF(R18&gt;0,R37/R18,0)</f>
        <v/>
      </c>
      <c r="S69" s="19">
        <f>IF(S18&gt;0,S37/S18,0)</f>
        <v/>
      </c>
      <c r="T69" s="19">
        <f>IF(T18&gt;0,T37/T18,0)</f>
        <v/>
      </c>
      <c r="U69" s="19">
        <f>IF(U18&gt;0,U37/U18,0)</f>
        <v/>
      </c>
      <c r="V69" s="19">
        <f>IF(V18&gt;0,V37/V18,0)</f>
        <v/>
      </c>
      <c r="W69" s="19">
        <f>IF(W18&gt;0,W37/W18,0)</f>
        <v/>
      </c>
      <c r="X69" s="19">
        <f>IF(X18&gt;0,X37/X18,0)</f>
        <v/>
      </c>
      <c r="Y69" s="19">
        <f>IF(Y18&gt;0,Y37/Y18,0)</f>
        <v/>
      </c>
      <c r="Z69" s="19">
        <f>IF(Z18&gt;0,Z37/Z18,0)</f>
        <v/>
      </c>
      <c r="AA69" s="19">
        <f>IF(AA18&gt;0,AA37/AA18,0)</f>
        <v/>
      </c>
      <c r="AB69" s="19">
        <f>IF(AB18&gt;0,AB37/AB18,0)</f>
        <v/>
      </c>
      <c r="AC69" s="19">
        <f>IF(AC18&gt;0,AC37/AC18,0)</f>
        <v/>
      </c>
      <c r="AD69" s="19">
        <f>IF(AD18&gt;0,AD37/AD18,0)</f>
        <v/>
      </c>
      <c r="AE69" s="19">
        <f>IF(AE18&gt;0,AE37/AE18,0)</f>
        <v/>
      </c>
      <c r="AF69" s="19">
        <f>IF(AF18&gt;0,AF37/AF18,0)</f>
        <v/>
      </c>
      <c r="AG69" s="19">
        <f>IF(AG18&gt;0,AG37/AG18,0)</f>
        <v/>
      </c>
      <c r="AH69" s="19">
        <f>IF(AH18&gt;0,AH37/AH18,0)</f>
        <v/>
      </c>
      <c r="AI69" s="19">
        <f>IF(AI18&gt;0,AI37/AI18,0)</f>
        <v/>
      </c>
      <c r="AJ69" s="19">
        <f>IF(AJ18&gt;0,AJ37/AJ18,0)</f>
        <v/>
      </c>
      <c r="AK69" s="19">
        <f>IF(AK18&gt;0,AK37/AK18,0)</f>
        <v/>
      </c>
      <c r="AL69" s="19">
        <f>IF(AL18&gt;0,AL37/AL18,0)</f>
        <v/>
      </c>
      <c r="AN69" s="19">
        <f>N69</f>
        <v/>
      </c>
      <c r="AO69" s="19">
        <f>Z69</f>
        <v/>
      </c>
      <c r="AP69" s="19">
        <f>AL69</f>
        <v/>
      </c>
    </row>
    <row r="70">
      <c r="A70" s="9" t="inlineStr">
        <is>
          <t>Marge variable (% du CA HT)</t>
        </is>
      </c>
      <c r="B70" s="4" t="inlineStr">
        <is>
          <t>%</t>
        </is>
      </c>
      <c r="C70" s="17">
        <f>IF(C28&gt;0,C37/C28,0)</f>
        <v/>
      </c>
      <c r="D70" s="17">
        <f>IF(D28&gt;0,D37/D28,0)</f>
        <v/>
      </c>
      <c r="E70" s="17">
        <f>IF(E28&gt;0,E37/E28,0)</f>
        <v/>
      </c>
      <c r="F70" s="17">
        <f>IF(F28&gt;0,F37/F28,0)</f>
        <v/>
      </c>
      <c r="G70" s="17">
        <f>IF(G28&gt;0,G37/G28,0)</f>
        <v/>
      </c>
      <c r="H70" s="17">
        <f>IF(H28&gt;0,H37/H28,0)</f>
        <v/>
      </c>
      <c r="I70" s="17">
        <f>IF(I28&gt;0,I37/I28,0)</f>
        <v/>
      </c>
      <c r="J70" s="17">
        <f>IF(J28&gt;0,J37/J28,0)</f>
        <v/>
      </c>
      <c r="K70" s="17">
        <f>IF(K28&gt;0,K37/K28,0)</f>
        <v/>
      </c>
      <c r="L70" s="17">
        <f>IF(L28&gt;0,L37/L28,0)</f>
        <v/>
      </c>
      <c r="M70" s="17">
        <f>IF(M28&gt;0,M37/M28,0)</f>
        <v/>
      </c>
      <c r="N70" s="17">
        <f>IF(N28&gt;0,N37/N28,0)</f>
        <v/>
      </c>
      <c r="O70" s="17">
        <f>IF(O28&gt;0,O37/O28,0)</f>
        <v/>
      </c>
      <c r="P70" s="17">
        <f>IF(P28&gt;0,P37/P28,0)</f>
        <v/>
      </c>
      <c r="Q70" s="17">
        <f>IF(Q28&gt;0,Q37/Q28,0)</f>
        <v/>
      </c>
      <c r="R70" s="17">
        <f>IF(R28&gt;0,R37/R28,0)</f>
        <v/>
      </c>
      <c r="S70" s="17">
        <f>IF(S28&gt;0,S37/S28,0)</f>
        <v/>
      </c>
      <c r="T70" s="17">
        <f>IF(T28&gt;0,T37/T28,0)</f>
        <v/>
      </c>
      <c r="U70" s="17">
        <f>IF(U28&gt;0,U37/U28,0)</f>
        <v/>
      </c>
      <c r="V70" s="17">
        <f>IF(V28&gt;0,V37/V28,0)</f>
        <v/>
      </c>
      <c r="W70" s="17">
        <f>IF(W28&gt;0,W37/W28,0)</f>
        <v/>
      </c>
      <c r="X70" s="17">
        <f>IF(X28&gt;0,X37/X28,0)</f>
        <v/>
      </c>
      <c r="Y70" s="17">
        <f>IF(Y28&gt;0,Y37/Y28,0)</f>
        <v/>
      </c>
      <c r="Z70" s="17">
        <f>IF(Z28&gt;0,Z37/Z28,0)</f>
        <v/>
      </c>
      <c r="AA70" s="17">
        <f>IF(AA28&gt;0,AA37/AA28,0)</f>
        <v/>
      </c>
      <c r="AB70" s="17">
        <f>IF(AB28&gt;0,AB37/AB28,0)</f>
        <v/>
      </c>
      <c r="AC70" s="17">
        <f>IF(AC28&gt;0,AC37/AC28,0)</f>
        <v/>
      </c>
      <c r="AD70" s="17">
        <f>IF(AD28&gt;0,AD37/AD28,0)</f>
        <v/>
      </c>
      <c r="AE70" s="17">
        <f>IF(AE28&gt;0,AE37/AE28,0)</f>
        <v/>
      </c>
      <c r="AF70" s="17">
        <f>IF(AF28&gt;0,AF37/AF28,0)</f>
        <v/>
      </c>
      <c r="AG70" s="17">
        <f>IF(AG28&gt;0,AG37/AG28,0)</f>
        <v/>
      </c>
      <c r="AH70" s="17">
        <f>IF(AH28&gt;0,AH37/AH28,0)</f>
        <v/>
      </c>
      <c r="AI70" s="17">
        <f>IF(AI28&gt;0,AI37/AI28,0)</f>
        <v/>
      </c>
      <c r="AJ70" s="17">
        <f>IF(AJ28&gt;0,AJ37/AJ28,0)</f>
        <v/>
      </c>
      <c r="AK70" s="17">
        <f>IF(AK28&gt;0,AK37/AK28,0)</f>
        <v/>
      </c>
      <c r="AL70" s="17">
        <f>IF(AL28&gt;0,AL37/AL28,0)</f>
        <v/>
      </c>
      <c r="AN70" s="17">
        <f>N70</f>
        <v/>
      </c>
      <c r="AO70" s="17">
        <f>Z70</f>
        <v/>
      </c>
      <c r="AP70" s="17">
        <f>AL70</f>
        <v/>
      </c>
    </row>
    <row r="71">
      <c r="A71" s="9" t="inlineStr">
        <is>
          <t>CAC effectif</t>
        </is>
      </c>
      <c r="B71" s="4" t="inlineStr">
        <is>
          <t>€</t>
        </is>
      </c>
      <c r="C71" s="15">
        <f>IF(C14&gt;0,C39/C14,0)</f>
        <v/>
      </c>
      <c r="D71" s="15">
        <f>IF(D14&gt;0,D39/D14,0)</f>
        <v/>
      </c>
      <c r="E71" s="15">
        <f>IF(E14&gt;0,E39/E14,0)</f>
        <v/>
      </c>
      <c r="F71" s="15">
        <f>IF(F14&gt;0,F39/F14,0)</f>
        <v/>
      </c>
      <c r="G71" s="15">
        <f>IF(G14&gt;0,G39/G14,0)</f>
        <v/>
      </c>
      <c r="H71" s="15">
        <f>IF(H14&gt;0,H39/H14,0)</f>
        <v/>
      </c>
      <c r="I71" s="15">
        <f>IF(I14&gt;0,I39/I14,0)</f>
        <v/>
      </c>
      <c r="J71" s="15">
        <f>IF(J14&gt;0,J39/J14,0)</f>
        <v/>
      </c>
      <c r="K71" s="15">
        <f>IF(K14&gt;0,K39/K14,0)</f>
        <v/>
      </c>
      <c r="L71" s="15">
        <f>IF(L14&gt;0,L39/L14,0)</f>
        <v/>
      </c>
      <c r="M71" s="15">
        <f>IF(M14&gt;0,M39/M14,0)</f>
        <v/>
      </c>
      <c r="N71" s="15">
        <f>IF(N14&gt;0,N39/N14,0)</f>
        <v/>
      </c>
      <c r="O71" s="15">
        <f>IF(O14&gt;0,O39/O14,0)</f>
        <v/>
      </c>
      <c r="P71" s="15">
        <f>IF(P14&gt;0,P39/P14,0)</f>
        <v/>
      </c>
      <c r="Q71" s="15">
        <f>IF(Q14&gt;0,Q39/Q14,0)</f>
        <v/>
      </c>
      <c r="R71" s="15">
        <f>IF(R14&gt;0,R39/R14,0)</f>
        <v/>
      </c>
      <c r="S71" s="15">
        <f>IF(S14&gt;0,S39/S14,0)</f>
        <v/>
      </c>
      <c r="T71" s="15">
        <f>IF(T14&gt;0,T39/T14,0)</f>
        <v/>
      </c>
      <c r="U71" s="15">
        <f>IF(U14&gt;0,U39/U14,0)</f>
        <v/>
      </c>
      <c r="V71" s="15">
        <f>IF(V14&gt;0,V39/V14,0)</f>
        <v/>
      </c>
      <c r="W71" s="15">
        <f>IF(W14&gt;0,W39/W14,0)</f>
        <v/>
      </c>
      <c r="X71" s="15">
        <f>IF(X14&gt;0,X39/X14,0)</f>
        <v/>
      </c>
      <c r="Y71" s="15">
        <f>IF(Y14&gt;0,Y39/Y14,0)</f>
        <v/>
      </c>
      <c r="Z71" s="15">
        <f>IF(Z14&gt;0,Z39/Z14,0)</f>
        <v/>
      </c>
      <c r="AA71" s="15">
        <f>IF(AA14&gt;0,AA39/AA14,0)</f>
        <v/>
      </c>
      <c r="AB71" s="15">
        <f>IF(AB14&gt;0,AB39/AB14,0)</f>
        <v/>
      </c>
      <c r="AC71" s="15">
        <f>IF(AC14&gt;0,AC39/AC14,0)</f>
        <v/>
      </c>
      <c r="AD71" s="15">
        <f>IF(AD14&gt;0,AD39/AD14,0)</f>
        <v/>
      </c>
      <c r="AE71" s="15">
        <f>IF(AE14&gt;0,AE39/AE14,0)</f>
        <v/>
      </c>
      <c r="AF71" s="15">
        <f>IF(AF14&gt;0,AF39/AF14,0)</f>
        <v/>
      </c>
      <c r="AG71" s="15">
        <f>IF(AG14&gt;0,AG39/AG14,0)</f>
        <v/>
      </c>
      <c r="AH71" s="15">
        <f>IF(AH14&gt;0,AH39/AH14,0)</f>
        <v/>
      </c>
      <c r="AI71" s="15">
        <f>IF(AI14&gt;0,AI39/AI14,0)</f>
        <v/>
      </c>
      <c r="AJ71" s="15">
        <f>IF(AJ14&gt;0,AJ39/AJ14,0)</f>
        <v/>
      </c>
      <c r="AK71" s="15">
        <f>IF(AK14&gt;0,AK39/AK14,0)</f>
        <v/>
      </c>
      <c r="AL71" s="15">
        <f>IF(AL14&gt;0,AL39/AL14,0)</f>
        <v/>
      </c>
      <c r="AN71" s="15">
        <f>N71</f>
        <v/>
      </c>
      <c r="AO71" s="15">
        <f>Z71</f>
        <v/>
      </c>
      <c r="AP71" s="15">
        <f>AL71</f>
        <v/>
      </c>
    </row>
    <row r="72">
      <c r="A72" s="9" t="inlineStr">
        <is>
          <t>Payback du CAC (mois)</t>
        </is>
      </c>
      <c r="B72" s="4" t="inlineStr">
        <is>
          <t>mois</t>
        </is>
      </c>
      <c r="C72" s="38">
        <f>IF(C69&gt;0,Hypothèses!$C$23*$E$4/C69,0)</f>
        <v/>
      </c>
      <c r="D72" s="38">
        <f>IF(D69&gt;0,Hypothèses!$C$23*$E$4/D69,0)</f>
        <v/>
      </c>
      <c r="E72" s="38">
        <f>IF(E69&gt;0,Hypothèses!$C$23*$E$4/E69,0)</f>
        <v/>
      </c>
      <c r="F72" s="38">
        <f>IF(F69&gt;0,Hypothèses!$C$23*$E$4/F69,0)</f>
        <v/>
      </c>
      <c r="G72" s="38">
        <f>IF(G69&gt;0,Hypothèses!$C$23*$E$4/G69,0)</f>
        <v/>
      </c>
      <c r="H72" s="38">
        <f>IF(H69&gt;0,Hypothèses!$C$23*$E$4/H69,0)</f>
        <v/>
      </c>
      <c r="I72" s="38">
        <f>IF(I69&gt;0,Hypothèses!$C$23*$E$4/I69,0)</f>
        <v/>
      </c>
      <c r="J72" s="38">
        <f>IF(J69&gt;0,Hypothèses!$C$23*$E$4/J69,0)</f>
        <v/>
      </c>
      <c r="K72" s="38">
        <f>IF(K69&gt;0,Hypothèses!$C$23*$E$4/K69,0)</f>
        <v/>
      </c>
      <c r="L72" s="38">
        <f>IF(L69&gt;0,Hypothèses!$C$23*$E$4/L69,0)</f>
        <v/>
      </c>
      <c r="M72" s="38">
        <f>IF(M69&gt;0,Hypothèses!$C$23*$E$4/M69,0)</f>
        <v/>
      </c>
      <c r="N72" s="38">
        <f>IF(N69&gt;0,Hypothèses!$C$23*$E$4/N69,0)</f>
        <v/>
      </c>
      <c r="O72" s="38">
        <f>IF(O69&gt;0,Hypothèses!$C$23*$E$4/O69,0)</f>
        <v/>
      </c>
      <c r="P72" s="38">
        <f>IF(P69&gt;0,Hypothèses!$C$23*$E$4/P69,0)</f>
        <v/>
      </c>
      <c r="Q72" s="38">
        <f>IF(Q69&gt;0,Hypothèses!$C$23*$E$4/Q69,0)</f>
        <v/>
      </c>
      <c r="R72" s="38">
        <f>IF(R69&gt;0,Hypothèses!$C$23*$E$4/R69,0)</f>
        <v/>
      </c>
      <c r="S72" s="38">
        <f>IF(S69&gt;0,Hypothèses!$C$23*$E$4/S69,0)</f>
        <v/>
      </c>
      <c r="T72" s="38">
        <f>IF(T69&gt;0,Hypothèses!$C$23*$E$4/T69,0)</f>
        <v/>
      </c>
      <c r="U72" s="38">
        <f>IF(U69&gt;0,Hypothèses!$C$23*$E$4/U69,0)</f>
        <v/>
      </c>
      <c r="V72" s="38">
        <f>IF(V69&gt;0,Hypothèses!$C$23*$E$4/V69,0)</f>
        <v/>
      </c>
      <c r="W72" s="38">
        <f>IF(W69&gt;0,Hypothèses!$C$23*$E$4/W69,0)</f>
        <v/>
      </c>
      <c r="X72" s="38">
        <f>IF(X69&gt;0,Hypothèses!$C$23*$E$4/X69,0)</f>
        <v/>
      </c>
      <c r="Y72" s="38">
        <f>IF(Y69&gt;0,Hypothèses!$C$23*$E$4/Y69,0)</f>
        <v/>
      </c>
      <c r="Z72" s="38">
        <f>IF(Z69&gt;0,Hypothèses!$C$23*$E$4/Z69,0)</f>
        <v/>
      </c>
      <c r="AA72" s="38">
        <f>IF(AA69&gt;0,Hypothèses!$C$23*$E$4/AA69,0)</f>
        <v/>
      </c>
      <c r="AB72" s="38">
        <f>IF(AB69&gt;0,Hypothèses!$C$23*$E$4/AB69,0)</f>
        <v/>
      </c>
      <c r="AC72" s="38">
        <f>IF(AC69&gt;0,Hypothèses!$C$23*$E$4/AC69,0)</f>
        <v/>
      </c>
      <c r="AD72" s="38">
        <f>IF(AD69&gt;0,Hypothèses!$C$23*$E$4/AD69,0)</f>
        <v/>
      </c>
      <c r="AE72" s="38">
        <f>IF(AE69&gt;0,Hypothèses!$C$23*$E$4/AE69,0)</f>
        <v/>
      </c>
      <c r="AF72" s="38">
        <f>IF(AF69&gt;0,Hypothèses!$C$23*$E$4/AF69,0)</f>
        <v/>
      </c>
      <c r="AG72" s="38">
        <f>IF(AG69&gt;0,Hypothèses!$C$23*$E$4/AG69,0)</f>
        <v/>
      </c>
      <c r="AH72" s="38">
        <f>IF(AH69&gt;0,Hypothèses!$C$23*$E$4/AH69,0)</f>
        <v/>
      </c>
      <c r="AI72" s="38">
        <f>IF(AI69&gt;0,Hypothèses!$C$23*$E$4/AI69,0)</f>
        <v/>
      </c>
      <c r="AJ72" s="38">
        <f>IF(AJ69&gt;0,Hypothèses!$C$23*$E$4/AJ69,0)</f>
        <v/>
      </c>
      <c r="AK72" s="38">
        <f>IF(AK69&gt;0,Hypothèses!$C$23*$E$4/AK69,0)</f>
        <v/>
      </c>
      <c r="AL72" s="38">
        <f>IF(AL69&gt;0,Hypothèses!$C$23*$E$4/AL69,0)</f>
        <v/>
      </c>
      <c r="AN72" s="38">
        <f>N72</f>
        <v/>
      </c>
      <c r="AO72" s="38">
        <f>Z72</f>
        <v/>
      </c>
      <c r="AP72" s="38">
        <f>AL72</f>
        <v/>
      </c>
    </row>
    <row r="73">
      <c r="A73" s="9" t="inlineStr">
        <is>
          <t>LTV contributive simplifiée (contribution / churn)</t>
        </is>
      </c>
      <c r="B73" s="4" t="inlineStr">
        <is>
          <t>€ HT</t>
        </is>
      </c>
      <c r="C73" s="15">
        <f>IF(Hypothèses!$C$26*$D$4&gt;0,C69/(Hypothèses!$C$26*$D$4),0)</f>
        <v/>
      </c>
      <c r="D73" s="15">
        <f>IF(Hypothèses!$C$26*$D$4&gt;0,D69/(Hypothèses!$C$26*$D$4),0)</f>
        <v/>
      </c>
      <c r="E73" s="15">
        <f>IF(Hypothèses!$C$26*$D$4&gt;0,E69/(Hypothèses!$C$26*$D$4),0)</f>
        <v/>
      </c>
      <c r="F73" s="15">
        <f>IF(Hypothèses!$C$26*$D$4&gt;0,F69/(Hypothèses!$C$26*$D$4),0)</f>
        <v/>
      </c>
      <c r="G73" s="15">
        <f>IF(Hypothèses!$C$26*$D$4&gt;0,G69/(Hypothèses!$C$26*$D$4),0)</f>
        <v/>
      </c>
      <c r="H73" s="15">
        <f>IF(Hypothèses!$C$26*$D$4&gt;0,H69/(Hypothèses!$C$26*$D$4),0)</f>
        <v/>
      </c>
      <c r="I73" s="15">
        <f>IF(Hypothèses!$C$26*$D$4&gt;0,I69/(Hypothèses!$C$26*$D$4),0)</f>
        <v/>
      </c>
      <c r="J73" s="15">
        <f>IF(Hypothèses!$C$26*$D$4&gt;0,J69/(Hypothèses!$C$26*$D$4),0)</f>
        <v/>
      </c>
      <c r="K73" s="15">
        <f>IF(Hypothèses!$C$26*$D$4&gt;0,K69/(Hypothèses!$C$26*$D$4),0)</f>
        <v/>
      </c>
      <c r="L73" s="15">
        <f>IF(Hypothèses!$C$26*$D$4&gt;0,L69/(Hypothèses!$C$26*$D$4),0)</f>
        <v/>
      </c>
      <c r="M73" s="15">
        <f>IF(Hypothèses!$C$26*$D$4&gt;0,M69/(Hypothèses!$C$26*$D$4),0)</f>
        <v/>
      </c>
      <c r="N73" s="15">
        <f>IF(Hypothèses!$C$26*$D$4&gt;0,N69/(Hypothèses!$C$26*$D$4),0)</f>
        <v/>
      </c>
      <c r="O73" s="15">
        <f>IF(Hypothèses!$C$26*$D$4&gt;0,O69/(Hypothèses!$C$26*$D$4),0)</f>
        <v/>
      </c>
      <c r="P73" s="15">
        <f>IF(Hypothèses!$C$26*$D$4&gt;0,P69/(Hypothèses!$C$26*$D$4),0)</f>
        <v/>
      </c>
      <c r="Q73" s="15">
        <f>IF(Hypothèses!$C$26*$D$4&gt;0,Q69/(Hypothèses!$C$26*$D$4),0)</f>
        <v/>
      </c>
      <c r="R73" s="15">
        <f>IF(Hypothèses!$C$26*$D$4&gt;0,R69/(Hypothèses!$C$26*$D$4),0)</f>
        <v/>
      </c>
      <c r="S73" s="15">
        <f>IF(Hypothèses!$C$26*$D$4&gt;0,S69/(Hypothèses!$C$26*$D$4),0)</f>
        <v/>
      </c>
      <c r="T73" s="15">
        <f>IF(Hypothèses!$C$26*$D$4&gt;0,T69/(Hypothèses!$C$26*$D$4),0)</f>
        <v/>
      </c>
      <c r="U73" s="15">
        <f>IF(Hypothèses!$C$26*$D$4&gt;0,U69/(Hypothèses!$C$26*$D$4),0)</f>
        <v/>
      </c>
      <c r="V73" s="15">
        <f>IF(Hypothèses!$C$26*$D$4&gt;0,V69/(Hypothèses!$C$26*$D$4),0)</f>
        <v/>
      </c>
      <c r="W73" s="15">
        <f>IF(Hypothèses!$C$26*$D$4&gt;0,W69/(Hypothèses!$C$26*$D$4),0)</f>
        <v/>
      </c>
      <c r="X73" s="15">
        <f>IF(Hypothèses!$C$26*$D$4&gt;0,X69/(Hypothèses!$C$26*$D$4),0)</f>
        <v/>
      </c>
      <c r="Y73" s="15">
        <f>IF(Hypothèses!$C$26*$D$4&gt;0,Y69/(Hypothèses!$C$26*$D$4),0)</f>
        <v/>
      </c>
      <c r="Z73" s="15">
        <f>IF(Hypothèses!$C$26*$D$4&gt;0,Z69/(Hypothèses!$C$26*$D$4),0)</f>
        <v/>
      </c>
      <c r="AA73" s="15">
        <f>IF(Hypothèses!$C$26*$D$4&gt;0,AA69/(Hypothèses!$C$26*$D$4),0)</f>
        <v/>
      </c>
      <c r="AB73" s="15">
        <f>IF(Hypothèses!$C$26*$D$4&gt;0,AB69/(Hypothèses!$C$26*$D$4),0)</f>
        <v/>
      </c>
      <c r="AC73" s="15">
        <f>IF(Hypothèses!$C$26*$D$4&gt;0,AC69/(Hypothèses!$C$26*$D$4),0)</f>
        <v/>
      </c>
      <c r="AD73" s="15">
        <f>IF(Hypothèses!$C$26*$D$4&gt;0,AD69/(Hypothèses!$C$26*$D$4),0)</f>
        <v/>
      </c>
      <c r="AE73" s="15">
        <f>IF(Hypothèses!$C$26*$D$4&gt;0,AE69/(Hypothèses!$C$26*$D$4),0)</f>
        <v/>
      </c>
      <c r="AF73" s="15">
        <f>IF(Hypothèses!$C$26*$D$4&gt;0,AF69/(Hypothèses!$C$26*$D$4),0)</f>
        <v/>
      </c>
      <c r="AG73" s="15">
        <f>IF(Hypothèses!$C$26*$D$4&gt;0,AG69/(Hypothèses!$C$26*$D$4),0)</f>
        <v/>
      </c>
      <c r="AH73" s="15">
        <f>IF(Hypothèses!$C$26*$D$4&gt;0,AH69/(Hypothèses!$C$26*$D$4),0)</f>
        <v/>
      </c>
      <c r="AI73" s="15">
        <f>IF(Hypothèses!$C$26*$D$4&gt;0,AI69/(Hypothèses!$C$26*$D$4),0)</f>
        <v/>
      </c>
      <c r="AJ73" s="15">
        <f>IF(Hypothèses!$C$26*$D$4&gt;0,AJ69/(Hypothèses!$C$26*$D$4),0)</f>
        <v/>
      </c>
      <c r="AK73" s="15">
        <f>IF(Hypothèses!$C$26*$D$4&gt;0,AK69/(Hypothèses!$C$26*$D$4),0)</f>
        <v/>
      </c>
      <c r="AL73" s="15">
        <f>IF(Hypothèses!$C$26*$D$4&gt;0,AL69/(Hypothèses!$C$26*$D$4),0)</f>
        <v/>
      </c>
      <c r="AN73" s="15">
        <f>N73</f>
        <v/>
      </c>
      <c r="AO73" s="15">
        <f>Z73</f>
        <v/>
      </c>
      <c r="AP73" s="15">
        <f>AL73</f>
        <v/>
      </c>
    </row>
    <row r="74">
      <c r="A74" s="9" t="inlineStr">
        <is>
          <t>LTV / CAC</t>
        </is>
      </c>
      <c r="B74" s="4" t="inlineStr">
        <is>
          <t>x</t>
        </is>
      </c>
      <c r="C74" s="41">
        <f>IF(Hypothèses!$C$23*$E$4&gt;0,C73/(Hypothèses!$C$23*$E$4),0)</f>
        <v/>
      </c>
      <c r="D74" s="41">
        <f>IF(Hypothèses!$C$23*$E$4&gt;0,D73/(Hypothèses!$C$23*$E$4),0)</f>
        <v/>
      </c>
      <c r="E74" s="41">
        <f>IF(Hypothèses!$C$23*$E$4&gt;0,E73/(Hypothèses!$C$23*$E$4),0)</f>
        <v/>
      </c>
      <c r="F74" s="41">
        <f>IF(Hypothèses!$C$23*$E$4&gt;0,F73/(Hypothèses!$C$23*$E$4),0)</f>
        <v/>
      </c>
      <c r="G74" s="41">
        <f>IF(Hypothèses!$C$23*$E$4&gt;0,G73/(Hypothèses!$C$23*$E$4),0)</f>
        <v/>
      </c>
      <c r="H74" s="41">
        <f>IF(Hypothèses!$C$23*$E$4&gt;0,H73/(Hypothèses!$C$23*$E$4),0)</f>
        <v/>
      </c>
      <c r="I74" s="41">
        <f>IF(Hypothèses!$C$23*$E$4&gt;0,I73/(Hypothèses!$C$23*$E$4),0)</f>
        <v/>
      </c>
      <c r="J74" s="41">
        <f>IF(Hypothèses!$C$23*$E$4&gt;0,J73/(Hypothèses!$C$23*$E$4),0)</f>
        <v/>
      </c>
      <c r="K74" s="41">
        <f>IF(Hypothèses!$C$23*$E$4&gt;0,K73/(Hypothèses!$C$23*$E$4),0)</f>
        <v/>
      </c>
      <c r="L74" s="41">
        <f>IF(Hypothèses!$C$23*$E$4&gt;0,L73/(Hypothèses!$C$23*$E$4),0)</f>
        <v/>
      </c>
      <c r="M74" s="41">
        <f>IF(Hypothèses!$C$23*$E$4&gt;0,M73/(Hypothèses!$C$23*$E$4),0)</f>
        <v/>
      </c>
      <c r="N74" s="41">
        <f>IF(Hypothèses!$C$23*$E$4&gt;0,N73/(Hypothèses!$C$23*$E$4),0)</f>
        <v/>
      </c>
      <c r="O74" s="41">
        <f>IF(Hypothèses!$C$23*$E$4&gt;0,O73/(Hypothèses!$C$23*$E$4),0)</f>
        <v/>
      </c>
      <c r="P74" s="41">
        <f>IF(Hypothèses!$C$23*$E$4&gt;0,P73/(Hypothèses!$C$23*$E$4),0)</f>
        <v/>
      </c>
      <c r="Q74" s="41">
        <f>IF(Hypothèses!$C$23*$E$4&gt;0,Q73/(Hypothèses!$C$23*$E$4),0)</f>
        <v/>
      </c>
      <c r="R74" s="41">
        <f>IF(Hypothèses!$C$23*$E$4&gt;0,R73/(Hypothèses!$C$23*$E$4),0)</f>
        <v/>
      </c>
      <c r="S74" s="41">
        <f>IF(Hypothèses!$C$23*$E$4&gt;0,S73/(Hypothèses!$C$23*$E$4),0)</f>
        <v/>
      </c>
      <c r="T74" s="41">
        <f>IF(Hypothèses!$C$23*$E$4&gt;0,T73/(Hypothèses!$C$23*$E$4),0)</f>
        <v/>
      </c>
      <c r="U74" s="41">
        <f>IF(Hypothèses!$C$23*$E$4&gt;0,U73/(Hypothèses!$C$23*$E$4),0)</f>
        <v/>
      </c>
      <c r="V74" s="41">
        <f>IF(Hypothèses!$C$23*$E$4&gt;0,V73/(Hypothèses!$C$23*$E$4),0)</f>
        <v/>
      </c>
      <c r="W74" s="41">
        <f>IF(Hypothèses!$C$23*$E$4&gt;0,W73/(Hypothèses!$C$23*$E$4),0)</f>
        <v/>
      </c>
      <c r="X74" s="41">
        <f>IF(Hypothèses!$C$23*$E$4&gt;0,X73/(Hypothèses!$C$23*$E$4),0)</f>
        <v/>
      </c>
      <c r="Y74" s="41">
        <f>IF(Hypothèses!$C$23*$E$4&gt;0,Y73/(Hypothèses!$C$23*$E$4),0)</f>
        <v/>
      </c>
      <c r="Z74" s="41">
        <f>IF(Hypothèses!$C$23*$E$4&gt;0,Z73/(Hypothèses!$C$23*$E$4),0)</f>
        <v/>
      </c>
      <c r="AA74" s="41">
        <f>IF(Hypothèses!$C$23*$E$4&gt;0,AA73/(Hypothèses!$C$23*$E$4),0)</f>
        <v/>
      </c>
      <c r="AB74" s="41">
        <f>IF(Hypothèses!$C$23*$E$4&gt;0,AB73/(Hypothèses!$C$23*$E$4),0)</f>
        <v/>
      </c>
      <c r="AC74" s="41">
        <f>IF(Hypothèses!$C$23*$E$4&gt;0,AC73/(Hypothèses!$C$23*$E$4),0)</f>
        <v/>
      </c>
      <c r="AD74" s="41">
        <f>IF(Hypothèses!$C$23*$E$4&gt;0,AD73/(Hypothèses!$C$23*$E$4),0)</f>
        <v/>
      </c>
      <c r="AE74" s="41">
        <f>IF(Hypothèses!$C$23*$E$4&gt;0,AE73/(Hypothèses!$C$23*$E$4),0)</f>
        <v/>
      </c>
      <c r="AF74" s="41">
        <f>IF(Hypothèses!$C$23*$E$4&gt;0,AF73/(Hypothèses!$C$23*$E$4),0)</f>
        <v/>
      </c>
      <c r="AG74" s="41">
        <f>IF(Hypothèses!$C$23*$E$4&gt;0,AG73/(Hypothèses!$C$23*$E$4),0)</f>
        <v/>
      </c>
      <c r="AH74" s="41">
        <f>IF(Hypothèses!$C$23*$E$4&gt;0,AH73/(Hypothèses!$C$23*$E$4),0)</f>
        <v/>
      </c>
      <c r="AI74" s="41">
        <f>IF(Hypothèses!$C$23*$E$4&gt;0,AI73/(Hypothèses!$C$23*$E$4),0)</f>
        <v/>
      </c>
      <c r="AJ74" s="41">
        <f>IF(Hypothèses!$C$23*$E$4&gt;0,AJ73/(Hypothèses!$C$23*$E$4),0)</f>
        <v/>
      </c>
      <c r="AK74" s="41">
        <f>IF(Hypothèses!$C$23*$E$4&gt;0,AK73/(Hypothèses!$C$23*$E$4),0)</f>
        <v/>
      </c>
      <c r="AL74" s="41">
        <f>IF(Hypothèses!$C$23*$E$4&gt;0,AL73/(Hypothèses!$C$23*$E$4),0)</f>
        <v/>
      </c>
      <c r="AN74" s="41">
        <f>N74</f>
        <v/>
      </c>
      <c r="AO74" s="41">
        <f>Z74</f>
        <v/>
      </c>
      <c r="AP74" s="41">
        <f>AL74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0916A"/>
    <outlinePr summaryBelow="1" summaryRight="1"/>
    <pageSetUpPr/>
  </sheetPr>
  <dimension ref="A1:AP7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40" max="40"/>
    <col width="13" customWidth="1" min="41" max="41"/>
    <col width="13" customWidth="1" min="42" max="42"/>
  </cols>
  <sheetData>
    <row r="1">
      <c r="A1" s="1" t="inlineStr">
        <is>
          <t>Modèle Central (36 mois)</t>
        </is>
      </c>
    </row>
    <row r="2">
      <c r="A2" s="4" t="inlineStr">
        <is>
          <t>Flux en € HT sauf mention TTC. Formules vivantes ; ne saisir que dans l'onglet Hypothèses et la ligne de chocs ci-dessous.</t>
        </is>
      </c>
    </row>
    <row r="3">
      <c r="A3" s="2" t="inlineStr">
        <is>
          <t>Chocs de sensibilité (1 = aucun ; retard en mois)</t>
        </is>
      </c>
      <c r="C3" s="33" t="inlineStr">
        <is>
          <t>Prix ×</t>
        </is>
      </c>
      <c r="D3" s="33" t="inlineStr">
        <is>
          <t>Churn ×</t>
        </is>
      </c>
      <c r="E3" s="33" t="inlineStr">
        <is>
          <t>CAC ×</t>
        </is>
      </c>
      <c r="F3" s="33" t="inlineStr">
        <is>
          <t>Coût IA ×</t>
        </is>
      </c>
      <c r="G3" s="33" t="inlineStr">
        <is>
          <t>Coûts fixes ×</t>
        </is>
      </c>
      <c r="H3" s="33" t="inlineStr">
        <is>
          <t>Retard lancement (mois)</t>
        </is>
      </c>
    </row>
    <row r="4">
      <c r="C4" s="34" t="n">
        <v>1</v>
      </c>
      <c r="D4" s="34" t="n">
        <v>1</v>
      </c>
      <c r="E4" s="34" t="n">
        <v>1</v>
      </c>
      <c r="F4" s="34" t="n">
        <v>1</v>
      </c>
      <c r="G4" s="34" t="n">
        <v>1</v>
      </c>
      <c r="H4" s="35" t="n">
        <v>0</v>
      </c>
    </row>
    <row r="5">
      <c r="A5" s="2" t="inlineStr">
        <is>
          <t>Mois de lancement effectif</t>
        </is>
      </c>
      <c r="B5" s="22">
        <f>Hypothèses!$D$10+$H$4</f>
        <v/>
      </c>
    </row>
    <row r="6">
      <c r="A6" s="28" t="inlineStr">
        <is>
          <t>Ligne</t>
        </is>
      </c>
      <c r="B6" s="28" t="inlineStr">
        <is>
          <t>Unité</t>
        </is>
      </c>
      <c r="C6" s="36" t="inlineStr">
        <is>
          <t>M1</t>
        </is>
      </c>
      <c r="D6" s="36" t="inlineStr">
        <is>
          <t>M2</t>
        </is>
      </c>
      <c r="E6" s="36" t="inlineStr">
        <is>
          <t>M3</t>
        </is>
      </c>
      <c r="F6" s="36" t="inlineStr">
        <is>
          <t>M4</t>
        </is>
      </c>
      <c r="G6" s="36" t="inlineStr">
        <is>
          <t>M5</t>
        </is>
      </c>
      <c r="H6" s="36" t="inlineStr">
        <is>
          <t>M6</t>
        </is>
      </c>
      <c r="I6" s="36" t="inlineStr">
        <is>
          <t>M7</t>
        </is>
      </c>
      <c r="J6" s="36" t="inlineStr">
        <is>
          <t>M8</t>
        </is>
      </c>
      <c r="K6" s="36" t="inlineStr">
        <is>
          <t>M9</t>
        </is>
      </c>
      <c r="L6" s="36" t="inlineStr">
        <is>
          <t>M10</t>
        </is>
      </c>
      <c r="M6" s="36" t="inlineStr">
        <is>
          <t>M11</t>
        </is>
      </c>
      <c r="N6" s="36" t="inlineStr">
        <is>
          <t>M12</t>
        </is>
      </c>
      <c r="O6" s="36" t="inlineStr">
        <is>
          <t>M13</t>
        </is>
      </c>
      <c r="P6" s="36" t="inlineStr">
        <is>
          <t>M14</t>
        </is>
      </c>
      <c r="Q6" s="36" t="inlineStr">
        <is>
          <t>M15</t>
        </is>
      </c>
      <c r="R6" s="36" t="inlineStr">
        <is>
          <t>M16</t>
        </is>
      </c>
      <c r="S6" s="36" t="inlineStr">
        <is>
          <t>M17</t>
        </is>
      </c>
      <c r="T6" s="36" t="inlineStr">
        <is>
          <t>M18</t>
        </is>
      </c>
      <c r="U6" s="36" t="inlineStr">
        <is>
          <t>M19</t>
        </is>
      </c>
      <c r="V6" s="36" t="inlineStr">
        <is>
          <t>M20</t>
        </is>
      </c>
      <c r="W6" s="36" t="inlineStr">
        <is>
          <t>M21</t>
        </is>
      </c>
      <c r="X6" s="36" t="inlineStr">
        <is>
          <t>M22</t>
        </is>
      </c>
      <c r="Y6" s="36" t="inlineStr">
        <is>
          <t>M23</t>
        </is>
      </c>
      <c r="Z6" s="36" t="inlineStr">
        <is>
          <t>M24</t>
        </is>
      </c>
      <c r="AA6" s="36" t="inlineStr">
        <is>
          <t>M25</t>
        </is>
      </c>
      <c r="AB6" s="36" t="inlineStr">
        <is>
          <t>M26</t>
        </is>
      </c>
      <c r="AC6" s="36" t="inlineStr">
        <is>
          <t>M27</t>
        </is>
      </c>
      <c r="AD6" s="36" t="inlineStr">
        <is>
          <t>M28</t>
        </is>
      </c>
      <c r="AE6" s="36" t="inlineStr">
        <is>
          <t>M29</t>
        </is>
      </c>
      <c r="AF6" s="36" t="inlineStr">
        <is>
          <t>M30</t>
        </is>
      </c>
      <c r="AG6" s="36" t="inlineStr">
        <is>
          <t>M31</t>
        </is>
      </c>
      <c r="AH6" s="36" t="inlineStr">
        <is>
          <t>M32</t>
        </is>
      </c>
      <c r="AI6" s="36" t="inlineStr">
        <is>
          <t>M33</t>
        </is>
      </c>
      <c r="AJ6" s="36" t="inlineStr">
        <is>
          <t>M34</t>
        </is>
      </c>
      <c r="AK6" s="36" t="inlineStr">
        <is>
          <t>M35</t>
        </is>
      </c>
      <c r="AL6" s="36" t="inlineStr">
        <is>
          <t>M36</t>
        </is>
      </c>
      <c r="AN6" s="37" t="inlineStr">
        <is>
          <t>Année 1</t>
        </is>
      </c>
      <c r="AO6" s="37" t="inlineStr">
        <is>
          <t>Année 2</t>
        </is>
      </c>
      <c r="AP6" s="37" t="inlineStr">
        <is>
          <t>Année 3</t>
        </is>
      </c>
    </row>
    <row r="7">
      <c r="A7" s="9" t="inlineStr">
        <is>
          <t>Mois</t>
        </is>
      </c>
      <c r="B7" s="4" t="inlineStr">
        <is>
          <t>n°</t>
        </is>
      </c>
      <c r="C7" s="13" t="n">
        <v>1</v>
      </c>
      <c r="D7" s="13" t="n">
        <v>2</v>
      </c>
      <c r="E7" s="13" t="n">
        <v>3</v>
      </c>
      <c r="F7" s="13" t="n">
        <v>4</v>
      </c>
      <c r="G7" s="13" t="n">
        <v>5</v>
      </c>
      <c r="H7" s="13" t="n">
        <v>6</v>
      </c>
      <c r="I7" s="13" t="n">
        <v>7</v>
      </c>
      <c r="J7" s="13" t="n">
        <v>8</v>
      </c>
      <c r="K7" s="13" t="n">
        <v>9</v>
      </c>
      <c r="L7" s="13" t="n">
        <v>10</v>
      </c>
      <c r="M7" s="13" t="n">
        <v>11</v>
      </c>
      <c r="N7" s="13" t="n">
        <v>12</v>
      </c>
      <c r="O7" s="13" t="n">
        <v>13</v>
      </c>
      <c r="P7" s="13" t="n">
        <v>14</v>
      </c>
      <c r="Q7" s="13" t="n">
        <v>15</v>
      </c>
      <c r="R7" s="13" t="n">
        <v>16</v>
      </c>
      <c r="S7" s="13" t="n">
        <v>17</v>
      </c>
      <c r="T7" s="13" t="n">
        <v>18</v>
      </c>
      <c r="U7" s="13" t="n">
        <v>19</v>
      </c>
      <c r="V7" s="13" t="n">
        <v>20</v>
      </c>
      <c r="W7" s="13" t="n">
        <v>21</v>
      </c>
      <c r="X7" s="13" t="n">
        <v>22</v>
      </c>
      <c r="Y7" s="13" t="n">
        <v>23</v>
      </c>
      <c r="Z7" s="13" t="n">
        <v>24</v>
      </c>
      <c r="AA7" s="13" t="n">
        <v>25</v>
      </c>
      <c r="AB7" s="13" t="n">
        <v>26</v>
      </c>
      <c r="AC7" s="13" t="n">
        <v>27</v>
      </c>
      <c r="AD7" s="13" t="n">
        <v>28</v>
      </c>
      <c r="AE7" s="13" t="n">
        <v>29</v>
      </c>
      <c r="AF7" s="13" t="n">
        <v>30</v>
      </c>
      <c r="AG7" s="13" t="n">
        <v>31</v>
      </c>
      <c r="AH7" s="13" t="n">
        <v>32</v>
      </c>
      <c r="AI7" s="13" t="n">
        <v>33</v>
      </c>
      <c r="AJ7" s="13" t="n">
        <v>34</v>
      </c>
      <c r="AK7" s="13" t="n">
        <v>35</v>
      </c>
      <c r="AL7" s="13" t="n">
        <v>36</v>
      </c>
    </row>
    <row r="8">
      <c r="A8" s="9" t="inlineStr">
        <is>
          <t>Date</t>
        </is>
      </c>
      <c r="B8" s="4" t="inlineStr"/>
      <c r="C8" s="11">
        <f>EDATE(Hypothèses!$D$7,C7-1)</f>
        <v/>
      </c>
      <c r="D8" s="11">
        <f>EDATE(Hypothèses!$D$7,D7-1)</f>
        <v/>
      </c>
      <c r="E8" s="11">
        <f>EDATE(Hypothèses!$D$7,E7-1)</f>
        <v/>
      </c>
      <c r="F8" s="11">
        <f>EDATE(Hypothèses!$D$7,F7-1)</f>
        <v/>
      </c>
      <c r="G8" s="11">
        <f>EDATE(Hypothèses!$D$7,G7-1)</f>
        <v/>
      </c>
      <c r="H8" s="11">
        <f>EDATE(Hypothèses!$D$7,H7-1)</f>
        <v/>
      </c>
      <c r="I8" s="11">
        <f>EDATE(Hypothèses!$D$7,I7-1)</f>
        <v/>
      </c>
      <c r="J8" s="11">
        <f>EDATE(Hypothèses!$D$7,J7-1)</f>
        <v/>
      </c>
      <c r="K8" s="11">
        <f>EDATE(Hypothèses!$D$7,K7-1)</f>
        <v/>
      </c>
      <c r="L8" s="11">
        <f>EDATE(Hypothèses!$D$7,L7-1)</f>
        <v/>
      </c>
      <c r="M8" s="11">
        <f>EDATE(Hypothèses!$D$7,M7-1)</f>
        <v/>
      </c>
      <c r="N8" s="11">
        <f>EDATE(Hypothèses!$D$7,N7-1)</f>
        <v/>
      </c>
      <c r="O8" s="11">
        <f>EDATE(Hypothèses!$D$7,O7-1)</f>
        <v/>
      </c>
      <c r="P8" s="11">
        <f>EDATE(Hypothèses!$D$7,P7-1)</f>
        <v/>
      </c>
      <c r="Q8" s="11">
        <f>EDATE(Hypothèses!$D$7,Q7-1)</f>
        <v/>
      </c>
      <c r="R8" s="11">
        <f>EDATE(Hypothèses!$D$7,R7-1)</f>
        <v/>
      </c>
      <c r="S8" s="11">
        <f>EDATE(Hypothèses!$D$7,S7-1)</f>
        <v/>
      </c>
      <c r="T8" s="11">
        <f>EDATE(Hypothèses!$D$7,T7-1)</f>
        <v/>
      </c>
      <c r="U8" s="11">
        <f>EDATE(Hypothèses!$D$7,U7-1)</f>
        <v/>
      </c>
      <c r="V8" s="11">
        <f>EDATE(Hypothèses!$D$7,V7-1)</f>
        <v/>
      </c>
      <c r="W8" s="11">
        <f>EDATE(Hypothèses!$D$7,W7-1)</f>
        <v/>
      </c>
      <c r="X8" s="11">
        <f>EDATE(Hypothèses!$D$7,X7-1)</f>
        <v/>
      </c>
      <c r="Y8" s="11">
        <f>EDATE(Hypothèses!$D$7,Y7-1)</f>
        <v/>
      </c>
      <c r="Z8" s="11">
        <f>EDATE(Hypothèses!$D$7,Z7-1)</f>
        <v/>
      </c>
      <c r="AA8" s="11">
        <f>EDATE(Hypothèses!$D$7,AA7-1)</f>
        <v/>
      </c>
      <c r="AB8" s="11">
        <f>EDATE(Hypothèses!$D$7,AB7-1)</f>
        <v/>
      </c>
      <c r="AC8" s="11">
        <f>EDATE(Hypothèses!$D$7,AC7-1)</f>
        <v/>
      </c>
      <c r="AD8" s="11">
        <f>EDATE(Hypothèses!$D$7,AD7-1)</f>
        <v/>
      </c>
      <c r="AE8" s="11">
        <f>EDATE(Hypothèses!$D$7,AE7-1)</f>
        <v/>
      </c>
      <c r="AF8" s="11">
        <f>EDATE(Hypothèses!$D$7,AF7-1)</f>
        <v/>
      </c>
      <c r="AG8" s="11">
        <f>EDATE(Hypothèses!$D$7,AG7-1)</f>
        <v/>
      </c>
      <c r="AH8" s="11">
        <f>EDATE(Hypothèses!$D$7,AH7-1)</f>
        <v/>
      </c>
      <c r="AI8" s="11">
        <f>EDATE(Hypothèses!$D$7,AI7-1)</f>
        <v/>
      </c>
      <c r="AJ8" s="11">
        <f>EDATE(Hypothèses!$D$7,AJ7-1)</f>
        <v/>
      </c>
      <c r="AK8" s="11">
        <f>EDATE(Hypothèses!$D$7,AK7-1)</f>
        <v/>
      </c>
      <c r="AL8" s="11">
        <f>EDATE(Hypothèses!$D$7,AL7-1)</f>
        <v/>
      </c>
    </row>
    <row r="9">
      <c r="A9" s="9" t="inlineStr">
        <is>
          <t>Lancé ? (1 = oui)</t>
        </is>
      </c>
      <c r="B9" s="4" t="inlineStr">
        <is>
          <t>0/1</t>
        </is>
      </c>
      <c r="C9" s="13">
        <f>IF(C7&gt;=$B$5,1,0)</f>
        <v/>
      </c>
      <c r="D9" s="13">
        <f>IF(D7&gt;=$B$5,1,0)</f>
        <v/>
      </c>
      <c r="E9" s="13">
        <f>IF(E7&gt;=$B$5,1,0)</f>
        <v/>
      </c>
      <c r="F9" s="13">
        <f>IF(F7&gt;=$B$5,1,0)</f>
        <v/>
      </c>
      <c r="G9" s="13">
        <f>IF(G7&gt;=$B$5,1,0)</f>
        <v/>
      </c>
      <c r="H9" s="13">
        <f>IF(H7&gt;=$B$5,1,0)</f>
        <v/>
      </c>
      <c r="I9" s="13">
        <f>IF(I7&gt;=$B$5,1,0)</f>
        <v/>
      </c>
      <c r="J9" s="13">
        <f>IF(J7&gt;=$B$5,1,0)</f>
        <v/>
      </c>
      <c r="K9" s="13">
        <f>IF(K7&gt;=$B$5,1,0)</f>
        <v/>
      </c>
      <c r="L9" s="13">
        <f>IF(L7&gt;=$B$5,1,0)</f>
        <v/>
      </c>
      <c r="M9" s="13">
        <f>IF(M7&gt;=$B$5,1,0)</f>
        <v/>
      </c>
      <c r="N9" s="13">
        <f>IF(N7&gt;=$B$5,1,0)</f>
        <v/>
      </c>
      <c r="O9" s="13">
        <f>IF(O7&gt;=$B$5,1,0)</f>
        <v/>
      </c>
      <c r="P9" s="13">
        <f>IF(P7&gt;=$B$5,1,0)</f>
        <v/>
      </c>
      <c r="Q9" s="13">
        <f>IF(Q7&gt;=$B$5,1,0)</f>
        <v/>
      </c>
      <c r="R9" s="13">
        <f>IF(R7&gt;=$B$5,1,0)</f>
        <v/>
      </c>
      <c r="S9" s="13">
        <f>IF(S7&gt;=$B$5,1,0)</f>
        <v/>
      </c>
      <c r="T9" s="13">
        <f>IF(T7&gt;=$B$5,1,0)</f>
        <v/>
      </c>
      <c r="U9" s="13">
        <f>IF(U7&gt;=$B$5,1,0)</f>
        <v/>
      </c>
      <c r="V9" s="13">
        <f>IF(V7&gt;=$B$5,1,0)</f>
        <v/>
      </c>
      <c r="W9" s="13">
        <f>IF(W7&gt;=$B$5,1,0)</f>
        <v/>
      </c>
      <c r="X9" s="13">
        <f>IF(X7&gt;=$B$5,1,0)</f>
        <v/>
      </c>
      <c r="Y9" s="13">
        <f>IF(Y7&gt;=$B$5,1,0)</f>
        <v/>
      </c>
      <c r="Z9" s="13">
        <f>IF(Z7&gt;=$B$5,1,0)</f>
        <v/>
      </c>
      <c r="AA9" s="13">
        <f>IF(AA7&gt;=$B$5,1,0)</f>
        <v/>
      </c>
      <c r="AB9" s="13">
        <f>IF(AB7&gt;=$B$5,1,0)</f>
        <v/>
      </c>
      <c r="AC9" s="13">
        <f>IF(AC7&gt;=$B$5,1,0)</f>
        <v/>
      </c>
      <c r="AD9" s="13">
        <f>IF(AD7&gt;=$B$5,1,0)</f>
        <v/>
      </c>
      <c r="AE9" s="13">
        <f>IF(AE7&gt;=$B$5,1,0)</f>
        <v/>
      </c>
      <c r="AF9" s="13">
        <f>IF(AF7&gt;=$B$5,1,0)</f>
        <v/>
      </c>
      <c r="AG9" s="13">
        <f>IF(AG7&gt;=$B$5,1,0)</f>
        <v/>
      </c>
      <c r="AH9" s="13">
        <f>IF(AH7&gt;=$B$5,1,0)</f>
        <v/>
      </c>
      <c r="AI9" s="13">
        <f>IF(AI7&gt;=$B$5,1,0)</f>
        <v/>
      </c>
      <c r="AJ9" s="13">
        <f>IF(AJ7&gt;=$B$5,1,0)</f>
        <v/>
      </c>
      <c r="AK9" s="13">
        <f>IF(AK7&gt;=$B$5,1,0)</f>
        <v/>
      </c>
      <c r="AL9" s="13">
        <f>IF(AL7&gt;=$B$5,1,0)</f>
        <v/>
      </c>
    </row>
    <row r="10">
      <c r="A10" s="9" t="inlineStr">
        <is>
          <t>Pilote en cours ? (1 = oui)</t>
        </is>
      </c>
      <c r="B10" s="4" t="inlineStr">
        <is>
          <t>0/1</t>
        </is>
      </c>
      <c r="C10" s="13">
        <f>IF(AND(C7&gt;=Hypothèses!$D$8,C7&lt;$B$5),1,0)</f>
        <v/>
      </c>
      <c r="D10" s="13">
        <f>IF(AND(D7&gt;=Hypothèses!$D$8,D7&lt;$B$5),1,0)</f>
        <v/>
      </c>
      <c r="E10" s="13">
        <f>IF(AND(E7&gt;=Hypothèses!$D$8,E7&lt;$B$5),1,0)</f>
        <v/>
      </c>
      <c r="F10" s="13">
        <f>IF(AND(F7&gt;=Hypothèses!$D$8,F7&lt;$B$5),1,0)</f>
        <v/>
      </c>
      <c r="G10" s="13">
        <f>IF(AND(G7&gt;=Hypothèses!$D$8,G7&lt;$B$5),1,0)</f>
        <v/>
      </c>
      <c r="H10" s="13">
        <f>IF(AND(H7&gt;=Hypothèses!$D$8,H7&lt;$B$5),1,0)</f>
        <v/>
      </c>
      <c r="I10" s="13">
        <f>IF(AND(I7&gt;=Hypothèses!$D$8,I7&lt;$B$5),1,0)</f>
        <v/>
      </c>
      <c r="J10" s="13">
        <f>IF(AND(J7&gt;=Hypothèses!$D$8,J7&lt;$B$5),1,0)</f>
        <v/>
      </c>
      <c r="K10" s="13">
        <f>IF(AND(K7&gt;=Hypothèses!$D$8,K7&lt;$B$5),1,0)</f>
        <v/>
      </c>
      <c r="L10" s="13">
        <f>IF(AND(L7&gt;=Hypothèses!$D$8,L7&lt;$B$5),1,0)</f>
        <v/>
      </c>
      <c r="M10" s="13">
        <f>IF(AND(M7&gt;=Hypothèses!$D$8,M7&lt;$B$5),1,0)</f>
        <v/>
      </c>
      <c r="N10" s="13">
        <f>IF(AND(N7&gt;=Hypothèses!$D$8,N7&lt;$B$5),1,0)</f>
        <v/>
      </c>
      <c r="O10" s="13">
        <f>IF(AND(O7&gt;=Hypothèses!$D$8,O7&lt;$B$5),1,0)</f>
        <v/>
      </c>
      <c r="P10" s="13">
        <f>IF(AND(P7&gt;=Hypothèses!$D$8,P7&lt;$B$5),1,0)</f>
        <v/>
      </c>
      <c r="Q10" s="13">
        <f>IF(AND(Q7&gt;=Hypothèses!$D$8,Q7&lt;$B$5),1,0)</f>
        <v/>
      </c>
      <c r="R10" s="13">
        <f>IF(AND(R7&gt;=Hypothèses!$D$8,R7&lt;$B$5),1,0)</f>
        <v/>
      </c>
      <c r="S10" s="13">
        <f>IF(AND(S7&gt;=Hypothèses!$D$8,S7&lt;$B$5),1,0)</f>
        <v/>
      </c>
      <c r="T10" s="13">
        <f>IF(AND(T7&gt;=Hypothèses!$D$8,T7&lt;$B$5),1,0)</f>
        <v/>
      </c>
      <c r="U10" s="13">
        <f>IF(AND(U7&gt;=Hypothèses!$D$8,U7&lt;$B$5),1,0)</f>
        <v/>
      </c>
      <c r="V10" s="13">
        <f>IF(AND(V7&gt;=Hypothèses!$D$8,V7&lt;$B$5),1,0)</f>
        <v/>
      </c>
      <c r="W10" s="13">
        <f>IF(AND(W7&gt;=Hypothèses!$D$8,W7&lt;$B$5),1,0)</f>
        <v/>
      </c>
      <c r="X10" s="13">
        <f>IF(AND(X7&gt;=Hypothèses!$D$8,X7&lt;$B$5),1,0)</f>
        <v/>
      </c>
      <c r="Y10" s="13">
        <f>IF(AND(Y7&gt;=Hypothèses!$D$8,Y7&lt;$B$5),1,0)</f>
        <v/>
      </c>
      <c r="Z10" s="13">
        <f>IF(AND(Z7&gt;=Hypothèses!$D$8,Z7&lt;$B$5),1,0)</f>
        <v/>
      </c>
      <c r="AA10" s="13">
        <f>IF(AND(AA7&gt;=Hypothèses!$D$8,AA7&lt;$B$5),1,0)</f>
        <v/>
      </c>
      <c r="AB10" s="13">
        <f>IF(AND(AB7&gt;=Hypothèses!$D$8,AB7&lt;$B$5),1,0)</f>
        <v/>
      </c>
      <c r="AC10" s="13">
        <f>IF(AND(AC7&gt;=Hypothèses!$D$8,AC7&lt;$B$5),1,0)</f>
        <v/>
      </c>
      <c r="AD10" s="13">
        <f>IF(AND(AD7&gt;=Hypothèses!$D$8,AD7&lt;$B$5),1,0)</f>
        <v/>
      </c>
      <c r="AE10" s="13">
        <f>IF(AND(AE7&gt;=Hypothèses!$D$8,AE7&lt;$B$5),1,0)</f>
        <v/>
      </c>
      <c r="AF10" s="13">
        <f>IF(AND(AF7&gt;=Hypothèses!$D$8,AF7&lt;$B$5),1,0)</f>
        <v/>
      </c>
      <c r="AG10" s="13">
        <f>IF(AND(AG7&gt;=Hypothèses!$D$8,AG7&lt;$B$5),1,0)</f>
        <v/>
      </c>
      <c r="AH10" s="13">
        <f>IF(AND(AH7&gt;=Hypothèses!$D$8,AH7&lt;$B$5),1,0)</f>
        <v/>
      </c>
      <c r="AI10" s="13">
        <f>IF(AND(AI7&gt;=Hypothèses!$D$8,AI7&lt;$B$5),1,0)</f>
        <v/>
      </c>
      <c r="AJ10" s="13">
        <f>IF(AND(AJ7&gt;=Hypothèses!$D$8,AJ7&lt;$B$5),1,0)</f>
        <v/>
      </c>
      <c r="AK10" s="13">
        <f>IF(AND(AK7&gt;=Hypothèses!$D$8,AK7&lt;$B$5),1,0)</f>
        <v/>
      </c>
      <c r="AL10" s="13">
        <f>IF(AND(AL7&gt;=Hypothèses!$D$8,AL7&lt;$B$5),1,0)</f>
        <v/>
      </c>
    </row>
    <row r="11">
      <c r="A11" s="9" t="inlineStr">
        <is>
          <t>Budget d'acquisition du mois</t>
        </is>
      </c>
      <c r="B11" s="4" t="inlineStr">
        <is>
          <t>€ HT</t>
        </is>
      </c>
      <c r="C11" s="15">
        <f>IF(C9=1,IF(C7&lt;=12,Hypothèses!$D$20,IF(C7&lt;=24,Hypothèses!$D$21,Hypothèses!$D$22)),0)</f>
        <v/>
      </c>
      <c r="D11" s="15">
        <f>IF(D9=1,IF(D7&lt;=12,Hypothèses!$D$20,IF(D7&lt;=24,Hypothèses!$D$21,Hypothèses!$D$22)),0)</f>
        <v/>
      </c>
      <c r="E11" s="15">
        <f>IF(E9=1,IF(E7&lt;=12,Hypothèses!$D$20,IF(E7&lt;=24,Hypothèses!$D$21,Hypothèses!$D$22)),0)</f>
        <v/>
      </c>
      <c r="F11" s="15">
        <f>IF(F9=1,IF(F7&lt;=12,Hypothèses!$D$20,IF(F7&lt;=24,Hypothèses!$D$21,Hypothèses!$D$22)),0)</f>
        <v/>
      </c>
      <c r="G11" s="15">
        <f>IF(G9=1,IF(G7&lt;=12,Hypothèses!$D$20,IF(G7&lt;=24,Hypothèses!$D$21,Hypothèses!$D$22)),0)</f>
        <v/>
      </c>
      <c r="H11" s="15">
        <f>IF(H9=1,IF(H7&lt;=12,Hypothèses!$D$20,IF(H7&lt;=24,Hypothèses!$D$21,Hypothèses!$D$22)),0)</f>
        <v/>
      </c>
      <c r="I11" s="15">
        <f>IF(I9=1,IF(I7&lt;=12,Hypothèses!$D$20,IF(I7&lt;=24,Hypothèses!$D$21,Hypothèses!$D$22)),0)</f>
        <v/>
      </c>
      <c r="J11" s="15">
        <f>IF(J9=1,IF(J7&lt;=12,Hypothèses!$D$20,IF(J7&lt;=24,Hypothèses!$D$21,Hypothèses!$D$22)),0)</f>
        <v/>
      </c>
      <c r="K11" s="15">
        <f>IF(K9=1,IF(K7&lt;=12,Hypothèses!$D$20,IF(K7&lt;=24,Hypothèses!$D$21,Hypothèses!$D$22)),0)</f>
        <v/>
      </c>
      <c r="L11" s="15">
        <f>IF(L9=1,IF(L7&lt;=12,Hypothèses!$D$20,IF(L7&lt;=24,Hypothèses!$D$21,Hypothèses!$D$22)),0)</f>
        <v/>
      </c>
      <c r="M11" s="15">
        <f>IF(M9=1,IF(M7&lt;=12,Hypothèses!$D$20,IF(M7&lt;=24,Hypothèses!$D$21,Hypothèses!$D$22)),0)</f>
        <v/>
      </c>
      <c r="N11" s="15">
        <f>IF(N9=1,IF(N7&lt;=12,Hypothèses!$D$20,IF(N7&lt;=24,Hypothèses!$D$21,Hypothèses!$D$22)),0)</f>
        <v/>
      </c>
      <c r="O11" s="15">
        <f>IF(O9=1,IF(O7&lt;=12,Hypothèses!$D$20,IF(O7&lt;=24,Hypothèses!$D$21,Hypothèses!$D$22)),0)</f>
        <v/>
      </c>
      <c r="P11" s="15">
        <f>IF(P9=1,IF(P7&lt;=12,Hypothèses!$D$20,IF(P7&lt;=24,Hypothèses!$D$21,Hypothèses!$D$22)),0)</f>
        <v/>
      </c>
      <c r="Q11" s="15">
        <f>IF(Q9=1,IF(Q7&lt;=12,Hypothèses!$D$20,IF(Q7&lt;=24,Hypothèses!$D$21,Hypothèses!$D$22)),0)</f>
        <v/>
      </c>
      <c r="R11" s="15">
        <f>IF(R9=1,IF(R7&lt;=12,Hypothèses!$D$20,IF(R7&lt;=24,Hypothèses!$D$21,Hypothèses!$D$22)),0)</f>
        <v/>
      </c>
      <c r="S11" s="15">
        <f>IF(S9=1,IF(S7&lt;=12,Hypothèses!$D$20,IF(S7&lt;=24,Hypothèses!$D$21,Hypothèses!$D$22)),0)</f>
        <v/>
      </c>
      <c r="T11" s="15">
        <f>IF(T9=1,IF(T7&lt;=12,Hypothèses!$D$20,IF(T7&lt;=24,Hypothèses!$D$21,Hypothèses!$D$22)),0)</f>
        <v/>
      </c>
      <c r="U11" s="15">
        <f>IF(U9=1,IF(U7&lt;=12,Hypothèses!$D$20,IF(U7&lt;=24,Hypothèses!$D$21,Hypothèses!$D$22)),0)</f>
        <v/>
      </c>
      <c r="V11" s="15">
        <f>IF(V9=1,IF(V7&lt;=12,Hypothèses!$D$20,IF(V7&lt;=24,Hypothèses!$D$21,Hypothèses!$D$22)),0)</f>
        <v/>
      </c>
      <c r="W11" s="15">
        <f>IF(W9=1,IF(W7&lt;=12,Hypothèses!$D$20,IF(W7&lt;=24,Hypothèses!$D$21,Hypothèses!$D$22)),0)</f>
        <v/>
      </c>
      <c r="X11" s="15">
        <f>IF(X9=1,IF(X7&lt;=12,Hypothèses!$D$20,IF(X7&lt;=24,Hypothèses!$D$21,Hypothèses!$D$22)),0)</f>
        <v/>
      </c>
      <c r="Y11" s="15">
        <f>IF(Y9=1,IF(Y7&lt;=12,Hypothèses!$D$20,IF(Y7&lt;=24,Hypothèses!$D$21,Hypothèses!$D$22)),0)</f>
        <v/>
      </c>
      <c r="Z11" s="15">
        <f>IF(Z9=1,IF(Z7&lt;=12,Hypothèses!$D$20,IF(Z7&lt;=24,Hypothèses!$D$21,Hypothèses!$D$22)),0)</f>
        <v/>
      </c>
      <c r="AA11" s="15">
        <f>IF(AA9=1,IF(AA7&lt;=12,Hypothèses!$D$20,IF(AA7&lt;=24,Hypothèses!$D$21,Hypothèses!$D$22)),0)</f>
        <v/>
      </c>
      <c r="AB11" s="15">
        <f>IF(AB9=1,IF(AB7&lt;=12,Hypothèses!$D$20,IF(AB7&lt;=24,Hypothèses!$D$21,Hypothèses!$D$22)),0)</f>
        <v/>
      </c>
      <c r="AC11" s="15">
        <f>IF(AC9=1,IF(AC7&lt;=12,Hypothèses!$D$20,IF(AC7&lt;=24,Hypothèses!$D$21,Hypothèses!$D$22)),0)</f>
        <v/>
      </c>
      <c r="AD11" s="15">
        <f>IF(AD9=1,IF(AD7&lt;=12,Hypothèses!$D$20,IF(AD7&lt;=24,Hypothèses!$D$21,Hypothèses!$D$22)),0)</f>
        <v/>
      </c>
      <c r="AE11" s="15">
        <f>IF(AE9=1,IF(AE7&lt;=12,Hypothèses!$D$20,IF(AE7&lt;=24,Hypothèses!$D$21,Hypothèses!$D$22)),0)</f>
        <v/>
      </c>
      <c r="AF11" s="15">
        <f>IF(AF9=1,IF(AF7&lt;=12,Hypothèses!$D$20,IF(AF7&lt;=24,Hypothèses!$D$21,Hypothèses!$D$22)),0)</f>
        <v/>
      </c>
      <c r="AG11" s="15">
        <f>IF(AG9=1,IF(AG7&lt;=12,Hypothèses!$D$20,IF(AG7&lt;=24,Hypothèses!$D$21,Hypothèses!$D$22)),0)</f>
        <v/>
      </c>
      <c r="AH11" s="15">
        <f>IF(AH9=1,IF(AH7&lt;=12,Hypothèses!$D$20,IF(AH7&lt;=24,Hypothèses!$D$21,Hypothèses!$D$22)),0)</f>
        <v/>
      </c>
      <c r="AI11" s="15">
        <f>IF(AI9=1,IF(AI7&lt;=12,Hypothèses!$D$20,IF(AI7&lt;=24,Hypothèses!$D$21,Hypothèses!$D$22)),0)</f>
        <v/>
      </c>
      <c r="AJ11" s="15">
        <f>IF(AJ9=1,IF(AJ7&lt;=12,Hypothèses!$D$20,IF(AJ7&lt;=24,Hypothèses!$D$21,Hypothèses!$D$22)),0)</f>
        <v/>
      </c>
      <c r="AK11" s="15">
        <f>IF(AK9=1,IF(AK7&lt;=12,Hypothèses!$D$20,IF(AK7&lt;=24,Hypothèses!$D$21,Hypothèses!$D$22)),0)</f>
        <v/>
      </c>
      <c r="AL11" s="15">
        <f>IF(AL9=1,IF(AL7&lt;=12,Hypothèses!$D$20,IF(AL7&lt;=24,Hypothèses!$D$21,Hypothèses!$D$22)),0)</f>
        <v/>
      </c>
      <c r="AN11" s="15">
        <f>SUM(C11:N11)</f>
        <v/>
      </c>
      <c r="AO11" s="15">
        <f>SUM(O11:Z11)</f>
        <v/>
      </c>
      <c r="AP11" s="15">
        <f>SUM(AA11:AL11)</f>
        <v/>
      </c>
    </row>
    <row r="12">
      <c r="A12" s="8" t="inlineStr">
        <is>
          <t>Abonnés</t>
        </is>
      </c>
    </row>
    <row r="13">
      <c r="A13" s="9" t="inlineStr">
        <is>
          <t>Abonnés en début de mois</t>
        </is>
      </c>
      <c r="B13" s="4" t="inlineStr">
        <is>
          <t>abonnés</t>
        </is>
      </c>
      <c r="C13" s="38">
        <f>0</f>
        <v/>
      </c>
      <c r="D13" s="38">
        <f>C18</f>
        <v/>
      </c>
      <c r="E13" s="38">
        <f>D18</f>
        <v/>
      </c>
      <c r="F13" s="38">
        <f>E18</f>
        <v/>
      </c>
      <c r="G13" s="38">
        <f>F18</f>
        <v/>
      </c>
      <c r="H13" s="38">
        <f>G18</f>
        <v/>
      </c>
      <c r="I13" s="38">
        <f>H18</f>
        <v/>
      </c>
      <c r="J13" s="38">
        <f>I18</f>
        <v/>
      </c>
      <c r="K13" s="38">
        <f>J18</f>
        <v/>
      </c>
      <c r="L13" s="38">
        <f>K18</f>
        <v/>
      </c>
      <c r="M13" s="38">
        <f>L18</f>
        <v/>
      </c>
      <c r="N13" s="38">
        <f>M18</f>
        <v/>
      </c>
      <c r="O13" s="38">
        <f>N18</f>
        <v/>
      </c>
      <c r="P13" s="38">
        <f>O18</f>
        <v/>
      </c>
      <c r="Q13" s="38">
        <f>P18</f>
        <v/>
      </c>
      <c r="R13" s="38">
        <f>Q18</f>
        <v/>
      </c>
      <c r="S13" s="38">
        <f>R18</f>
        <v/>
      </c>
      <c r="T13" s="38">
        <f>S18</f>
        <v/>
      </c>
      <c r="U13" s="38">
        <f>T18</f>
        <v/>
      </c>
      <c r="V13" s="38">
        <f>U18</f>
        <v/>
      </c>
      <c r="W13" s="38">
        <f>V18</f>
        <v/>
      </c>
      <c r="X13" s="38">
        <f>W18</f>
        <v/>
      </c>
      <c r="Y13" s="38">
        <f>X18</f>
        <v/>
      </c>
      <c r="Z13" s="38">
        <f>Y18</f>
        <v/>
      </c>
      <c r="AA13" s="38">
        <f>Z18</f>
        <v/>
      </c>
      <c r="AB13" s="38">
        <f>AA18</f>
        <v/>
      </c>
      <c r="AC13" s="38">
        <f>AB18</f>
        <v/>
      </c>
      <c r="AD13" s="38">
        <f>AC18</f>
        <v/>
      </c>
      <c r="AE13" s="38">
        <f>AD18</f>
        <v/>
      </c>
      <c r="AF13" s="38">
        <f>AE18</f>
        <v/>
      </c>
      <c r="AG13" s="38">
        <f>AF18</f>
        <v/>
      </c>
      <c r="AH13" s="38">
        <f>AG18</f>
        <v/>
      </c>
      <c r="AI13" s="38">
        <f>AH18</f>
        <v/>
      </c>
      <c r="AJ13" s="38">
        <f>AI18</f>
        <v/>
      </c>
      <c r="AK13" s="38">
        <f>AJ18</f>
        <v/>
      </c>
      <c r="AL13" s="38">
        <f>AK18</f>
        <v/>
      </c>
    </row>
    <row r="14">
      <c r="A14" s="9" t="inlineStr">
        <is>
          <t>Nouveaux abonnés par acquisition payante</t>
        </is>
      </c>
      <c r="B14" s="4" t="inlineStr">
        <is>
          <t>abonnés</t>
        </is>
      </c>
      <c r="C14" s="38">
        <f>C11/(Hypothèses!$D$23*$E$4)</f>
        <v/>
      </c>
      <c r="D14" s="38">
        <f>D11/(Hypothèses!$D$23*$E$4)</f>
        <v/>
      </c>
      <c r="E14" s="38">
        <f>E11/(Hypothèses!$D$23*$E$4)</f>
        <v/>
      </c>
      <c r="F14" s="38">
        <f>F11/(Hypothèses!$D$23*$E$4)</f>
        <v/>
      </c>
      <c r="G14" s="38">
        <f>G11/(Hypothèses!$D$23*$E$4)</f>
        <v/>
      </c>
      <c r="H14" s="38">
        <f>H11/(Hypothèses!$D$23*$E$4)</f>
        <v/>
      </c>
      <c r="I14" s="38">
        <f>I11/(Hypothèses!$D$23*$E$4)</f>
        <v/>
      </c>
      <c r="J14" s="38">
        <f>J11/(Hypothèses!$D$23*$E$4)</f>
        <v/>
      </c>
      <c r="K14" s="38">
        <f>K11/(Hypothèses!$D$23*$E$4)</f>
        <v/>
      </c>
      <c r="L14" s="38">
        <f>L11/(Hypothèses!$D$23*$E$4)</f>
        <v/>
      </c>
      <c r="M14" s="38">
        <f>M11/(Hypothèses!$D$23*$E$4)</f>
        <v/>
      </c>
      <c r="N14" s="38">
        <f>N11/(Hypothèses!$D$23*$E$4)</f>
        <v/>
      </c>
      <c r="O14" s="38">
        <f>O11/(Hypothèses!$D$23*$E$4)</f>
        <v/>
      </c>
      <c r="P14" s="38">
        <f>P11/(Hypothèses!$D$23*$E$4)</f>
        <v/>
      </c>
      <c r="Q14" s="38">
        <f>Q11/(Hypothèses!$D$23*$E$4)</f>
        <v/>
      </c>
      <c r="R14" s="38">
        <f>R11/(Hypothèses!$D$23*$E$4)</f>
        <v/>
      </c>
      <c r="S14" s="38">
        <f>S11/(Hypothèses!$D$23*$E$4)</f>
        <v/>
      </c>
      <c r="T14" s="38">
        <f>T11/(Hypothèses!$D$23*$E$4)</f>
        <v/>
      </c>
      <c r="U14" s="38">
        <f>U11/(Hypothèses!$D$23*$E$4)</f>
        <v/>
      </c>
      <c r="V14" s="38">
        <f>V11/(Hypothèses!$D$23*$E$4)</f>
        <v/>
      </c>
      <c r="W14" s="38">
        <f>W11/(Hypothèses!$D$23*$E$4)</f>
        <v/>
      </c>
      <c r="X14" s="38">
        <f>X11/(Hypothèses!$D$23*$E$4)</f>
        <v/>
      </c>
      <c r="Y14" s="38">
        <f>Y11/(Hypothèses!$D$23*$E$4)</f>
        <v/>
      </c>
      <c r="Z14" s="38">
        <f>Z11/(Hypothèses!$D$23*$E$4)</f>
        <v/>
      </c>
      <c r="AA14" s="38">
        <f>AA11/(Hypothèses!$D$23*$E$4)</f>
        <v/>
      </c>
      <c r="AB14" s="38">
        <f>AB11/(Hypothèses!$D$23*$E$4)</f>
        <v/>
      </c>
      <c r="AC14" s="38">
        <f>AC11/(Hypothèses!$D$23*$E$4)</f>
        <v/>
      </c>
      <c r="AD14" s="38">
        <f>AD11/(Hypothèses!$D$23*$E$4)</f>
        <v/>
      </c>
      <c r="AE14" s="38">
        <f>AE11/(Hypothèses!$D$23*$E$4)</f>
        <v/>
      </c>
      <c r="AF14" s="38">
        <f>AF11/(Hypothèses!$D$23*$E$4)</f>
        <v/>
      </c>
      <c r="AG14" s="38">
        <f>AG11/(Hypothèses!$D$23*$E$4)</f>
        <v/>
      </c>
      <c r="AH14" s="38">
        <f>AH11/(Hypothèses!$D$23*$E$4)</f>
        <v/>
      </c>
      <c r="AI14" s="38">
        <f>AI11/(Hypothèses!$D$23*$E$4)</f>
        <v/>
      </c>
      <c r="AJ14" s="38">
        <f>AJ11/(Hypothèses!$D$23*$E$4)</f>
        <v/>
      </c>
      <c r="AK14" s="38">
        <f>AK11/(Hypothèses!$D$23*$E$4)</f>
        <v/>
      </c>
      <c r="AL14" s="38">
        <f>AL11/(Hypothèses!$D$23*$E$4)</f>
        <v/>
      </c>
      <c r="AN14" s="38">
        <f>SUM(C14:N14)</f>
        <v/>
      </c>
      <c r="AO14" s="38">
        <f>SUM(O14:Z14)</f>
        <v/>
      </c>
      <c r="AP14" s="38">
        <f>SUM(AA14:AL14)</f>
        <v/>
      </c>
    </row>
    <row r="15">
      <c r="A15" s="9" t="inlineStr">
        <is>
          <t>Nouveaux abonnés pilote</t>
        </is>
      </c>
      <c r="B15" s="4" t="inlineStr">
        <is>
          <t>abonnés</t>
        </is>
      </c>
      <c r="C15" s="38">
        <f>IF(C7=Hypothèses!$D$8,Hypothèses!$D$9,0)</f>
        <v/>
      </c>
      <c r="D15" s="38">
        <f>IF(D7=Hypothèses!$D$8,Hypothèses!$D$9,0)</f>
        <v/>
      </c>
      <c r="E15" s="38">
        <f>IF(E7=Hypothèses!$D$8,Hypothèses!$D$9,0)</f>
        <v/>
      </c>
      <c r="F15" s="38">
        <f>IF(F7=Hypothèses!$D$8,Hypothèses!$D$9,0)</f>
        <v/>
      </c>
      <c r="G15" s="38">
        <f>IF(G7=Hypothèses!$D$8,Hypothèses!$D$9,0)</f>
        <v/>
      </c>
      <c r="H15" s="38">
        <f>IF(H7=Hypothèses!$D$8,Hypothèses!$D$9,0)</f>
        <v/>
      </c>
      <c r="I15" s="38">
        <f>IF(I7=Hypothèses!$D$8,Hypothèses!$D$9,0)</f>
        <v/>
      </c>
      <c r="J15" s="38">
        <f>IF(J7=Hypothèses!$D$8,Hypothèses!$D$9,0)</f>
        <v/>
      </c>
      <c r="K15" s="38">
        <f>IF(K7=Hypothèses!$D$8,Hypothèses!$D$9,0)</f>
        <v/>
      </c>
      <c r="L15" s="38">
        <f>IF(L7=Hypothèses!$D$8,Hypothèses!$D$9,0)</f>
        <v/>
      </c>
      <c r="M15" s="38">
        <f>IF(M7=Hypothèses!$D$8,Hypothèses!$D$9,0)</f>
        <v/>
      </c>
      <c r="N15" s="38">
        <f>IF(N7=Hypothèses!$D$8,Hypothèses!$D$9,0)</f>
        <v/>
      </c>
      <c r="O15" s="38">
        <f>IF(O7=Hypothèses!$D$8,Hypothèses!$D$9,0)</f>
        <v/>
      </c>
      <c r="P15" s="38">
        <f>IF(P7=Hypothèses!$D$8,Hypothèses!$D$9,0)</f>
        <v/>
      </c>
      <c r="Q15" s="38">
        <f>IF(Q7=Hypothèses!$D$8,Hypothèses!$D$9,0)</f>
        <v/>
      </c>
      <c r="R15" s="38">
        <f>IF(R7=Hypothèses!$D$8,Hypothèses!$D$9,0)</f>
        <v/>
      </c>
      <c r="S15" s="38">
        <f>IF(S7=Hypothèses!$D$8,Hypothèses!$D$9,0)</f>
        <v/>
      </c>
      <c r="T15" s="38">
        <f>IF(T7=Hypothèses!$D$8,Hypothèses!$D$9,0)</f>
        <v/>
      </c>
      <c r="U15" s="38">
        <f>IF(U7=Hypothèses!$D$8,Hypothèses!$D$9,0)</f>
        <v/>
      </c>
      <c r="V15" s="38">
        <f>IF(V7=Hypothèses!$D$8,Hypothèses!$D$9,0)</f>
        <v/>
      </c>
      <c r="W15" s="38">
        <f>IF(W7=Hypothèses!$D$8,Hypothèses!$D$9,0)</f>
        <v/>
      </c>
      <c r="X15" s="38">
        <f>IF(X7=Hypothèses!$D$8,Hypothèses!$D$9,0)</f>
        <v/>
      </c>
      <c r="Y15" s="38">
        <f>IF(Y7=Hypothèses!$D$8,Hypothèses!$D$9,0)</f>
        <v/>
      </c>
      <c r="Z15" s="38">
        <f>IF(Z7=Hypothèses!$D$8,Hypothèses!$D$9,0)</f>
        <v/>
      </c>
      <c r="AA15" s="38">
        <f>IF(AA7=Hypothèses!$D$8,Hypothèses!$D$9,0)</f>
        <v/>
      </c>
      <c r="AB15" s="38">
        <f>IF(AB7=Hypothèses!$D$8,Hypothèses!$D$9,0)</f>
        <v/>
      </c>
      <c r="AC15" s="38">
        <f>IF(AC7=Hypothèses!$D$8,Hypothèses!$D$9,0)</f>
        <v/>
      </c>
      <c r="AD15" s="38">
        <f>IF(AD7=Hypothèses!$D$8,Hypothèses!$D$9,0)</f>
        <v/>
      </c>
      <c r="AE15" s="38">
        <f>IF(AE7=Hypothèses!$D$8,Hypothèses!$D$9,0)</f>
        <v/>
      </c>
      <c r="AF15" s="38">
        <f>IF(AF7=Hypothèses!$D$8,Hypothèses!$D$9,0)</f>
        <v/>
      </c>
      <c r="AG15" s="38">
        <f>IF(AG7=Hypothèses!$D$8,Hypothèses!$D$9,0)</f>
        <v/>
      </c>
      <c r="AH15" s="38">
        <f>IF(AH7=Hypothèses!$D$8,Hypothèses!$D$9,0)</f>
        <v/>
      </c>
      <c r="AI15" s="38">
        <f>IF(AI7=Hypothèses!$D$8,Hypothèses!$D$9,0)</f>
        <v/>
      </c>
      <c r="AJ15" s="38">
        <f>IF(AJ7=Hypothèses!$D$8,Hypothèses!$D$9,0)</f>
        <v/>
      </c>
      <c r="AK15" s="38">
        <f>IF(AK7=Hypothèses!$D$8,Hypothèses!$D$9,0)</f>
        <v/>
      </c>
      <c r="AL15" s="38">
        <f>IF(AL7=Hypothèses!$D$8,Hypothèses!$D$9,0)</f>
        <v/>
      </c>
      <c r="AN15" s="38">
        <f>SUM(C15:N15)</f>
        <v/>
      </c>
      <c r="AO15" s="38">
        <f>SUM(O15:Z15)</f>
        <v/>
      </c>
      <c r="AP15" s="38">
        <f>SUM(AA15:AL15)</f>
        <v/>
      </c>
    </row>
    <row r="16">
      <c r="A16" s="9" t="inlineStr">
        <is>
          <t>Nouveaux abonnés organiques (parrainage)</t>
        </is>
      </c>
      <c r="B16" s="4" t="inlineStr">
        <is>
          <t>abonnés</t>
        </is>
      </c>
      <c r="C16" s="38">
        <f>C9*C13*Hypothèses!$D$24</f>
        <v/>
      </c>
      <c r="D16" s="38">
        <f>D9*D13*Hypothèses!$D$24</f>
        <v/>
      </c>
      <c r="E16" s="38">
        <f>E9*E13*Hypothèses!$D$24</f>
        <v/>
      </c>
      <c r="F16" s="38">
        <f>F9*F13*Hypothèses!$D$24</f>
        <v/>
      </c>
      <c r="G16" s="38">
        <f>G9*G13*Hypothèses!$D$24</f>
        <v/>
      </c>
      <c r="H16" s="38">
        <f>H9*H13*Hypothèses!$D$24</f>
        <v/>
      </c>
      <c r="I16" s="38">
        <f>I9*I13*Hypothèses!$D$24</f>
        <v/>
      </c>
      <c r="J16" s="38">
        <f>J9*J13*Hypothèses!$D$24</f>
        <v/>
      </c>
      <c r="K16" s="38">
        <f>K9*K13*Hypothèses!$D$24</f>
        <v/>
      </c>
      <c r="L16" s="38">
        <f>L9*L13*Hypothèses!$D$24</f>
        <v/>
      </c>
      <c r="M16" s="38">
        <f>M9*M13*Hypothèses!$D$24</f>
        <v/>
      </c>
      <c r="N16" s="38">
        <f>N9*N13*Hypothèses!$D$24</f>
        <v/>
      </c>
      <c r="O16" s="38">
        <f>O9*O13*Hypothèses!$D$24</f>
        <v/>
      </c>
      <c r="P16" s="38">
        <f>P9*P13*Hypothèses!$D$24</f>
        <v/>
      </c>
      <c r="Q16" s="38">
        <f>Q9*Q13*Hypothèses!$D$24</f>
        <v/>
      </c>
      <c r="R16" s="38">
        <f>R9*R13*Hypothèses!$D$24</f>
        <v/>
      </c>
      <c r="S16" s="38">
        <f>S9*S13*Hypothèses!$D$24</f>
        <v/>
      </c>
      <c r="T16" s="38">
        <f>T9*T13*Hypothèses!$D$24</f>
        <v/>
      </c>
      <c r="U16" s="38">
        <f>U9*U13*Hypothèses!$D$24</f>
        <v/>
      </c>
      <c r="V16" s="38">
        <f>V9*V13*Hypothèses!$D$24</f>
        <v/>
      </c>
      <c r="W16" s="38">
        <f>W9*W13*Hypothèses!$D$24</f>
        <v/>
      </c>
      <c r="X16" s="38">
        <f>X9*X13*Hypothèses!$D$24</f>
        <v/>
      </c>
      <c r="Y16" s="38">
        <f>Y9*Y13*Hypothèses!$D$24</f>
        <v/>
      </c>
      <c r="Z16" s="38">
        <f>Z9*Z13*Hypothèses!$D$24</f>
        <v/>
      </c>
      <c r="AA16" s="38">
        <f>AA9*AA13*Hypothèses!$D$24</f>
        <v/>
      </c>
      <c r="AB16" s="38">
        <f>AB9*AB13*Hypothèses!$D$24</f>
        <v/>
      </c>
      <c r="AC16" s="38">
        <f>AC9*AC13*Hypothèses!$D$24</f>
        <v/>
      </c>
      <c r="AD16" s="38">
        <f>AD9*AD13*Hypothèses!$D$24</f>
        <v/>
      </c>
      <c r="AE16" s="38">
        <f>AE9*AE13*Hypothèses!$D$24</f>
        <v/>
      </c>
      <c r="AF16" s="38">
        <f>AF9*AF13*Hypothèses!$D$24</f>
        <v/>
      </c>
      <c r="AG16" s="38">
        <f>AG9*AG13*Hypothèses!$D$24</f>
        <v/>
      </c>
      <c r="AH16" s="38">
        <f>AH9*AH13*Hypothèses!$D$24</f>
        <v/>
      </c>
      <c r="AI16" s="38">
        <f>AI9*AI13*Hypothèses!$D$24</f>
        <v/>
      </c>
      <c r="AJ16" s="38">
        <f>AJ9*AJ13*Hypothèses!$D$24</f>
        <v/>
      </c>
      <c r="AK16" s="38">
        <f>AK9*AK13*Hypothèses!$D$24</f>
        <v/>
      </c>
      <c r="AL16" s="38">
        <f>AL9*AL13*Hypothèses!$D$24</f>
        <v/>
      </c>
      <c r="AN16" s="38">
        <f>SUM(C16:N16)</f>
        <v/>
      </c>
      <c r="AO16" s="38">
        <f>SUM(O16:Z16)</f>
        <v/>
      </c>
      <c r="AP16" s="38">
        <f>SUM(AA16:AL16)</f>
        <v/>
      </c>
    </row>
    <row r="17">
      <c r="A17" s="9" t="inlineStr">
        <is>
          <t>Résiliations</t>
        </is>
      </c>
      <c r="B17" s="4" t="inlineStr">
        <is>
          <t>abonnés</t>
        </is>
      </c>
      <c r="C17" s="38">
        <f>C13*Hypothèses!$D$26*$D$4</f>
        <v/>
      </c>
      <c r="D17" s="38">
        <f>D13*Hypothèses!$D$26*$D$4</f>
        <v/>
      </c>
      <c r="E17" s="38">
        <f>E13*Hypothèses!$D$26*$D$4</f>
        <v/>
      </c>
      <c r="F17" s="38">
        <f>F13*Hypothèses!$D$26*$D$4</f>
        <v/>
      </c>
      <c r="G17" s="38">
        <f>G13*Hypothèses!$D$26*$D$4</f>
        <v/>
      </c>
      <c r="H17" s="38">
        <f>H13*Hypothèses!$D$26*$D$4</f>
        <v/>
      </c>
      <c r="I17" s="38">
        <f>I13*Hypothèses!$D$26*$D$4</f>
        <v/>
      </c>
      <c r="J17" s="38">
        <f>J13*Hypothèses!$D$26*$D$4</f>
        <v/>
      </c>
      <c r="K17" s="38">
        <f>K13*Hypothèses!$D$26*$D$4</f>
        <v/>
      </c>
      <c r="L17" s="38">
        <f>L13*Hypothèses!$D$26*$D$4</f>
        <v/>
      </c>
      <c r="M17" s="38">
        <f>M13*Hypothèses!$D$26*$D$4</f>
        <v/>
      </c>
      <c r="N17" s="38">
        <f>N13*Hypothèses!$D$26*$D$4</f>
        <v/>
      </c>
      <c r="O17" s="38">
        <f>O13*Hypothèses!$D$26*$D$4</f>
        <v/>
      </c>
      <c r="P17" s="38">
        <f>P13*Hypothèses!$D$26*$D$4</f>
        <v/>
      </c>
      <c r="Q17" s="38">
        <f>Q13*Hypothèses!$D$26*$D$4</f>
        <v/>
      </c>
      <c r="R17" s="38">
        <f>R13*Hypothèses!$D$26*$D$4</f>
        <v/>
      </c>
      <c r="S17" s="38">
        <f>S13*Hypothèses!$D$26*$D$4</f>
        <v/>
      </c>
      <c r="T17" s="38">
        <f>T13*Hypothèses!$D$26*$D$4</f>
        <v/>
      </c>
      <c r="U17" s="38">
        <f>U13*Hypothèses!$D$26*$D$4</f>
        <v/>
      </c>
      <c r="V17" s="38">
        <f>V13*Hypothèses!$D$26*$D$4</f>
        <v/>
      </c>
      <c r="W17" s="38">
        <f>W13*Hypothèses!$D$26*$D$4</f>
        <v/>
      </c>
      <c r="X17" s="38">
        <f>X13*Hypothèses!$D$26*$D$4</f>
        <v/>
      </c>
      <c r="Y17" s="38">
        <f>Y13*Hypothèses!$D$26*$D$4</f>
        <v/>
      </c>
      <c r="Z17" s="38">
        <f>Z13*Hypothèses!$D$26*$D$4</f>
        <v/>
      </c>
      <c r="AA17" s="38">
        <f>AA13*Hypothèses!$D$26*$D$4</f>
        <v/>
      </c>
      <c r="AB17" s="38">
        <f>AB13*Hypothèses!$D$26*$D$4</f>
        <v/>
      </c>
      <c r="AC17" s="38">
        <f>AC13*Hypothèses!$D$26*$D$4</f>
        <v/>
      </c>
      <c r="AD17" s="38">
        <f>AD13*Hypothèses!$D$26*$D$4</f>
        <v/>
      </c>
      <c r="AE17" s="38">
        <f>AE13*Hypothèses!$D$26*$D$4</f>
        <v/>
      </c>
      <c r="AF17" s="38">
        <f>AF13*Hypothèses!$D$26*$D$4</f>
        <v/>
      </c>
      <c r="AG17" s="38">
        <f>AG13*Hypothèses!$D$26*$D$4</f>
        <v/>
      </c>
      <c r="AH17" s="38">
        <f>AH13*Hypothèses!$D$26*$D$4</f>
        <v/>
      </c>
      <c r="AI17" s="38">
        <f>AI13*Hypothèses!$D$26*$D$4</f>
        <v/>
      </c>
      <c r="AJ17" s="38">
        <f>AJ13*Hypothèses!$D$26*$D$4</f>
        <v/>
      </c>
      <c r="AK17" s="38">
        <f>AK13*Hypothèses!$D$26*$D$4</f>
        <v/>
      </c>
      <c r="AL17" s="38">
        <f>AL13*Hypothèses!$D$26*$D$4</f>
        <v/>
      </c>
      <c r="AN17" s="38">
        <f>SUM(C17:N17)</f>
        <v/>
      </c>
      <c r="AO17" s="38">
        <f>SUM(O17:Z17)</f>
        <v/>
      </c>
      <c r="AP17" s="38">
        <f>SUM(AA17:AL17)</f>
        <v/>
      </c>
    </row>
    <row r="18">
      <c r="A18" s="2" t="inlineStr">
        <is>
          <t>Abonnés en fin de mois</t>
        </is>
      </c>
      <c r="B18" s="4" t="inlineStr">
        <is>
          <t>abonnés</t>
        </is>
      </c>
      <c r="C18" s="39">
        <f>C13+C14+C15+C16-C17</f>
        <v/>
      </c>
      <c r="D18" s="39">
        <f>D13+D14+D15+D16-D17</f>
        <v/>
      </c>
      <c r="E18" s="39">
        <f>E13+E14+E15+E16-E17</f>
        <v/>
      </c>
      <c r="F18" s="39">
        <f>F13+F14+F15+F16-F17</f>
        <v/>
      </c>
      <c r="G18" s="39">
        <f>G13+G14+G15+G16-G17</f>
        <v/>
      </c>
      <c r="H18" s="39">
        <f>H13+H14+H15+H16-H17</f>
        <v/>
      </c>
      <c r="I18" s="39">
        <f>I13+I14+I15+I16-I17</f>
        <v/>
      </c>
      <c r="J18" s="39">
        <f>J13+J14+J15+J16-J17</f>
        <v/>
      </c>
      <c r="K18" s="39">
        <f>K13+K14+K15+K16-K17</f>
        <v/>
      </c>
      <c r="L18" s="39">
        <f>L13+L14+L15+L16-L17</f>
        <v/>
      </c>
      <c r="M18" s="39">
        <f>M13+M14+M15+M16-M17</f>
        <v/>
      </c>
      <c r="N18" s="39">
        <f>N13+N14+N15+N16-N17</f>
        <v/>
      </c>
      <c r="O18" s="39">
        <f>O13+O14+O15+O16-O17</f>
        <v/>
      </c>
      <c r="P18" s="39">
        <f>P13+P14+P15+P16-P17</f>
        <v/>
      </c>
      <c r="Q18" s="39">
        <f>Q13+Q14+Q15+Q16-Q17</f>
        <v/>
      </c>
      <c r="R18" s="39">
        <f>R13+R14+R15+R16-R17</f>
        <v/>
      </c>
      <c r="S18" s="39">
        <f>S13+S14+S15+S16-S17</f>
        <v/>
      </c>
      <c r="T18" s="39">
        <f>T13+T14+T15+T16-T17</f>
        <v/>
      </c>
      <c r="U18" s="39">
        <f>U13+U14+U15+U16-U17</f>
        <v/>
      </c>
      <c r="V18" s="39">
        <f>V13+V14+V15+V16-V17</f>
        <v/>
      </c>
      <c r="W18" s="39">
        <f>W13+W14+W15+W16-W17</f>
        <v/>
      </c>
      <c r="X18" s="39">
        <f>X13+X14+X15+X16-X17</f>
        <v/>
      </c>
      <c r="Y18" s="39">
        <f>Y13+Y14+Y15+Y16-Y17</f>
        <v/>
      </c>
      <c r="Z18" s="39">
        <f>Z13+Z14+Z15+Z16-Z17</f>
        <v/>
      </c>
      <c r="AA18" s="39">
        <f>AA13+AA14+AA15+AA16-AA17</f>
        <v/>
      </c>
      <c r="AB18" s="39">
        <f>AB13+AB14+AB15+AB16-AB17</f>
        <v/>
      </c>
      <c r="AC18" s="39">
        <f>AC13+AC14+AC15+AC16-AC17</f>
        <v/>
      </c>
      <c r="AD18" s="39">
        <f>AD13+AD14+AD15+AD16-AD17</f>
        <v/>
      </c>
      <c r="AE18" s="39">
        <f>AE13+AE14+AE15+AE16-AE17</f>
        <v/>
      </c>
      <c r="AF18" s="39">
        <f>AF13+AF14+AF15+AF16-AF17</f>
        <v/>
      </c>
      <c r="AG18" s="39">
        <f>AG13+AG14+AG15+AG16-AG17</f>
        <v/>
      </c>
      <c r="AH18" s="39">
        <f>AH13+AH14+AH15+AH16-AH17</f>
        <v/>
      </c>
      <c r="AI18" s="39">
        <f>AI13+AI14+AI15+AI16-AI17</f>
        <v/>
      </c>
      <c r="AJ18" s="39">
        <f>AJ13+AJ14+AJ15+AJ16-AJ17</f>
        <v/>
      </c>
      <c r="AK18" s="39">
        <f>AK13+AK14+AK15+AK16-AK17</f>
        <v/>
      </c>
      <c r="AL18" s="39">
        <f>AL13+AL14+AL15+AL16-AL17</f>
        <v/>
      </c>
      <c r="AN18" s="39">
        <f>N18</f>
        <v/>
      </c>
      <c r="AO18" s="39">
        <f>Z18</f>
        <v/>
      </c>
      <c r="AP18" s="39">
        <f>AL18</f>
        <v/>
      </c>
    </row>
    <row r="19">
      <c r="A19" s="9" t="inlineStr">
        <is>
          <t>dont Personal</t>
        </is>
      </c>
      <c r="B19" s="4" t="inlineStr">
        <is>
          <t>abonnés</t>
        </is>
      </c>
      <c r="C19" s="38">
        <f>C18*Hypothèses!$D$16</f>
        <v/>
      </c>
      <c r="D19" s="38">
        <f>D18*Hypothèses!$D$16</f>
        <v/>
      </c>
      <c r="E19" s="38">
        <f>E18*Hypothèses!$D$16</f>
        <v/>
      </c>
      <c r="F19" s="38">
        <f>F18*Hypothèses!$D$16</f>
        <v/>
      </c>
      <c r="G19" s="38">
        <f>G18*Hypothèses!$D$16</f>
        <v/>
      </c>
      <c r="H19" s="38">
        <f>H18*Hypothèses!$D$16</f>
        <v/>
      </c>
      <c r="I19" s="38">
        <f>I18*Hypothèses!$D$16</f>
        <v/>
      </c>
      <c r="J19" s="38">
        <f>J18*Hypothèses!$D$16</f>
        <v/>
      </c>
      <c r="K19" s="38">
        <f>K18*Hypothèses!$D$16</f>
        <v/>
      </c>
      <c r="L19" s="38">
        <f>L18*Hypothèses!$D$16</f>
        <v/>
      </c>
      <c r="M19" s="38">
        <f>M18*Hypothèses!$D$16</f>
        <v/>
      </c>
      <c r="N19" s="38">
        <f>N18*Hypothèses!$D$16</f>
        <v/>
      </c>
      <c r="O19" s="38">
        <f>O18*Hypothèses!$D$16</f>
        <v/>
      </c>
      <c r="P19" s="38">
        <f>P18*Hypothèses!$D$16</f>
        <v/>
      </c>
      <c r="Q19" s="38">
        <f>Q18*Hypothèses!$D$16</f>
        <v/>
      </c>
      <c r="R19" s="38">
        <f>R18*Hypothèses!$D$16</f>
        <v/>
      </c>
      <c r="S19" s="38">
        <f>S18*Hypothèses!$D$16</f>
        <v/>
      </c>
      <c r="T19" s="38">
        <f>T18*Hypothèses!$D$16</f>
        <v/>
      </c>
      <c r="U19" s="38">
        <f>U18*Hypothèses!$D$16</f>
        <v/>
      </c>
      <c r="V19" s="38">
        <f>V18*Hypothèses!$D$16</f>
        <v/>
      </c>
      <c r="W19" s="38">
        <f>W18*Hypothèses!$D$16</f>
        <v/>
      </c>
      <c r="X19" s="38">
        <f>X18*Hypothèses!$D$16</f>
        <v/>
      </c>
      <c r="Y19" s="38">
        <f>Y18*Hypothèses!$D$16</f>
        <v/>
      </c>
      <c r="Z19" s="38">
        <f>Z18*Hypothèses!$D$16</f>
        <v/>
      </c>
      <c r="AA19" s="38">
        <f>AA18*Hypothèses!$D$16</f>
        <v/>
      </c>
      <c r="AB19" s="38">
        <f>AB18*Hypothèses!$D$16</f>
        <v/>
      </c>
      <c r="AC19" s="38">
        <f>AC18*Hypothèses!$D$16</f>
        <v/>
      </c>
      <c r="AD19" s="38">
        <f>AD18*Hypothèses!$D$16</f>
        <v/>
      </c>
      <c r="AE19" s="38">
        <f>AE18*Hypothèses!$D$16</f>
        <v/>
      </c>
      <c r="AF19" s="38">
        <f>AF18*Hypothèses!$D$16</f>
        <v/>
      </c>
      <c r="AG19" s="38">
        <f>AG18*Hypothèses!$D$16</f>
        <v/>
      </c>
      <c r="AH19" s="38">
        <f>AH18*Hypothèses!$D$16</f>
        <v/>
      </c>
      <c r="AI19" s="38">
        <f>AI18*Hypothèses!$D$16</f>
        <v/>
      </c>
      <c r="AJ19" s="38">
        <f>AJ18*Hypothèses!$D$16</f>
        <v/>
      </c>
      <c r="AK19" s="38">
        <f>AK18*Hypothèses!$D$16</f>
        <v/>
      </c>
      <c r="AL19" s="38">
        <f>AL18*Hypothèses!$D$16</f>
        <v/>
      </c>
      <c r="AN19" s="38">
        <f>N19</f>
        <v/>
      </c>
      <c r="AO19" s="38">
        <f>Z19</f>
        <v/>
      </c>
      <c r="AP19" s="38">
        <f>AL19</f>
        <v/>
      </c>
    </row>
    <row r="20">
      <c r="A20" s="9" t="inlineStr">
        <is>
          <t>dont Premium</t>
        </is>
      </c>
      <c r="B20" s="4" t="inlineStr">
        <is>
          <t>abonnés</t>
        </is>
      </c>
      <c r="C20" s="38">
        <f>C18*Hypothèses!$D$17</f>
        <v/>
      </c>
      <c r="D20" s="38">
        <f>D18*Hypothèses!$D$17</f>
        <v/>
      </c>
      <c r="E20" s="38">
        <f>E18*Hypothèses!$D$17</f>
        <v/>
      </c>
      <c r="F20" s="38">
        <f>F18*Hypothèses!$D$17</f>
        <v/>
      </c>
      <c r="G20" s="38">
        <f>G18*Hypothèses!$D$17</f>
        <v/>
      </c>
      <c r="H20" s="38">
        <f>H18*Hypothèses!$D$17</f>
        <v/>
      </c>
      <c r="I20" s="38">
        <f>I18*Hypothèses!$D$17</f>
        <v/>
      </c>
      <c r="J20" s="38">
        <f>J18*Hypothèses!$D$17</f>
        <v/>
      </c>
      <c r="K20" s="38">
        <f>K18*Hypothèses!$D$17</f>
        <v/>
      </c>
      <c r="L20" s="38">
        <f>L18*Hypothèses!$D$17</f>
        <v/>
      </c>
      <c r="M20" s="38">
        <f>M18*Hypothèses!$D$17</f>
        <v/>
      </c>
      <c r="N20" s="38">
        <f>N18*Hypothèses!$D$17</f>
        <v/>
      </c>
      <c r="O20" s="38">
        <f>O18*Hypothèses!$D$17</f>
        <v/>
      </c>
      <c r="P20" s="38">
        <f>P18*Hypothèses!$D$17</f>
        <v/>
      </c>
      <c r="Q20" s="38">
        <f>Q18*Hypothèses!$D$17</f>
        <v/>
      </c>
      <c r="R20" s="38">
        <f>R18*Hypothèses!$D$17</f>
        <v/>
      </c>
      <c r="S20" s="38">
        <f>S18*Hypothèses!$D$17</f>
        <v/>
      </c>
      <c r="T20" s="38">
        <f>T18*Hypothèses!$D$17</f>
        <v/>
      </c>
      <c r="U20" s="38">
        <f>U18*Hypothèses!$D$17</f>
        <v/>
      </c>
      <c r="V20" s="38">
        <f>V18*Hypothèses!$D$17</f>
        <v/>
      </c>
      <c r="W20" s="38">
        <f>W18*Hypothèses!$D$17</f>
        <v/>
      </c>
      <c r="X20" s="38">
        <f>X18*Hypothèses!$D$17</f>
        <v/>
      </c>
      <c r="Y20" s="38">
        <f>Y18*Hypothèses!$D$17</f>
        <v/>
      </c>
      <c r="Z20" s="38">
        <f>Z18*Hypothèses!$D$17</f>
        <v/>
      </c>
      <c r="AA20" s="38">
        <f>AA18*Hypothèses!$D$17</f>
        <v/>
      </c>
      <c r="AB20" s="38">
        <f>AB18*Hypothèses!$D$17</f>
        <v/>
      </c>
      <c r="AC20" s="38">
        <f>AC18*Hypothèses!$D$17</f>
        <v/>
      </c>
      <c r="AD20" s="38">
        <f>AD18*Hypothèses!$D$17</f>
        <v/>
      </c>
      <c r="AE20" s="38">
        <f>AE18*Hypothèses!$D$17</f>
        <v/>
      </c>
      <c r="AF20" s="38">
        <f>AF18*Hypothèses!$D$17</f>
        <v/>
      </c>
      <c r="AG20" s="38">
        <f>AG18*Hypothèses!$D$17</f>
        <v/>
      </c>
      <c r="AH20" s="38">
        <f>AH18*Hypothèses!$D$17</f>
        <v/>
      </c>
      <c r="AI20" s="38">
        <f>AI18*Hypothèses!$D$17</f>
        <v/>
      </c>
      <c r="AJ20" s="38">
        <f>AJ18*Hypothèses!$D$17</f>
        <v/>
      </c>
      <c r="AK20" s="38">
        <f>AK18*Hypothèses!$D$17</f>
        <v/>
      </c>
      <c r="AL20" s="38">
        <f>AL18*Hypothèses!$D$17</f>
        <v/>
      </c>
      <c r="AN20" s="38">
        <f>N20</f>
        <v/>
      </c>
      <c r="AO20" s="38">
        <f>Z20</f>
        <v/>
      </c>
      <c r="AP20" s="38">
        <f>AL20</f>
        <v/>
      </c>
    </row>
    <row r="21">
      <c r="A21" s="9" t="inlineStr">
        <is>
          <t>dont Family</t>
        </is>
      </c>
      <c r="B21" s="4" t="inlineStr">
        <is>
          <t>abonnés</t>
        </is>
      </c>
      <c r="C21" s="38">
        <f>C18*Hypothèses!$D$18</f>
        <v/>
      </c>
      <c r="D21" s="38">
        <f>D18*Hypothèses!$D$18</f>
        <v/>
      </c>
      <c r="E21" s="38">
        <f>E18*Hypothèses!$D$18</f>
        <v/>
      </c>
      <c r="F21" s="38">
        <f>F18*Hypothèses!$D$18</f>
        <v/>
      </c>
      <c r="G21" s="38">
        <f>G18*Hypothèses!$D$18</f>
        <v/>
      </c>
      <c r="H21" s="38">
        <f>H18*Hypothèses!$D$18</f>
        <v/>
      </c>
      <c r="I21" s="38">
        <f>I18*Hypothèses!$D$18</f>
        <v/>
      </c>
      <c r="J21" s="38">
        <f>J18*Hypothèses!$D$18</f>
        <v/>
      </c>
      <c r="K21" s="38">
        <f>K18*Hypothèses!$D$18</f>
        <v/>
      </c>
      <c r="L21" s="38">
        <f>L18*Hypothèses!$D$18</f>
        <v/>
      </c>
      <c r="M21" s="38">
        <f>M18*Hypothèses!$D$18</f>
        <v/>
      </c>
      <c r="N21" s="38">
        <f>N18*Hypothèses!$D$18</f>
        <v/>
      </c>
      <c r="O21" s="38">
        <f>O18*Hypothèses!$D$18</f>
        <v/>
      </c>
      <c r="P21" s="38">
        <f>P18*Hypothèses!$D$18</f>
        <v/>
      </c>
      <c r="Q21" s="38">
        <f>Q18*Hypothèses!$D$18</f>
        <v/>
      </c>
      <c r="R21" s="38">
        <f>R18*Hypothèses!$D$18</f>
        <v/>
      </c>
      <c r="S21" s="38">
        <f>S18*Hypothèses!$D$18</f>
        <v/>
      </c>
      <c r="T21" s="38">
        <f>T18*Hypothèses!$D$18</f>
        <v/>
      </c>
      <c r="U21" s="38">
        <f>U18*Hypothèses!$D$18</f>
        <v/>
      </c>
      <c r="V21" s="38">
        <f>V18*Hypothèses!$D$18</f>
        <v/>
      </c>
      <c r="W21" s="38">
        <f>W18*Hypothèses!$D$18</f>
        <v/>
      </c>
      <c r="X21" s="38">
        <f>X18*Hypothèses!$D$18</f>
        <v/>
      </c>
      <c r="Y21" s="38">
        <f>Y18*Hypothèses!$D$18</f>
        <v/>
      </c>
      <c r="Z21" s="38">
        <f>Z18*Hypothèses!$D$18</f>
        <v/>
      </c>
      <c r="AA21" s="38">
        <f>AA18*Hypothèses!$D$18</f>
        <v/>
      </c>
      <c r="AB21" s="38">
        <f>AB18*Hypothèses!$D$18</f>
        <v/>
      </c>
      <c r="AC21" s="38">
        <f>AC18*Hypothèses!$D$18</f>
        <v/>
      </c>
      <c r="AD21" s="38">
        <f>AD18*Hypothèses!$D$18</f>
        <v/>
      </c>
      <c r="AE21" s="38">
        <f>AE18*Hypothèses!$D$18</f>
        <v/>
      </c>
      <c r="AF21" s="38">
        <f>AF18*Hypothèses!$D$18</f>
        <v/>
      </c>
      <c r="AG21" s="38">
        <f>AG18*Hypothèses!$D$18</f>
        <v/>
      </c>
      <c r="AH21" s="38">
        <f>AH18*Hypothèses!$D$18</f>
        <v/>
      </c>
      <c r="AI21" s="38">
        <f>AI18*Hypothèses!$D$18</f>
        <v/>
      </c>
      <c r="AJ21" s="38">
        <f>AJ18*Hypothèses!$D$18</f>
        <v/>
      </c>
      <c r="AK21" s="38">
        <f>AK18*Hypothèses!$D$18</f>
        <v/>
      </c>
      <c r="AL21" s="38">
        <f>AL18*Hypothèses!$D$18</f>
        <v/>
      </c>
      <c r="AN21" s="38">
        <f>N21</f>
        <v/>
      </c>
      <c r="AO21" s="38">
        <f>Z21</f>
        <v/>
      </c>
      <c r="AP21" s="38">
        <f>AL21</f>
        <v/>
      </c>
    </row>
    <row r="22">
      <c r="A22" s="8" t="inlineStr">
        <is>
          <t>Revenus</t>
        </is>
      </c>
    </row>
    <row r="23">
      <c r="A23" s="9" t="inlineStr">
        <is>
          <t>Facturation Personal TTC</t>
        </is>
      </c>
      <c r="B23" s="4" t="inlineStr">
        <is>
          <t>€ TTC</t>
        </is>
      </c>
      <c r="C23" s="15">
        <f>C19*Hypothèses!$D$12*$C$4</f>
        <v/>
      </c>
      <c r="D23" s="15">
        <f>D19*Hypothèses!$D$12*$C$4</f>
        <v/>
      </c>
      <c r="E23" s="15">
        <f>E19*Hypothèses!$D$12*$C$4</f>
        <v/>
      </c>
      <c r="F23" s="15">
        <f>F19*Hypothèses!$D$12*$C$4</f>
        <v/>
      </c>
      <c r="G23" s="15">
        <f>G19*Hypothèses!$D$12*$C$4</f>
        <v/>
      </c>
      <c r="H23" s="15">
        <f>H19*Hypothèses!$D$12*$C$4</f>
        <v/>
      </c>
      <c r="I23" s="15">
        <f>I19*Hypothèses!$D$12*$C$4</f>
        <v/>
      </c>
      <c r="J23" s="15">
        <f>J19*Hypothèses!$D$12*$C$4</f>
        <v/>
      </c>
      <c r="K23" s="15">
        <f>K19*Hypothèses!$D$12*$C$4</f>
        <v/>
      </c>
      <c r="L23" s="15">
        <f>L19*Hypothèses!$D$12*$C$4</f>
        <v/>
      </c>
      <c r="M23" s="15">
        <f>M19*Hypothèses!$D$12*$C$4</f>
        <v/>
      </c>
      <c r="N23" s="15">
        <f>N19*Hypothèses!$D$12*$C$4</f>
        <v/>
      </c>
      <c r="O23" s="15">
        <f>O19*Hypothèses!$D$12*$C$4</f>
        <v/>
      </c>
      <c r="P23" s="15">
        <f>P19*Hypothèses!$D$12*$C$4</f>
        <v/>
      </c>
      <c r="Q23" s="15">
        <f>Q19*Hypothèses!$D$12*$C$4</f>
        <v/>
      </c>
      <c r="R23" s="15">
        <f>R19*Hypothèses!$D$12*$C$4</f>
        <v/>
      </c>
      <c r="S23" s="15">
        <f>S19*Hypothèses!$D$12*$C$4</f>
        <v/>
      </c>
      <c r="T23" s="15">
        <f>T19*Hypothèses!$D$12*$C$4</f>
        <v/>
      </c>
      <c r="U23" s="15">
        <f>U19*Hypothèses!$D$12*$C$4</f>
        <v/>
      </c>
      <c r="V23" s="15">
        <f>V19*Hypothèses!$D$12*$C$4</f>
        <v/>
      </c>
      <c r="W23" s="15">
        <f>W19*Hypothèses!$D$12*$C$4</f>
        <v/>
      </c>
      <c r="X23" s="15">
        <f>X19*Hypothèses!$D$12*$C$4</f>
        <v/>
      </c>
      <c r="Y23" s="15">
        <f>Y19*Hypothèses!$D$12*$C$4</f>
        <v/>
      </c>
      <c r="Z23" s="15">
        <f>Z19*Hypothèses!$D$12*$C$4</f>
        <v/>
      </c>
      <c r="AA23" s="15">
        <f>AA19*Hypothèses!$D$12*$C$4</f>
        <v/>
      </c>
      <c r="AB23" s="15">
        <f>AB19*Hypothèses!$D$12*$C$4</f>
        <v/>
      </c>
      <c r="AC23" s="15">
        <f>AC19*Hypothèses!$D$12*$C$4</f>
        <v/>
      </c>
      <c r="AD23" s="15">
        <f>AD19*Hypothèses!$D$12*$C$4</f>
        <v/>
      </c>
      <c r="AE23" s="15">
        <f>AE19*Hypothèses!$D$12*$C$4</f>
        <v/>
      </c>
      <c r="AF23" s="15">
        <f>AF19*Hypothèses!$D$12*$C$4</f>
        <v/>
      </c>
      <c r="AG23" s="15">
        <f>AG19*Hypothèses!$D$12*$C$4</f>
        <v/>
      </c>
      <c r="AH23" s="15">
        <f>AH19*Hypothèses!$D$12*$C$4</f>
        <v/>
      </c>
      <c r="AI23" s="15">
        <f>AI19*Hypothèses!$D$12*$C$4</f>
        <v/>
      </c>
      <c r="AJ23" s="15">
        <f>AJ19*Hypothèses!$D$12*$C$4</f>
        <v/>
      </c>
      <c r="AK23" s="15">
        <f>AK19*Hypothèses!$D$12*$C$4</f>
        <v/>
      </c>
      <c r="AL23" s="15">
        <f>AL19*Hypothèses!$D$12*$C$4</f>
        <v/>
      </c>
      <c r="AN23" s="15">
        <f>SUM(C23:N23)</f>
        <v/>
      </c>
      <c r="AO23" s="15">
        <f>SUM(O23:Z23)</f>
        <v/>
      </c>
      <c r="AP23" s="15">
        <f>SUM(AA23:AL23)</f>
        <v/>
      </c>
    </row>
    <row r="24">
      <c r="A24" s="9" t="inlineStr">
        <is>
          <t>Facturation Premium TTC</t>
        </is>
      </c>
      <c r="B24" s="4" t="inlineStr">
        <is>
          <t>€ TTC</t>
        </is>
      </c>
      <c r="C24" s="15">
        <f>C20*Hypothèses!$D$13*$C$4</f>
        <v/>
      </c>
      <c r="D24" s="15">
        <f>D20*Hypothèses!$D$13*$C$4</f>
        <v/>
      </c>
      <c r="E24" s="15">
        <f>E20*Hypothèses!$D$13*$C$4</f>
        <v/>
      </c>
      <c r="F24" s="15">
        <f>F20*Hypothèses!$D$13*$C$4</f>
        <v/>
      </c>
      <c r="G24" s="15">
        <f>G20*Hypothèses!$D$13*$C$4</f>
        <v/>
      </c>
      <c r="H24" s="15">
        <f>H20*Hypothèses!$D$13*$C$4</f>
        <v/>
      </c>
      <c r="I24" s="15">
        <f>I20*Hypothèses!$D$13*$C$4</f>
        <v/>
      </c>
      <c r="J24" s="15">
        <f>J20*Hypothèses!$D$13*$C$4</f>
        <v/>
      </c>
      <c r="K24" s="15">
        <f>K20*Hypothèses!$D$13*$C$4</f>
        <v/>
      </c>
      <c r="L24" s="15">
        <f>L20*Hypothèses!$D$13*$C$4</f>
        <v/>
      </c>
      <c r="M24" s="15">
        <f>M20*Hypothèses!$D$13*$C$4</f>
        <v/>
      </c>
      <c r="N24" s="15">
        <f>N20*Hypothèses!$D$13*$C$4</f>
        <v/>
      </c>
      <c r="O24" s="15">
        <f>O20*Hypothèses!$D$13*$C$4</f>
        <v/>
      </c>
      <c r="P24" s="15">
        <f>P20*Hypothèses!$D$13*$C$4</f>
        <v/>
      </c>
      <c r="Q24" s="15">
        <f>Q20*Hypothèses!$D$13*$C$4</f>
        <v/>
      </c>
      <c r="R24" s="15">
        <f>R20*Hypothèses!$D$13*$C$4</f>
        <v/>
      </c>
      <c r="S24" s="15">
        <f>S20*Hypothèses!$D$13*$C$4</f>
        <v/>
      </c>
      <c r="T24" s="15">
        <f>T20*Hypothèses!$D$13*$C$4</f>
        <v/>
      </c>
      <c r="U24" s="15">
        <f>U20*Hypothèses!$D$13*$C$4</f>
        <v/>
      </c>
      <c r="V24" s="15">
        <f>V20*Hypothèses!$D$13*$C$4</f>
        <v/>
      </c>
      <c r="W24" s="15">
        <f>W20*Hypothèses!$D$13*$C$4</f>
        <v/>
      </c>
      <c r="X24" s="15">
        <f>X20*Hypothèses!$D$13*$C$4</f>
        <v/>
      </c>
      <c r="Y24" s="15">
        <f>Y20*Hypothèses!$D$13*$C$4</f>
        <v/>
      </c>
      <c r="Z24" s="15">
        <f>Z20*Hypothèses!$D$13*$C$4</f>
        <v/>
      </c>
      <c r="AA24" s="15">
        <f>AA20*Hypothèses!$D$13*$C$4</f>
        <v/>
      </c>
      <c r="AB24" s="15">
        <f>AB20*Hypothèses!$D$13*$C$4</f>
        <v/>
      </c>
      <c r="AC24" s="15">
        <f>AC20*Hypothèses!$D$13*$C$4</f>
        <v/>
      </c>
      <c r="AD24" s="15">
        <f>AD20*Hypothèses!$D$13*$C$4</f>
        <v/>
      </c>
      <c r="AE24" s="15">
        <f>AE20*Hypothèses!$D$13*$C$4</f>
        <v/>
      </c>
      <c r="AF24" s="15">
        <f>AF20*Hypothèses!$D$13*$C$4</f>
        <v/>
      </c>
      <c r="AG24" s="15">
        <f>AG20*Hypothèses!$D$13*$C$4</f>
        <v/>
      </c>
      <c r="AH24" s="15">
        <f>AH20*Hypothèses!$D$13*$C$4</f>
        <v/>
      </c>
      <c r="AI24" s="15">
        <f>AI20*Hypothèses!$D$13*$C$4</f>
        <v/>
      </c>
      <c r="AJ24" s="15">
        <f>AJ20*Hypothèses!$D$13*$C$4</f>
        <v/>
      </c>
      <c r="AK24" s="15">
        <f>AK20*Hypothèses!$D$13*$C$4</f>
        <v/>
      </c>
      <c r="AL24" s="15">
        <f>AL20*Hypothèses!$D$13*$C$4</f>
        <v/>
      </c>
      <c r="AN24" s="15">
        <f>SUM(C24:N24)</f>
        <v/>
      </c>
      <c r="AO24" s="15">
        <f>SUM(O24:Z24)</f>
        <v/>
      </c>
      <c r="AP24" s="15">
        <f>SUM(AA24:AL24)</f>
        <v/>
      </c>
    </row>
    <row r="25">
      <c r="A25" s="9" t="inlineStr">
        <is>
          <t>Facturation Family TTC</t>
        </is>
      </c>
      <c r="B25" s="4" t="inlineStr">
        <is>
          <t>€ TTC</t>
        </is>
      </c>
      <c r="C25" s="15">
        <f>C21*Hypothèses!$D$14*$C$4</f>
        <v/>
      </c>
      <c r="D25" s="15">
        <f>D21*Hypothèses!$D$14*$C$4</f>
        <v/>
      </c>
      <c r="E25" s="15">
        <f>E21*Hypothèses!$D$14*$C$4</f>
        <v/>
      </c>
      <c r="F25" s="15">
        <f>F21*Hypothèses!$D$14*$C$4</f>
        <v/>
      </c>
      <c r="G25" s="15">
        <f>G21*Hypothèses!$D$14*$C$4</f>
        <v/>
      </c>
      <c r="H25" s="15">
        <f>H21*Hypothèses!$D$14*$C$4</f>
        <v/>
      </c>
      <c r="I25" s="15">
        <f>I21*Hypothèses!$D$14*$C$4</f>
        <v/>
      </c>
      <c r="J25" s="15">
        <f>J21*Hypothèses!$D$14*$C$4</f>
        <v/>
      </c>
      <c r="K25" s="15">
        <f>K21*Hypothèses!$D$14*$C$4</f>
        <v/>
      </c>
      <c r="L25" s="15">
        <f>L21*Hypothèses!$D$14*$C$4</f>
        <v/>
      </c>
      <c r="M25" s="15">
        <f>M21*Hypothèses!$D$14*$C$4</f>
        <v/>
      </c>
      <c r="N25" s="15">
        <f>N21*Hypothèses!$D$14*$C$4</f>
        <v/>
      </c>
      <c r="O25" s="15">
        <f>O21*Hypothèses!$D$14*$C$4</f>
        <v/>
      </c>
      <c r="P25" s="15">
        <f>P21*Hypothèses!$D$14*$C$4</f>
        <v/>
      </c>
      <c r="Q25" s="15">
        <f>Q21*Hypothèses!$D$14*$C$4</f>
        <v/>
      </c>
      <c r="R25" s="15">
        <f>R21*Hypothèses!$D$14*$C$4</f>
        <v/>
      </c>
      <c r="S25" s="15">
        <f>S21*Hypothèses!$D$14*$C$4</f>
        <v/>
      </c>
      <c r="T25" s="15">
        <f>T21*Hypothèses!$D$14*$C$4</f>
        <v/>
      </c>
      <c r="U25" s="15">
        <f>U21*Hypothèses!$D$14*$C$4</f>
        <v/>
      </c>
      <c r="V25" s="15">
        <f>V21*Hypothèses!$D$14*$C$4</f>
        <v/>
      </c>
      <c r="W25" s="15">
        <f>W21*Hypothèses!$D$14*$C$4</f>
        <v/>
      </c>
      <c r="X25" s="15">
        <f>X21*Hypothèses!$D$14*$C$4</f>
        <v/>
      </c>
      <c r="Y25" s="15">
        <f>Y21*Hypothèses!$D$14*$C$4</f>
        <v/>
      </c>
      <c r="Z25" s="15">
        <f>Z21*Hypothèses!$D$14*$C$4</f>
        <v/>
      </c>
      <c r="AA25" s="15">
        <f>AA21*Hypothèses!$D$14*$C$4</f>
        <v/>
      </c>
      <c r="AB25" s="15">
        <f>AB21*Hypothèses!$D$14*$C$4</f>
        <v/>
      </c>
      <c r="AC25" s="15">
        <f>AC21*Hypothèses!$D$14*$C$4</f>
        <v/>
      </c>
      <c r="AD25" s="15">
        <f>AD21*Hypothèses!$D$14*$C$4</f>
        <v/>
      </c>
      <c r="AE25" s="15">
        <f>AE21*Hypothèses!$D$14*$C$4</f>
        <v/>
      </c>
      <c r="AF25" s="15">
        <f>AF21*Hypothèses!$D$14*$C$4</f>
        <v/>
      </c>
      <c r="AG25" s="15">
        <f>AG21*Hypothèses!$D$14*$C$4</f>
        <v/>
      </c>
      <c r="AH25" s="15">
        <f>AH21*Hypothèses!$D$14*$C$4</f>
        <v/>
      </c>
      <c r="AI25" s="15">
        <f>AI21*Hypothèses!$D$14*$C$4</f>
        <v/>
      </c>
      <c r="AJ25" s="15">
        <f>AJ21*Hypothèses!$D$14*$C$4</f>
        <v/>
      </c>
      <c r="AK25" s="15">
        <f>AK21*Hypothèses!$D$14*$C$4</f>
        <v/>
      </c>
      <c r="AL25" s="15">
        <f>AL21*Hypothèses!$D$14*$C$4</f>
        <v/>
      </c>
      <c r="AN25" s="15">
        <f>SUM(C25:N25)</f>
        <v/>
      </c>
      <c r="AO25" s="15">
        <f>SUM(O25:Z25)</f>
        <v/>
      </c>
      <c r="AP25" s="15">
        <f>SUM(AA25:AL25)</f>
        <v/>
      </c>
    </row>
    <row r="26">
      <c r="A26" s="2" t="inlineStr">
        <is>
          <t>Facturation totale TTC (MRR TTC)</t>
        </is>
      </c>
      <c r="B26" s="4" t="inlineStr">
        <is>
          <t>€ TTC</t>
        </is>
      </c>
      <c r="C26" s="40">
        <f>C23+C24+C25</f>
        <v/>
      </c>
      <c r="D26" s="40">
        <f>D23+D24+D25</f>
        <v/>
      </c>
      <c r="E26" s="40">
        <f>E23+E24+E25</f>
        <v/>
      </c>
      <c r="F26" s="40">
        <f>F23+F24+F25</f>
        <v/>
      </c>
      <c r="G26" s="40">
        <f>G23+G24+G25</f>
        <v/>
      </c>
      <c r="H26" s="40">
        <f>H23+H24+H25</f>
        <v/>
      </c>
      <c r="I26" s="40">
        <f>I23+I24+I25</f>
        <v/>
      </c>
      <c r="J26" s="40">
        <f>J23+J24+J25</f>
        <v/>
      </c>
      <c r="K26" s="40">
        <f>K23+K24+K25</f>
        <v/>
      </c>
      <c r="L26" s="40">
        <f>L23+L24+L25</f>
        <v/>
      </c>
      <c r="M26" s="40">
        <f>M23+M24+M25</f>
        <v/>
      </c>
      <c r="N26" s="40">
        <f>N23+N24+N25</f>
        <v/>
      </c>
      <c r="O26" s="40">
        <f>O23+O24+O25</f>
        <v/>
      </c>
      <c r="P26" s="40">
        <f>P23+P24+P25</f>
        <v/>
      </c>
      <c r="Q26" s="40">
        <f>Q23+Q24+Q25</f>
        <v/>
      </c>
      <c r="R26" s="40">
        <f>R23+R24+R25</f>
        <v/>
      </c>
      <c r="S26" s="40">
        <f>S23+S24+S25</f>
        <v/>
      </c>
      <c r="T26" s="40">
        <f>T23+T24+T25</f>
        <v/>
      </c>
      <c r="U26" s="40">
        <f>U23+U24+U25</f>
        <v/>
      </c>
      <c r="V26" s="40">
        <f>V23+V24+V25</f>
        <v/>
      </c>
      <c r="W26" s="40">
        <f>W23+W24+W25</f>
        <v/>
      </c>
      <c r="X26" s="40">
        <f>X23+X24+X25</f>
        <v/>
      </c>
      <c r="Y26" s="40">
        <f>Y23+Y24+Y25</f>
        <v/>
      </c>
      <c r="Z26" s="40">
        <f>Z23+Z24+Z25</f>
        <v/>
      </c>
      <c r="AA26" s="40">
        <f>AA23+AA24+AA25</f>
        <v/>
      </c>
      <c r="AB26" s="40">
        <f>AB23+AB24+AB25</f>
        <v/>
      </c>
      <c r="AC26" s="40">
        <f>AC23+AC24+AC25</f>
        <v/>
      </c>
      <c r="AD26" s="40">
        <f>AD23+AD24+AD25</f>
        <v/>
      </c>
      <c r="AE26" s="40">
        <f>AE23+AE24+AE25</f>
        <v/>
      </c>
      <c r="AF26" s="40">
        <f>AF23+AF24+AF25</f>
        <v/>
      </c>
      <c r="AG26" s="40">
        <f>AG23+AG24+AG25</f>
        <v/>
      </c>
      <c r="AH26" s="40">
        <f>AH23+AH24+AH25</f>
        <v/>
      </c>
      <c r="AI26" s="40">
        <f>AI23+AI24+AI25</f>
        <v/>
      </c>
      <c r="AJ26" s="40">
        <f>AJ23+AJ24+AJ25</f>
        <v/>
      </c>
      <c r="AK26" s="40">
        <f>AK23+AK24+AK25</f>
        <v/>
      </c>
      <c r="AL26" s="40">
        <f>AL23+AL24+AL25</f>
        <v/>
      </c>
      <c r="AN26" s="40">
        <f>SUM(C26:N26)</f>
        <v/>
      </c>
      <c r="AO26" s="40">
        <f>SUM(O26:Z26)</f>
        <v/>
      </c>
      <c r="AP26" s="40">
        <f>SUM(AA26:AL26)</f>
        <v/>
      </c>
    </row>
    <row r="27">
      <c r="A27" s="9" t="inlineStr">
        <is>
          <t>TVA collectée</t>
        </is>
      </c>
      <c r="B27" s="4" t="inlineStr">
        <is>
          <t>€</t>
        </is>
      </c>
      <c r="C27" s="15">
        <f>C26*Hypothèses!$D$15/(1+Hypothèses!$D$15)</f>
        <v/>
      </c>
      <c r="D27" s="15">
        <f>D26*Hypothèses!$D$15/(1+Hypothèses!$D$15)</f>
        <v/>
      </c>
      <c r="E27" s="15">
        <f>E26*Hypothèses!$D$15/(1+Hypothèses!$D$15)</f>
        <v/>
      </c>
      <c r="F27" s="15">
        <f>F26*Hypothèses!$D$15/(1+Hypothèses!$D$15)</f>
        <v/>
      </c>
      <c r="G27" s="15">
        <f>G26*Hypothèses!$D$15/(1+Hypothèses!$D$15)</f>
        <v/>
      </c>
      <c r="H27" s="15">
        <f>H26*Hypothèses!$D$15/(1+Hypothèses!$D$15)</f>
        <v/>
      </c>
      <c r="I27" s="15">
        <f>I26*Hypothèses!$D$15/(1+Hypothèses!$D$15)</f>
        <v/>
      </c>
      <c r="J27" s="15">
        <f>J26*Hypothèses!$D$15/(1+Hypothèses!$D$15)</f>
        <v/>
      </c>
      <c r="K27" s="15">
        <f>K26*Hypothèses!$D$15/(1+Hypothèses!$D$15)</f>
        <v/>
      </c>
      <c r="L27" s="15">
        <f>L26*Hypothèses!$D$15/(1+Hypothèses!$D$15)</f>
        <v/>
      </c>
      <c r="M27" s="15">
        <f>M26*Hypothèses!$D$15/(1+Hypothèses!$D$15)</f>
        <v/>
      </c>
      <c r="N27" s="15">
        <f>N26*Hypothèses!$D$15/(1+Hypothèses!$D$15)</f>
        <v/>
      </c>
      <c r="O27" s="15">
        <f>O26*Hypothèses!$D$15/(1+Hypothèses!$D$15)</f>
        <v/>
      </c>
      <c r="P27" s="15">
        <f>P26*Hypothèses!$D$15/(1+Hypothèses!$D$15)</f>
        <v/>
      </c>
      <c r="Q27" s="15">
        <f>Q26*Hypothèses!$D$15/(1+Hypothèses!$D$15)</f>
        <v/>
      </c>
      <c r="R27" s="15">
        <f>R26*Hypothèses!$D$15/(1+Hypothèses!$D$15)</f>
        <v/>
      </c>
      <c r="S27" s="15">
        <f>S26*Hypothèses!$D$15/(1+Hypothèses!$D$15)</f>
        <v/>
      </c>
      <c r="T27" s="15">
        <f>T26*Hypothèses!$D$15/(1+Hypothèses!$D$15)</f>
        <v/>
      </c>
      <c r="U27" s="15">
        <f>U26*Hypothèses!$D$15/(1+Hypothèses!$D$15)</f>
        <v/>
      </c>
      <c r="V27" s="15">
        <f>V26*Hypothèses!$D$15/(1+Hypothèses!$D$15)</f>
        <v/>
      </c>
      <c r="W27" s="15">
        <f>W26*Hypothèses!$D$15/(1+Hypothèses!$D$15)</f>
        <v/>
      </c>
      <c r="X27" s="15">
        <f>X26*Hypothèses!$D$15/(1+Hypothèses!$D$15)</f>
        <v/>
      </c>
      <c r="Y27" s="15">
        <f>Y26*Hypothèses!$D$15/(1+Hypothèses!$D$15)</f>
        <v/>
      </c>
      <c r="Z27" s="15">
        <f>Z26*Hypothèses!$D$15/(1+Hypothèses!$D$15)</f>
        <v/>
      </c>
      <c r="AA27" s="15">
        <f>AA26*Hypothèses!$D$15/(1+Hypothèses!$D$15)</f>
        <v/>
      </c>
      <c r="AB27" s="15">
        <f>AB26*Hypothèses!$D$15/(1+Hypothèses!$D$15)</f>
        <v/>
      </c>
      <c r="AC27" s="15">
        <f>AC26*Hypothèses!$D$15/(1+Hypothèses!$D$15)</f>
        <v/>
      </c>
      <c r="AD27" s="15">
        <f>AD26*Hypothèses!$D$15/(1+Hypothèses!$D$15)</f>
        <v/>
      </c>
      <c r="AE27" s="15">
        <f>AE26*Hypothèses!$D$15/(1+Hypothèses!$D$15)</f>
        <v/>
      </c>
      <c r="AF27" s="15">
        <f>AF26*Hypothèses!$D$15/(1+Hypothèses!$D$15)</f>
        <v/>
      </c>
      <c r="AG27" s="15">
        <f>AG26*Hypothèses!$D$15/(1+Hypothèses!$D$15)</f>
        <v/>
      </c>
      <c r="AH27" s="15">
        <f>AH26*Hypothèses!$D$15/(1+Hypothèses!$D$15)</f>
        <v/>
      </c>
      <c r="AI27" s="15">
        <f>AI26*Hypothèses!$D$15/(1+Hypothèses!$D$15)</f>
        <v/>
      </c>
      <c r="AJ27" s="15">
        <f>AJ26*Hypothèses!$D$15/(1+Hypothèses!$D$15)</f>
        <v/>
      </c>
      <c r="AK27" s="15">
        <f>AK26*Hypothèses!$D$15/(1+Hypothèses!$D$15)</f>
        <v/>
      </c>
      <c r="AL27" s="15">
        <f>AL26*Hypothèses!$D$15/(1+Hypothèses!$D$15)</f>
        <v/>
      </c>
      <c r="AN27" s="15">
        <f>SUM(C27:N27)</f>
        <v/>
      </c>
      <c r="AO27" s="15">
        <f>SUM(O27:Z27)</f>
        <v/>
      </c>
      <c r="AP27" s="15">
        <f>SUM(AA27:AL27)</f>
        <v/>
      </c>
    </row>
    <row r="28">
      <c r="A28" s="2" t="inlineStr">
        <is>
          <t>Chiffre d'affaires HT</t>
        </is>
      </c>
      <c r="B28" s="4" t="inlineStr">
        <is>
          <t>€ HT</t>
        </is>
      </c>
      <c r="C28" s="40">
        <f>C26-C27</f>
        <v/>
      </c>
      <c r="D28" s="40">
        <f>D26-D27</f>
        <v/>
      </c>
      <c r="E28" s="40">
        <f>E26-E27</f>
        <v/>
      </c>
      <c r="F28" s="40">
        <f>F26-F27</f>
        <v/>
      </c>
      <c r="G28" s="40">
        <f>G26-G27</f>
        <v/>
      </c>
      <c r="H28" s="40">
        <f>H26-H27</f>
        <v/>
      </c>
      <c r="I28" s="40">
        <f>I26-I27</f>
        <v/>
      </c>
      <c r="J28" s="40">
        <f>J26-J27</f>
        <v/>
      </c>
      <c r="K28" s="40">
        <f>K26-K27</f>
        <v/>
      </c>
      <c r="L28" s="40">
        <f>L26-L27</f>
        <v/>
      </c>
      <c r="M28" s="40">
        <f>M26-M27</f>
        <v/>
      </c>
      <c r="N28" s="40">
        <f>N26-N27</f>
        <v/>
      </c>
      <c r="O28" s="40">
        <f>O26-O27</f>
        <v/>
      </c>
      <c r="P28" s="40">
        <f>P26-P27</f>
        <v/>
      </c>
      <c r="Q28" s="40">
        <f>Q26-Q27</f>
        <v/>
      </c>
      <c r="R28" s="40">
        <f>R26-R27</f>
        <v/>
      </c>
      <c r="S28" s="40">
        <f>S26-S27</f>
        <v/>
      </c>
      <c r="T28" s="40">
        <f>T26-T27</f>
        <v/>
      </c>
      <c r="U28" s="40">
        <f>U26-U27</f>
        <v/>
      </c>
      <c r="V28" s="40">
        <f>V26-V27</f>
        <v/>
      </c>
      <c r="W28" s="40">
        <f>W26-W27</f>
        <v/>
      </c>
      <c r="X28" s="40">
        <f>X26-X27</f>
        <v/>
      </c>
      <c r="Y28" s="40">
        <f>Y26-Y27</f>
        <v/>
      </c>
      <c r="Z28" s="40">
        <f>Z26-Z27</f>
        <v/>
      </c>
      <c r="AA28" s="40">
        <f>AA26-AA27</f>
        <v/>
      </c>
      <c r="AB28" s="40">
        <f>AB26-AB27</f>
        <v/>
      </c>
      <c r="AC28" s="40">
        <f>AC26-AC27</f>
        <v/>
      </c>
      <c r="AD28" s="40">
        <f>AD26-AD27</f>
        <v/>
      </c>
      <c r="AE28" s="40">
        <f>AE26-AE27</f>
        <v/>
      </c>
      <c r="AF28" s="40">
        <f>AF26-AF27</f>
        <v/>
      </c>
      <c r="AG28" s="40">
        <f>AG26-AG27</f>
        <v/>
      </c>
      <c r="AH28" s="40">
        <f>AH26-AH27</f>
        <v/>
      </c>
      <c r="AI28" s="40">
        <f>AI26-AI27</f>
        <v/>
      </c>
      <c r="AJ28" s="40">
        <f>AJ26-AJ27</f>
        <v/>
      </c>
      <c r="AK28" s="40">
        <f>AK26-AK27</f>
        <v/>
      </c>
      <c r="AL28" s="40">
        <f>AL26-AL27</f>
        <v/>
      </c>
      <c r="AN28" s="40">
        <f>SUM(C28:N28)</f>
        <v/>
      </c>
      <c r="AO28" s="40">
        <f>SUM(O28:Z28)</f>
        <v/>
      </c>
      <c r="AP28" s="40">
        <f>SUM(AA28:AL28)</f>
        <v/>
      </c>
    </row>
    <row r="29">
      <c r="A29" s="9" t="inlineStr">
        <is>
          <t>Impayés (TTC)</t>
        </is>
      </c>
      <c r="B29" s="4" t="inlineStr">
        <is>
          <t>€ TTC</t>
        </is>
      </c>
      <c r="C29" s="15">
        <f>C26*Hypothèses!$D$27</f>
        <v/>
      </c>
      <c r="D29" s="15">
        <f>D26*Hypothèses!$D$27</f>
        <v/>
      </c>
      <c r="E29" s="15">
        <f>E26*Hypothèses!$D$27</f>
        <v/>
      </c>
      <c r="F29" s="15">
        <f>F26*Hypothèses!$D$27</f>
        <v/>
      </c>
      <c r="G29" s="15">
        <f>G26*Hypothèses!$D$27</f>
        <v/>
      </c>
      <c r="H29" s="15">
        <f>H26*Hypothèses!$D$27</f>
        <v/>
      </c>
      <c r="I29" s="15">
        <f>I26*Hypothèses!$D$27</f>
        <v/>
      </c>
      <c r="J29" s="15">
        <f>J26*Hypothèses!$D$27</f>
        <v/>
      </c>
      <c r="K29" s="15">
        <f>K26*Hypothèses!$D$27</f>
        <v/>
      </c>
      <c r="L29" s="15">
        <f>L26*Hypothèses!$D$27</f>
        <v/>
      </c>
      <c r="M29" s="15">
        <f>M26*Hypothèses!$D$27</f>
        <v/>
      </c>
      <c r="N29" s="15">
        <f>N26*Hypothèses!$D$27</f>
        <v/>
      </c>
      <c r="O29" s="15">
        <f>O26*Hypothèses!$D$27</f>
        <v/>
      </c>
      <c r="P29" s="15">
        <f>P26*Hypothèses!$D$27</f>
        <v/>
      </c>
      <c r="Q29" s="15">
        <f>Q26*Hypothèses!$D$27</f>
        <v/>
      </c>
      <c r="R29" s="15">
        <f>R26*Hypothèses!$D$27</f>
        <v/>
      </c>
      <c r="S29" s="15">
        <f>S26*Hypothèses!$D$27</f>
        <v/>
      </c>
      <c r="T29" s="15">
        <f>T26*Hypothèses!$D$27</f>
        <v/>
      </c>
      <c r="U29" s="15">
        <f>U26*Hypothèses!$D$27</f>
        <v/>
      </c>
      <c r="V29" s="15">
        <f>V26*Hypothèses!$D$27</f>
        <v/>
      </c>
      <c r="W29" s="15">
        <f>W26*Hypothèses!$D$27</f>
        <v/>
      </c>
      <c r="X29" s="15">
        <f>X26*Hypothèses!$D$27</f>
        <v/>
      </c>
      <c r="Y29" s="15">
        <f>Y26*Hypothèses!$D$27</f>
        <v/>
      </c>
      <c r="Z29" s="15">
        <f>Z26*Hypothèses!$D$27</f>
        <v/>
      </c>
      <c r="AA29" s="15">
        <f>AA26*Hypothèses!$D$27</f>
        <v/>
      </c>
      <c r="AB29" s="15">
        <f>AB26*Hypothèses!$D$27</f>
        <v/>
      </c>
      <c r="AC29" s="15">
        <f>AC26*Hypothèses!$D$27</f>
        <v/>
      </c>
      <c r="AD29" s="15">
        <f>AD26*Hypothèses!$D$27</f>
        <v/>
      </c>
      <c r="AE29" s="15">
        <f>AE26*Hypothèses!$D$27</f>
        <v/>
      </c>
      <c r="AF29" s="15">
        <f>AF26*Hypothèses!$D$27</f>
        <v/>
      </c>
      <c r="AG29" s="15">
        <f>AG26*Hypothèses!$D$27</f>
        <v/>
      </c>
      <c r="AH29" s="15">
        <f>AH26*Hypothèses!$D$27</f>
        <v/>
      </c>
      <c r="AI29" s="15">
        <f>AI26*Hypothèses!$D$27</f>
        <v/>
      </c>
      <c r="AJ29" s="15">
        <f>AJ26*Hypothèses!$D$27</f>
        <v/>
      </c>
      <c r="AK29" s="15">
        <f>AK26*Hypothèses!$D$27</f>
        <v/>
      </c>
      <c r="AL29" s="15">
        <f>AL26*Hypothèses!$D$27</f>
        <v/>
      </c>
      <c r="AN29" s="15">
        <f>SUM(C29:N29)</f>
        <v/>
      </c>
      <c r="AO29" s="15">
        <f>SUM(O29:Z29)</f>
        <v/>
      </c>
      <c r="AP29" s="15">
        <f>SUM(AA29:AL29)</f>
        <v/>
      </c>
    </row>
    <row r="30">
      <c r="A30" s="9" t="inlineStr">
        <is>
          <t>Frais de paiement</t>
        </is>
      </c>
      <c r="B30" s="4" t="inlineStr">
        <is>
          <t>€</t>
        </is>
      </c>
      <c r="C30" s="15">
        <f>(C26-C29)*Hypothèses!$D$28+C18*Hypothèses!$D$29</f>
        <v/>
      </c>
      <c r="D30" s="15">
        <f>(D26-D29)*Hypothèses!$D$28+D18*Hypothèses!$D$29</f>
        <v/>
      </c>
      <c r="E30" s="15">
        <f>(E26-E29)*Hypothèses!$D$28+E18*Hypothèses!$D$29</f>
        <v/>
      </c>
      <c r="F30" s="15">
        <f>(F26-F29)*Hypothèses!$D$28+F18*Hypothèses!$D$29</f>
        <v/>
      </c>
      <c r="G30" s="15">
        <f>(G26-G29)*Hypothèses!$D$28+G18*Hypothèses!$D$29</f>
        <v/>
      </c>
      <c r="H30" s="15">
        <f>(H26-H29)*Hypothèses!$D$28+H18*Hypothèses!$D$29</f>
        <v/>
      </c>
      <c r="I30" s="15">
        <f>(I26-I29)*Hypothèses!$D$28+I18*Hypothèses!$D$29</f>
        <v/>
      </c>
      <c r="J30" s="15">
        <f>(J26-J29)*Hypothèses!$D$28+J18*Hypothèses!$D$29</f>
        <v/>
      </c>
      <c r="K30" s="15">
        <f>(K26-K29)*Hypothèses!$D$28+K18*Hypothèses!$D$29</f>
        <v/>
      </c>
      <c r="L30" s="15">
        <f>(L26-L29)*Hypothèses!$D$28+L18*Hypothèses!$D$29</f>
        <v/>
      </c>
      <c r="M30" s="15">
        <f>(M26-M29)*Hypothèses!$D$28+M18*Hypothèses!$D$29</f>
        <v/>
      </c>
      <c r="N30" s="15">
        <f>(N26-N29)*Hypothèses!$D$28+N18*Hypothèses!$D$29</f>
        <v/>
      </c>
      <c r="O30" s="15">
        <f>(O26-O29)*Hypothèses!$D$28+O18*Hypothèses!$D$29</f>
        <v/>
      </c>
      <c r="P30" s="15">
        <f>(P26-P29)*Hypothèses!$D$28+P18*Hypothèses!$D$29</f>
        <v/>
      </c>
      <c r="Q30" s="15">
        <f>(Q26-Q29)*Hypothèses!$D$28+Q18*Hypothèses!$D$29</f>
        <v/>
      </c>
      <c r="R30" s="15">
        <f>(R26-R29)*Hypothèses!$D$28+R18*Hypothèses!$D$29</f>
        <v/>
      </c>
      <c r="S30" s="15">
        <f>(S26-S29)*Hypothèses!$D$28+S18*Hypothèses!$D$29</f>
        <v/>
      </c>
      <c r="T30" s="15">
        <f>(T26-T29)*Hypothèses!$D$28+T18*Hypothèses!$D$29</f>
        <v/>
      </c>
      <c r="U30" s="15">
        <f>(U26-U29)*Hypothèses!$D$28+U18*Hypothèses!$D$29</f>
        <v/>
      </c>
      <c r="V30" s="15">
        <f>(V26-V29)*Hypothèses!$D$28+V18*Hypothèses!$D$29</f>
        <v/>
      </c>
      <c r="W30" s="15">
        <f>(W26-W29)*Hypothèses!$D$28+W18*Hypothèses!$D$29</f>
        <v/>
      </c>
      <c r="X30" s="15">
        <f>(X26-X29)*Hypothèses!$D$28+X18*Hypothèses!$D$29</f>
        <v/>
      </c>
      <c r="Y30" s="15">
        <f>(Y26-Y29)*Hypothèses!$D$28+Y18*Hypothèses!$D$29</f>
        <v/>
      </c>
      <c r="Z30" s="15">
        <f>(Z26-Z29)*Hypothèses!$D$28+Z18*Hypothèses!$D$29</f>
        <v/>
      </c>
      <c r="AA30" s="15">
        <f>(AA26-AA29)*Hypothèses!$D$28+AA18*Hypothèses!$D$29</f>
        <v/>
      </c>
      <c r="AB30" s="15">
        <f>(AB26-AB29)*Hypothèses!$D$28+AB18*Hypothèses!$D$29</f>
        <v/>
      </c>
      <c r="AC30" s="15">
        <f>(AC26-AC29)*Hypothèses!$D$28+AC18*Hypothèses!$D$29</f>
        <v/>
      </c>
      <c r="AD30" s="15">
        <f>(AD26-AD29)*Hypothèses!$D$28+AD18*Hypothèses!$D$29</f>
        <v/>
      </c>
      <c r="AE30" s="15">
        <f>(AE26-AE29)*Hypothèses!$D$28+AE18*Hypothèses!$D$29</f>
        <v/>
      </c>
      <c r="AF30" s="15">
        <f>(AF26-AF29)*Hypothèses!$D$28+AF18*Hypothèses!$D$29</f>
        <v/>
      </c>
      <c r="AG30" s="15">
        <f>(AG26-AG29)*Hypothèses!$D$28+AG18*Hypothèses!$D$29</f>
        <v/>
      </c>
      <c r="AH30" s="15">
        <f>(AH26-AH29)*Hypothèses!$D$28+AH18*Hypothèses!$D$29</f>
        <v/>
      </c>
      <c r="AI30" s="15">
        <f>(AI26-AI29)*Hypothèses!$D$28+AI18*Hypothèses!$D$29</f>
        <v/>
      </c>
      <c r="AJ30" s="15">
        <f>(AJ26-AJ29)*Hypothèses!$D$28+AJ18*Hypothèses!$D$29</f>
        <v/>
      </c>
      <c r="AK30" s="15">
        <f>(AK26-AK29)*Hypothèses!$D$28+AK18*Hypothèses!$D$29</f>
        <v/>
      </c>
      <c r="AL30" s="15">
        <f>(AL26-AL29)*Hypothèses!$D$28+AL18*Hypothèses!$D$29</f>
        <v/>
      </c>
      <c r="AN30" s="15">
        <f>SUM(C30:N30)</f>
        <v/>
      </c>
      <c r="AO30" s="15">
        <f>SUM(O30:Z30)</f>
        <v/>
      </c>
      <c r="AP30" s="15">
        <f>SUM(AA30:AL30)</f>
        <v/>
      </c>
    </row>
    <row r="31">
      <c r="A31" s="2" t="inlineStr">
        <is>
          <t>Encaissements nets TTC</t>
        </is>
      </c>
      <c r="B31" s="4" t="inlineStr">
        <is>
          <t>€ TTC</t>
        </is>
      </c>
      <c r="C31" s="40">
        <f>C26-C29-C30</f>
        <v/>
      </c>
      <c r="D31" s="40">
        <f>D26-D29-D30</f>
        <v/>
      </c>
      <c r="E31" s="40">
        <f>E26-E29-E30</f>
        <v/>
      </c>
      <c r="F31" s="40">
        <f>F26-F29-F30</f>
        <v/>
      </c>
      <c r="G31" s="40">
        <f>G26-G29-G30</f>
        <v/>
      </c>
      <c r="H31" s="40">
        <f>H26-H29-H30</f>
        <v/>
      </c>
      <c r="I31" s="40">
        <f>I26-I29-I30</f>
        <v/>
      </c>
      <c r="J31" s="40">
        <f>J26-J29-J30</f>
        <v/>
      </c>
      <c r="K31" s="40">
        <f>K26-K29-K30</f>
        <v/>
      </c>
      <c r="L31" s="40">
        <f>L26-L29-L30</f>
        <v/>
      </c>
      <c r="M31" s="40">
        <f>M26-M29-M30</f>
        <v/>
      </c>
      <c r="N31" s="40">
        <f>N26-N29-N30</f>
        <v/>
      </c>
      <c r="O31" s="40">
        <f>O26-O29-O30</f>
        <v/>
      </c>
      <c r="P31" s="40">
        <f>P26-P29-P30</f>
        <v/>
      </c>
      <c r="Q31" s="40">
        <f>Q26-Q29-Q30</f>
        <v/>
      </c>
      <c r="R31" s="40">
        <f>R26-R29-R30</f>
        <v/>
      </c>
      <c r="S31" s="40">
        <f>S26-S29-S30</f>
        <v/>
      </c>
      <c r="T31" s="40">
        <f>T26-T29-T30</f>
        <v/>
      </c>
      <c r="U31" s="40">
        <f>U26-U29-U30</f>
        <v/>
      </c>
      <c r="V31" s="40">
        <f>V26-V29-V30</f>
        <v/>
      </c>
      <c r="W31" s="40">
        <f>W26-W29-W30</f>
        <v/>
      </c>
      <c r="X31" s="40">
        <f>X26-X29-X30</f>
        <v/>
      </c>
      <c r="Y31" s="40">
        <f>Y26-Y29-Y30</f>
        <v/>
      </c>
      <c r="Z31" s="40">
        <f>Z26-Z29-Z30</f>
        <v/>
      </c>
      <c r="AA31" s="40">
        <f>AA26-AA29-AA30</f>
        <v/>
      </c>
      <c r="AB31" s="40">
        <f>AB26-AB29-AB30</f>
        <v/>
      </c>
      <c r="AC31" s="40">
        <f>AC26-AC29-AC30</f>
        <v/>
      </c>
      <c r="AD31" s="40">
        <f>AD26-AD29-AD30</f>
        <v/>
      </c>
      <c r="AE31" s="40">
        <f>AE26-AE29-AE30</f>
        <v/>
      </c>
      <c r="AF31" s="40">
        <f>AF26-AF29-AF30</f>
        <v/>
      </c>
      <c r="AG31" s="40">
        <f>AG26-AG29-AG30</f>
        <v/>
      </c>
      <c r="AH31" s="40">
        <f>AH26-AH29-AH30</f>
        <v/>
      </c>
      <c r="AI31" s="40">
        <f>AI26-AI29-AI30</f>
        <v/>
      </c>
      <c r="AJ31" s="40">
        <f>AJ26-AJ29-AJ30</f>
        <v/>
      </c>
      <c r="AK31" s="40">
        <f>AK26-AK29-AK30</f>
        <v/>
      </c>
      <c r="AL31" s="40">
        <f>AL26-AL29-AL30</f>
        <v/>
      </c>
      <c r="AN31" s="40">
        <f>SUM(C31:N31)</f>
        <v/>
      </c>
      <c r="AO31" s="40">
        <f>SUM(O31:Z31)</f>
        <v/>
      </c>
      <c r="AP31" s="40">
        <f>SUM(AA31:AL31)</f>
        <v/>
      </c>
    </row>
    <row r="32">
      <c r="A32" s="8" t="inlineStr">
        <is>
          <t>Coûts variables</t>
        </is>
      </c>
    </row>
    <row r="33">
      <c r="A33" s="9" t="inlineStr">
        <is>
          <t>Coût IA et outils (missions × coût par mission)</t>
        </is>
      </c>
      <c r="B33" s="4" t="inlineStr">
        <is>
          <t>€ HT</t>
        </is>
      </c>
      <c r="C33" s="15">
        <f>(C19*Hypothèses!$D$31+C20*Hypothèses!$D$32+C21*Hypothèses!$D$33)*Hypothèses!$D$34*$F$4</f>
        <v/>
      </c>
      <c r="D33" s="15">
        <f>(D19*Hypothèses!$D$31+D20*Hypothèses!$D$32+D21*Hypothèses!$D$33)*Hypothèses!$D$34*$F$4</f>
        <v/>
      </c>
      <c r="E33" s="15">
        <f>(E19*Hypothèses!$D$31+E20*Hypothèses!$D$32+E21*Hypothèses!$D$33)*Hypothèses!$D$34*$F$4</f>
        <v/>
      </c>
      <c r="F33" s="15">
        <f>(F19*Hypothèses!$D$31+F20*Hypothèses!$D$32+F21*Hypothèses!$D$33)*Hypothèses!$D$34*$F$4</f>
        <v/>
      </c>
      <c r="G33" s="15">
        <f>(G19*Hypothèses!$D$31+G20*Hypothèses!$D$32+G21*Hypothèses!$D$33)*Hypothèses!$D$34*$F$4</f>
        <v/>
      </c>
      <c r="H33" s="15">
        <f>(H19*Hypothèses!$D$31+H20*Hypothèses!$D$32+H21*Hypothèses!$D$33)*Hypothèses!$D$34*$F$4</f>
        <v/>
      </c>
      <c r="I33" s="15">
        <f>(I19*Hypothèses!$D$31+I20*Hypothèses!$D$32+I21*Hypothèses!$D$33)*Hypothèses!$D$34*$F$4</f>
        <v/>
      </c>
      <c r="J33" s="15">
        <f>(J19*Hypothèses!$D$31+J20*Hypothèses!$D$32+J21*Hypothèses!$D$33)*Hypothèses!$D$34*$F$4</f>
        <v/>
      </c>
      <c r="K33" s="15">
        <f>(K19*Hypothèses!$D$31+K20*Hypothèses!$D$32+K21*Hypothèses!$D$33)*Hypothèses!$D$34*$F$4</f>
        <v/>
      </c>
      <c r="L33" s="15">
        <f>(L19*Hypothèses!$D$31+L20*Hypothèses!$D$32+L21*Hypothèses!$D$33)*Hypothèses!$D$34*$F$4</f>
        <v/>
      </c>
      <c r="M33" s="15">
        <f>(M19*Hypothèses!$D$31+M20*Hypothèses!$D$32+M21*Hypothèses!$D$33)*Hypothèses!$D$34*$F$4</f>
        <v/>
      </c>
      <c r="N33" s="15">
        <f>(N19*Hypothèses!$D$31+N20*Hypothèses!$D$32+N21*Hypothèses!$D$33)*Hypothèses!$D$34*$F$4</f>
        <v/>
      </c>
      <c r="O33" s="15">
        <f>(O19*Hypothèses!$D$31+O20*Hypothèses!$D$32+O21*Hypothèses!$D$33)*Hypothèses!$D$34*$F$4</f>
        <v/>
      </c>
      <c r="P33" s="15">
        <f>(P19*Hypothèses!$D$31+P20*Hypothèses!$D$32+P21*Hypothèses!$D$33)*Hypothèses!$D$34*$F$4</f>
        <v/>
      </c>
      <c r="Q33" s="15">
        <f>(Q19*Hypothèses!$D$31+Q20*Hypothèses!$D$32+Q21*Hypothèses!$D$33)*Hypothèses!$D$34*$F$4</f>
        <v/>
      </c>
      <c r="R33" s="15">
        <f>(R19*Hypothèses!$D$31+R20*Hypothèses!$D$32+R21*Hypothèses!$D$33)*Hypothèses!$D$34*$F$4</f>
        <v/>
      </c>
      <c r="S33" s="15">
        <f>(S19*Hypothèses!$D$31+S20*Hypothèses!$D$32+S21*Hypothèses!$D$33)*Hypothèses!$D$34*$F$4</f>
        <v/>
      </c>
      <c r="T33" s="15">
        <f>(T19*Hypothèses!$D$31+T20*Hypothèses!$D$32+T21*Hypothèses!$D$33)*Hypothèses!$D$34*$F$4</f>
        <v/>
      </c>
      <c r="U33" s="15">
        <f>(U19*Hypothèses!$D$31+U20*Hypothèses!$D$32+U21*Hypothèses!$D$33)*Hypothèses!$D$34*$F$4</f>
        <v/>
      </c>
      <c r="V33" s="15">
        <f>(V19*Hypothèses!$D$31+V20*Hypothèses!$D$32+V21*Hypothèses!$D$33)*Hypothèses!$D$34*$F$4</f>
        <v/>
      </c>
      <c r="W33" s="15">
        <f>(W19*Hypothèses!$D$31+W20*Hypothèses!$D$32+W21*Hypothèses!$D$33)*Hypothèses!$D$34*$F$4</f>
        <v/>
      </c>
      <c r="X33" s="15">
        <f>(X19*Hypothèses!$D$31+X20*Hypothèses!$D$32+X21*Hypothèses!$D$33)*Hypothèses!$D$34*$F$4</f>
        <v/>
      </c>
      <c r="Y33" s="15">
        <f>(Y19*Hypothèses!$D$31+Y20*Hypothèses!$D$32+Y21*Hypothèses!$D$33)*Hypothèses!$D$34*$F$4</f>
        <v/>
      </c>
      <c r="Z33" s="15">
        <f>(Z19*Hypothèses!$D$31+Z20*Hypothèses!$D$32+Z21*Hypothèses!$D$33)*Hypothèses!$D$34*$F$4</f>
        <v/>
      </c>
      <c r="AA33" s="15">
        <f>(AA19*Hypothèses!$D$31+AA20*Hypothèses!$D$32+AA21*Hypothèses!$D$33)*Hypothèses!$D$34*$F$4</f>
        <v/>
      </c>
      <c r="AB33" s="15">
        <f>(AB19*Hypothèses!$D$31+AB20*Hypothèses!$D$32+AB21*Hypothèses!$D$33)*Hypothèses!$D$34*$F$4</f>
        <v/>
      </c>
      <c r="AC33" s="15">
        <f>(AC19*Hypothèses!$D$31+AC20*Hypothèses!$D$32+AC21*Hypothèses!$D$33)*Hypothèses!$D$34*$F$4</f>
        <v/>
      </c>
      <c r="AD33" s="15">
        <f>(AD19*Hypothèses!$D$31+AD20*Hypothèses!$D$32+AD21*Hypothèses!$D$33)*Hypothèses!$D$34*$F$4</f>
        <v/>
      </c>
      <c r="AE33" s="15">
        <f>(AE19*Hypothèses!$D$31+AE20*Hypothèses!$D$32+AE21*Hypothèses!$D$33)*Hypothèses!$D$34*$F$4</f>
        <v/>
      </c>
      <c r="AF33" s="15">
        <f>(AF19*Hypothèses!$D$31+AF20*Hypothèses!$D$32+AF21*Hypothèses!$D$33)*Hypothèses!$D$34*$F$4</f>
        <v/>
      </c>
      <c r="AG33" s="15">
        <f>(AG19*Hypothèses!$D$31+AG20*Hypothèses!$D$32+AG21*Hypothèses!$D$33)*Hypothèses!$D$34*$F$4</f>
        <v/>
      </c>
      <c r="AH33" s="15">
        <f>(AH19*Hypothèses!$D$31+AH20*Hypothèses!$D$32+AH21*Hypothèses!$D$33)*Hypothèses!$D$34*$F$4</f>
        <v/>
      </c>
      <c r="AI33" s="15">
        <f>(AI19*Hypothèses!$D$31+AI20*Hypothèses!$D$32+AI21*Hypothèses!$D$33)*Hypothèses!$D$34*$F$4</f>
        <v/>
      </c>
      <c r="AJ33" s="15">
        <f>(AJ19*Hypothèses!$D$31+AJ20*Hypothèses!$D$32+AJ21*Hypothèses!$D$33)*Hypothèses!$D$34*$F$4</f>
        <v/>
      </c>
      <c r="AK33" s="15">
        <f>(AK19*Hypothèses!$D$31+AK20*Hypothèses!$D$32+AK21*Hypothèses!$D$33)*Hypothèses!$D$34*$F$4</f>
        <v/>
      </c>
      <c r="AL33" s="15">
        <f>(AL19*Hypothèses!$D$31+AL20*Hypothèses!$D$32+AL21*Hypothèses!$D$33)*Hypothèses!$D$34*$F$4</f>
        <v/>
      </c>
      <c r="AN33" s="15">
        <f>SUM(C33:N33)</f>
        <v/>
      </c>
      <c r="AO33" s="15">
        <f>SUM(O33:Z33)</f>
        <v/>
      </c>
      <c r="AP33" s="15">
        <f>SUM(AA33:AL33)</f>
        <v/>
      </c>
    </row>
    <row r="34">
      <c r="A34" s="9" t="inlineStr">
        <is>
          <t>Hébergement, stockage, connecteurs</t>
        </is>
      </c>
      <c r="B34" s="4" t="inlineStr">
        <is>
          <t>€ HT</t>
        </is>
      </c>
      <c r="C34" s="15">
        <f>C18*Hypothèses!$D$35</f>
        <v/>
      </c>
      <c r="D34" s="15">
        <f>D18*Hypothèses!$D$35</f>
        <v/>
      </c>
      <c r="E34" s="15">
        <f>E18*Hypothèses!$D$35</f>
        <v/>
      </c>
      <c r="F34" s="15">
        <f>F18*Hypothèses!$D$35</f>
        <v/>
      </c>
      <c r="G34" s="15">
        <f>G18*Hypothèses!$D$35</f>
        <v/>
      </c>
      <c r="H34" s="15">
        <f>H18*Hypothèses!$D$35</f>
        <v/>
      </c>
      <c r="I34" s="15">
        <f>I18*Hypothèses!$D$35</f>
        <v/>
      </c>
      <c r="J34" s="15">
        <f>J18*Hypothèses!$D$35</f>
        <v/>
      </c>
      <c r="K34" s="15">
        <f>K18*Hypothèses!$D$35</f>
        <v/>
      </c>
      <c r="L34" s="15">
        <f>L18*Hypothèses!$D$35</f>
        <v/>
      </c>
      <c r="M34" s="15">
        <f>M18*Hypothèses!$D$35</f>
        <v/>
      </c>
      <c r="N34" s="15">
        <f>N18*Hypothèses!$D$35</f>
        <v/>
      </c>
      <c r="O34" s="15">
        <f>O18*Hypothèses!$D$35</f>
        <v/>
      </c>
      <c r="P34" s="15">
        <f>P18*Hypothèses!$D$35</f>
        <v/>
      </c>
      <c r="Q34" s="15">
        <f>Q18*Hypothèses!$D$35</f>
        <v/>
      </c>
      <c r="R34" s="15">
        <f>R18*Hypothèses!$D$35</f>
        <v/>
      </c>
      <c r="S34" s="15">
        <f>S18*Hypothèses!$D$35</f>
        <v/>
      </c>
      <c r="T34" s="15">
        <f>T18*Hypothèses!$D$35</f>
        <v/>
      </c>
      <c r="U34" s="15">
        <f>U18*Hypothèses!$D$35</f>
        <v/>
      </c>
      <c r="V34" s="15">
        <f>V18*Hypothèses!$D$35</f>
        <v/>
      </c>
      <c r="W34" s="15">
        <f>W18*Hypothèses!$D$35</f>
        <v/>
      </c>
      <c r="X34" s="15">
        <f>X18*Hypothèses!$D$35</f>
        <v/>
      </c>
      <c r="Y34" s="15">
        <f>Y18*Hypothèses!$D$35</f>
        <v/>
      </c>
      <c r="Z34" s="15">
        <f>Z18*Hypothèses!$D$35</f>
        <v/>
      </c>
      <c r="AA34" s="15">
        <f>AA18*Hypothèses!$D$35</f>
        <v/>
      </c>
      <c r="AB34" s="15">
        <f>AB18*Hypothèses!$D$35</f>
        <v/>
      </c>
      <c r="AC34" s="15">
        <f>AC18*Hypothèses!$D$35</f>
        <v/>
      </c>
      <c r="AD34" s="15">
        <f>AD18*Hypothèses!$D$35</f>
        <v/>
      </c>
      <c r="AE34" s="15">
        <f>AE18*Hypothèses!$D$35</f>
        <v/>
      </c>
      <c r="AF34" s="15">
        <f>AF18*Hypothèses!$D$35</f>
        <v/>
      </c>
      <c r="AG34" s="15">
        <f>AG18*Hypothèses!$D$35</f>
        <v/>
      </c>
      <c r="AH34" s="15">
        <f>AH18*Hypothèses!$D$35</f>
        <v/>
      </c>
      <c r="AI34" s="15">
        <f>AI18*Hypothèses!$D$35</f>
        <v/>
      </c>
      <c r="AJ34" s="15">
        <f>AJ18*Hypothèses!$D$35</f>
        <v/>
      </c>
      <c r="AK34" s="15">
        <f>AK18*Hypothèses!$D$35</f>
        <v/>
      </c>
      <c r="AL34" s="15">
        <f>AL18*Hypothèses!$D$35</f>
        <v/>
      </c>
      <c r="AN34" s="15">
        <f>SUM(C34:N34)</f>
        <v/>
      </c>
      <c r="AO34" s="15">
        <f>SUM(O34:Z34)</f>
        <v/>
      </c>
      <c r="AP34" s="15">
        <f>SUM(AA34:AL34)</f>
        <v/>
      </c>
    </row>
    <row r="35">
      <c r="A35" s="9" t="inlineStr">
        <is>
          <t>Support humain</t>
        </is>
      </c>
      <c r="B35" s="4" t="inlineStr">
        <is>
          <t>€ HT</t>
        </is>
      </c>
      <c r="C35" s="15">
        <f>C18*Hypothèses!$D$36</f>
        <v/>
      </c>
      <c r="D35" s="15">
        <f>D18*Hypothèses!$D$36</f>
        <v/>
      </c>
      <c r="E35" s="15">
        <f>E18*Hypothèses!$D$36</f>
        <v/>
      </c>
      <c r="F35" s="15">
        <f>F18*Hypothèses!$D$36</f>
        <v/>
      </c>
      <c r="G35" s="15">
        <f>G18*Hypothèses!$D$36</f>
        <v/>
      </c>
      <c r="H35" s="15">
        <f>H18*Hypothèses!$D$36</f>
        <v/>
      </c>
      <c r="I35" s="15">
        <f>I18*Hypothèses!$D$36</f>
        <v/>
      </c>
      <c r="J35" s="15">
        <f>J18*Hypothèses!$D$36</f>
        <v/>
      </c>
      <c r="K35" s="15">
        <f>K18*Hypothèses!$D$36</f>
        <v/>
      </c>
      <c r="L35" s="15">
        <f>L18*Hypothèses!$D$36</f>
        <v/>
      </c>
      <c r="M35" s="15">
        <f>M18*Hypothèses!$D$36</f>
        <v/>
      </c>
      <c r="N35" s="15">
        <f>N18*Hypothèses!$D$36</f>
        <v/>
      </c>
      <c r="O35" s="15">
        <f>O18*Hypothèses!$D$36</f>
        <v/>
      </c>
      <c r="P35" s="15">
        <f>P18*Hypothèses!$D$36</f>
        <v/>
      </c>
      <c r="Q35" s="15">
        <f>Q18*Hypothèses!$D$36</f>
        <v/>
      </c>
      <c r="R35" s="15">
        <f>R18*Hypothèses!$D$36</f>
        <v/>
      </c>
      <c r="S35" s="15">
        <f>S18*Hypothèses!$D$36</f>
        <v/>
      </c>
      <c r="T35" s="15">
        <f>T18*Hypothèses!$D$36</f>
        <v/>
      </c>
      <c r="U35" s="15">
        <f>U18*Hypothèses!$D$36</f>
        <v/>
      </c>
      <c r="V35" s="15">
        <f>V18*Hypothèses!$D$36</f>
        <v/>
      </c>
      <c r="W35" s="15">
        <f>W18*Hypothèses!$D$36</f>
        <v/>
      </c>
      <c r="X35" s="15">
        <f>X18*Hypothèses!$D$36</f>
        <v/>
      </c>
      <c r="Y35" s="15">
        <f>Y18*Hypothèses!$D$36</f>
        <v/>
      </c>
      <c r="Z35" s="15">
        <f>Z18*Hypothèses!$D$36</f>
        <v/>
      </c>
      <c r="AA35" s="15">
        <f>AA18*Hypothèses!$D$36</f>
        <v/>
      </c>
      <c r="AB35" s="15">
        <f>AB18*Hypothèses!$D$36</f>
        <v/>
      </c>
      <c r="AC35" s="15">
        <f>AC18*Hypothèses!$D$36</f>
        <v/>
      </c>
      <c r="AD35" s="15">
        <f>AD18*Hypothèses!$D$36</f>
        <v/>
      </c>
      <c r="AE35" s="15">
        <f>AE18*Hypothèses!$D$36</f>
        <v/>
      </c>
      <c r="AF35" s="15">
        <f>AF18*Hypothèses!$D$36</f>
        <v/>
      </c>
      <c r="AG35" s="15">
        <f>AG18*Hypothèses!$D$36</f>
        <v/>
      </c>
      <c r="AH35" s="15">
        <f>AH18*Hypothèses!$D$36</f>
        <v/>
      </c>
      <c r="AI35" s="15">
        <f>AI18*Hypothèses!$D$36</f>
        <v/>
      </c>
      <c r="AJ35" s="15">
        <f>AJ18*Hypothèses!$D$36</f>
        <v/>
      </c>
      <c r="AK35" s="15">
        <f>AK18*Hypothèses!$D$36</f>
        <v/>
      </c>
      <c r="AL35" s="15">
        <f>AL18*Hypothèses!$D$36</f>
        <v/>
      </c>
      <c r="AN35" s="15">
        <f>SUM(C35:N35)</f>
        <v/>
      </c>
      <c r="AO35" s="15">
        <f>SUM(O35:Z35)</f>
        <v/>
      </c>
      <c r="AP35" s="15">
        <f>SUM(AA35:AL35)</f>
        <v/>
      </c>
    </row>
    <row r="36">
      <c r="A36" s="2" t="inlineStr">
        <is>
          <t>Total coûts variables</t>
        </is>
      </c>
      <c r="B36" s="4" t="inlineStr">
        <is>
          <t>€ HT</t>
        </is>
      </c>
      <c r="C36" s="40">
        <f>C33+C34+C35</f>
        <v/>
      </c>
      <c r="D36" s="40">
        <f>D33+D34+D35</f>
        <v/>
      </c>
      <c r="E36" s="40">
        <f>E33+E34+E35</f>
        <v/>
      </c>
      <c r="F36" s="40">
        <f>F33+F34+F35</f>
        <v/>
      </c>
      <c r="G36" s="40">
        <f>G33+G34+G35</f>
        <v/>
      </c>
      <c r="H36" s="40">
        <f>H33+H34+H35</f>
        <v/>
      </c>
      <c r="I36" s="40">
        <f>I33+I34+I35</f>
        <v/>
      </c>
      <c r="J36" s="40">
        <f>J33+J34+J35</f>
        <v/>
      </c>
      <c r="K36" s="40">
        <f>K33+K34+K35</f>
        <v/>
      </c>
      <c r="L36" s="40">
        <f>L33+L34+L35</f>
        <v/>
      </c>
      <c r="M36" s="40">
        <f>M33+M34+M35</f>
        <v/>
      </c>
      <c r="N36" s="40">
        <f>N33+N34+N35</f>
        <v/>
      </c>
      <c r="O36" s="40">
        <f>O33+O34+O35</f>
        <v/>
      </c>
      <c r="P36" s="40">
        <f>P33+P34+P35</f>
        <v/>
      </c>
      <c r="Q36" s="40">
        <f>Q33+Q34+Q35</f>
        <v/>
      </c>
      <c r="R36" s="40">
        <f>R33+R34+R35</f>
        <v/>
      </c>
      <c r="S36" s="40">
        <f>S33+S34+S35</f>
        <v/>
      </c>
      <c r="T36" s="40">
        <f>T33+T34+T35</f>
        <v/>
      </c>
      <c r="U36" s="40">
        <f>U33+U34+U35</f>
        <v/>
      </c>
      <c r="V36" s="40">
        <f>V33+V34+V35</f>
        <v/>
      </c>
      <c r="W36" s="40">
        <f>W33+W34+W35</f>
        <v/>
      </c>
      <c r="X36" s="40">
        <f>X33+X34+X35</f>
        <v/>
      </c>
      <c r="Y36" s="40">
        <f>Y33+Y34+Y35</f>
        <v/>
      </c>
      <c r="Z36" s="40">
        <f>Z33+Z34+Z35</f>
        <v/>
      </c>
      <c r="AA36" s="40">
        <f>AA33+AA34+AA35</f>
        <v/>
      </c>
      <c r="AB36" s="40">
        <f>AB33+AB34+AB35</f>
        <v/>
      </c>
      <c r="AC36" s="40">
        <f>AC33+AC34+AC35</f>
        <v/>
      </c>
      <c r="AD36" s="40">
        <f>AD33+AD34+AD35</f>
        <v/>
      </c>
      <c r="AE36" s="40">
        <f>AE33+AE34+AE35</f>
        <v/>
      </c>
      <c r="AF36" s="40">
        <f>AF33+AF34+AF35</f>
        <v/>
      </c>
      <c r="AG36" s="40">
        <f>AG33+AG34+AG35</f>
        <v/>
      </c>
      <c r="AH36" s="40">
        <f>AH33+AH34+AH35</f>
        <v/>
      </c>
      <c r="AI36" s="40">
        <f>AI33+AI34+AI35</f>
        <v/>
      </c>
      <c r="AJ36" s="40">
        <f>AJ33+AJ34+AJ35</f>
        <v/>
      </c>
      <c r="AK36" s="40">
        <f>AK33+AK34+AK35</f>
        <v/>
      </c>
      <c r="AL36" s="40">
        <f>AL33+AL34+AL35</f>
        <v/>
      </c>
      <c r="AN36" s="40">
        <f>SUM(C36:N36)</f>
        <v/>
      </c>
      <c r="AO36" s="40">
        <f>SUM(O36:Z36)</f>
        <v/>
      </c>
      <c r="AP36" s="40">
        <f>SUM(AA36:AL36)</f>
        <v/>
      </c>
    </row>
    <row r="37">
      <c r="A37" s="2" t="inlineStr">
        <is>
          <t>Marge sur coûts variables (CA HT − variables − frais − impayés HT)</t>
        </is>
      </c>
      <c r="B37" s="4" t="inlineStr">
        <is>
          <t>€ HT</t>
        </is>
      </c>
      <c r="C37" s="40">
        <f>C28-C36-C30-C29/(1+Hypothèses!$D$15)</f>
        <v/>
      </c>
      <c r="D37" s="40">
        <f>D28-D36-D30-D29/(1+Hypothèses!$D$15)</f>
        <v/>
      </c>
      <c r="E37" s="40">
        <f>E28-E36-E30-E29/(1+Hypothèses!$D$15)</f>
        <v/>
      </c>
      <c r="F37" s="40">
        <f>F28-F36-F30-F29/(1+Hypothèses!$D$15)</f>
        <v/>
      </c>
      <c r="G37" s="40">
        <f>G28-G36-G30-G29/(1+Hypothèses!$D$15)</f>
        <v/>
      </c>
      <c r="H37" s="40">
        <f>H28-H36-H30-H29/(1+Hypothèses!$D$15)</f>
        <v/>
      </c>
      <c r="I37" s="40">
        <f>I28-I36-I30-I29/(1+Hypothèses!$D$15)</f>
        <v/>
      </c>
      <c r="J37" s="40">
        <f>J28-J36-J30-J29/(1+Hypothèses!$D$15)</f>
        <v/>
      </c>
      <c r="K37" s="40">
        <f>K28-K36-K30-K29/(1+Hypothèses!$D$15)</f>
        <v/>
      </c>
      <c r="L37" s="40">
        <f>L28-L36-L30-L29/(1+Hypothèses!$D$15)</f>
        <v/>
      </c>
      <c r="M37" s="40">
        <f>M28-M36-M30-M29/(1+Hypothèses!$D$15)</f>
        <v/>
      </c>
      <c r="N37" s="40">
        <f>N28-N36-N30-N29/(1+Hypothèses!$D$15)</f>
        <v/>
      </c>
      <c r="O37" s="40">
        <f>O28-O36-O30-O29/(1+Hypothèses!$D$15)</f>
        <v/>
      </c>
      <c r="P37" s="40">
        <f>P28-P36-P30-P29/(1+Hypothèses!$D$15)</f>
        <v/>
      </c>
      <c r="Q37" s="40">
        <f>Q28-Q36-Q30-Q29/(1+Hypothèses!$D$15)</f>
        <v/>
      </c>
      <c r="R37" s="40">
        <f>R28-R36-R30-R29/(1+Hypothèses!$D$15)</f>
        <v/>
      </c>
      <c r="S37" s="40">
        <f>S28-S36-S30-S29/(1+Hypothèses!$D$15)</f>
        <v/>
      </c>
      <c r="T37" s="40">
        <f>T28-T36-T30-T29/(1+Hypothèses!$D$15)</f>
        <v/>
      </c>
      <c r="U37" s="40">
        <f>U28-U36-U30-U29/(1+Hypothèses!$D$15)</f>
        <v/>
      </c>
      <c r="V37" s="40">
        <f>V28-V36-V30-V29/(1+Hypothèses!$D$15)</f>
        <v/>
      </c>
      <c r="W37" s="40">
        <f>W28-W36-W30-W29/(1+Hypothèses!$D$15)</f>
        <v/>
      </c>
      <c r="X37" s="40">
        <f>X28-X36-X30-X29/(1+Hypothèses!$D$15)</f>
        <v/>
      </c>
      <c r="Y37" s="40">
        <f>Y28-Y36-Y30-Y29/(1+Hypothèses!$D$15)</f>
        <v/>
      </c>
      <c r="Z37" s="40">
        <f>Z28-Z36-Z30-Z29/(1+Hypothèses!$D$15)</f>
        <v/>
      </c>
      <c r="AA37" s="40">
        <f>AA28-AA36-AA30-AA29/(1+Hypothèses!$D$15)</f>
        <v/>
      </c>
      <c r="AB37" s="40">
        <f>AB28-AB36-AB30-AB29/(1+Hypothèses!$D$15)</f>
        <v/>
      </c>
      <c r="AC37" s="40">
        <f>AC28-AC36-AC30-AC29/(1+Hypothèses!$D$15)</f>
        <v/>
      </c>
      <c r="AD37" s="40">
        <f>AD28-AD36-AD30-AD29/(1+Hypothèses!$D$15)</f>
        <v/>
      </c>
      <c r="AE37" s="40">
        <f>AE28-AE36-AE30-AE29/(1+Hypothèses!$D$15)</f>
        <v/>
      </c>
      <c r="AF37" s="40">
        <f>AF28-AF36-AF30-AF29/(1+Hypothèses!$D$15)</f>
        <v/>
      </c>
      <c r="AG37" s="40">
        <f>AG28-AG36-AG30-AG29/(1+Hypothèses!$D$15)</f>
        <v/>
      </c>
      <c r="AH37" s="40">
        <f>AH28-AH36-AH30-AH29/(1+Hypothèses!$D$15)</f>
        <v/>
      </c>
      <c r="AI37" s="40">
        <f>AI28-AI36-AI30-AI29/(1+Hypothèses!$D$15)</f>
        <v/>
      </c>
      <c r="AJ37" s="40">
        <f>AJ28-AJ36-AJ30-AJ29/(1+Hypothèses!$D$15)</f>
        <v/>
      </c>
      <c r="AK37" s="40">
        <f>AK28-AK36-AK30-AK29/(1+Hypothèses!$D$15)</f>
        <v/>
      </c>
      <c r="AL37" s="40">
        <f>AL28-AL36-AL30-AL29/(1+Hypothèses!$D$15)</f>
        <v/>
      </c>
      <c r="AN37" s="40">
        <f>SUM(C37:N37)</f>
        <v/>
      </c>
      <c r="AO37" s="40">
        <f>SUM(O37:Z37)</f>
        <v/>
      </c>
      <c r="AP37" s="40">
        <f>SUM(AA37:AL37)</f>
        <v/>
      </c>
    </row>
    <row r="38">
      <c r="A38" s="8" t="inlineStr">
        <is>
          <t>Acquisition et coûts fixes</t>
        </is>
      </c>
    </row>
    <row r="39">
      <c r="A39" s="9" t="inlineStr">
        <is>
          <t>Dépenses d'acquisition</t>
        </is>
      </c>
      <c r="B39" s="4" t="inlineStr">
        <is>
          <t>€ HT</t>
        </is>
      </c>
      <c r="C39" s="15">
        <f>C11</f>
        <v/>
      </c>
      <c r="D39" s="15">
        <f>D11</f>
        <v/>
      </c>
      <c r="E39" s="15">
        <f>E11</f>
        <v/>
      </c>
      <c r="F39" s="15">
        <f>F11</f>
        <v/>
      </c>
      <c r="G39" s="15">
        <f>G11</f>
        <v/>
      </c>
      <c r="H39" s="15">
        <f>H11</f>
        <v/>
      </c>
      <c r="I39" s="15">
        <f>I11</f>
        <v/>
      </c>
      <c r="J39" s="15">
        <f>J11</f>
        <v/>
      </c>
      <c r="K39" s="15">
        <f>K11</f>
        <v/>
      </c>
      <c r="L39" s="15">
        <f>L11</f>
        <v/>
      </c>
      <c r="M39" s="15">
        <f>M11</f>
        <v/>
      </c>
      <c r="N39" s="15">
        <f>N11</f>
        <v/>
      </c>
      <c r="O39" s="15">
        <f>O11</f>
        <v/>
      </c>
      <c r="P39" s="15">
        <f>P11</f>
        <v/>
      </c>
      <c r="Q39" s="15">
        <f>Q11</f>
        <v/>
      </c>
      <c r="R39" s="15">
        <f>R11</f>
        <v/>
      </c>
      <c r="S39" s="15">
        <f>S11</f>
        <v/>
      </c>
      <c r="T39" s="15">
        <f>T11</f>
        <v/>
      </c>
      <c r="U39" s="15">
        <f>U11</f>
        <v/>
      </c>
      <c r="V39" s="15">
        <f>V11</f>
        <v/>
      </c>
      <c r="W39" s="15">
        <f>W11</f>
        <v/>
      </c>
      <c r="X39" s="15">
        <f>X11</f>
        <v/>
      </c>
      <c r="Y39" s="15">
        <f>Y11</f>
        <v/>
      </c>
      <c r="Z39" s="15">
        <f>Z11</f>
        <v/>
      </c>
      <c r="AA39" s="15">
        <f>AA11</f>
        <v/>
      </c>
      <c r="AB39" s="15">
        <f>AB11</f>
        <v/>
      </c>
      <c r="AC39" s="15">
        <f>AC11</f>
        <v/>
      </c>
      <c r="AD39" s="15">
        <f>AD11</f>
        <v/>
      </c>
      <c r="AE39" s="15">
        <f>AE11</f>
        <v/>
      </c>
      <c r="AF39" s="15">
        <f>AF11</f>
        <v/>
      </c>
      <c r="AG39" s="15">
        <f>AG11</f>
        <v/>
      </c>
      <c r="AH39" s="15">
        <f>AH11</f>
        <v/>
      </c>
      <c r="AI39" s="15">
        <f>AI11</f>
        <v/>
      </c>
      <c r="AJ39" s="15">
        <f>AJ11</f>
        <v/>
      </c>
      <c r="AK39" s="15">
        <f>AK11</f>
        <v/>
      </c>
      <c r="AL39" s="15">
        <f>AL11</f>
        <v/>
      </c>
      <c r="AN39" s="15">
        <f>SUM(C39:N39)</f>
        <v/>
      </c>
      <c r="AO39" s="15">
        <f>SUM(O39:Z39)</f>
        <v/>
      </c>
      <c r="AP39" s="15">
        <f>SUM(AA39:AL39)</f>
        <v/>
      </c>
    </row>
    <row r="40">
      <c r="A40" s="9" t="inlineStr">
        <is>
          <t>Rémunération des fondateurs</t>
        </is>
      </c>
      <c r="B40" s="4" t="inlineStr">
        <is>
          <t>€ HT</t>
        </is>
      </c>
      <c r="C40" s="15">
        <f>IF(C7&gt;=Hypothèses!$D$39,Hypothèses!$D$38*Hypothèses!$D$40,0)*$G$4</f>
        <v/>
      </c>
      <c r="D40" s="15">
        <f>IF(D7&gt;=Hypothèses!$D$39,Hypothèses!$D$38*Hypothèses!$D$40,0)*$G$4</f>
        <v/>
      </c>
      <c r="E40" s="15">
        <f>IF(E7&gt;=Hypothèses!$D$39,Hypothèses!$D$38*Hypothèses!$D$40,0)*$G$4</f>
        <v/>
      </c>
      <c r="F40" s="15">
        <f>IF(F7&gt;=Hypothèses!$D$39,Hypothèses!$D$38*Hypothèses!$D$40,0)*$G$4</f>
        <v/>
      </c>
      <c r="G40" s="15">
        <f>IF(G7&gt;=Hypothèses!$D$39,Hypothèses!$D$38*Hypothèses!$D$40,0)*$G$4</f>
        <v/>
      </c>
      <c r="H40" s="15">
        <f>IF(H7&gt;=Hypothèses!$D$39,Hypothèses!$D$38*Hypothèses!$D$40,0)*$G$4</f>
        <v/>
      </c>
      <c r="I40" s="15">
        <f>IF(I7&gt;=Hypothèses!$D$39,Hypothèses!$D$38*Hypothèses!$D$40,0)*$G$4</f>
        <v/>
      </c>
      <c r="J40" s="15">
        <f>IF(J7&gt;=Hypothèses!$D$39,Hypothèses!$D$38*Hypothèses!$D$40,0)*$G$4</f>
        <v/>
      </c>
      <c r="K40" s="15">
        <f>IF(K7&gt;=Hypothèses!$D$39,Hypothèses!$D$38*Hypothèses!$D$40,0)*$G$4</f>
        <v/>
      </c>
      <c r="L40" s="15">
        <f>IF(L7&gt;=Hypothèses!$D$39,Hypothèses!$D$38*Hypothèses!$D$40,0)*$G$4</f>
        <v/>
      </c>
      <c r="M40" s="15">
        <f>IF(M7&gt;=Hypothèses!$D$39,Hypothèses!$D$38*Hypothèses!$D$40,0)*$G$4</f>
        <v/>
      </c>
      <c r="N40" s="15">
        <f>IF(N7&gt;=Hypothèses!$D$39,Hypothèses!$D$38*Hypothèses!$D$40,0)*$G$4</f>
        <v/>
      </c>
      <c r="O40" s="15">
        <f>IF(O7&gt;=Hypothèses!$D$39,Hypothèses!$D$38*Hypothèses!$D$40,0)*$G$4</f>
        <v/>
      </c>
      <c r="P40" s="15">
        <f>IF(P7&gt;=Hypothèses!$D$39,Hypothèses!$D$38*Hypothèses!$D$40,0)*$G$4</f>
        <v/>
      </c>
      <c r="Q40" s="15">
        <f>IF(Q7&gt;=Hypothèses!$D$39,Hypothèses!$D$38*Hypothèses!$D$40,0)*$G$4</f>
        <v/>
      </c>
      <c r="R40" s="15">
        <f>IF(R7&gt;=Hypothèses!$D$39,Hypothèses!$D$38*Hypothèses!$D$40,0)*$G$4</f>
        <v/>
      </c>
      <c r="S40" s="15">
        <f>IF(S7&gt;=Hypothèses!$D$39,Hypothèses!$D$38*Hypothèses!$D$40,0)*$G$4</f>
        <v/>
      </c>
      <c r="T40" s="15">
        <f>IF(T7&gt;=Hypothèses!$D$39,Hypothèses!$D$38*Hypothèses!$D$40,0)*$G$4</f>
        <v/>
      </c>
      <c r="U40" s="15">
        <f>IF(U7&gt;=Hypothèses!$D$39,Hypothèses!$D$38*Hypothèses!$D$40,0)*$G$4</f>
        <v/>
      </c>
      <c r="V40" s="15">
        <f>IF(V7&gt;=Hypothèses!$D$39,Hypothèses!$D$38*Hypothèses!$D$40,0)*$G$4</f>
        <v/>
      </c>
      <c r="W40" s="15">
        <f>IF(W7&gt;=Hypothèses!$D$39,Hypothèses!$D$38*Hypothèses!$D$40,0)*$G$4</f>
        <v/>
      </c>
      <c r="X40" s="15">
        <f>IF(X7&gt;=Hypothèses!$D$39,Hypothèses!$D$38*Hypothèses!$D$40,0)*$G$4</f>
        <v/>
      </c>
      <c r="Y40" s="15">
        <f>IF(Y7&gt;=Hypothèses!$D$39,Hypothèses!$D$38*Hypothèses!$D$40,0)*$G$4</f>
        <v/>
      </c>
      <c r="Z40" s="15">
        <f>IF(Z7&gt;=Hypothèses!$D$39,Hypothèses!$D$38*Hypothèses!$D$40,0)*$G$4</f>
        <v/>
      </c>
      <c r="AA40" s="15">
        <f>IF(AA7&gt;=Hypothèses!$D$39,Hypothèses!$D$38*Hypothèses!$D$40,0)*$G$4</f>
        <v/>
      </c>
      <c r="AB40" s="15">
        <f>IF(AB7&gt;=Hypothèses!$D$39,Hypothèses!$D$38*Hypothèses!$D$40,0)*$G$4</f>
        <v/>
      </c>
      <c r="AC40" s="15">
        <f>IF(AC7&gt;=Hypothèses!$D$39,Hypothèses!$D$38*Hypothèses!$D$40,0)*$G$4</f>
        <v/>
      </c>
      <c r="AD40" s="15">
        <f>IF(AD7&gt;=Hypothèses!$D$39,Hypothèses!$D$38*Hypothèses!$D$40,0)*$G$4</f>
        <v/>
      </c>
      <c r="AE40" s="15">
        <f>IF(AE7&gt;=Hypothèses!$D$39,Hypothèses!$D$38*Hypothèses!$D$40,0)*$G$4</f>
        <v/>
      </c>
      <c r="AF40" s="15">
        <f>IF(AF7&gt;=Hypothèses!$D$39,Hypothèses!$D$38*Hypothèses!$D$40,0)*$G$4</f>
        <v/>
      </c>
      <c r="AG40" s="15">
        <f>IF(AG7&gt;=Hypothèses!$D$39,Hypothèses!$D$38*Hypothèses!$D$40,0)*$G$4</f>
        <v/>
      </c>
      <c r="AH40" s="15">
        <f>IF(AH7&gt;=Hypothèses!$D$39,Hypothèses!$D$38*Hypothèses!$D$40,0)*$G$4</f>
        <v/>
      </c>
      <c r="AI40" s="15">
        <f>IF(AI7&gt;=Hypothèses!$D$39,Hypothèses!$D$38*Hypothèses!$D$40,0)*$G$4</f>
        <v/>
      </c>
      <c r="AJ40" s="15">
        <f>IF(AJ7&gt;=Hypothèses!$D$39,Hypothèses!$D$38*Hypothèses!$D$40,0)*$G$4</f>
        <v/>
      </c>
      <c r="AK40" s="15">
        <f>IF(AK7&gt;=Hypothèses!$D$39,Hypothèses!$D$38*Hypothèses!$D$40,0)*$G$4</f>
        <v/>
      </c>
      <c r="AL40" s="15">
        <f>IF(AL7&gt;=Hypothèses!$D$39,Hypothèses!$D$38*Hypothèses!$D$40,0)*$G$4</f>
        <v/>
      </c>
      <c r="AN40" s="15">
        <f>SUM(C40:N40)</f>
        <v/>
      </c>
      <c r="AO40" s="15">
        <f>SUM(O40:Z40)</f>
        <v/>
      </c>
      <c r="AP40" s="15">
        <f>SUM(AA40:AL40)</f>
        <v/>
      </c>
    </row>
    <row r="41">
      <c r="A41" s="9" t="inlineStr">
        <is>
          <t>Salarié 1 (growth / customer success)</t>
        </is>
      </c>
      <c r="B41" s="4" t="inlineStr">
        <is>
          <t>€ HT</t>
        </is>
      </c>
      <c r="C41" s="15">
        <f>IF(C7&gt;=Hypothèses!$D$41,Hypothèses!$D$42,0)*$G$4</f>
        <v/>
      </c>
      <c r="D41" s="15">
        <f>IF(D7&gt;=Hypothèses!$D$41,Hypothèses!$D$42,0)*$G$4</f>
        <v/>
      </c>
      <c r="E41" s="15">
        <f>IF(E7&gt;=Hypothèses!$D$41,Hypothèses!$D$42,0)*$G$4</f>
        <v/>
      </c>
      <c r="F41" s="15">
        <f>IF(F7&gt;=Hypothèses!$D$41,Hypothèses!$D$42,0)*$G$4</f>
        <v/>
      </c>
      <c r="G41" s="15">
        <f>IF(G7&gt;=Hypothèses!$D$41,Hypothèses!$D$42,0)*$G$4</f>
        <v/>
      </c>
      <c r="H41" s="15">
        <f>IF(H7&gt;=Hypothèses!$D$41,Hypothèses!$D$42,0)*$G$4</f>
        <v/>
      </c>
      <c r="I41" s="15">
        <f>IF(I7&gt;=Hypothèses!$D$41,Hypothèses!$D$42,0)*$G$4</f>
        <v/>
      </c>
      <c r="J41" s="15">
        <f>IF(J7&gt;=Hypothèses!$D$41,Hypothèses!$D$42,0)*$G$4</f>
        <v/>
      </c>
      <c r="K41" s="15">
        <f>IF(K7&gt;=Hypothèses!$D$41,Hypothèses!$D$42,0)*$G$4</f>
        <v/>
      </c>
      <c r="L41" s="15">
        <f>IF(L7&gt;=Hypothèses!$D$41,Hypothèses!$D$42,0)*$G$4</f>
        <v/>
      </c>
      <c r="M41" s="15">
        <f>IF(M7&gt;=Hypothèses!$D$41,Hypothèses!$D$42,0)*$G$4</f>
        <v/>
      </c>
      <c r="N41" s="15">
        <f>IF(N7&gt;=Hypothèses!$D$41,Hypothèses!$D$42,0)*$G$4</f>
        <v/>
      </c>
      <c r="O41" s="15">
        <f>IF(O7&gt;=Hypothèses!$D$41,Hypothèses!$D$42,0)*$G$4</f>
        <v/>
      </c>
      <c r="P41" s="15">
        <f>IF(P7&gt;=Hypothèses!$D$41,Hypothèses!$D$42,0)*$G$4</f>
        <v/>
      </c>
      <c r="Q41" s="15">
        <f>IF(Q7&gt;=Hypothèses!$D$41,Hypothèses!$D$42,0)*$G$4</f>
        <v/>
      </c>
      <c r="R41" s="15">
        <f>IF(R7&gt;=Hypothèses!$D$41,Hypothèses!$D$42,0)*$G$4</f>
        <v/>
      </c>
      <c r="S41" s="15">
        <f>IF(S7&gt;=Hypothèses!$D$41,Hypothèses!$D$42,0)*$G$4</f>
        <v/>
      </c>
      <c r="T41" s="15">
        <f>IF(T7&gt;=Hypothèses!$D$41,Hypothèses!$D$42,0)*$G$4</f>
        <v/>
      </c>
      <c r="U41" s="15">
        <f>IF(U7&gt;=Hypothèses!$D$41,Hypothèses!$D$42,0)*$G$4</f>
        <v/>
      </c>
      <c r="V41" s="15">
        <f>IF(V7&gt;=Hypothèses!$D$41,Hypothèses!$D$42,0)*$G$4</f>
        <v/>
      </c>
      <c r="W41" s="15">
        <f>IF(W7&gt;=Hypothèses!$D$41,Hypothèses!$D$42,0)*$G$4</f>
        <v/>
      </c>
      <c r="X41" s="15">
        <f>IF(X7&gt;=Hypothèses!$D$41,Hypothèses!$D$42,0)*$G$4</f>
        <v/>
      </c>
      <c r="Y41" s="15">
        <f>IF(Y7&gt;=Hypothèses!$D$41,Hypothèses!$D$42,0)*$G$4</f>
        <v/>
      </c>
      <c r="Z41" s="15">
        <f>IF(Z7&gt;=Hypothèses!$D$41,Hypothèses!$D$42,0)*$G$4</f>
        <v/>
      </c>
      <c r="AA41" s="15">
        <f>IF(AA7&gt;=Hypothèses!$D$41,Hypothèses!$D$42,0)*$G$4</f>
        <v/>
      </c>
      <c r="AB41" s="15">
        <f>IF(AB7&gt;=Hypothèses!$D$41,Hypothèses!$D$42,0)*$G$4</f>
        <v/>
      </c>
      <c r="AC41" s="15">
        <f>IF(AC7&gt;=Hypothèses!$D$41,Hypothèses!$D$42,0)*$G$4</f>
        <v/>
      </c>
      <c r="AD41" s="15">
        <f>IF(AD7&gt;=Hypothèses!$D$41,Hypothèses!$D$42,0)*$G$4</f>
        <v/>
      </c>
      <c r="AE41" s="15">
        <f>IF(AE7&gt;=Hypothèses!$D$41,Hypothèses!$D$42,0)*$G$4</f>
        <v/>
      </c>
      <c r="AF41" s="15">
        <f>IF(AF7&gt;=Hypothèses!$D$41,Hypothèses!$D$42,0)*$G$4</f>
        <v/>
      </c>
      <c r="AG41" s="15">
        <f>IF(AG7&gt;=Hypothèses!$D$41,Hypothèses!$D$42,0)*$G$4</f>
        <v/>
      </c>
      <c r="AH41" s="15">
        <f>IF(AH7&gt;=Hypothèses!$D$41,Hypothèses!$D$42,0)*$G$4</f>
        <v/>
      </c>
      <c r="AI41" s="15">
        <f>IF(AI7&gt;=Hypothèses!$D$41,Hypothèses!$D$42,0)*$G$4</f>
        <v/>
      </c>
      <c r="AJ41" s="15">
        <f>IF(AJ7&gt;=Hypothèses!$D$41,Hypothèses!$D$42,0)*$G$4</f>
        <v/>
      </c>
      <c r="AK41" s="15">
        <f>IF(AK7&gt;=Hypothèses!$D$41,Hypothèses!$D$42,0)*$G$4</f>
        <v/>
      </c>
      <c r="AL41" s="15">
        <f>IF(AL7&gt;=Hypothèses!$D$41,Hypothèses!$D$42,0)*$G$4</f>
        <v/>
      </c>
      <c r="AN41" s="15">
        <f>SUM(C41:N41)</f>
        <v/>
      </c>
      <c r="AO41" s="15">
        <f>SUM(O41:Z41)</f>
        <v/>
      </c>
      <c r="AP41" s="15">
        <f>SUM(AA41:AL41)</f>
        <v/>
      </c>
    </row>
    <row r="42">
      <c r="A42" s="9" t="inlineStr">
        <is>
          <t>Salarié 2 (ingénieur)</t>
        </is>
      </c>
      <c r="B42" s="4" t="inlineStr">
        <is>
          <t>€ HT</t>
        </is>
      </c>
      <c r="C42" s="15">
        <f>IF(C7&gt;=Hypothèses!$D$43,Hypothèses!$D$44,0)*$G$4</f>
        <v/>
      </c>
      <c r="D42" s="15">
        <f>IF(D7&gt;=Hypothèses!$D$43,Hypothèses!$D$44,0)*$G$4</f>
        <v/>
      </c>
      <c r="E42" s="15">
        <f>IF(E7&gt;=Hypothèses!$D$43,Hypothèses!$D$44,0)*$G$4</f>
        <v/>
      </c>
      <c r="F42" s="15">
        <f>IF(F7&gt;=Hypothèses!$D$43,Hypothèses!$D$44,0)*$G$4</f>
        <v/>
      </c>
      <c r="G42" s="15">
        <f>IF(G7&gt;=Hypothèses!$D$43,Hypothèses!$D$44,0)*$G$4</f>
        <v/>
      </c>
      <c r="H42" s="15">
        <f>IF(H7&gt;=Hypothèses!$D$43,Hypothèses!$D$44,0)*$G$4</f>
        <v/>
      </c>
      <c r="I42" s="15">
        <f>IF(I7&gt;=Hypothèses!$D$43,Hypothèses!$D$44,0)*$G$4</f>
        <v/>
      </c>
      <c r="J42" s="15">
        <f>IF(J7&gt;=Hypothèses!$D$43,Hypothèses!$D$44,0)*$G$4</f>
        <v/>
      </c>
      <c r="K42" s="15">
        <f>IF(K7&gt;=Hypothèses!$D$43,Hypothèses!$D$44,0)*$G$4</f>
        <v/>
      </c>
      <c r="L42" s="15">
        <f>IF(L7&gt;=Hypothèses!$D$43,Hypothèses!$D$44,0)*$G$4</f>
        <v/>
      </c>
      <c r="M42" s="15">
        <f>IF(M7&gt;=Hypothèses!$D$43,Hypothèses!$D$44,0)*$G$4</f>
        <v/>
      </c>
      <c r="N42" s="15">
        <f>IF(N7&gt;=Hypothèses!$D$43,Hypothèses!$D$44,0)*$G$4</f>
        <v/>
      </c>
      <c r="O42" s="15">
        <f>IF(O7&gt;=Hypothèses!$D$43,Hypothèses!$D$44,0)*$G$4</f>
        <v/>
      </c>
      <c r="P42" s="15">
        <f>IF(P7&gt;=Hypothèses!$D$43,Hypothèses!$D$44,0)*$G$4</f>
        <v/>
      </c>
      <c r="Q42" s="15">
        <f>IF(Q7&gt;=Hypothèses!$D$43,Hypothèses!$D$44,0)*$G$4</f>
        <v/>
      </c>
      <c r="R42" s="15">
        <f>IF(R7&gt;=Hypothèses!$D$43,Hypothèses!$D$44,0)*$G$4</f>
        <v/>
      </c>
      <c r="S42" s="15">
        <f>IF(S7&gt;=Hypothèses!$D$43,Hypothèses!$D$44,0)*$G$4</f>
        <v/>
      </c>
      <c r="T42" s="15">
        <f>IF(T7&gt;=Hypothèses!$D$43,Hypothèses!$D$44,0)*$G$4</f>
        <v/>
      </c>
      <c r="U42" s="15">
        <f>IF(U7&gt;=Hypothèses!$D$43,Hypothèses!$D$44,0)*$G$4</f>
        <v/>
      </c>
      <c r="V42" s="15">
        <f>IF(V7&gt;=Hypothèses!$D$43,Hypothèses!$D$44,0)*$G$4</f>
        <v/>
      </c>
      <c r="W42" s="15">
        <f>IF(W7&gt;=Hypothèses!$D$43,Hypothèses!$D$44,0)*$G$4</f>
        <v/>
      </c>
      <c r="X42" s="15">
        <f>IF(X7&gt;=Hypothèses!$D$43,Hypothèses!$D$44,0)*$G$4</f>
        <v/>
      </c>
      <c r="Y42" s="15">
        <f>IF(Y7&gt;=Hypothèses!$D$43,Hypothèses!$D$44,0)*$G$4</f>
        <v/>
      </c>
      <c r="Z42" s="15">
        <f>IF(Z7&gt;=Hypothèses!$D$43,Hypothèses!$D$44,0)*$G$4</f>
        <v/>
      </c>
      <c r="AA42" s="15">
        <f>IF(AA7&gt;=Hypothèses!$D$43,Hypothèses!$D$44,0)*$G$4</f>
        <v/>
      </c>
      <c r="AB42" s="15">
        <f>IF(AB7&gt;=Hypothèses!$D$43,Hypothèses!$D$44,0)*$G$4</f>
        <v/>
      </c>
      <c r="AC42" s="15">
        <f>IF(AC7&gt;=Hypothèses!$D$43,Hypothèses!$D$44,0)*$G$4</f>
        <v/>
      </c>
      <c r="AD42" s="15">
        <f>IF(AD7&gt;=Hypothèses!$D$43,Hypothèses!$D$44,0)*$G$4</f>
        <v/>
      </c>
      <c r="AE42" s="15">
        <f>IF(AE7&gt;=Hypothèses!$D$43,Hypothèses!$D$44,0)*$G$4</f>
        <v/>
      </c>
      <c r="AF42" s="15">
        <f>IF(AF7&gt;=Hypothèses!$D$43,Hypothèses!$D$44,0)*$G$4</f>
        <v/>
      </c>
      <c r="AG42" s="15">
        <f>IF(AG7&gt;=Hypothèses!$D$43,Hypothèses!$D$44,0)*$G$4</f>
        <v/>
      </c>
      <c r="AH42" s="15">
        <f>IF(AH7&gt;=Hypothèses!$D$43,Hypothèses!$D$44,0)*$G$4</f>
        <v/>
      </c>
      <c r="AI42" s="15">
        <f>IF(AI7&gt;=Hypothèses!$D$43,Hypothèses!$D$44,0)*$G$4</f>
        <v/>
      </c>
      <c r="AJ42" s="15">
        <f>IF(AJ7&gt;=Hypothèses!$D$43,Hypothèses!$D$44,0)*$G$4</f>
        <v/>
      </c>
      <c r="AK42" s="15">
        <f>IF(AK7&gt;=Hypothèses!$D$43,Hypothèses!$D$44,0)*$G$4</f>
        <v/>
      </c>
      <c r="AL42" s="15">
        <f>IF(AL7&gt;=Hypothèses!$D$43,Hypothèses!$D$44,0)*$G$4</f>
        <v/>
      </c>
      <c r="AN42" s="15">
        <f>SUM(C42:N42)</f>
        <v/>
      </c>
      <c r="AO42" s="15">
        <f>SUM(O42:Z42)</f>
        <v/>
      </c>
      <c r="AP42" s="15">
        <f>SUM(AA42:AL42)</f>
        <v/>
      </c>
    </row>
    <row r="43">
      <c r="A43" s="9" t="inlineStr">
        <is>
          <t>Développement MVP externe (étalé jusqu'au lancement)</t>
        </is>
      </c>
      <c r="B43" s="4" t="inlineStr">
        <is>
          <t>€ HT</t>
        </is>
      </c>
      <c r="C43" s="15">
        <f>IF(C7&lt;$B$5,Hypothèses!$D$45/MAX(1,$B$5-1),0)</f>
        <v/>
      </c>
      <c r="D43" s="15">
        <f>IF(D7&lt;$B$5,Hypothèses!$D$45/MAX(1,$B$5-1),0)</f>
        <v/>
      </c>
      <c r="E43" s="15">
        <f>IF(E7&lt;$B$5,Hypothèses!$D$45/MAX(1,$B$5-1),0)</f>
        <v/>
      </c>
      <c r="F43" s="15">
        <f>IF(F7&lt;$B$5,Hypothèses!$D$45/MAX(1,$B$5-1),0)</f>
        <v/>
      </c>
      <c r="G43" s="15">
        <f>IF(G7&lt;$B$5,Hypothèses!$D$45/MAX(1,$B$5-1),0)</f>
        <v/>
      </c>
      <c r="H43" s="15">
        <f>IF(H7&lt;$B$5,Hypothèses!$D$45/MAX(1,$B$5-1),0)</f>
        <v/>
      </c>
      <c r="I43" s="15">
        <f>IF(I7&lt;$B$5,Hypothèses!$D$45/MAX(1,$B$5-1),0)</f>
        <v/>
      </c>
      <c r="J43" s="15">
        <f>IF(J7&lt;$B$5,Hypothèses!$D$45/MAX(1,$B$5-1),0)</f>
        <v/>
      </c>
      <c r="K43" s="15">
        <f>IF(K7&lt;$B$5,Hypothèses!$D$45/MAX(1,$B$5-1),0)</f>
        <v/>
      </c>
      <c r="L43" s="15">
        <f>IF(L7&lt;$B$5,Hypothèses!$D$45/MAX(1,$B$5-1),0)</f>
        <v/>
      </c>
      <c r="M43" s="15">
        <f>IF(M7&lt;$B$5,Hypothèses!$D$45/MAX(1,$B$5-1),0)</f>
        <v/>
      </c>
      <c r="N43" s="15">
        <f>IF(N7&lt;$B$5,Hypothèses!$D$45/MAX(1,$B$5-1),0)</f>
        <v/>
      </c>
      <c r="O43" s="15">
        <f>IF(O7&lt;$B$5,Hypothèses!$D$45/MAX(1,$B$5-1),0)</f>
        <v/>
      </c>
      <c r="P43" s="15">
        <f>IF(P7&lt;$B$5,Hypothèses!$D$45/MAX(1,$B$5-1),0)</f>
        <v/>
      </c>
      <c r="Q43" s="15">
        <f>IF(Q7&lt;$B$5,Hypothèses!$D$45/MAX(1,$B$5-1),0)</f>
        <v/>
      </c>
      <c r="R43" s="15">
        <f>IF(R7&lt;$B$5,Hypothèses!$D$45/MAX(1,$B$5-1),0)</f>
        <v/>
      </c>
      <c r="S43" s="15">
        <f>IF(S7&lt;$B$5,Hypothèses!$D$45/MAX(1,$B$5-1),0)</f>
        <v/>
      </c>
      <c r="T43" s="15">
        <f>IF(T7&lt;$B$5,Hypothèses!$D$45/MAX(1,$B$5-1),0)</f>
        <v/>
      </c>
      <c r="U43" s="15">
        <f>IF(U7&lt;$B$5,Hypothèses!$D$45/MAX(1,$B$5-1),0)</f>
        <v/>
      </c>
      <c r="V43" s="15">
        <f>IF(V7&lt;$B$5,Hypothèses!$D$45/MAX(1,$B$5-1),0)</f>
        <v/>
      </c>
      <c r="W43" s="15">
        <f>IF(W7&lt;$B$5,Hypothèses!$D$45/MAX(1,$B$5-1),0)</f>
        <v/>
      </c>
      <c r="X43" s="15">
        <f>IF(X7&lt;$B$5,Hypothèses!$D$45/MAX(1,$B$5-1),0)</f>
        <v/>
      </c>
      <c r="Y43" s="15">
        <f>IF(Y7&lt;$B$5,Hypothèses!$D$45/MAX(1,$B$5-1),0)</f>
        <v/>
      </c>
      <c r="Z43" s="15">
        <f>IF(Z7&lt;$B$5,Hypothèses!$D$45/MAX(1,$B$5-1),0)</f>
        <v/>
      </c>
      <c r="AA43" s="15">
        <f>IF(AA7&lt;$B$5,Hypothèses!$D$45/MAX(1,$B$5-1),0)</f>
        <v/>
      </c>
      <c r="AB43" s="15">
        <f>IF(AB7&lt;$B$5,Hypothèses!$D$45/MAX(1,$B$5-1),0)</f>
        <v/>
      </c>
      <c r="AC43" s="15">
        <f>IF(AC7&lt;$B$5,Hypothèses!$D$45/MAX(1,$B$5-1),0)</f>
        <v/>
      </c>
      <c r="AD43" s="15">
        <f>IF(AD7&lt;$B$5,Hypothèses!$D$45/MAX(1,$B$5-1),0)</f>
        <v/>
      </c>
      <c r="AE43" s="15">
        <f>IF(AE7&lt;$B$5,Hypothèses!$D$45/MAX(1,$B$5-1),0)</f>
        <v/>
      </c>
      <c r="AF43" s="15">
        <f>IF(AF7&lt;$B$5,Hypothèses!$D$45/MAX(1,$B$5-1),0)</f>
        <v/>
      </c>
      <c r="AG43" s="15">
        <f>IF(AG7&lt;$B$5,Hypothèses!$D$45/MAX(1,$B$5-1),0)</f>
        <v/>
      </c>
      <c r="AH43" s="15">
        <f>IF(AH7&lt;$B$5,Hypothèses!$D$45/MAX(1,$B$5-1),0)</f>
        <v/>
      </c>
      <c r="AI43" s="15">
        <f>IF(AI7&lt;$B$5,Hypothèses!$D$45/MAX(1,$B$5-1),0)</f>
        <v/>
      </c>
      <c r="AJ43" s="15">
        <f>IF(AJ7&lt;$B$5,Hypothèses!$D$45/MAX(1,$B$5-1),0)</f>
        <v/>
      </c>
      <c r="AK43" s="15">
        <f>IF(AK7&lt;$B$5,Hypothèses!$D$45/MAX(1,$B$5-1),0)</f>
        <v/>
      </c>
      <c r="AL43" s="15">
        <f>IF(AL7&lt;$B$5,Hypothèses!$D$45/MAX(1,$B$5-1),0)</f>
        <v/>
      </c>
      <c r="AN43" s="15">
        <f>SUM(C43:N43)</f>
        <v/>
      </c>
      <c r="AO43" s="15">
        <f>SUM(O43:Z43)</f>
        <v/>
      </c>
      <c r="AP43" s="15">
        <f>SUM(AA43:AL43)</f>
        <v/>
      </c>
    </row>
    <row r="44">
      <c r="A44" s="9" t="inlineStr">
        <is>
          <t>Outils et SaaS</t>
        </is>
      </c>
      <c r="B44" s="4" t="inlineStr">
        <is>
          <t>€ HT</t>
        </is>
      </c>
      <c r="C44" s="15">
        <f>Hypothèses!$D$46*$G$4</f>
        <v/>
      </c>
      <c r="D44" s="15">
        <f>Hypothèses!$D$46*$G$4</f>
        <v/>
      </c>
      <c r="E44" s="15">
        <f>Hypothèses!$D$46*$G$4</f>
        <v/>
      </c>
      <c r="F44" s="15">
        <f>Hypothèses!$D$46*$G$4</f>
        <v/>
      </c>
      <c r="G44" s="15">
        <f>Hypothèses!$D$46*$G$4</f>
        <v/>
      </c>
      <c r="H44" s="15">
        <f>Hypothèses!$D$46*$G$4</f>
        <v/>
      </c>
      <c r="I44" s="15">
        <f>Hypothèses!$D$46*$G$4</f>
        <v/>
      </c>
      <c r="J44" s="15">
        <f>Hypothèses!$D$46*$G$4</f>
        <v/>
      </c>
      <c r="K44" s="15">
        <f>Hypothèses!$D$46*$G$4</f>
        <v/>
      </c>
      <c r="L44" s="15">
        <f>Hypothèses!$D$46*$G$4</f>
        <v/>
      </c>
      <c r="M44" s="15">
        <f>Hypothèses!$D$46*$G$4</f>
        <v/>
      </c>
      <c r="N44" s="15">
        <f>Hypothèses!$D$46*$G$4</f>
        <v/>
      </c>
      <c r="O44" s="15">
        <f>Hypothèses!$D$46*$G$4</f>
        <v/>
      </c>
      <c r="P44" s="15">
        <f>Hypothèses!$D$46*$G$4</f>
        <v/>
      </c>
      <c r="Q44" s="15">
        <f>Hypothèses!$D$46*$G$4</f>
        <v/>
      </c>
      <c r="R44" s="15">
        <f>Hypothèses!$D$46*$G$4</f>
        <v/>
      </c>
      <c r="S44" s="15">
        <f>Hypothèses!$D$46*$G$4</f>
        <v/>
      </c>
      <c r="T44" s="15">
        <f>Hypothèses!$D$46*$G$4</f>
        <v/>
      </c>
      <c r="U44" s="15">
        <f>Hypothèses!$D$46*$G$4</f>
        <v/>
      </c>
      <c r="V44" s="15">
        <f>Hypothèses!$D$46*$G$4</f>
        <v/>
      </c>
      <c r="W44" s="15">
        <f>Hypothèses!$D$46*$G$4</f>
        <v/>
      </c>
      <c r="X44" s="15">
        <f>Hypothèses!$D$46*$G$4</f>
        <v/>
      </c>
      <c r="Y44" s="15">
        <f>Hypothèses!$D$46*$G$4</f>
        <v/>
      </c>
      <c r="Z44" s="15">
        <f>Hypothèses!$D$46*$G$4</f>
        <v/>
      </c>
      <c r="AA44" s="15">
        <f>Hypothèses!$D$46*$G$4</f>
        <v/>
      </c>
      <c r="AB44" s="15">
        <f>Hypothèses!$D$46*$G$4</f>
        <v/>
      </c>
      <c r="AC44" s="15">
        <f>Hypothèses!$D$46*$G$4</f>
        <v/>
      </c>
      <c r="AD44" s="15">
        <f>Hypothèses!$D$46*$G$4</f>
        <v/>
      </c>
      <c r="AE44" s="15">
        <f>Hypothèses!$D$46*$G$4</f>
        <v/>
      </c>
      <c r="AF44" s="15">
        <f>Hypothèses!$D$46*$G$4</f>
        <v/>
      </c>
      <c r="AG44" s="15">
        <f>Hypothèses!$D$46*$G$4</f>
        <v/>
      </c>
      <c r="AH44" s="15">
        <f>Hypothèses!$D$46*$G$4</f>
        <v/>
      </c>
      <c r="AI44" s="15">
        <f>Hypothèses!$D$46*$G$4</f>
        <v/>
      </c>
      <c r="AJ44" s="15">
        <f>Hypothèses!$D$46*$G$4</f>
        <v/>
      </c>
      <c r="AK44" s="15">
        <f>Hypothèses!$D$46*$G$4</f>
        <v/>
      </c>
      <c r="AL44" s="15">
        <f>Hypothèses!$D$46*$G$4</f>
        <v/>
      </c>
      <c r="AN44" s="15">
        <f>SUM(C44:N44)</f>
        <v/>
      </c>
      <c r="AO44" s="15">
        <f>SUM(O44:Z44)</f>
        <v/>
      </c>
      <c r="AP44" s="15">
        <f>SUM(AA44:AL44)</f>
        <v/>
      </c>
    </row>
    <row r="45">
      <c r="A45" s="9" t="inlineStr">
        <is>
          <t>Juridique et comptabilité</t>
        </is>
      </c>
      <c r="B45" s="4" t="inlineStr">
        <is>
          <t>€ HT</t>
        </is>
      </c>
      <c r="C45" s="15">
        <f>Hypothèses!$D$47*$G$4</f>
        <v/>
      </c>
      <c r="D45" s="15">
        <f>Hypothèses!$D$47*$G$4</f>
        <v/>
      </c>
      <c r="E45" s="15">
        <f>Hypothèses!$D$47*$G$4</f>
        <v/>
      </c>
      <c r="F45" s="15">
        <f>Hypothèses!$D$47*$G$4</f>
        <v/>
      </c>
      <c r="G45" s="15">
        <f>Hypothèses!$D$47*$G$4</f>
        <v/>
      </c>
      <c r="H45" s="15">
        <f>Hypothèses!$D$47*$G$4</f>
        <v/>
      </c>
      <c r="I45" s="15">
        <f>Hypothèses!$D$47*$G$4</f>
        <v/>
      </c>
      <c r="J45" s="15">
        <f>Hypothèses!$D$47*$G$4</f>
        <v/>
      </c>
      <c r="K45" s="15">
        <f>Hypothèses!$D$47*$G$4</f>
        <v/>
      </c>
      <c r="L45" s="15">
        <f>Hypothèses!$D$47*$G$4</f>
        <v/>
      </c>
      <c r="M45" s="15">
        <f>Hypothèses!$D$47*$G$4</f>
        <v/>
      </c>
      <c r="N45" s="15">
        <f>Hypothèses!$D$47*$G$4</f>
        <v/>
      </c>
      <c r="O45" s="15">
        <f>Hypothèses!$D$47*$G$4</f>
        <v/>
      </c>
      <c r="P45" s="15">
        <f>Hypothèses!$D$47*$G$4</f>
        <v/>
      </c>
      <c r="Q45" s="15">
        <f>Hypothèses!$D$47*$G$4</f>
        <v/>
      </c>
      <c r="R45" s="15">
        <f>Hypothèses!$D$47*$G$4</f>
        <v/>
      </c>
      <c r="S45" s="15">
        <f>Hypothèses!$D$47*$G$4</f>
        <v/>
      </c>
      <c r="T45" s="15">
        <f>Hypothèses!$D$47*$G$4</f>
        <v/>
      </c>
      <c r="U45" s="15">
        <f>Hypothèses!$D$47*$G$4</f>
        <v/>
      </c>
      <c r="V45" s="15">
        <f>Hypothèses!$D$47*$G$4</f>
        <v/>
      </c>
      <c r="W45" s="15">
        <f>Hypothèses!$D$47*$G$4</f>
        <v/>
      </c>
      <c r="X45" s="15">
        <f>Hypothèses!$D$47*$G$4</f>
        <v/>
      </c>
      <c r="Y45" s="15">
        <f>Hypothèses!$D$47*$G$4</f>
        <v/>
      </c>
      <c r="Z45" s="15">
        <f>Hypothèses!$D$47*$G$4</f>
        <v/>
      </c>
      <c r="AA45" s="15">
        <f>Hypothèses!$D$47*$G$4</f>
        <v/>
      </c>
      <c r="AB45" s="15">
        <f>Hypothèses!$D$47*$G$4</f>
        <v/>
      </c>
      <c r="AC45" s="15">
        <f>Hypothèses!$D$47*$G$4</f>
        <v/>
      </c>
      <c r="AD45" s="15">
        <f>Hypothèses!$D$47*$G$4</f>
        <v/>
      </c>
      <c r="AE45" s="15">
        <f>Hypothèses!$D$47*$G$4</f>
        <v/>
      </c>
      <c r="AF45" s="15">
        <f>Hypothèses!$D$47*$G$4</f>
        <v/>
      </c>
      <c r="AG45" s="15">
        <f>Hypothèses!$D$47*$G$4</f>
        <v/>
      </c>
      <c r="AH45" s="15">
        <f>Hypothèses!$D$47*$G$4</f>
        <v/>
      </c>
      <c r="AI45" s="15">
        <f>Hypothèses!$D$47*$G$4</f>
        <v/>
      </c>
      <c r="AJ45" s="15">
        <f>Hypothèses!$D$47*$G$4</f>
        <v/>
      </c>
      <c r="AK45" s="15">
        <f>Hypothèses!$D$47*$G$4</f>
        <v/>
      </c>
      <c r="AL45" s="15">
        <f>Hypothèses!$D$47*$G$4</f>
        <v/>
      </c>
      <c r="AN45" s="15">
        <f>SUM(C45:N45)</f>
        <v/>
      </c>
      <c r="AO45" s="15">
        <f>SUM(O45:Z45)</f>
        <v/>
      </c>
      <c r="AP45" s="15">
        <f>SUM(AA45:AL45)</f>
        <v/>
      </c>
    </row>
    <row r="46">
      <c r="A46" s="9" t="inlineStr">
        <is>
          <t>Assurance RC pro</t>
        </is>
      </c>
      <c r="B46" s="4" t="inlineStr">
        <is>
          <t>€</t>
        </is>
      </c>
      <c r="C46" s="15">
        <f>C9*Hypothèses!$D$48*$G$4</f>
        <v/>
      </c>
      <c r="D46" s="15">
        <f>D9*Hypothèses!$D$48*$G$4</f>
        <v/>
      </c>
      <c r="E46" s="15">
        <f>E9*Hypothèses!$D$48*$G$4</f>
        <v/>
      </c>
      <c r="F46" s="15">
        <f>F9*Hypothèses!$D$48*$G$4</f>
        <v/>
      </c>
      <c r="G46" s="15">
        <f>G9*Hypothèses!$D$48*$G$4</f>
        <v/>
      </c>
      <c r="H46" s="15">
        <f>H9*Hypothèses!$D$48*$G$4</f>
        <v/>
      </c>
      <c r="I46" s="15">
        <f>I9*Hypothèses!$D$48*$G$4</f>
        <v/>
      </c>
      <c r="J46" s="15">
        <f>J9*Hypothèses!$D$48*$G$4</f>
        <v/>
      </c>
      <c r="K46" s="15">
        <f>K9*Hypothèses!$D$48*$G$4</f>
        <v/>
      </c>
      <c r="L46" s="15">
        <f>L9*Hypothèses!$D$48*$G$4</f>
        <v/>
      </c>
      <c r="M46" s="15">
        <f>M9*Hypothèses!$D$48*$G$4</f>
        <v/>
      </c>
      <c r="N46" s="15">
        <f>N9*Hypothèses!$D$48*$G$4</f>
        <v/>
      </c>
      <c r="O46" s="15">
        <f>O9*Hypothèses!$D$48*$G$4</f>
        <v/>
      </c>
      <c r="P46" s="15">
        <f>P9*Hypothèses!$D$48*$G$4</f>
        <v/>
      </c>
      <c r="Q46" s="15">
        <f>Q9*Hypothèses!$D$48*$G$4</f>
        <v/>
      </c>
      <c r="R46" s="15">
        <f>R9*Hypothèses!$D$48*$G$4</f>
        <v/>
      </c>
      <c r="S46" s="15">
        <f>S9*Hypothèses!$D$48*$G$4</f>
        <v/>
      </c>
      <c r="T46" s="15">
        <f>T9*Hypothèses!$D$48*$G$4</f>
        <v/>
      </c>
      <c r="U46" s="15">
        <f>U9*Hypothèses!$D$48*$G$4</f>
        <v/>
      </c>
      <c r="V46" s="15">
        <f>V9*Hypothèses!$D$48*$G$4</f>
        <v/>
      </c>
      <c r="W46" s="15">
        <f>W9*Hypothèses!$D$48*$G$4</f>
        <v/>
      </c>
      <c r="X46" s="15">
        <f>X9*Hypothèses!$D$48*$G$4</f>
        <v/>
      </c>
      <c r="Y46" s="15">
        <f>Y9*Hypothèses!$D$48*$G$4</f>
        <v/>
      </c>
      <c r="Z46" s="15">
        <f>Z9*Hypothèses!$D$48*$G$4</f>
        <v/>
      </c>
      <c r="AA46" s="15">
        <f>AA9*Hypothèses!$D$48*$G$4</f>
        <v/>
      </c>
      <c r="AB46" s="15">
        <f>AB9*Hypothèses!$D$48*$G$4</f>
        <v/>
      </c>
      <c r="AC46" s="15">
        <f>AC9*Hypothèses!$D$48*$G$4</f>
        <v/>
      </c>
      <c r="AD46" s="15">
        <f>AD9*Hypothèses!$D$48*$G$4</f>
        <v/>
      </c>
      <c r="AE46" s="15">
        <f>AE9*Hypothèses!$D$48*$G$4</f>
        <v/>
      </c>
      <c r="AF46" s="15">
        <f>AF9*Hypothèses!$D$48*$G$4</f>
        <v/>
      </c>
      <c r="AG46" s="15">
        <f>AG9*Hypothèses!$D$48*$G$4</f>
        <v/>
      </c>
      <c r="AH46" s="15">
        <f>AH9*Hypothèses!$D$48*$G$4</f>
        <v/>
      </c>
      <c r="AI46" s="15">
        <f>AI9*Hypothèses!$D$48*$G$4</f>
        <v/>
      </c>
      <c r="AJ46" s="15">
        <f>AJ9*Hypothèses!$D$48*$G$4</f>
        <v/>
      </c>
      <c r="AK46" s="15">
        <f>AK9*Hypothèses!$D$48*$G$4</f>
        <v/>
      </c>
      <c r="AL46" s="15">
        <f>AL9*Hypothèses!$D$48*$G$4</f>
        <v/>
      </c>
      <c r="AN46" s="15">
        <f>SUM(C46:N46)</f>
        <v/>
      </c>
      <c r="AO46" s="15">
        <f>SUM(O46:Z46)</f>
        <v/>
      </c>
      <c r="AP46" s="15">
        <f>SUM(AA46:AL46)</f>
        <v/>
      </c>
    </row>
    <row r="47">
      <c r="A47" s="9" t="inlineStr">
        <is>
          <t>Marketing fixe</t>
        </is>
      </c>
      <c r="B47" s="4" t="inlineStr">
        <is>
          <t>€ HT</t>
        </is>
      </c>
      <c r="C47" s="15">
        <f>C9*Hypothèses!$D$49*$G$4</f>
        <v/>
      </c>
      <c r="D47" s="15">
        <f>D9*Hypothèses!$D$49*$G$4</f>
        <v/>
      </c>
      <c r="E47" s="15">
        <f>E9*Hypothèses!$D$49*$G$4</f>
        <v/>
      </c>
      <c r="F47" s="15">
        <f>F9*Hypothèses!$D$49*$G$4</f>
        <v/>
      </c>
      <c r="G47" s="15">
        <f>G9*Hypothèses!$D$49*$G$4</f>
        <v/>
      </c>
      <c r="H47" s="15">
        <f>H9*Hypothèses!$D$49*$G$4</f>
        <v/>
      </c>
      <c r="I47" s="15">
        <f>I9*Hypothèses!$D$49*$G$4</f>
        <v/>
      </c>
      <c r="J47" s="15">
        <f>J9*Hypothèses!$D$49*$G$4</f>
        <v/>
      </c>
      <c r="K47" s="15">
        <f>K9*Hypothèses!$D$49*$G$4</f>
        <v/>
      </c>
      <c r="L47" s="15">
        <f>L9*Hypothèses!$D$49*$G$4</f>
        <v/>
      </c>
      <c r="M47" s="15">
        <f>M9*Hypothèses!$D$49*$G$4</f>
        <v/>
      </c>
      <c r="N47" s="15">
        <f>N9*Hypothèses!$D$49*$G$4</f>
        <v/>
      </c>
      <c r="O47" s="15">
        <f>O9*Hypothèses!$D$49*$G$4</f>
        <v/>
      </c>
      <c r="P47" s="15">
        <f>P9*Hypothèses!$D$49*$G$4</f>
        <v/>
      </c>
      <c r="Q47" s="15">
        <f>Q9*Hypothèses!$D$49*$G$4</f>
        <v/>
      </c>
      <c r="R47" s="15">
        <f>R9*Hypothèses!$D$49*$G$4</f>
        <v/>
      </c>
      <c r="S47" s="15">
        <f>S9*Hypothèses!$D$49*$G$4</f>
        <v/>
      </c>
      <c r="T47" s="15">
        <f>T9*Hypothèses!$D$49*$G$4</f>
        <v/>
      </c>
      <c r="U47" s="15">
        <f>U9*Hypothèses!$D$49*$G$4</f>
        <v/>
      </c>
      <c r="V47" s="15">
        <f>V9*Hypothèses!$D$49*$G$4</f>
        <v/>
      </c>
      <c r="W47" s="15">
        <f>W9*Hypothèses!$D$49*$G$4</f>
        <v/>
      </c>
      <c r="X47" s="15">
        <f>X9*Hypothèses!$D$49*$G$4</f>
        <v/>
      </c>
      <c r="Y47" s="15">
        <f>Y9*Hypothèses!$D$49*$G$4</f>
        <v/>
      </c>
      <c r="Z47" s="15">
        <f>Z9*Hypothèses!$D$49*$G$4</f>
        <v/>
      </c>
      <c r="AA47" s="15">
        <f>AA9*Hypothèses!$D$49*$G$4</f>
        <v/>
      </c>
      <c r="AB47" s="15">
        <f>AB9*Hypothèses!$D$49*$G$4</f>
        <v/>
      </c>
      <c r="AC47" s="15">
        <f>AC9*Hypothèses!$D$49*$G$4</f>
        <v/>
      </c>
      <c r="AD47" s="15">
        <f>AD9*Hypothèses!$D$49*$G$4</f>
        <v/>
      </c>
      <c r="AE47" s="15">
        <f>AE9*Hypothèses!$D$49*$G$4</f>
        <v/>
      </c>
      <c r="AF47" s="15">
        <f>AF9*Hypothèses!$D$49*$G$4</f>
        <v/>
      </c>
      <c r="AG47" s="15">
        <f>AG9*Hypothèses!$D$49*$G$4</f>
        <v/>
      </c>
      <c r="AH47" s="15">
        <f>AH9*Hypothèses!$D$49*$G$4</f>
        <v/>
      </c>
      <c r="AI47" s="15">
        <f>AI9*Hypothèses!$D$49*$G$4</f>
        <v/>
      </c>
      <c r="AJ47" s="15">
        <f>AJ9*Hypothèses!$D$49*$G$4</f>
        <v/>
      </c>
      <c r="AK47" s="15">
        <f>AK9*Hypothèses!$D$49*$G$4</f>
        <v/>
      </c>
      <c r="AL47" s="15">
        <f>AL9*Hypothèses!$D$49*$G$4</f>
        <v/>
      </c>
      <c r="AN47" s="15">
        <f>SUM(C47:N47)</f>
        <v/>
      </c>
      <c r="AO47" s="15">
        <f>SUM(O47:Z47)</f>
        <v/>
      </c>
      <c r="AP47" s="15">
        <f>SUM(AA47:AL47)</f>
        <v/>
      </c>
    </row>
    <row r="48">
      <c r="A48" s="9" t="inlineStr">
        <is>
          <t>Frais généraux</t>
        </is>
      </c>
      <c r="B48" s="4" t="inlineStr">
        <is>
          <t>€ HT</t>
        </is>
      </c>
      <c r="C48" s="15">
        <f>Hypothèses!$D$50*$G$4</f>
        <v/>
      </c>
      <c r="D48" s="15">
        <f>Hypothèses!$D$50*$G$4</f>
        <v/>
      </c>
      <c r="E48" s="15">
        <f>Hypothèses!$D$50*$G$4</f>
        <v/>
      </c>
      <c r="F48" s="15">
        <f>Hypothèses!$D$50*$G$4</f>
        <v/>
      </c>
      <c r="G48" s="15">
        <f>Hypothèses!$D$50*$G$4</f>
        <v/>
      </c>
      <c r="H48" s="15">
        <f>Hypothèses!$D$50*$G$4</f>
        <v/>
      </c>
      <c r="I48" s="15">
        <f>Hypothèses!$D$50*$G$4</f>
        <v/>
      </c>
      <c r="J48" s="15">
        <f>Hypothèses!$D$50*$G$4</f>
        <v/>
      </c>
      <c r="K48" s="15">
        <f>Hypothèses!$D$50*$G$4</f>
        <v/>
      </c>
      <c r="L48" s="15">
        <f>Hypothèses!$D$50*$G$4</f>
        <v/>
      </c>
      <c r="M48" s="15">
        <f>Hypothèses!$D$50*$G$4</f>
        <v/>
      </c>
      <c r="N48" s="15">
        <f>Hypothèses!$D$50*$G$4</f>
        <v/>
      </c>
      <c r="O48" s="15">
        <f>Hypothèses!$D$50*$G$4</f>
        <v/>
      </c>
      <c r="P48" s="15">
        <f>Hypothèses!$D$50*$G$4</f>
        <v/>
      </c>
      <c r="Q48" s="15">
        <f>Hypothèses!$D$50*$G$4</f>
        <v/>
      </c>
      <c r="R48" s="15">
        <f>Hypothèses!$D$50*$G$4</f>
        <v/>
      </c>
      <c r="S48" s="15">
        <f>Hypothèses!$D$50*$G$4</f>
        <v/>
      </c>
      <c r="T48" s="15">
        <f>Hypothèses!$D$50*$G$4</f>
        <v/>
      </c>
      <c r="U48" s="15">
        <f>Hypothèses!$D$50*$G$4</f>
        <v/>
      </c>
      <c r="V48" s="15">
        <f>Hypothèses!$D$50*$G$4</f>
        <v/>
      </c>
      <c r="W48" s="15">
        <f>Hypothèses!$D$50*$G$4</f>
        <v/>
      </c>
      <c r="X48" s="15">
        <f>Hypothèses!$D$50*$G$4</f>
        <v/>
      </c>
      <c r="Y48" s="15">
        <f>Hypothèses!$D$50*$G$4</f>
        <v/>
      </c>
      <c r="Z48" s="15">
        <f>Hypothèses!$D$50*$G$4</f>
        <v/>
      </c>
      <c r="AA48" s="15">
        <f>Hypothèses!$D$50*$G$4</f>
        <v/>
      </c>
      <c r="AB48" s="15">
        <f>Hypothèses!$D$50*$G$4</f>
        <v/>
      </c>
      <c r="AC48" s="15">
        <f>Hypothèses!$D$50*$G$4</f>
        <v/>
      </c>
      <c r="AD48" s="15">
        <f>Hypothèses!$D$50*$G$4</f>
        <v/>
      </c>
      <c r="AE48" s="15">
        <f>Hypothèses!$D$50*$G$4</f>
        <v/>
      </c>
      <c r="AF48" s="15">
        <f>Hypothèses!$D$50*$G$4</f>
        <v/>
      </c>
      <c r="AG48" s="15">
        <f>Hypothèses!$D$50*$G$4</f>
        <v/>
      </c>
      <c r="AH48" s="15">
        <f>Hypothèses!$D$50*$G$4</f>
        <v/>
      </c>
      <c r="AI48" s="15">
        <f>Hypothèses!$D$50*$G$4</f>
        <v/>
      </c>
      <c r="AJ48" s="15">
        <f>Hypothèses!$D$50*$G$4</f>
        <v/>
      </c>
      <c r="AK48" s="15">
        <f>Hypothèses!$D$50*$G$4</f>
        <v/>
      </c>
      <c r="AL48" s="15">
        <f>Hypothèses!$D$50*$G$4</f>
        <v/>
      </c>
      <c r="AN48" s="15">
        <f>SUM(C48:N48)</f>
        <v/>
      </c>
      <c r="AO48" s="15">
        <f>SUM(O48:Z48)</f>
        <v/>
      </c>
      <c r="AP48" s="15">
        <f>SUM(AA48:AL48)</f>
        <v/>
      </c>
    </row>
    <row r="49">
      <c r="A49" s="9" t="inlineStr">
        <is>
          <t>Audit de sécurité (annuel, à partir du lancement)</t>
        </is>
      </c>
      <c r="B49" s="4" t="inlineStr">
        <is>
          <t>€ HT</t>
        </is>
      </c>
      <c r="C49" s="15">
        <f>IF(AND(C9=1,MOD(C7-$B$5,12)=0),Hypothèses!$D$51,0)*$G$4</f>
        <v/>
      </c>
      <c r="D49" s="15">
        <f>IF(AND(D9=1,MOD(D7-$B$5,12)=0),Hypothèses!$D$51,0)*$G$4</f>
        <v/>
      </c>
      <c r="E49" s="15">
        <f>IF(AND(E9=1,MOD(E7-$B$5,12)=0),Hypothèses!$D$51,0)*$G$4</f>
        <v/>
      </c>
      <c r="F49" s="15">
        <f>IF(AND(F9=1,MOD(F7-$B$5,12)=0),Hypothèses!$D$51,0)*$G$4</f>
        <v/>
      </c>
      <c r="G49" s="15">
        <f>IF(AND(G9=1,MOD(G7-$B$5,12)=0),Hypothèses!$D$51,0)*$G$4</f>
        <v/>
      </c>
      <c r="H49" s="15">
        <f>IF(AND(H9=1,MOD(H7-$B$5,12)=0),Hypothèses!$D$51,0)*$G$4</f>
        <v/>
      </c>
      <c r="I49" s="15">
        <f>IF(AND(I9=1,MOD(I7-$B$5,12)=0),Hypothèses!$D$51,0)*$G$4</f>
        <v/>
      </c>
      <c r="J49" s="15">
        <f>IF(AND(J9=1,MOD(J7-$B$5,12)=0),Hypothèses!$D$51,0)*$G$4</f>
        <v/>
      </c>
      <c r="K49" s="15">
        <f>IF(AND(K9=1,MOD(K7-$B$5,12)=0),Hypothèses!$D$51,0)*$G$4</f>
        <v/>
      </c>
      <c r="L49" s="15">
        <f>IF(AND(L9=1,MOD(L7-$B$5,12)=0),Hypothèses!$D$51,0)*$G$4</f>
        <v/>
      </c>
      <c r="M49" s="15">
        <f>IF(AND(M9=1,MOD(M7-$B$5,12)=0),Hypothèses!$D$51,0)*$G$4</f>
        <v/>
      </c>
      <c r="N49" s="15">
        <f>IF(AND(N9=1,MOD(N7-$B$5,12)=0),Hypothèses!$D$51,0)*$G$4</f>
        <v/>
      </c>
      <c r="O49" s="15">
        <f>IF(AND(O9=1,MOD(O7-$B$5,12)=0),Hypothèses!$D$51,0)*$G$4</f>
        <v/>
      </c>
      <c r="P49" s="15">
        <f>IF(AND(P9=1,MOD(P7-$B$5,12)=0),Hypothèses!$D$51,0)*$G$4</f>
        <v/>
      </c>
      <c r="Q49" s="15">
        <f>IF(AND(Q9=1,MOD(Q7-$B$5,12)=0),Hypothèses!$D$51,0)*$G$4</f>
        <v/>
      </c>
      <c r="R49" s="15">
        <f>IF(AND(R9=1,MOD(R7-$B$5,12)=0),Hypothèses!$D$51,0)*$G$4</f>
        <v/>
      </c>
      <c r="S49" s="15">
        <f>IF(AND(S9=1,MOD(S7-$B$5,12)=0),Hypothèses!$D$51,0)*$G$4</f>
        <v/>
      </c>
      <c r="T49" s="15">
        <f>IF(AND(T9=1,MOD(T7-$B$5,12)=0),Hypothèses!$D$51,0)*$G$4</f>
        <v/>
      </c>
      <c r="U49" s="15">
        <f>IF(AND(U9=1,MOD(U7-$B$5,12)=0),Hypothèses!$D$51,0)*$G$4</f>
        <v/>
      </c>
      <c r="V49" s="15">
        <f>IF(AND(V9=1,MOD(V7-$B$5,12)=0),Hypothèses!$D$51,0)*$G$4</f>
        <v/>
      </c>
      <c r="W49" s="15">
        <f>IF(AND(W9=1,MOD(W7-$B$5,12)=0),Hypothèses!$D$51,0)*$G$4</f>
        <v/>
      </c>
      <c r="X49" s="15">
        <f>IF(AND(X9=1,MOD(X7-$B$5,12)=0),Hypothèses!$D$51,0)*$G$4</f>
        <v/>
      </c>
      <c r="Y49" s="15">
        <f>IF(AND(Y9=1,MOD(Y7-$B$5,12)=0),Hypothèses!$D$51,0)*$G$4</f>
        <v/>
      </c>
      <c r="Z49" s="15">
        <f>IF(AND(Z9=1,MOD(Z7-$B$5,12)=0),Hypothèses!$D$51,0)*$G$4</f>
        <v/>
      </c>
      <c r="AA49" s="15">
        <f>IF(AND(AA9=1,MOD(AA7-$B$5,12)=0),Hypothèses!$D$51,0)*$G$4</f>
        <v/>
      </c>
      <c r="AB49" s="15">
        <f>IF(AND(AB9=1,MOD(AB7-$B$5,12)=0),Hypothèses!$D$51,0)*$G$4</f>
        <v/>
      </c>
      <c r="AC49" s="15">
        <f>IF(AND(AC9=1,MOD(AC7-$B$5,12)=0),Hypothèses!$D$51,0)*$G$4</f>
        <v/>
      </c>
      <c r="AD49" s="15">
        <f>IF(AND(AD9=1,MOD(AD7-$B$5,12)=0),Hypothèses!$D$51,0)*$G$4</f>
        <v/>
      </c>
      <c r="AE49" s="15">
        <f>IF(AND(AE9=1,MOD(AE7-$B$5,12)=0),Hypothèses!$D$51,0)*$G$4</f>
        <v/>
      </c>
      <c r="AF49" s="15">
        <f>IF(AND(AF9=1,MOD(AF7-$B$5,12)=0),Hypothèses!$D$51,0)*$G$4</f>
        <v/>
      </c>
      <c r="AG49" s="15">
        <f>IF(AND(AG9=1,MOD(AG7-$B$5,12)=0),Hypothèses!$D$51,0)*$G$4</f>
        <v/>
      </c>
      <c r="AH49" s="15">
        <f>IF(AND(AH9=1,MOD(AH7-$B$5,12)=0),Hypothèses!$D$51,0)*$G$4</f>
        <v/>
      </c>
      <c r="AI49" s="15">
        <f>IF(AND(AI9=1,MOD(AI7-$B$5,12)=0),Hypothèses!$D$51,0)*$G$4</f>
        <v/>
      </c>
      <c r="AJ49" s="15">
        <f>IF(AND(AJ9=1,MOD(AJ7-$B$5,12)=0),Hypothèses!$D$51,0)*$G$4</f>
        <v/>
      </c>
      <c r="AK49" s="15">
        <f>IF(AND(AK9=1,MOD(AK7-$B$5,12)=0),Hypothèses!$D$51,0)*$G$4</f>
        <v/>
      </c>
      <c r="AL49" s="15">
        <f>IF(AND(AL9=1,MOD(AL7-$B$5,12)=0),Hypothèses!$D$51,0)*$G$4</f>
        <v/>
      </c>
      <c r="AN49" s="15">
        <f>SUM(C49:N49)</f>
        <v/>
      </c>
      <c r="AO49" s="15">
        <f>SUM(O49:Z49)</f>
        <v/>
      </c>
      <c r="AP49" s="15">
        <f>SUM(AA49:AL49)</f>
        <v/>
      </c>
    </row>
    <row r="50">
      <c r="A50" s="9" t="inlineStr">
        <is>
          <t>Frais de constitution</t>
        </is>
      </c>
      <c r="B50" s="4" t="inlineStr">
        <is>
          <t>€ HT</t>
        </is>
      </c>
      <c r="C50" s="15">
        <f>IF(C7=2,Hypothèses!$D$52,0)</f>
        <v/>
      </c>
      <c r="D50" s="15">
        <f>IF(D7=2,Hypothèses!$D$52,0)</f>
        <v/>
      </c>
      <c r="E50" s="15">
        <f>IF(E7=2,Hypothèses!$D$52,0)</f>
        <v/>
      </c>
      <c r="F50" s="15">
        <f>IF(F7=2,Hypothèses!$D$52,0)</f>
        <v/>
      </c>
      <c r="G50" s="15">
        <f>IF(G7=2,Hypothèses!$D$52,0)</f>
        <v/>
      </c>
      <c r="H50" s="15">
        <f>IF(H7=2,Hypothèses!$D$52,0)</f>
        <v/>
      </c>
      <c r="I50" s="15">
        <f>IF(I7=2,Hypothèses!$D$52,0)</f>
        <v/>
      </c>
      <c r="J50" s="15">
        <f>IF(J7=2,Hypothèses!$D$52,0)</f>
        <v/>
      </c>
      <c r="K50" s="15">
        <f>IF(K7=2,Hypothèses!$D$52,0)</f>
        <v/>
      </c>
      <c r="L50" s="15">
        <f>IF(L7=2,Hypothèses!$D$52,0)</f>
        <v/>
      </c>
      <c r="M50" s="15">
        <f>IF(M7=2,Hypothèses!$D$52,0)</f>
        <v/>
      </c>
      <c r="N50" s="15">
        <f>IF(N7=2,Hypothèses!$D$52,0)</f>
        <v/>
      </c>
      <c r="O50" s="15">
        <f>IF(O7=2,Hypothèses!$D$52,0)</f>
        <v/>
      </c>
      <c r="P50" s="15">
        <f>IF(P7=2,Hypothèses!$D$52,0)</f>
        <v/>
      </c>
      <c r="Q50" s="15">
        <f>IF(Q7=2,Hypothèses!$D$52,0)</f>
        <v/>
      </c>
      <c r="R50" s="15">
        <f>IF(R7=2,Hypothèses!$D$52,0)</f>
        <v/>
      </c>
      <c r="S50" s="15">
        <f>IF(S7=2,Hypothèses!$D$52,0)</f>
        <v/>
      </c>
      <c r="T50" s="15">
        <f>IF(T7=2,Hypothèses!$D$52,0)</f>
        <v/>
      </c>
      <c r="U50" s="15">
        <f>IF(U7=2,Hypothèses!$D$52,0)</f>
        <v/>
      </c>
      <c r="V50" s="15">
        <f>IF(V7=2,Hypothèses!$D$52,0)</f>
        <v/>
      </c>
      <c r="W50" s="15">
        <f>IF(W7=2,Hypothèses!$D$52,0)</f>
        <v/>
      </c>
      <c r="X50" s="15">
        <f>IF(X7=2,Hypothèses!$D$52,0)</f>
        <v/>
      </c>
      <c r="Y50" s="15">
        <f>IF(Y7=2,Hypothèses!$D$52,0)</f>
        <v/>
      </c>
      <c r="Z50" s="15">
        <f>IF(Z7=2,Hypothèses!$D$52,0)</f>
        <v/>
      </c>
      <c r="AA50" s="15">
        <f>IF(AA7=2,Hypothèses!$D$52,0)</f>
        <v/>
      </c>
      <c r="AB50" s="15">
        <f>IF(AB7=2,Hypothèses!$D$52,0)</f>
        <v/>
      </c>
      <c r="AC50" s="15">
        <f>IF(AC7=2,Hypothèses!$D$52,0)</f>
        <v/>
      </c>
      <c r="AD50" s="15">
        <f>IF(AD7=2,Hypothèses!$D$52,0)</f>
        <v/>
      </c>
      <c r="AE50" s="15">
        <f>IF(AE7=2,Hypothèses!$D$52,0)</f>
        <v/>
      </c>
      <c r="AF50" s="15">
        <f>IF(AF7=2,Hypothèses!$D$52,0)</f>
        <v/>
      </c>
      <c r="AG50" s="15">
        <f>IF(AG7=2,Hypothèses!$D$52,0)</f>
        <v/>
      </c>
      <c r="AH50" s="15">
        <f>IF(AH7=2,Hypothèses!$D$52,0)</f>
        <v/>
      </c>
      <c r="AI50" s="15">
        <f>IF(AI7=2,Hypothèses!$D$52,0)</f>
        <v/>
      </c>
      <c r="AJ50" s="15">
        <f>IF(AJ7=2,Hypothèses!$D$52,0)</f>
        <v/>
      </c>
      <c r="AK50" s="15">
        <f>IF(AK7=2,Hypothèses!$D$52,0)</f>
        <v/>
      </c>
      <c r="AL50" s="15">
        <f>IF(AL7=2,Hypothèses!$D$52,0)</f>
        <v/>
      </c>
      <c r="AN50" s="15">
        <f>SUM(C50:N50)</f>
        <v/>
      </c>
      <c r="AO50" s="15">
        <f>SUM(O50:Z50)</f>
        <v/>
      </c>
      <c r="AP50" s="15">
        <f>SUM(AA50:AL50)</f>
        <v/>
      </c>
    </row>
    <row r="51">
      <c r="A51" s="2" t="inlineStr">
        <is>
          <t>Total coûts fixes</t>
        </is>
      </c>
      <c r="B51" s="4" t="inlineStr">
        <is>
          <t>€ HT</t>
        </is>
      </c>
      <c r="C51" s="40">
        <f>SUM(C40:C50)</f>
        <v/>
      </c>
      <c r="D51" s="40">
        <f>SUM(D40:D50)</f>
        <v/>
      </c>
      <c r="E51" s="40">
        <f>SUM(E40:E50)</f>
        <v/>
      </c>
      <c r="F51" s="40">
        <f>SUM(F40:F50)</f>
        <v/>
      </c>
      <c r="G51" s="40">
        <f>SUM(G40:G50)</f>
        <v/>
      </c>
      <c r="H51" s="40">
        <f>SUM(H40:H50)</f>
        <v/>
      </c>
      <c r="I51" s="40">
        <f>SUM(I40:I50)</f>
        <v/>
      </c>
      <c r="J51" s="40">
        <f>SUM(J40:J50)</f>
        <v/>
      </c>
      <c r="K51" s="40">
        <f>SUM(K40:K50)</f>
        <v/>
      </c>
      <c r="L51" s="40">
        <f>SUM(L40:L50)</f>
        <v/>
      </c>
      <c r="M51" s="40">
        <f>SUM(M40:M50)</f>
        <v/>
      </c>
      <c r="N51" s="40">
        <f>SUM(N40:N50)</f>
        <v/>
      </c>
      <c r="O51" s="40">
        <f>SUM(O40:O50)</f>
        <v/>
      </c>
      <c r="P51" s="40">
        <f>SUM(P40:P50)</f>
        <v/>
      </c>
      <c r="Q51" s="40">
        <f>SUM(Q40:Q50)</f>
        <v/>
      </c>
      <c r="R51" s="40">
        <f>SUM(R40:R50)</f>
        <v/>
      </c>
      <c r="S51" s="40">
        <f>SUM(S40:S50)</f>
        <v/>
      </c>
      <c r="T51" s="40">
        <f>SUM(T40:T50)</f>
        <v/>
      </c>
      <c r="U51" s="40">
        <f>SUM(U40:U50)</f>
        <v/>
      </c>
      <c r="V51" s="40">
        <f>SUM(V40:V50)</f>
        <v/>
      </c>
      <c r="W51" s="40">
        <f>SUM(W40:W50)</f>
        <v/>
      </c>
      <c r="X51" s="40">
        <f>SUM(X40:X50)</f>
        <v/>
      </c>
      <c r="Y51" s="40">
        <f>SUM(Y40:Y50)</f>
        <v/>
      </c>
      <c r="Z51" s="40">
        <f>SUM(Z40:Z50)</f>
        <v/>
      </c>
      <c r="AA51" s="40">
        <f>SUM(AA40:AA50)</f>
        <v/>
      </c>
      <c r="AB51" s="40">
        <f>SUM(AB40:AB50)</f>
        <v/>
      </c>
      <c r="AC51" s="40">
        <f>SUM(AC40:AC50)</f>
        <v/>
      </c>
      <c r="AD51" s="40">
        <f>SUM(AD40:AD50)</f>
        <v/>
      </c>
      <c r="AE51" s="40">
        <f>SUM(AE40:AE50)</f>
        <v/>
      </c>
      <c r="AF51" s="40">
        <f>SUM(AF40:AF50)</f>
        <v/>
      </c>
      <c r="AG51" s="40">
        <f>SUM(AG40:AG50)</f>
        <v/>
      </c>
      <c r="AH51" s="40">
        <f>SUM(AH40:AH50)</f>
        <v/>
      </c>
      <c r="AI51" s="40">
        <f>SUM(AI40:AI50)</f>
        <v/>
      </c>
      <c r="AJ51" s="40">
        <f>SUM(AJ40:AJ50)</f>
        <v/>
      </c>
      <c r="AK51" s="40">
        <f>SUM(AK40:AK50)</f>
        <v/>
      </c>
      <c r="AL51" s="40">
        <f>SUM(AL40:AL50)</f>
        <v/>
      </c>
      <c r="AN51" s="40">
        <f>SUM(C51:N51)</f>
        <v/>
      </c>
      <c r="AO51" s="40">
        <f>SUM(O51:Z51)</f>
        <v/>
      </c>
      <c r="AP51" s="40">
        <f>SUM(AA51:AL51)</f>
        <v/>
      </c>
    </row>
    <row r="52">
      <c r="A52" s="2" t="inlineStr">
        <is>
          <t>EBITDA (marge variable − acquisition − fixes)</t>
        </is>
      </c>
      <c r="B52" s="4" t="inlineStr">
        <is>
          <t>€ HT</t>
        </is>
      </c>
      <c r="C52" s="40">
        <f>C37-C39-C51</f>
        <v/>
      </c>
      <c r="D52" s="40">
        <f>D37-D39-D51</f>
        <v/>
      </c>
      <c r="E52" s="40">
        <f>E37-E39-E51</f>
        <v/>
      </c>
      <c r="F52" s="40">
        <f>F37-F39-F51</f>
        <v/>
      </c>
      <c r="G52" s="40">
        <f>G37-G39-G51</f>
        <v/>
      </c>
      <c r="H52" s="40">
        <f>H37-H39-H51</f>
        <v/>
      </c>
      <c r="I52" s="40">
        <f>I37-I39-I51</f>
        <v/>
      </c>
      <c r="J52" s="40">
        <f>J37-J39-J51</f>
        <v/>
      </c>
      <c r="K52" s="40">
        <f>K37-K39-K51</f>
        <v/>
      </c>
      <c r="L52" s="40">
        <f>L37-L39-L51</f>
        <v/>
      </c>
      <c r="M52" s="40">
        <f>M37-M39-M51</f>
        <v/>
      </c>
      <c r="N52" s="40">
        <f>N37-N39-N51</f>
        <v/>
      </c>
      <c r="O52" s="40">
        <f>O37-O39-O51</f>
        <v/>
      </c>
      <c r="P52" s="40">
        <f>P37-P39-P51</f>
        <v/>
      </c>
      <c r="Q52" s="40">
        <f>Q37-Q39-Q51</f>
        <v/>
      </c>
      <c r="R52" s="40">
        <f>R37-R39-R51</f>
        <v/>
      </c>
      <c r="S52" s="40">
        <f>S37-S39-S51</f>
        <v/>
      </c>
      <c r="T52" s="40">
        <f>T37-T39-T51</f>
        <v/>
      </c>
      <c r="U52" s="40">
        <f>U37-U39-U51</f>
        <v/>
      </c>
      <c r="V52" s="40">
        <f>V37-V39-V51</f>
        <v/>
      </c>
      <c r="W52" s="40">
        <f>W37-W39-W51</f>
        <v/>
      </c>
      <c r="X52" s="40">
        <f>X37-X39-X51</f>
        <v/>
      </c>
      <c r="Y52" s="40">
        <f>Y37-Y39-Y51</f>
        <v/>
      </c>
      <c r="Z52" s="40">
        <f>Z37-Z39-Z51</f>
        <v/>
      </c>
      <c r="AA52" s="40">
        <f>AA37-AA39-AA51</f>
        <v/>
      </c>
      <c r="AB52" s="40">
        <f>AB37-AB39-AB51</f>
        <v/>
      </c>
      <c r="AC52" s="40">
        <f>AC37-AC39-AC51</f>
        <v/>
      </c>
      <c r="AD52" s="40">
        <f>AD37-AD39-AD51</f>
        <v/>
      </c>
      <c r="AE52" s="40">
        <f>AE37-AE39-AE51</f>
        <v/>
      </c>
      <c r="AF52" s="40">
        <f>AF37-AF39-AF51</f>
        <v/>
      </c>
      <c r="AG52" s="40">
        <f>AG37-AG39-AG51</f>
        <v/>
      </c>
      <c r="AH52" s="40">
        <f>AH37-AH39-AH51</f>
        <v/>
      </c>
      <c r="AI52" s="40">
        <f>AI37-AI39-AI51</f>
        <v/>
      </c>
      <c r="AJ52" s="40">
        <f>AJ37-AJ39-AJ51</f>
        <v/>
      </c>
      <c r="AK52" s="40">
        <f>AK37-AK39-AK51</f>
        <v/>
      </c>
      <c r="AL52" s="40">
        <f>AL37-AL39-AL51</f>
        <v/>
      </c>
      <c r="AN52" s="40">
        <f>SUM(C52:N52)</f>
        <v/>
      </c>
      <c r="AO52" s="40">
        <f>SUM(O52:Z52)</f>
        <v/>
      </c>
      <c r="AP52" s="40">
        <f>SUM(AA52:AL52)</f>
        <v/>
      </c>
    </row>
    <row r="53">
      <c r="A53" s="9" t="inlineStr">
        <is>
          <t>EBITDA positif ? (1 = oui)</t>
        </is>
      </c>
      <c r="B53" s="4" t="inlineStr">
        <is>
          <t>0/1</t>
        </is>
      </c>
      <c r="C53" s="13">
        <f>IF(C52&gt;0,1,0)</f>
        <v/>
      </c>
      <c r="D53" s="13">
        <f>IF(D52&gt;0,1,0)</f>
        <v/>
      </c>
      <c r="E53" s="13">
        <f>IF(E52&gt;0,1,0)</f>
        <v/>
      </c>
      <c r="F53" s="13">
        <f>IF(F52&gt;0,1,0)</f>
        <v/>
      </c>
      <c r="G53" s="13">
        <f>IF(G52&gt;0,1,0)</f>
        <v/>
      </c>
      <c r="H53" s="13">
        <f>IF(H52&gt;0,1,0)</f>
        <v/>
      </c>
      <c r="I53" s="13">
        <f>IF(I52&gt;0,1,0)</f>
        <v/>
      </c>
      <c r="J53" s="13">
        <f>IF(J52&gt;0,1,0)</f>
        <v/>
      </c>
      <c r="K53" s="13">
        <f>IF(K52&gt;0,1,0)</f>
        <v/>
      </c>
      <c r="L53" s="13">
        <f>IF(L52&gt;0,1,0)</f>
        <v/>
      </c>
      <c r="M53" s="13">
        <f>IF(M52&gt;0,1,0)</f>
        <v/>
      </c>
      <c r="N53" s="13">
        <f>IF(N52&gt;0,1,0)</f>
        <v/>
      </c>
      <c r="O53" s="13">
        <f>IF(O52&gt;0,1,0)</f>
        <v/>
      </c>
      <c r="P53" s="13">
        <f>IF(P52&gt;0,1,0)</f>
        <v/>
      </c>
      <c r="Q53" s="13">
        <f>IF(Q52&gt;0,1,0)</f>
        <v/>
      </c>
      <c r="R53" s="13">
        <f>IF(R52&gt;0,1,0)</f>
        <v/>
      </c>
      <c r="S53" s="13">
        <f>IF(S52&gt;0,1,0)</f>
        <v/>
      </c>
      <c r="T53" s="13">
        <f>IF(T52&gt;0,1,0)</f>
        <v/>
      </c>
      <c r="U53" s="13">
        <f>IF(U52&gt;0,1,0)</f>
        <v/>
      </c>
      <c r="V53" s="13">
        <f>IF(V52&gt;0,1,0)</f>
        <v/>
      </c>
      <c r="W53" s="13">
        <f>IF(W52&gt;0,1,0)</f>
        <v/>
      </c>
      <c r="X53" s="13">
        <f>IF(X52&gt;0,1,0)</f>
        <v/>
      </c>
      <c r="Y53" s="13">
        <f>IF(Y52&gt;0,1,0)</f>
        <v/>
      </c>
      <c r="Z53" s="13">
        <f>IF(Z52&gt;0,1,0)</f>
        <v/>
      </c>
      <c r="AA53" s="13">
        <f>IF(AA52&gt;0,1,0)</f>
        <v/>
      </c>
      <c r="AB53" s="13">
        <f>IF(AB52&gt;0,1,0)</f>
        <v/>
      </c>
      <c r="AC53" s="13">
        <f>IF(AC52&gt;0,1,0)</f>
        <v/>
      </c>
      <c r="AD53" s="13">
        <f>IF(AD52&gt;0,1,0)</f>
        <v/>
      </c>
      <c r="AE53" s="13">
        <f>IF(AE52&gt;0,1,0)</f>
        <v/>
      </c>
      <c r="AF53" s="13">
        <f>IF(AF52&gt;0,1,0)</f>
        <v/>
      </c>
      <c r="AG53" s="13">
        <f>IF(AG52&gt;0,1,0)</f>
        <v/>
      </c>
      <c r="AH53" s="13">
        <f>IF(AH52&gt;0,1,0)</f>
        <v/>
      </c>
      <c r="AI53" s="13">
        <f>IF(AI52&gt;0,1,0)</f>
        <v/>
      </c>
      <c r="AJ53" s="13">
        <f>IF(AJ52&gt;0,1,0)</f>
        <v/>
      </c>
      <c r="AK53" s="13">
        <f>IF(AK52&gt;0,1,0)</f>
        <v/>
      </c>
      <c r="AL53" s="13">
        <f>IF(AL52&gt;0,1,0)</f>
        <v/>
      </c>
    </row>
    <row r="54">
      <c r="A54" s="8" t="inlineStr">
        <is>
          <t>Trésorerie</t>
        </is>
      </c>
    </row>
    <row r="55">
      <c r="A55" s="9" t="inlineStr">
        <is>
          <t>TVA collectée reversée (mois suivant)</t>
        </is>
      </c>
      <c r="B55" s="4" t="inlineStr">
        <is>
          <t>€</t>
        </is>
      </c>
      <c r="C55" s="15">
        <f>0</f>
        <v/>
      </c>
      <c r="D55" s="15">
        <f>C27</f>
        <v/>
      </c>
      <c r="E55" s="15">
        <f>D27</f>
        <v/>
      </c>
      <c r="F55" s="15">
        <f>E27</f>
        <v/>
      </c>
      <c r="G55" s="15">
        <f>F27</f>
        <v/>
      </c>
      <c r="H55" s="15">
        <f>G27</f>
        <v/>
      </c>
      <c r="I55" s="15">
        <f>H27</f>
        <v/>
      </c>
      <c r="J55" s="15">
        <f>I27</f>
        <v/>
      </c>
      <c r="K55" s="15">
        <f>J27</f>
        <v/>
      </c>
      <c r="L55" s="15">
        <f>K27</f>
        <v/>
      </c>
      <c r="M55" s="15">
        <f>L27</f>
        <v/>
      </c>
      <c r="N55" s="15">
        <f>M27</f>
        <v/>
      </c>
      <c r="O55" s="15">
        <f>N27</f>
        <v/>
      </c>
      <c r="P55" s="15">
        <f>O27</f>
        <v/>
      </c>
      <c r="Q55" s="15">
        <f>P27</f>
        <v/>
      </c>
      <c r="R55" s="15">
        <f>Q27</f>
        <v/>
      </c>
      <c r="S55" s="15">
        <f>R27</f>
        <v/>
      </c>
      <c r="T55" s="15">
        <f>S27</f>
        <v/>
      </c>
      <c r="U55" s="15">
        <f>T27</f>
        <v/>
      </c>
      <c r="V55" s="15">
        <f>U27</f>
        <v/>
      </c>
      <c r="W55" s="15">
        <f>V27</f>
        <v/>
      </c>
      <c r="X55" s="15">
        <f>W27</f>
        <v/>
      </c>
      <c r="Y55" s="15">
        <f>X27</f>
        <v/>
      </c>
      <c r="Z55" s="15">
        <f>Y27</f>
        <v/>
      </c>
      <c r="AA55" s="15">
        <f>Z27</f>
        <v/>
      </c>
      <c r="AB55" s="15">
        <f>AA27</f>
        <v/>
      </c>
      <c r="AC55" s="15">
        <f>AB27</f>
        <v/>
      </c>
      <c r="AD55" s="15">
        <f>AC27</f>
        <v/>
      </c>
      <c r="AE55" s="15">
        <f>AD27</f>
        <v/>
      </c>
      <c r="AF55" s="15">
        <f>AE27</f>
        <v/>
      </c>
      <c r="AG55" s="15">
        <f>AF27</f>
        <v/>
      </c>
      <c r="AH55" s="15">
        <f>AG27</f>
        <v/>
      </c>
      <c r="AI55" s="15">
        <f>AH27</f>
        <v/>
      </c>
      <c r="AJ55" s="15">
        <f>AI27</f>
        <v/>
      </c>
      <c r="AK55" s="15">
        <f>AJ27</f>
        <v/>
      </c>
      <c r="AL55" s="15">
        <f>AK27</f>
        <v/>
      </c>
      <c r="AN55" s="15">
        <f>SUM(C55:N55)</f>
        <v/>
      </c>
      <c r="AO55" s="15">
        <f>SUM(O55:Z55)</f>
        <v/>
      </c>
      <c r="AP55" s="15">
        <f>SUM(AA55:AL55)</f>
        <v/>
      </c>
    </row>
    <row r="56">
      <c r="A56" s="9" t="inlineStr">
        <is>
          <t>TVA déductible récupérée (mois suivant, coûts externes)</t>
        </is>
      </c>
      <c r="B56" s="4" t="inlineStr">
        <is>
          <t>€</t>
        </is>
      </c>
      <c r="C56" s="15">
        <f>0</f>
        <v/>
      </c>
      <c r="D56" s="15">
        <f>(C36+C39+C43+C44+C45+C47+C48+C49+C50)*Hypothèses!$D$15</f>
        <v/>
      </c>
      <c r="E56" s="15">
        <f>(D36+D39+D43+D44+D45+D47+D48+D49+D50)*Hypothèses!$D$15</f>
        <v/>
      </c>
      <c r="F56" s="15">
        <f>(E36+E39+E43+E44+E45+E47+E48+E49+E50)*Hypothèses!$D$15</f>
        <v/>
      </c>
      <c r="G56" s="15">
        <f>(F36+F39+F43+F44+F45+F47+F48+F49+F50)*Hypothèses!$D$15</f>
        <v/>
      </c>
      <c r="H56" s="15">
        <f>(G36+G39+G43+G44+G45+G47+G48+G49+G50)*Hypothèses!$D$15</f>
        <v/>
      </c>
      <c r="I56" s="15">
        <f>(H36+H39+H43+H44+H45+H47+H48+H49+H50)*Hypothèses!$D$15</f>
        <v/>
      </c>
      <c r="J56" s="15">
        <f>(I36+I39+I43+I44+I45+I47+I48+I49+I50)*Hypothèses!$D$15</f>
        <v/>
      </c>
      <c r="K56" s="15">
        <f>(J36+J39+J43+J44+J45+J47+J48+J49+J50)*Hypothèses!$D$15</f>
        <v/>
      </c>
      <c r="L56" s="15">
        <f>(K36+K39+K43+K44+K45+K47+K48+K49+K50)*Hypothèses!$D$15</f>
        <v/>
      </c>
      <c r="M56" s="15">
        <f>(L36+L39+L43+L44+L45+L47+L48+L49+L50)*Hypothèses!$D$15</f>
        <v/>
      </c>
      <c r="N56" s="15">
        <f>(M36+M39+M43+M44+M45+M47+M48+M49+M50)*Hypothèses!$D$15</f>
        <v/>
      </c>
      <c r="O56" s="15">
        <f>(N36+N39+N43+N44+N45+N47+N48+N49+N50)*Hypothèses!$D$15</f>
        <v/>
      </c>
      <c r="P56" s="15">
        <f>(O36+O39+O43+O44+O45+O47+O48+O49+O50)*Hypothèses!$D$15</f>
        <v/>
      </c>
      <c r="Q56" s="15">
        <f>(P36+P39+P43+P44+P45+P47+P48+P49+P50)*Hypothèses!$D$15</f>
        <v/>
      </c>
      <c r="R56" s="15">
        <f>(Q36+Q39+Q43+Q44+Q45+Q47+Q48+Q49+Q50)*Hypothèses!$D$15</f>
        <v/>
      </c>
      <c r="S56" s="15">
        <f>(R36+R39+R43+R44+R45+R47+R48+R49+R50)*Hypothèses!$D$15</f>
        <v/>
      </c>
      <c r="T56" s="15">
        <f>(S36+S39+S43+S44+S45+S47+S48+S49+S50)*Hypothèses!$D$15</f>
        <v/>
      </c>
      <c r="U56" s="15">
        <f>(T36+T39+T43+T44+T45+T47+T48+T49+T50)*Hypothèses!$D$15</f>
        <v/>
      </c>
      <c r="V56" s="15">
        <f>(U36+U39+U43+U44+U45+U47+U48+U49+U50)*Hypothèses!$D$15</f>
        <v/>
      </c>
      <c r="W56" s="15">
        <f>(V36+V39+V43+V44+V45+V47+V48+V49+V50)*Hypothèses!$D$15</f>
        <v/>
      </c>
      <c r="X56" s="15">
        <f>(W36+W39+W43+W44+W45+W47+W48+W49+W50)*Hypothèses!$D$15</f>
        <v/>
      </c>
      <c r="Y56" s="15">
        <f>(X36+X39+X43+X44+X45+X47+X48+X49+X50)*Hypothèses!$D$15</f>
        <v/>
      </c>
      <c r="Z56" s="15">
        <f>(Y36+Y39+Y43+Y44+Y45+Y47+Y48+Y49+Y50)*Hypothèses!$D$15</f>
        <v/>
      </c>
      <c r="AA56" s="15">
        <f>(Z36+Z39+Z43+Z44+Z45+Z47+Z48+Z49+Z50)*Hypothèses!$D$15</f>
        <v/>
      </c>
      <c r="AB56" s="15">
        <f>(AA36+AA39+AA43+AA44+AA45+AA47+AA48+AA49+AA50)*Hypothèses!$D$15</f>
        <v/>
      </c>
      <c r="AC56" s="15">
        <f>(AB36+AB39+AB43+AB44+AB45+AB47+AB48+AB49+AB50)*Hypothèses!$D$15</f>
        <v/>
      </c>
      <c r="AD56" s="15">
        <f>(AC36+AC39+AC43+AC44+AC45+AC47+AC48+AC49+AC50)*Hypothèses!$D$15</f>
        <v/>
      </c>
      <c r="AE56" s="15">
        <f>(AD36+AD39+AD43+AD44+AD45+AD47+AD48+AD49+AD50)*Hypothèses!$D$15</f>
        <v/>
      </c>
      <c r="AF56" s="15">
        <f>(AE36+AE39+AE43+AE44+AE45+AE47+AE48+AE49+AE50)*Hypothèses!$D$15</f>
        <v/>
      </c>
      <c r="AG56" s="15">
        <f>(AF36+AF39+AF43+AF44+AF45+AF47+AF48+AF49+AF50)*Hypothèses!$D$15</f>
        <v/>
      </c>
      <c r="AH56" s="15">
        <f>(AG36+AG39+AG43+AG44+AG45+AG47+AG48+AG49+AG50)*Hypothèses!$D$15</f>
        <v/>
      </c>
      <c r="AI56" s="15">
        <f>(AH36+AH39+AH43+AH44+AH45+AH47+AH48+AH49+AH50)*Hypothèses!$D$15</f>
        <v/>
      </c>
      <c r="AJ56" s="15">
        <f>(AI36+AI39+AI43+AI44+AI45+AI47+AI48+AI49+AI50)*Hypothèses!$D$15</f>
        <v/>
      </c>
      <c r="AK56" s="15">
        <f>(AJ36+AJ39+AJ43+AJ44+AJ45+AJ47+AJ48+AJ49+AJ50)*Hypothèses!$D$15</f>
        <v/>
      </c>
      <c r="AL56" s="15">
        <f>(AK36+AK39+AK43+AK44+AK45+AK47+AK48+AK49+AK50)*Hypothèses!$D$15</f>
        <v/>
      </c>
      <c r="AN56" s="15">
        <f>SUM(C56:N56)</f>
        <v/>
      </c>
      <c r="AO56" s="15">
        <f>SUM(O56:Z56)</f>
        <v/>
      </c>
      <c r="AP56" s="15">
        <f>SUM(AA56:AL56)</f>
        <v/>
      </c>
    </row>
    <row r="57">
      <c r="A57" s="9" t="inlineStr">
        <is>
          <t>Financement reçu</t>
        </is>
      </c>
      <c r="B57" s="4" t="inlineStr">
        <is>
          <t>€</t>
        </is>
      </c>
      <c r="C57" s="15">
        <f>Hypothèses!$D$56*(IF(C7=Hypothèses!$D$57,Hypothèses!$D$58,0)+IF(C7=Hypothèses!$D$59,Hypothèses!$D$60,0)+IF(C7=Hypothèses!$D$61,Hypothèses!$D$62,0))</f>
        <v/>
      </c>
      <c r="D57" s="15">
        <f>Hypothèses!$D$56*(IF(D7=Hypothèses!$D$57,Hypothèses!$D$58,0)+IF(D7=Hypothèses!$D$59,Hypothèses!$D$60,0)+IF(D7=Hypothèses!$D$61,Hypothèses!$D$62,0))</f>
        <v/>
      </c>
      <c r="E57" s="15">
        <f>Hypothèses!$D$56*(IF(E7=Hypothèses!$D$57,Hypothèses!$D$58,0)+IF(E7=Hypothèses!$D$59,Hypothèses!$D$60,0)+IF(E7=Hypothèses!$D$61,Hypothèses!$D$62,0))</f>
        <v/>
      </c>
      <c r="F57" s="15">
        <f>Hypothèses!$D$56*(IF(F7=Hypothèses!$D$57,Hypothèses!$D$58,0)+IF(F7=Hypothèses!$D$59,Hypothèses!$D$60,0)+IF(F7=Hypothèses!$D$61,Hypothèses!$D$62,0))</f>
        <v/>
      </c>
      <c r="G57" s="15">
        <f>Hypothèses!$D$56*(IF(G7=Hypothèses!$D$57,Hypothèses!$D$58,0)+IF(G7=Hypothèses!$D$59,Hypothèses!$D$60,0)+IF(G7=Hypothèses!$D$61,Hypothèses!$D$62,0))</f>
        <v/>
      </c>
      <c r="H57" s="15">
        <f>Hypothèses!$D$56*(IF(H7=Hypothèses!$D$57,Hypothèses!$D$58,0)+IF(H7=Hypothèses!$D$59,Hypothèses!$D$60,0)+IF(H7=Hypothèses!$D$61,Hypothèses!$D$62,0))</f>
        <v/>
      </c>
      <c r="I57" s="15">
        <f>Hypothèses!$D$56*(IF(I7=Hypothèses!$D$57,Hypothèses!$D$58,0)+IF(I7=Hypothèses!$D$59,Hypothèses!$D$60,0)+IF(I7=Hypothèses!$D$61,Hypothèses!$D$62,0))</f>
        <v/>
      </c>
      <c r="J57" s="15">
        <f>Hypothèses!$D$56*(IF(J7=Hypothèses!$D$57,Hypothèses!$D$58,0)+IF(J7=Hypothèses!$D$59,Hypothèses!$D$60,0)+IF(J7=Hypothèses!$D$61,Hypothèses!$D$62,0))</f>
        <v/>
      </c>
      <c r="K57" s="15">
        <f>Hypothèses!$D$56*(IF(K7=Hypothèses!$D$57,Hypothèses!$D$58,0)+IF(K7=Hypothèses!$D$59,Hypothèses!$D$60,0)+IF(K7=Hypothèses!$D$61,Hypothèses!$D$62,0))</f>
        <v/>
      </c>
      <c r="L57" s="15">
        <f>Hypothèses!$D$56*(IF(L7=Hypothèses!$D$57,Hypothèses!$D$58,0)+IF(L7=Hypothèses!$D$59,Hypothèses!$D$60,0)+IF(L7=Hypothèses!$D$61,Hypothèses!$D$62,0))</f>
        <v/>
      </c>
      <c r="M57" s="15">
        <f>Hypothèses!$D$56*(IF(M7=Hypothèses!$D$57,Hypothèses!$D$58,0)+IF(M7=Hypothèses!$D$59,Hypothèses!$D$60,0)+IF(M7=Hypothèses!$D$61,Hypothèses!$D$62,0))</f>
        <v/>
      </c>
      <c r="N57" s="15">
        <f>Hypothèses!$D$56*(IF(N7=Hypothèses!$D$57,Hypothèses!$D$58,0)+IF(N7=Hypothèses!$D$59,Hypothèses!$D$60,0)+IF(N7=Hypothèses!$D$61,Hypothèses!$D$62,0))</f>
        <v/>
      </c>
      <c r="O57" s="15">
        <f>Hypothèses!$D$56*(IF(O7=Hypothèses!$D$57,Hypothèses!$D$58,0)+IF(O7=Hypothèses!$D$59,Hypothèses!$D$60,0)+IF(O7=Hypothèses!$D$61,Hypothèses!$D$62,0))</f>
        <v/>
      </c>
      <c r="P57" s="15">
        <f>Hypothèses!$D$56*(IF(P7=Hypothèses!$D$57,Hypothèses!$D$58,0)+IF(P7=Hypothèses!$D$59,Hypothèses!$D$60,0)+IF(P7=Hypothèses!$D$61,Hypothèses!$D$62,0))</f>
        <v/>
      </c>
      <c r="Q57" s="15">
        <f>Hypothèses!$D$56*(IF(Q7=Hypothèses!$D$57,Hypothèses!$D$58,0)+IF(Q7=Hypothèses!$D$59,Hypothèses!$D$60,0)+IF(Q7=Hypothèses!$D$61,Hypothèses!$D$62,0))</f>
        <v/>
      </c>
      <c r="R57" s="15">
        <f>Hypothèses!$D$56*(IF(R7=Hypothèses!$D$57,Hypothèses!$D$58,0)+IF(R7=Hypothèses!$D$59,Hypothèses!$D$60,0)+IF(R7=Hypothèses!$D$61,Hypothèses!$D$62,0))</f>
        <v/>
      </c>
      <c r="S57" s="15">
        <f>Hypothèses!$D$56*(IF(S7=Hypothèses!$D$57,Hypothèses!$D$58,0)+IF(S7=Hypothèses!$D$59,Hypothèses!$D$60,0)+IF(S7=Hypothèses!$D$61,Hypothèses!$D$62,0))</f>
        <v/>
      </c>
      <c r="T57" s="15">
        <f>Hypothèses!$D$56*(IF(T7=Hypothèses!$D$57,Hypothèses!$D$58,0)+IF(T7=Hypothèses!$D$59,Hypothèses!$D$60,0)+IF(T7=Hypothèses!$D$61,Hypothèses!$D$62,0))</f>
        <v/>
      </c>
      <c r="U57" s="15">
        <f>Hypothèses!$D$56*(IF(U7=Hypothèses!$D$57,Hypothèses!$D$58,0)+IF(U7=Hypothèses!$D$59,Hypothèses!$D$60,0)+IF(U7=Hypothèses!$D$61,Hypothèses!$D$62,0))</f>
        <v/>
      </c>
      <c r="V57" s="15">
        <f>Hypothèses!$D$56*(IF(V7=Hypothèses!$D$57,Hypothèses!$D$58,0)+IF(V7=Hypothèses!$D$59,Hypothèses!$D$60,0)+IF(V7=Hypothèses!$D$61,Hypothèses!$D$62,0))</f>
        <v/>
      </c>
      <c r="W57" s="15">
        <f>Hypothèses!$D$56*(IF(W7=Hypothèses!$D$57,Hypothèses!$D$58,0)+IF(W7=Hypothèses!$D$59,Hypothèses!$D$60,0)+IF(W7=Hypothèses!$D$61,Hypothèses!$D$62,0))</f>
        <v/>
      </c>
      <c r="X57" s="15">
        <f>Hypothèses!$D$56*(IF(X7=Hypothèses!$D$57,Hypothèses!$D$58,0)+IF(X7=Hypothèses!$D$59,Hypothèses!$D$60,0)+IF(X7=Hypothèses!$D$61,Hypothèses!$D$62,0))</f>
        <v/>
      </c>
      <c r="Y57" s="15">
        <f>Hypothèses!$D$56*(IF(Y7=Hypothèses!$D$57,Hypothèses!$D$58,0)+IF(Y7=Hypothèses!$D$59,Hypothèses!$D$60,0)+IF(Y7=Hypothèses!$D$61,Hypothèses!$D$62,0))</f>
        <v/>
      </c>
      <c r="Z57" s="15">
        <f>Hypothèses!$D$56*(IF(Z7=Hypothèses!$D$57,Hypothèses!$D$58,0)+IF(Z7=Hypothèses!$D$59,Hypothèses!$D$60,0)+IF(Z7=Hypothèses!$D$61,Hypothèses!$D$62,0))</f>
        <v/>
      </c>
      <c r="AA57" s="15">
        <f>Hypothèses!$D$56*(IF(AA7=Hypothèses!$D$57,Hypothèses!$D$58,0)+IF(AA7=Hypothèses!$D$59,Hypothèses!$D$60,0)+IF(AA7=Hypothèses!$D$61,Hypothèses!$D$62,0))</f>
        <v/>
      </c>
      <c r="AB57" s="15">
        <f>Hypothèses!$D$56*(IF(AB7=Hypothèses!$D$57,Hypothèses!$D$58,0)+IF(AB7=Hypothèses!$D$59,Hypothèses!$D$60,0)+IF(AB7=Hypothèses!$D$61,Hypothèses!$D$62,0))</f>
        <v/>
      </c>
      <c r="AC57" s="15">
        <f>Hypothèses!$D$56*(IF(AC7=Hypothèses!$D$57,Hypothèses!$D$58,0)+IF(AC7=Hypothèses!$D$59,Hypothèses!$D$60,0)+IF(AC7=Hypothèses!$D$61,Hypothèses!$D$62,0))</f>
        <v/>
      </c>
      <c r="AD57" s="15">
        <f>Hypothèses!$D$56*(IF(AD7=Hypothèses!$D$57,Hypothèses!$D$58,0)+IF(AD7=Hypothèses!$D$59,Hypothèses!$D$60,0)+IF(AD7=Hypothèses!$D$61,Hypothèses!$D$62,0))</f>
        <v/>
      </c>
      <c r="AE57" s="15">
        <f>Hypothèses!$D$56*(IF(AE7=Hypothèses!$D$57,Hypothèses!$D$58,0)+IF(AE7=Hypothèses!$D$59,Hypothèses!$D$60,0)+IF(AE7=Hypothèses!$D$61,Hypothèses!$D$62,0))</f>
        <v/>
      </c>
      <c r="AF57" s="15">
        <f>Hypothèses!$D$56*(IF(AF7=Hypothèses!$D$57,Hypothèses!$D$58,0)+IF(AF7=Hypothèses!$D$59,Hypothèses!$D$60,0)+IF(AF7=Hypothèses!$D$61,Hypothèses!$D$62,0))</f>
        <v/>
      </c>
      <c r="AG57" s="15">
        <f>Hypothèses!$D$56*(IF(AG7=Hypothèses!$D$57,Hypothèses!$D$58,0)+IF(AG7=Hypothèses!$D$59,Hypothèses!$D$60,0)+IF(AG7=Hypothèses!$D$61,Hypothèses!$D$62,0))</f>
        <v/>
      </c>
      <c r="AH57" s="15">
        <f>Hypothèses!$D$56*(IF(AH7=Hypothèses!$D$57,Hypothèses!$D$58,0)+IF(AH7=Hypothèses!$D$59,Hypothèses!$D$60,0)+IF(AH7=Hypothèses!$D$61,Hypothèses!$D$62,0))</f>
        <v/>
      </c>
      <c r="AI57" s="15">
        <f>Hypothèses!$D$56*(IF(AI7=Hypothèses!$D$57,Hypothèses!$D$58,0)+IF(AI7=Hypothèses!$D$59,Hypothèses!$D$60,0)+IF(AI7=Hypothèses!$D$61,Hypothèses!$D$62,0))</f>
        <v/>
      </c>
      <c r="AJ57" s="15">
        <f>Hypothèses!$D$56*(IF(AJ7=Hypothèses!$D$57,Hypothèses!$D$58,0)+IF(AJ7=Hypothèses!$D$59,Hypothèses!$D$60,0)+IF(AJ7=Hypothèses!$D$61,Hypothèses!$D$62,0))</f>
        <v/>
      </c>
      <c r="AK57" s="15">
        <f>Hypothèses!$D$56*(IF(AK7=Hypothèses!$D$57,Hypothèses!$D$58,0)+IF(AK7=Hypothèses!$D$59,Hypothèses!$D$60,0)+IF(AK7=Hypothèses!$D$61,Hypothèses!$D$62,0))</f>
        <v/>
      </c>
      <c r="AL57" s="15">
        <f>Hypothèses!$D$56*(IF(AL7=Hypothèses!$D$57,Hypothèses!$D$58,0)+IF(AL7=Hypothèses!$D$59,Hypothèses!$D$60,0)+IF(AL7=Hypothèses!$D$61,Hypothèses!$D$62,0))</f>
        <v/>
      </c>
      <c r="AN57" s="15">
        <f>SUM(C57:N57)</f>
        <v/>
      </c>
      <c r="AO57" s="15">
        <f>SUM(O57:Z57)</f>
        <v/>
      </c>
      <c r="AP57" s="15">
        <f>SUM(AA57:AL57)</f>
        <v/>
      </c>
    </row>
    <row r="58">
      <c r="A58" s="9" t="inlineStr">
        <is>
          <t>Trésorerie d'ouverture</t>
        </is>
      </c>
      <c r="B58" s="4" t="inlineStr">
        <is>
          <t>€</t>
        </is>
      </c>
      <c r="C58" s="15">
        <f>Hypothèses!$D$54</f>
        <v/>
      </c>
      <c r="D58" s="15">
        <f>C60</f>
        <v/>
      </c>
      <c r="E58" s="15">
        <f>D60</f>
        <v/>
      </c>
      <c r="F58" s="15">
        <f>E60</f>
        <v/>
      </c>
      <c r="G58" s="15">
        <f>F60</f>
        <v/>
      </c>
      <c r="H58" s="15">
        <f>G60</f>
        <v/>
      </c>
      <c r="I58" s="15">
        <f>H60</f>
        <v/>
      </c>
      <c r="J58" s="15">
        <f>I60</f>
        <v/>
      </c>
      <c r="K58" s="15">
        <f>J60</f>
        <v/>
      </c>
      <c r="L58" s="15">
        <f>K60</f>
        <v/>
      </c>
      <c r="M58" s="15">
        <f>L60</f>
        <v/>
      </c>
      <c r="N58" s="15">
        <f>M60</f>
        <v/>
      </c>
      <c r="O58" s="15">
        <f>N60</f>
        <v/>
      </c>
      <c r="P58" s="15">
        <f>O60</f>
        <v/>
      </c>
      <c r="Q58" s="15">
        <f>P60</f>
        <v/>
      </c>
      <c r="R58" s="15">
        <f>Q60</f>
        <v/>
      </c>
      <c r="S58" s="15">
        <f>R60</f>
        <v/>
      </c>
      <c r="T58" s="15">
        <f>S60</f>
        <v/>
      </c>
      <c r="U58" s="15">
        <f>T60</f>
        <v/>
      </c>
      <c r="V58" s="15">
        <f>U60</f>
        <v/>
      </c>
      <c r="W58" s="15">
        <f>V60</f>
        <v/>
      </c>
      <c r="X58" s="15">
        <f>W60</f>
        <v/>
      </c>
      <c r="Y58" s="15">
        <f>X60</f>
        <v/>
      </c>
      <c r="Z58" s="15">
        <f>Y60</f>
        <v/>
      </c>
      <c r="AA58" s="15">
        <f>Z60</f>
        <v/>
      </c>
      <c r="AB58" s="15">
        <f>AA60</f>
        <v/>
      </c>
      <c r="AC58" s="15">
        <f>AB60</f>
        <v/>
      </c>
      <c r="AD58" s="15">
        <f>AC60</f>
        <v/>
      </c>
      <c r="AE58" s="15">
        <f>AD60</f>
        <v/>
      </c>
      <c r="AF58" s="15">
        <f>AE60</f>
        <v/>
      </c>
      <c r="AG58" s="15">
        <f>AF60</f>
        <v/>
      </c>
      <c r="AH58" s="15">
        <f>AG60</f>
        <v/>
      </c>
      <c r="AI58" s="15">
        <f>AH60</f>
        <v/>
      </c>
      <c r="AJ58" s="15">
        <f>AI60</f>
        <v/>
      </c>
      <c r="AK58" s="15">
        <f>AJ60</f>
        <v/>
      </c>
      <c r="AL58" s="15">
        <f>AK60</f>
        <v/>
      </c>
    </row>
    <row r="59">
      <c r="A59" s="9" t="inlineStr">
        <is>
          <t>Flux de trésorerie du mois</t>
        </is>
      </c>
      <c r="B59" s="4" t="inlineStr">
        <is>
          <t>€</t>
        </is>
      </c>
      <c r="C59" s="15">
        <f>C31-C36-C39-C51-C55+C56+C57</f>
        <v/>
      </c>
      <c r="D59" s="15">
        <f>D31-D36-D39-D51-D55+D56+D57</f>
        <v/>
      </c>
      <c r="E59" s="15">
        <f>E31-E36-E39-E51-E55+E56+E57</f>
        <v/>
      </c>
      <c r="F59" s="15">
        <f>F31-F36-F39-F51-F55+F56+F57</f>
        <v/>
      </c>
      <c r="G59" s="15">
        <f>G31-G36-G39-G51-G55+G56+G57</f>
        <v/>
      </c>
      <c r="H59" s="15">
        <f>H31-H36-H39-H51-H55+H56+H57</f>
        <v/>
      </c>
      <c r="I59" s="15">
        <f>I31-I36-I39-I51-I55+I56+I57</f>
        <v/>
      </c>
      <c r="J59" s="15">
        <f>J31-J36-J39-J51-J55+J56+J57</f>
        <v/>
      </c>
      <c r="K59" s="15">
        <f>K31-K36-K39-K51-K55+K56+K57</f>
        <v/>
      </c>
      <c r="L59" s="15">
        <f>L31-L36-L39-L51-L55+L56+L57</f>
        <v/>
      </c>
      <c r="M59" s="15">
        <f>M31-M36-M39-M51-M55+M56+M57</f>
        <v/>
      </c>
      <c r="N59" s="15">
        <f>N31-N36-N39-N51-N55+N56+N57</f>
        <v/>
      </c>
      <c r="O59" s="15">
        <f>O31-O36-O39-O51-O55+O56+O57</f>
        <v/>
      </c>
      <c r="P59" s="15">
        <f>P31-P36-P39-P51-P55+P56+P57</f>
        <v/>
      </c>
      <c r="Q59" s="15">
        <f>Q31-Q36-Q39-Q51-Q55+Q56+Q57</f>
        <v/>
      </c>
      <c r="R59" s="15">
        <f>R31-R36-R39-R51-R55+R56+R57</f>
        <v/>
      </c>
      <c r="S59" s="15">
        <f>S31-S36-S39-S51-S55+S56+S57</f>
        <v/>
      </c>
      <c r="T59" s="15">
        <f>T31-T36-T39-T51-T55+T56+T57</f>
        <v/>
      </c>
      <c r="U59" s="15">
        <f>U31-U36-U39-U51-U55+U56+U57</f>
        <v/>
      </c>
      <c r="V59" s="15">
        <f>V31-V36-V39-V51-V55+V56+V57</f>
        <v/>
      </c>
      <c r="W59" s="15">
        <f>W31-W36-W39-W51-W55+W56+W57</f>
        <v/>
      </c>
      <c r="X59" s="15">
        <f>X31-X36-X39-X51-X55+X56+X57</f>
        <v/>
      </c>
      <c r="Y59" s="15">
        <f>Y31-Y36-Y39-Y51-Y55+Y56+Y57</f>
        <v/>
      </c>
      <c r="Z59" s="15">
        <f>Z31-Z36-Z39-Z51-Z55+Z56+Z57</f>
        <v/>
      </c>
      <c r="AA59" s="15">
        <f>AA31-AA36-AA39-AA51-AA55+AA56+AA57</f>
        <v/>
      </c>
      <c r="AB59" s="15">
        <f>AB31-AB36-AB39-AB51-AB55+AB56+AB57</f>
        <v/>
      </c>
      <c r="AC59" s="15">
        <f>AC31-AC36-AC39-AC51-AC55+AC56+AC57</f>
        <v/>
      </c>
      <c r="AD59" s="15">
        <f>AD31-AD36-AD39-AD51-AD55+AD56+AD57</f>
        <v/>
      </c>
      <c r="AE59" s="15">
        <f>AE31-AE36-AE39-AE51-AE55+AE56+AE57</f>
        <v/>
      </c>
      <c r="AF59" s="15">
        <f>AF31-AF36-AF39-AF51-AF55+AF56+AF57</f>
        <v/>
      </c>
      <c r="AG59" s="15">
        <f>AG31-AG36-AG39-AG51-AG55+AG56+AG57</f>
        <v/>
      </c>
      <c r="AH59" s="15">
        <f>AH31-AH36-AH39-AH51-AH55+AH56+AH57</f>
        <v/>
      </c>
      <c r="AI59" s="15">
        <f>AI31-AI36-AI39-AI51-AI55+AI56+AI57</f>
        <v/>
      </c>
      <c r="AJ59" s="15">
        <f>AJ31-AJ36-AJ39-AJ51-AJ55+AJ56+AJ57</f>
        <v/>
      </c>
      <c r="AK59" s="15">
        <f>AK31-AK36-AK39-AK51-AK55+AK56+AK57</f>
        <v/>
      </c>
      <c r="AL59" s="15">
        <f>AL31-AL36-AL39-AL51-AL55+AL56+AL57</f>
        <v/>
      </c>
      <c r="AN59" s="15">
        <f>SUM(C59:N59)</f>
        <v/>
      </c>
      <c r="AO59" s="15">
        <f>SUM(O59:Z59)</f>
        <v/>
      </c>
      <c r="AP59" s="15">
        <f>SUM(AA59:AL59)</f>
        <v/>
      </c>
    </row>
    <row r="60">
      <c r="A60" s="2" t="inlineStr">
        <is>
          <t>Trésorerie de clôture</t>
        </is>
      </c>
      <c r="B60" s="4" t="inlineStr">
        <is>
          <t>€</t>
        </is>
      </c>
      <c r="C60" s="40">
        <f>C58+C59</f>
        <v/>
      </c>
      <c r="D60" s="40">
        <f>D58+D59</f>
        <v/>
      </c>
      <c r="E60" s="40">
        <f>E58+E59</f>
        <v/>
      </c>
      <c r="F60" s="40">
        <f>F58+F59</f>
        <v/>
      </c>
      <c r="G60" s="40">
        <f>G58+G59</f>
        <v/>
      </c>
      <c r="H60" s="40">
        <f>H58+H59</f>
        <v/>
      </c>
      <c r="I60" s="40">
        <f>I58+I59</f>
        <v/>
      </c>
      <c r="J60" s="40">
        <f>J58+J59</f>
        <v/>
      </c>
      <c r="K60" s="40">
        <f>K58+K59</f>
        <v/>
      </c>
      <c r="L60" s="40">
        <f>L58+L59</f>
        <v/>
      </c>
      <c r="M60" s="40">
        <f>M58+M59</f>
        <v/>
      </c>
      <c r="N60" s="40">
        <f>N58+N59</f>
        <v/>
      </c>
      <c r="O60" s="40">
        <f>O58+O59</f>
        <v/>
      </c>
      <c r="P60" s="40">
        <f>P58+P59</f>
        <v/>
      </c>
      <c r="Q60" s="40">
        <f>Q58+Q59</f>
        <v/>
      </c>
      <c r="R60" s="40">
        <f>R58+R59</f>
        <v/>
      </c>
      <c r="S60" s="40">
        <f>S58+S59</f>
        <v/>
      </c>
      <c r="T60" s="40">
        <f>T58+T59</f>
        <v/>
      </c>
      <c r="U60" s="40">
        <f>U58+U59</f>
        <v/>
      </c>
      <c r="V60" s="40">
        <f>V58+V59</f>
        <v/>
      </c>
      <c r="W60" s="40">
        <f>W58+W59</f>
        <v/>
      </c>
      <c r="X60" s="40">
        <f>X58+X59</f>
        <v/>
      </c>
      <c r="Y60" s="40">
        <f>Y58+Y59</f>
        <v/>
      </c>
      <c r="Z60" s="40">
        <f>Z58+Z59</f>
        <v/>
      </c>
      <c r="AA60" s="40">
        <f>AA58+AA59</f>
        <v/>
      </c>
      <c r="AB60" s="40">
        <f>AB58+AB59</f>
        <v/>
      </c>
      <c r="AC60" s="40">
        <f>AC58+AC59</f>
        <v/>
      </c>
      <c r="AD60" s="40">
        <f>AD58+AD59</f>
        <v/>
      </c>
      <c r="AE60" s="40">
        <f>AE58+AE59</f>
        <v/>
      </c>
      <c r="AF60" s="40">
        <f>AF58+AF59</f>
        <v/>
      </c>
      <c r="AG60" s="40">
        <f>AG58+AG59</f>
        <v/>
      </c>
      <c r="AH60" s="40">
        <f>AH58+AH59</f>
        <v/>
      </c>
      <c r="AI60" s="40">
        <f>AI58+AI59</f>
        <v/>
      </c>
      <c r="AJ60" s="40">
        <f>AJ58+AJ59</f>
        <v/>
      </c>
      <c r="AK60" s="40">
        <f>AK58+AK59</f>
        <v/>
      </c>
      <c r="AL60" s="40">
        <f>AL58+AL59</f>
        <v/>
      </c>
      <c r="AN60" s="40">
        <f>N60</f>
        <v/>
      </c>
      <c r="AO60" s="40">
        <f>Z60</f>
        <v/>
      </c>
      <c r="AP60" s="40">
        <f>AL60</f>
        <v/>
      </c>
    </row>
    <row r="61">
      <c r="A61" s="9" t="inlineStr">
        <is>
          <t>Financement cumulé</t>
        </is>
      </c>
      <c r="B61" s="4" t="inlineStr">
        <is>
          <t>€</t>
        </is>
      </c>
      <c r="C61" s="15">
        <f>0+C57</f>
        <v/>
      </c>
      <c r="D61" s="15">
        <f>C61+D57</f>
        <v/>
      </c>
      <c r="E61" s="15">
        <f>D61+E57</f>
        <v/>
      </c>
      <c r="F61" s="15">
        <f>E61+F57</f>
        <v/>
      </c>
      <c r="G61" s="15">
        <f>F61+G57</f>
        <v/>
      </c>
      <c r="H61" s="15">
        <f>G61+H57</f>
        <v/>
      </c>
      <c r="I61" s="15">
        <f>H61+I57</f>
        <v/>
      </c>
      <c r="J61" s="15">
        <f>I61+J57</f>
        <v/>
      </c>
      <c r="K61" s="15">
        <f>J61+K57</f>
        <v/>
      </c>
      <c r="L61" s="15">
        <f>K61+L57</f>
        <v/>
      </c>
      <c r="M61" s="15">
        <f>L61+M57</f>
        <v/>
      </c>
      <c r="N61" s="15">
        <f>M61+N57</f>
        <v/>
      </c>
      <c r="O61" s="15">
        <f>N61+O57</f>
        <v/>
      </c>
      <c r="P61" s="15">
        <f>O61+P57</f>
        <v/>
      </c>
      <c r="Q61" s="15">
        <f>P61+Q57</f>
        <v/>
      </c>
      <c r="R61" s="15">
        <f>Q61+R57</f>
        <v/>
      </c>
      <c r="S61" s="15">
        <f>R61+S57</f>
        <v/>
      </c>
      <c r="T61" s="15">
        <f>S61+T57</f>
        <v/>
      </c>
      <c r="U61" s="15">
        <f>T61+U57</f>
        <v/>
      </c>
      <c r="V61" s="15">
        <f>U61+V57</f>
        <v/>
      </c>
      <c r="W61" s="15">
        <f>V61+W57</f>
        <v/>
      </c>
      <c r="X61" s="15">
        <f>W61+X57</f>
        <v/>
      </c>
      <c r="Y61" s="15">
        <f>X61+Y57</f>
        <v/>
      </c>
      <c r="Z61" s="15">
        <f>Y61+Z57</f>
        <v/>
      </c>
      <c r="AA61" s="15">
        <f>Z61+AA57</f>
        <v/>
      </c>
      <c r="AB61" s="15">
        <f>AA61+AB57</f>
        <v/>
      </c>
      <c r="AC61" s="15">
        <f>AB61+AC57</f>
        <v/>
      </c>
      <c r="AD61" s="15">
        <f>AC61+AD57</f>
        <v/>
      </c>
      <c r="AE61" s="15">
        <f>AD61+AE57</f>
        <v/>
      </c>
      <c r="AF61" s="15">
        <f>AE61+AF57</f>
        <v/>
      </c>
      <c r="AG61" s="15">
        <f>AF61+AG57</f>
        <v/>
      </c>
      <c r="AH61" s="15">
        <f>AG61+AH57</f>
        <v/>
      </c>
      <c r="AI61" s="15">
        <f>AH61+AI57</f>
        <v/>
      </c>
      <c r="AJ61" s="15">
        <f>AI61+AJ57</f>
        <v/>
      </c>
      <c r="AK61" s="15">
        <f>AJ61+AK57</f>
        <v/>
      </c>
      <c r="AL61" s="15">
        <f>AK61+AL57</f>
        <v/>
      </c>
      <c r="AN61" s="15">
        <f>N61</f>
        <v/>
      </c>
      <c r="AO61" s="15">
        <f>Z61</f>
        <v/>
      </c>
      <c r="AP61" s="15">
        <f>AL61</f>
        <v/>
      </c>
    </row>
    <row r="62">
      <c r="A62" s="2" t="inlineStr">
        <is>
          <t>Trésorerie cumulée hors financement</t>
        </is>
      </c>
      <c r="B62" s="4" t="inlineStr">
        <is>
          <t>€</t>
        </is>
      </c>
      <c r="C62" s="40">
        <f>C60-C61</f>
        <v/>
      </c>
      <c r="D62" s="40">
        <f>D60-D61</f>
        <v/>
      </c>
      <c r="E62" s="40">
        <f>E60-E61</f>
        <v/>
      </c>
      <c r="F62" s="40">
        <f>F60-F61</f>
        <v/>
      </c>
      <c r="G62" s="40">
        <f>G60-G61</f>
        <v/>
      </c>
      <c r="H62" s="40">
        <f>H60-H61</f>
        <v/>
      </c>
      <c r="I62" s="40">
        <f>I60-I61</f>
        <v/>
      </c>
      <c r="J62" s="40">
        <f>J60-J61</f>
        <v/>
      </c>
      <c r="K62" s="40">
        <f>K60-K61</f>
        <v/>
      </c>
      <c r="L62" s="40">
        <f>L60-L61</f>
        <v/>
      </c>
      <c r="M62" s="40">
        <f>M60-M61</f>
        <v/>
      </c>
      <c r="N62" s="40">
        <f>N60-N61</f>
        <v/>
      </c>
      <c r="O62" s="40">
        <f>O60-O61</f>
        <v/>
      </c>
      <c r="P62" s="40">
        <f>P60-P61</f>
        <v/>
      </c>
      <c r="Q62" s="40">
        <f>Q60-Q61</f>
        <v/>
      </c>
      <c r="R62" s="40">
        <f>R60-R61</f>
        <v/>
      </c>
      <c r="S62" s="40">
        <f>S60-S61</f>
        <v/>
      </c>
      <c r="T62" s="40">
        <f>T60-T61</f>
        <v/>
      </c>
      <c r="U62" s="40">
        <f>U60-U61</f>
        <v/>
      </c>
      <c r="V62" s="40">
        <f>V60-V61</f>
        <v/>
      </c>
      <c r="W62" s="40">
        <f>W60-W61</f>
        <v/>
      </c>
      <c r="X62" s="40">
        <f>X60-X61</f>
        <v/>
      </c>
      <c r="Y62" s="40">
        <f>Y60-Y61</f>
        <v/>
      </c>
      <c r="Z62" s="40">
        <f>Z60-Z61</f>
        <v/>
      </c>
      <c r="AA62" s="40">
        <f>AA60-AA61</f>
        <v/>
      </c>
      <c r="AB62" s="40">
        <f>AB60-AB61</f>
        <v/>
      </c>
      <c r="AC62" s="40">
        <f>AC60-AC61</f>
        <v/>
      </c>
      <c r="AD62" s="40">
        <f>AD60-AD61</f>
        <v/>
      </c>
      <c r="AE62" s="40">
        <f>AE60-AE61</f>
        <v/>
      </c>
      <c r="AF62" s="40">
        <f>AF60-AF61</f>
        <v/>
      </c>
      <c r="AG62" s="40">
        <f>AG60-AG61</f>
        <v/>
      </c>
      <c r="AH62" s="40">
        <f>AH60-AH61</f>
        <v/>
      </c>
      <c r="AI62" s="40">
        <f>AI60-AI61</f>
        <v/>
      </c>
      <c r="AJ62" s="40">
        <f>AJ60-AJ61</f>
        <v/>
      </c>
      <c r="AK62" s="40">
        <f>AK60-AK61</f>
        <v/>
      </c>
      <c r="AL62" s="40">
        <f>AL60-AL61</f>
        <v/>
      </c>
      <c r="AN62" s="40">
        <f>N62</f>
        <v/>
      </c>
      <c r="AO62" s="40">
        <f>Z62</f>
        <v/>
      </c>
      <c r="AP62" s="40">
        <f>AL62</f>
        <v/>
      </c>
    </row>
    <row r="63">
      <c r="A63" s="9" t="inlineStr">
        <is>
          <t>Point bas glissant hors financement</t>
        </is>
      </c>
      <c r="B63" s="4" t="inlineStr">
        <is>
          <t>€</t>
        </is>
      </c>
      <c r="C63" s="15">
        <f>C62</f>
        <v/>
      </c>
      <c r="D63" s="15">
        <f>MIN(C63,D62)</f>
        <v/>
      </c>
      <c r="E63" s="15">
        <f>MIN(D63,E62)</f>
        <v/>
      </c>
      <c r="F63" s="15">
        <f>MIN(E63,F62)</f>
        <v/>
      </c>
      <c r="G63" s="15">
        <f>MIN(F63,G62)</f>
        <v/>
      </c>
      <c r="H63" s="15">
        <f>MIN(G63,H62)</f>
        <v/>
      </c>
      <c r="I63" s="15">
        <f>MIN(H63,I62)</f>
        <v/>
      </c>
      <c r="J63" s="15">
        <f>MIN(I63,J62)</f>
        <v/>
      </c>
      <c r="K63" s="15">
        <f>MIN(J63,K62)</f>
        <v/>
      </c>
      <c r="L63" s="15">
        <f>MIN(K63,L62)</f>
        <v/>
      </c>
      <c r="M63" s="15">
        <f>MIN(L63,M62)</f>
        <v/>
      </c>
      <c r="N63" s="15">
        <f>MIN(M63,N62)</f>
        <v/>
      </c>
      <c r="O63" s="15">
        <f>MIN(N63,O62)</f>
        <v/>
      </c>
      <c r="P63" s="15">
        <f>MIN(O63,P62)</f>
        <v/>
      </c>
      <c r="Q63" s="15">
        <f>MIN(P63,Q62)</f>
        <v/>
      </c>
      <c r="R63" s="15">
        <f>MIN(Q63,R62)</f>
        <v/>
      </c>
      <c r="S63" s="15">
        <f>MIN(R63,S62)</f>
        <v/>
      </c>
      <c r="T63" s="15">
        <f>MIN(S63,T62)</f>
        <v/>
      </c>
      <c r="U63" s="15">
        <f>MIN(T63,U62)</f>
        <v/>
      </c>
      <c r="V63" s="15">
        <f>MIN(U63,V62)</f>
        <v/>
      </c>
      <c r="W63" s="15">
        <f>MIN(V63,W62)</f>
        <v/>
      </c>
      <c r="X63" s="15">
        <f>MIN(W63,X62)</f>
        <v/>
      </c>
      <c r="Y63" s="15">
        <f>MIN(X63,Y62)</f>
        <v/>
      </c>
      <c r="Z63" s="15">
        <f>MIN(Y63,Z62)</f>
        <v/>
      </c>
      <c r="AA63" s="15">
        <f>MIN(Z63,AA62)</f>
        <v/>
      </c>
      <c r="AB63" s="15">
        <f>MIN(AA63,AB62)</f>
        <v/>
      </c>
      <c r="AC63" s="15">
        <f>MIN(AB63,AC62)</f>
        <v/>
      </c>
      <c r="AD63" s="15">
        <f>MIN(AC63,AD62)</f>
        <v/>
      </c>
      <c r="AE63" s="15">
        <f>MIN(AD63,AE62)</f>
        <v/>
      </c>
      <c r="AF63" s="15">
        <f>MIN(AE63,AF62)</f>
        <v/>
      </c>
      <c r="AG63" s="15">
        <f>MIN(AF63,AG62)</f>
        <v/>
      </c>
      <c r="AH63" s="15">
        <f>MIN(AG63,AH62)</f>
        <v/>
      </c>
      <c r="AI63" s="15">
        <f>MIN(AH63,AI62)</f>
        <v/>
      </c>
      <c r="AJ63" s="15">
        <f>MIN(AI63,AJ62)</f>
        <v/>
      </c>
      <c r="AK63" s="15">
        <f>MIN(AJ63,AK62)</f>
        <v/>
      </c>
      <c r="AL63" s="15">
        <f>MIN(AK63,AL62)</f>
        <v/>
      </c>
      <c r="AN63" s="15">
        <f>N63</f>
        <v/>
      </c>
      <c r="AO63" s="15">
        <f>Z63</f>
        <v/>
      </c>
      <c r="AP63" s="15">
        <f>AL63</f>
        <v/>
      </c>
    </row>
    <row r="64">
      <c r="A64" s="9" t="inlineStr">
        <is>
          <t>Trésorerie cumulée hors financement positive après lancement ? (1 = oui)</t>
        </is>
      </c>
      <c r="B64" s="4" t="inlineStr">
        <is>
          <t>0/1</t>
        </is>
      </c>
      <c r="C64" s="13">
        <f>IF(AND(C9=1,C62&gt;0),1,0)</f>
        <v/>
      </c>
      <c r="D64" s="13">
        <f>IF(AND(D9=1,D62&gt;0),1,0)</f>
        <v/>
      </c>
      <c r="E64" s="13">
        <f>IF(AND(E9=1,E62&gt;0),1,0)</f>
        <v/>
      </c>
      <c r="F64" s="13">
        <f>IF(AND(F9=1,F62&gt;0),1,0)</f>
        <v/>
      </c>
      <c r="G64" s="13">
        <f>IF(AND(G9=1,G62&gt;0),1,0)</f>
        <v/>
      </c>
      <c r="H64" s="13">
        <f>IF(AND(H9=1,H62&gt;0),1,0)</f>
        <v/>
      </c>
      <c r="I64" s="13">
        <f>IF(AND(I9=1,I62&gt;0),1,0)</f>
        <v/>
      </c>
      <c r="J64" s="13">
        <f>IF(AND(J9=1,J62&gt;0),1,0)</f>
        <v/>
      </c>
      <c r="K64" s="13">
        <f>IF(AND(K9=1,K62&gt;0),1,0)</f>
        <v/>
      </c>
      <c r="L64" s="13">
        <f>IF(AND(L9=1,L62&gt;0),1,0)</f>
        <v/>
      </c>
      <c r="M64" s="13">
        <f>IF(AND(M9=1,M62&gt;0),1,0)</f>
        <v/>
      </c>
      <c r="N64" s="13">
        <f>IF(AND(N9=1,N62&gt;0),1,0)</f>
        <v/>
      </c>
      <c r="O64" s="13">
        <f>IF(AND(O9=1,O62&gt;0),1,0)</f>
        <v/>
      </c>
      <c r="P64" s="13">
        <f>IF(AND(P9=1,P62&gt;0),1,0)</f>
        <v/>
      </c>
      <c r="Q64" s="13">
        <f>IF(AND(Q9=1,Q62&gt;0),1,0)</f>
        <v/>
      </c>
      <c r="R64" s="13">
        <f>IF(AND(R9=1,R62&gt;0),1,0)</f>
        <v/>
      </c>
      <c r="S64" s="13">
        <f>IF(AND(S9=1,S62&gt;0),1,0)</f>
        <v/>
      </c>
      <c r="T64" s="13">
        <f>IF(AND(T9=1,T62&gt;0),1,0)</f>
        <v/>
      </c>
      <c r="U64" s="13">
        <f>IF(AND(U9=1,U62&gt;0),1,0)</f>
        <v/>
      </c>
      <c r="V64" s="13">
        <f>IF(AND(V9=1,V62&gt;0),1,0)</f>
        <v/>
      </c>
      <c r="W64" s="13">
        <f>IF(AND(W9=1,W62&gt;0),1,0)</f>
        <v/>
      </c>
      <c r="X64" s="13">
        <f>IF(AND(X9=1,X62&gt;0),1,0)</f>
        <v/>
      </c>
      <c r="Y64" s="13">
        <f>IF(AND(Y9=1,Y62&gt;0),1,0)</f>
        <v/>
      </c>
      <c r="Z64" s="13">
        <f>IF(AND(Z9=1,Z62&gt;0),1,0)</f>
        <v/>
      </c>
      <c r="AA64" s="13">
        <f>IF(AND(AA9=1,AA62&gt;0),1,0)</f>
        <v/>
      </c>
      <c r="AB64" s="13">
        <f>IF(AND(AB9=1,AB62&gt;0),1,0)</f>
        <v/>
      </c>
      <c r="AC64" s="13">
        <f>IF(AND(AC9=1,AC62&gt;0),1,0)</f>
        <v/>
      </c>
      <c r="AD64" s="13">
        <f>IF(AND(AD9=1,AD62&gt;0),1,0)</f>
        <v/>
      </c>
      <c r="AE64" s="13">
        <f>IF(AND(AE9=1,AE62&gt;0),1,0)</f>
        <v/>
      </c>
      <c r="AF64" s="13">
        <f>IF(AND(AF9=1,AF62&gt;0),1,0)</f>
        <v/>
      </c>
      <c r="AG64" s="13">
        <f>IF(AND(AG9=1,AG62&gt;0),1,0)</f>
        <v/>
      </c>
      <c r="AH64" s="13">
        <f>IF(AND(AH9=1,AH62&gt;0),1,0)</f>
        <v/>
      </c>
      <c r="AI64" s="13">
        <f>IF(AND(AI9=1,AI62&gt;0),1,0)</f>
        <v/>
      </c>
      <c r="AJ64" s="13">
        <f>IF(AND(AJ9=1,AJ62&gt;0),1,0)</f>
        <v/>
      </c>
      <c r="AK64" s="13">
        <f>IF(AND(AK9=1,AK62&gt;0),1,0)</f>
        <v/>
      </c>
      <c r="AL64" s="13">
        <f>IF(AND(AL9=1,AL62&gt;0),1,0)</f>
        <v/>
      </c>
    </row>
    <row r="65">
      <c r="A65" s="8" t="inlineStr">
        <is>
          <t>Indicateurs</t>
        </is>
      </c>
    </row>
    <row r="66">
      <c r="A66" s="9" t="inlineStr">
        <is>
          <t>ARR HT instantané (CA HT × 12)</t>
        </is>
      </c>
      <c r="B66" s="4" t="inlineStr">
        <is>
          <t>€ HT</t>
        </is>
      </c>
      <c r="C66" s="15">
        <f>C28*12</f>
        <v/>
      </c>
      <c r="D66" s="15">
        <f>D28*12</f>
        <v/>
      </c>
      <c r="E66" s="15">
        <f>E28*12</f>
        <v/>
      </c>
      <c r="F66" s="15">
        <f>F28*12</f>
        <v/>
      </c>
      <c r="G66" s="15">
        <f>G28*12</f>
        <v/>
      </c>
      <c r="H66" s="15">
        <f>H28*12</f>
        <v/>
      </c>
      <c r="I66" s="15">
        <f>I28*12</f>
        <v/>
      </c>
      <c r="J66" s="15">
        <f>J28*12</f>
        <v/>
      </c>
      <c r="K66" s="15">
        <f>K28*12</f>
        <v/>
      </c>
      <c r="L66" s="15">
        <f>L28*12</f>
        <v/>
      </c>
      <c r="M66" s="15">
        <f>M28*12</f>
        <v/>
      </c>
      <c r="N66" s="15">
        <f>N28*12</f>
        <v/>
      </c>
      <c r="O66" s="15">
        <f>O28*12</f>
        <v/>
      </c>
      <c r="P66" s="15">
        <f>P28*12</f>
        <v/>
      </c>
      <c r="Q66" s="15">
        <f>Q28*12</f>
        <v/>
      </c>
      <c r="R66" s="15">
        <f>R28*12</f>
        <v/>
      </c>
      <c r="S66" s="15">
        <f>S28*12</f>
        <v/>
      </c>
      <c r="T66" s="15">
        <f>T28*12</f>
        <v/>
      </c>
      <c r="U66" s="15">
        <f>U28*12</f>
        <v/>
      </c>
      <c r="V66" s="15">
        <f>V28*12</f>
        <v/>
      </c>
      <c r="W66" s="15">
        <f>W28*12</f>
        <v/>
      </c>
      <c r="X66" s="15">
        <f>X28*12</f>
        <v/>
      </c>
      <c r="Y66" s="15">
        <f>Y28*12</f>
        <v/>
      </c>
      <c r="Z66" s="15">
        <f>Z28*12</f>
        <v/>
      </c>
      <c r="AA66" s="15">
        <f>AA28*12</f>
        <v/>
      </c>
      <c r="AB66" s="15">
        <f>AB28*12</f>
        <v/>
      </c>
      <c r="AC66" s="15">
        <f>AC28*12</f>
        <v/>
      </c>
      <c r="AD66" s="15">
        <f>AD28*12</f>
        <v/>
      </c>
      <c r="AE66" s="15">
        <f>AE28*12</f>
        <v/>
      </c>
      <c r="AF66" s="15">
        <f>AF28*12</f>
        <v/>
      </c>
      <c r="AG66" s="15">
        <f>AG28*12</f>
        <v/>
      </c>
      <c r="AH66" s="15">
        <f>AH28*12</f>
        <v/>
      </c>
      <c r="AI66" s="15">
        <f>AI28*12</f>
        <v/>
      </c>
      <c r="AJ66" s="15">
        <f>AJ28*12</f>
        <v/>
      </c>
      <c r="AK66" s="15">
        <f>AK28*12</f>
        <v/>
      </c>
      <c r="AL66" s="15">
        <f>AL28*12</f>
        <v/>
      </c>
      <c r="AN66" s="15">
        <f>N66</f>
        <v/>
      </c>
      <c r="AO66" s="15">
        <f>Z66</f>
        <v/>
      </c>
      <c r="AP66" s="15">
        <f>AL66</f>
        <v/>
      </c>
    </row>
    <row r="67">
      <c r="A67" s="9" t="inlineStr">
        <is>
          <t>ARPA HT (CA HT / abonnés)</t>
        </is>
      </c>
      <c r="B67" s="4" t="inlineStr">
        <is>
          <t>€ HT</t>
        </is>
      </c>
      <c r="C67" s="19">
        <f>IF(C18&gt;0,C28/C18,0)</f>
        <v/>
      </c>
      <c r="D67" s="19">
        <f>IF(D18&gt;0,D28/D18,0)</f>
        <v/>
      </c>
      <c r="E67" s="19">
        <f>IF(E18&gt;0,E28/E18,0)</f>
        <v/>
      </c>
      <c r="F67" s="19">
        <f>IF(F18&gt;0,F28/F18,0)</f>
        <v/>
      </c>
      <c r="G67" s="19">
        <f>IF(G18&gt;0,G28/G18,0)</f>
        <v/>
      </c>
      <c r="H67" s="19">
        <f>IF(H18&gt;0,H28/H18,0)</f>
        <v/>
      </c>
      <c r="I67" s="19">
        <f>IF(I18&gt;0,I28/I18,0)</f>
        <v/>
      </c>
      <c r="J67" s="19">
        <f>IF(J18&gt;0,J28/J18,0)</f>
        <v/>
      </c>
      <c r="K67" s="19">
        <f>IF(K18&gt;0,K28/K18,0)</f>
        <v/>
      </c>
      <c r="L67" s="19">
        <f>IF(L18&gt;0,L28/L18,0)</f>
        <v/>
      </c>
      <c r="M67" s="19">
        <f>IF(M18&gt;0,M28/M18,0)</f>
        <v/>
      </c>
      <c r="N67" s="19">
        <f>IF(N18&gt;0,N28/N18,0)</f>
        <v/>
      </c>
      <c r="O67" s="19">
        <f>IF(O18&gt;0,O28/O18,0)</f>
        <v/>
      </c>
      <c r="P67" s="19">
        <f>IF(P18&gt;0,P28/P18,0)</f>
        <v/>
      </c>
      <c r="Q67" s="19">
        <f>IF(Q18&gt;0,Q28/Q18,0)</f>
        <v/>
      </c>
      <c r="R67" s="19">
        <f>IF(R18&gt;0,R28/R18,0)</f>
        <v/>
      </c>
      <c r="S67" s="19">
        <f>IF(S18&gt;0,S28/S18,0)</f>
        <v/>
      </c>
      <c r="T67" s="19">
        <f>IF(T18&gt;0,T28/T18,0)</f>
        <v/>
      </c>
      <c r="U67" s="19">
        <f>IF(U18&gt;0,U28/U18,0)</f>
        <v/>
      </c>
      <c r="V67" s="19">
        <f>IF(V18&gt;0,V28/V18,0)</f>
        <v/>
      </c>
      <c r="W67" s="19">
        <f>IF(W18&gt;0,W28/W18,0)</f>
        <v/>
      </c>
      <c r="X67" s="19">
        <f>IF(X18&gt;0,X28/X18,0)</f>
        <v/>
      </c>
      <c r="Y67" s="19">
        <f>IF(Y18&gt;0,Y28/Y18,0)</f>
        <v/>
      </c>
      <c r="Z67" s="19">
        <f>IF(Z18&gt;0,Z28/Z18,0)</f>
        <v/>
      </c>
      <c r="AA67" s="19">
        <f>IF(AA18&gt;0,AA28/AA18,0)</f>
        <v/>
      </c>
      <c r="AB67" s="19">
        <f>IF(AB18&gt;0,AB28/AB18,0)</f>
        <v/>
      </c>
      <c r="AC67" s="19">
        <f>IF(AC18&gt;0,AC28/AC18,0)</f>
        <v/>
      </c>
      <c r="AD67" s="19">
        <f>IF(AD18&gt;0,AD28/AD18,0)</f>
        <v/>
      </c>
      <c r="AE67" s="19">
        <f>IF(AE18&gt;0,AE28/AE18,0)</f>
        <v/>
      </c>
      <c r="AF67" s="19">
        <f>IF(AF18&gt;0,AF28/AF18,0)</f>
        <v/>
      </c>
      <c r="AG67" s="19">
        <f>IF(AG18&gt;0,AG28/AG18,0)</f>
        <v/>
      </c>
      <c r="AH67" s="19">
        <f>IF(AH18&gt;0,AH28/AH18,0)</f>
        <v/>
      </c>
      <c r="AI67" s="19">
        <f>IF(AI18&gt;0,AI28/AI18,0)</f>
        <v/>
      </c>
      <c r="AJ67" s="19">
        <f>IF(AJ18&gt;0,AJ28/AJ18,0)</f>
        <v/>
      </c>
      <c r="AK67" s="19">
        <f>IF(AK18&gt;0,AK28/AK18,0)</f>
        <v/>
      </c>
      <c r="AL67" s="19">
        <f>IF(AL18&gt;0,AL28/AL18,0)</f>
        <v/>
      </c>
      <c r="AN67" s="19">
        <f>N67</f>
        <v/>
      </c>
      <c r="AO67" s="19">
        <f>Z67</f>
        <v/>
      </c>
      <c r="AP67" s="19">
        <f>AL67</f>
        <v/>
      </c>
    </row>
    <row r="68">
      <c r="A68" s="9" t="inlineStr">
        <is>
          <t>Coût variable par abonné</t>
        </is>
      </c>
      <c r="B68" s="4" t="inlineStr">
        <is>
          <t>€ HT</t>
        </is>
      </c>
      <c r="C68" s="19">
        <f>IF(C18&gt;0,C36/C18,0)</f>
        <v/>
      </c>
      <c r="D68" s="19">
        <f>IF(D18&gt;0,D36/D18,0)</f>
        <v/>
      </c>
      <c r="E68" s="19">
        <f>IF(E18&gt;0,E36/E18,0)</f>
        <v/>
      </c>
      <c r="F68" s="19">
        <f>IF(F18&gt;0,F36/F18,0)</f>
        <v/>
      </c>
      <c r="G68" s="19">
        <f>IF(G18&gt;0,G36/G18,0)</f>
        <v/>
      </c>
      <c r="H68" s="19">
        <f>IF(H18&gt;0,H36/H18,0)</f>
        <v/>
      </c>
      <c r="I68" s="19">
        <f>IF(I18&gt;0,I36/I18,0)</f>
        <v/>
      </c>
      <c r="J68" s="19">
        <f>IF(J18&gt;0,J36/J18,0)</f>
        <v/>
      </c>
      <c r="K68" s="19">
        <f>IF(K18&gt;0,K36/K18,0)</f>
        <v/>
      </c>
      <c r="L68" s="19">
        <f>IF(L18&gt;0,L36/L18,0)</f>
        <v/>
      </c>
      <c r="M68" s="19">
        <f>IF(M18&gt;0,M36/M18,0)</f>
        <v/>
      </c>
      <c r="N68" s="19">
        <f>IF(N18&gt;0,N36/N18,0)</f>
        <v/>
      </c>
      <c r="O68" s="19">
        <f>IF(O18&gt;0,O36/O18,0)</f>
        <v/>
      </c>
      <c r="P68" s="19">
        <f>IF(P18&gt;0,P36/P18,0)</f>
        <v/>
      </c>
      <c r="Q68" s="19">
        <f>IF(Q18&gt;0,Q36/Q18,0)</f>
        <v/>
      </c>
      <c r="R68" s="19">
        <f>IF(R18&gt;0,R36/R18,0)</f>
        <v/>
      </c>
      <c r="S68" s="19">
        <f>IF(S18&gt;0,S36/S18,0)</f>
        <v/>
      </c>
      <c r="T68" s="19">
        <f>IF(T18&gt;0,T36/T18,0)</f>
        <v/>
      </c>
      <c r="U68" s="19">
        <f>IF(U18&gt;0,U36/U18,0)</f>
        <v/>
      </c>
      <c r="V68" s="19">
        <f>IF(V18&gt;0,V36/V18,0)</f>
        <v/>
      </c>
      <c r="W68" s="19">
        <f>IF(W18&gt;0,W36/W18,0)</f>
        <v/>
      </c>
      <c r="X68" s="19">
        <f>IF(X18&gt;0,X36/X18,0)</f>
        <v/>
      </c>
      <c r="Y68" s="19">
        <f>IF(Y18&gt;0,Y36/Y18,0)</f>
        <v/>
      </c>
      <c r="Z68" s="19">
        <f>IF(Z18&gt;0,Z36/Z18,0)</f>
        <v/>
      </c>
      <c r="AA68" s="19">
        <f>IF(AA18&gt;0,AA36/AA18,0)</f>
        <v/>
      </c>
      <c r="AB68" s="19">
        <f>IF(AB18&gt;0,AB36/AB18,0)</f>
        <v/>
      </c>
      <c r="AC68" s="19">
        <f>IF(AC18&gt;0,AC36/AC18,0)</f>
        <v/>
      </c>
      <c r="AD68" s="19">
        <f>IF(AD18&gt;0,AD36/AD18,0)</f>
        <v/>
      </c>
      <c r="AE68" s="19">
        <f>IF(AE18&gt;0,AE36/AE18,0)</f>
        <v/>
      </c>
      <c r="AF68" s="19">
        <f>IF(AF18&gt;0,AF36/AF18,0)</f>
        <v/>
      </c>
      <c r="AG68" s="19">
        <f>IF(AG18&gt;0,AG36/AG18,0)</f>
        <v/>
      </c>
      <c r="AH68" s="19">
        <f>IF(AH18&gt;0,AH36/AH18,0)</f>
        <v/>
      </c>
      <c r="AI68" s="19">
        <f>IF(AI18&gt;0,AI36/AI18,0)</f>
        <v/>
      </c>
      <c r="AJ68" s="19">
        <f>IF(AJ18&gt;0,AJ36/AJ18,0)</f>
        <v/>
      </c>
      <c r="AK68" s="19">
        <f>IF(AK18&gt;0,AK36/AK18,0)</f>
        <v/>
      </c>
      <c r="AL68" s="19">
        <f>IF(AL18&gt;0,AL36/AL18,0)</f>
        <v/>
      </c>
      <c r="AN68" s="19">
        <f>N68</f>
        <v/>
      </c>
      <c r="AO68" s="19">
        <f>Z68</f>
        <v/>
      </c>
      <c r="AP68" s="19">
        <f>AL68</f>
        <v/>
      </c>
    </row>
    <row r="69">
      <c r="A69" s="9" t="inlineStr">
        <is>
          <t>Contribution par abonné</t>
        </is>
      </c>
      <c r="B69" s="4" t="inlineStr">
        <is>
          <t>€ HT</t>
        </is>
      </c>
      <c r="C69" s="19">
        <f>IF(C18&gt;0,C37/C18,0)</f>
        <v/>
      </c>
      <c r="D69" s="19">
        <f>IF(D18&gt;0,D37/D18,0)</f>
        <v/>
      </c>
      <c r="E69" s="19">
        <f>IF(E18&gt;0,E37/E18,0)</f>
        <v/>
      </c>
      <c r="F69" s="19">
        <f>IF(F18&gt;0,F37/F18,0)</f>
        <v/>
      </c>
      <c r="G69" s="19">
        <f>IF(G18&gt;0,G37/G18,0)</f>
        <v/>
      </c>
      <c r="H69" s="19">
        <f>IF(H18&gt;0,H37/H18,0)</f>
        <v/>
      </c>
      <c r="I69" s="19">
        <f>IF(I18&gt;0,I37/I18,0)</f>
        <v/>
      </c>
      <c r="J69" s="19">
        <f>IF(J18&gt;0,J37/J18,0)</f>
        <v/>
      </c>
      <c r="K69" s="19">
        <f>IF(K18&gt;0,K37/K18,0)</f>
        <v/>
      </c>
      <c r="L69" s="19">
        <f>IF(L18&gt;0,L37/L18,0)</f>
        <v/>
      </c>
      <c r="M69" s="19">
        <f>IF(M18&gt;0,M37/M18,0)</f>
        <v/>
      </c>
      <c r="N69" s="19">
        <f>IF(N18&gt;0,N37/N18,0)</f>
        <v/>
      </c>
      <c r="O69" s="19">
        <f>IF(O18&gt;0,O37/O18,0)</f>
        <v/>
      </c>
      <c r="P69" s="19">
        <f>IF(P18&gt;0,P37/P18,0)</f>
        <v/>
      </c>
      <c r="Q69" s="19">
        <f>IF(Q18&gt;0,Q37/Q18,0)</f>
        <v/>
      </c>
      <c r="R69" s="19">
        <f>IF(R18&gt;0,R37/R18,0)</f>
        <v/>
      </c>
      <c r="S69" s="19">
        <f>IF(S18&gt;0,S37/S18,0)</f>
        <v/>
      </c>
      <c r="T69" s="19">
        <f>IF(T18&gt;0,T37/T18,0)</f>
        <v/>
      </c>
      <c r="U69" s="19">
        <f>IF(U18&gt;0,U37/U18,0)</f>
        <v/>
      </c>
      <c r="V69" s="19">
        <f>IF(V18&gt;0,V37/V18,0)</f>
        <v/>
      </c>
      <c r="W69" s="19">
        <f>IF(W18&gt;0,W37/W18,0)</f>
        <v/>
      </c>
      <c r="X69" s="19">
        <f>IF(X18&gt;0,X37/X18,0)</f>
        <v/>
      </c>
      <c r="Y69" s="19">
        <f>IF(Y18&gt;0,Y37/Y18,0)</f>
        <v/>
      </c>
      <c r="Z69" s="19">
        <f>IF(Z18&gt;0,Z37/Z18,0)</f>
        <v/>
      </c>
      <c r="AA69" s="19">
        <f>IF(AA18&gt;0,AA37/AA18,0)</f>
        <v/>
      </c>
      <c r="AB69" s="19">
        <f>IF(AB18&gt;0,AB37/AB18,0)</f>
        <v/>
      </c>
      <c r="AC69" s="19">
        <f>IF(AC18&gt;0,AC37/AC18,0)</f>
        <v/>
      </c>
      <c r="AD69" s="19">
        <f>IF(AD18&gt;0,AD37/AD18,0)</f>
        <v/>
      </c>
      <c r="AE69" s="19">
        <f>IF(AE18&gt;0,AE37/AE18,0)</f>
        <v/>
      </c>
      <c r="AF69" s="19">
        <f>IF(AF18&gt;0,AF37/AF18,0)</f>
        <v/>
      </c>
      <c r="AG69" s="19">
        <f>IF(AG18&gt;0,AG37/AG18,0)</f>
        <v/>
      </c>
      <c r="AH69" s="19">
        <f>IF(AH18&gt;0,AH37/AH18,0)</f>
        <v/>
      </c>
      <c r="AI69" s="19">
        <f>IF(AI18&gt;0,AI37/AI18,0)</f>
        <v/>
      </c>
      <c r="AJ69" s="19">
        <f>IF(AJ18&gt;0,AJ37/AJ18,0)</f>
        <v/>
      </c>
      <c r="AK69" s="19">
        <f>IF(AK18&gt;0,AK37/AK18,0)</f>
        <v/>
      </c>
      <c r="AL69" s="19">
        <f>IF(AL18&gt;0,AL37/AL18,0)</f>
        <v/>
      </c>
      <c r="AN69" s="19">
        <f>N69</f>
        <v/>
      </c>
      <c r="AO69" s="19">
        <f>Z69</f>
        <v/>
      </c>
      <c r="AP69" s="19">
        <f>AL69</f>
        <v/>
      </c>
    </row>
    <row r="70">
      <c r="A70" s="9" t="inlineStr">
        <is>
          <t>Marge variable (% du CA HT)</t>
        </is>
      </c>
      <c r="B70" s="4" t="inlineStr">
        <is>
          <t>%</t>
        </is>
      </c>
      <c r="C70" s="17">
        <f>IF(C28&gt;0,C37/C28,0)</f>
        <v/>
      </c>
      <c r="D70" s="17">
        <f>IF(D28&gt;0,D37/D28,0)</f>
        <v/>
      </c>
      <c r="E70" s="17">
        <f>IF(E28&gt;0,E37/E28,0)</f>
        <v/>
      </c>
      <c r="F70" s="17">
        <f>IF(F28&gt;0,F37/F28,0)</f>
        <v/>
      </c>
      <c r="G70" s="17">
        <f>IF(G28&gt;0,G37/G28,0)</f>
        <v/>
      </c>
      <c r="H70" s="17">
        <f>IF(H28&gt;0,H37/H28,0)</f>
        <v/>
      </c>
      <c r="I70" s="17">
        <f>IF(I28&gt;0,I37/I28,0)</f>
        <v/>
      </c>
      <c r="J70" s="17">
        <f>IF(J28&gt;0,J37/J28,0)</f>
        <v/>
      </c>
      <c r="K70" s="17">
        <f>IF(K28&gt;0,K37/K28,0)</f>
        <v/>
      </c>
      <c r="L70" s="17">
        <f>IF(L28&gt;0,L37/L28,0)</f>
        <v/>
      </c>
      <c r="M70" s="17">
        <f>IF(M28&gt;0,M37/M28,0)</f>
        <v/>
      </c>
      <c r="N70" s="17">
        <f>IF(N28&gt;0,N37/N28,0)</f>
        <v/>
      </c>
      <c r="O70" s="17">
        <f>IF(O28&gt;0,O37/O28,0)</f>
        <v/>
      </c>
      <c r="P70" s="17">
        <f>IF(P28&gt;0,P37/P28,0)</f>
        <v/>
      </c>
      <c r="Q70" s="17">
        <f>IF(Q28&gt;0,Q37/Q28,0)</f>
        <v/>
      </c>
      <c r="R70" s="17">
        <f>IF(R28&gt;0,R37/R28,0)</f>
        <v/>
      </c>
      <c r="S70" s="17">
        <f>IF(S28&gt;0,S37/S28,0)</f>
        <v/>
      </c>
      <c r="T70" s="17">
        <f>IF(T28&gt;0,T37/T28,0)</f>
        <v/>
      </c>
      <c r="U70" s="17">
        <f>IF(U28&gt;0,U37/U28,0)</f>
        <v/>
      </c>
      <c r="V70" s="17">
        <f>IF(V28&gt;0,V37/V28,0)</f>
        <v/>
      </c>
      <c r="W70" s="17">
        <f>IF(W28&gt;0,W37/W28,0)</f>
        <v/>
      </c>
      <c r="X70" s="17">
        <f>IF(X28&gt;0,X37/X28,0)</f>
        <v/>
      </c>
      <c r="Y70" s="17">
        <f>IF(Y28&gt;0,Y37/Y28,0)</f>
        <v/>
      </c>
      <c r="Z70" s="17">
        <f>IF(Z28&gt;0,Z37/Z28,0)</f>
        <v/>
      </c>
      <c r="AA70" s="17">
        <f>IF(AA28&gt;0,AA37/AA28,0)</f>
        <v/>
      </c>
      <c r="AB70" s="17">
        <f>IF(AB28&gt;0,AB37/AB28,0)</f>
        <v/>
      </c>
      <c r="AC70" s="17">
        <f>IF(AC28&gt;0,AC37/AC28,0)</f>
        <v/>
      </c>
      <c r="AD70" s="17">
        <f>IF(AD28&gt;0,AD37/AD28,0)</f>
        <v/>
      </c>
      <c r="AE70" s="17">
        <f>IF(AE28&gt;0,AE37/AE28,0)</f>
        <v/>
      </c>
      <c r="AF70" s="17">
        <f>IF(AF28&gt;0,AF37/AF28,0)</f>
        <v/>
      </c>
      <c r="AG70" s="17">
        <f>IF(AG28&gt;0,AG37/AG28,0)</f>
        <v/>
      </c>
      <c r="AH70" s="17">
        <f>IF(AH28&gt;0,AH37/AH28,0)</f>
        <v/>
      </c>
      <c r="AI70" s="17">
        <f>IF(AI28&gt;0,AI37/AI28,0)</f>
        <v/>
      </c>
      <c r="AJ70" s="17">
        <f>IF(AJ28&gt;0,AJ37/AJ28,0)</f>
        <v/>
      </c>
      <c r="AK70" s="17">
        <f>IF(AK28&gt;0,AK37/AK28,0)</f>
        <v/>
      </c>
      <c r="AL70" s="17">
        <f>IF(AL28&gt;0,AL37/AL28,0)</f>
        <v/>
      </c>
      <c r="AN70" s="17">
        <f>N70</f>
        <v/>
      </c>
      <c r="AO70" s="17">
        <f>Z70</f>
        <v/>
      </c>
      <c r="AP70" s="17">
        <f>AL70</f>
        <v/>
      </c>
    </row>
    <row r="71">
      <c r="A71" s="9" t="inlineStr">
        <is>
          <t>CAC effectif</t>
        </is>
      </c>
      <c r="B71" s="4" t="inlineStr">
        <is>
          <t>€</t>
        </is>
      </c>
      <c r="C71" s="15">
        <f>IF(C14&gt;0,C39/C14,0)</f>
        <v/>
      </c>
      <c r="D71" s="15">
        <f>IF(D14&gt;0,D39/D14,0)</f>
        <v/>
      </c>
      <c r="E71" s="15">
        <f>IF(E14&gt;0,E39/E14,0)</f>
        <v/>
      </c>
      <c r="F71" s="15">
        <f>IF(F14&gt;0,F39/F14,0)</f>
        <v/>
      </c>
      <c r="G71" s="15">
        <f>IF(G14&gt;0,G39/G14,0)</f>
        <v/>
      </c>
      <c r="H71" s="15">
        <f>IF(H14&gt;0,H39/H14,0)</f>
        <v/>
      </c>
      <c r="I71" s="15">
        <f>IF(I14&gt;0,I39/I14,0)</f>
        <v/>
      </c>
      <c r="J71" s="15">
        <f>IF(J14&gt;0,J39/J14,0)</f>
        <v/>
      </c>
      <c r="K71" s="15">
        <f>IF(K14&gt;0,K39/K14,0)</f>
        <v/>
      </c>
      <c r="L71" s="15">
        <f>IF(L14&gt;0,L39/L14,0)</f>
        <v/>
      </c>
      <c r="M71" s="15">
        <f>IF(M14&gt;0,M39/M14,0)</f>
        <v/>
      </c>
      <c r="N71" s="15">
        <f>IF(N14&gt;0,N39/N14,0)</f>
        <v/>
      </c>
      <c r="O71" s="15">
        <f>IF(O14&gt;0,O39/O14,0)</f>
        <v/>
      </c>
      <c r="P71" s="15">
        <f>IF(P14&gt;0,P39/P14,0)</f>
        <v/>
      </c>
      <c r="Q71" s="15">
        <f>IF(Q14&gt;0,Q39/Q14,0)</f>
        <v/>
      </c>
      <c r="R71" s="15">
        <f>IF(R14&gt;0,R39/R14,0)</f>
        <v/>
      </c>
      <c r="S71" s="15">
        <f>IF(S14&gt;0,S39/S14,0)</f>
        <v/>
      </c>
      <c r="T71" s="15">
        <f>IF(T14&gt;0,T39/T14,0)</f>
        <v/>
      </c>
      <c r="U71" s="15">
        <f>IF(U14&gt;0,U39/U14,0)</f>
        <v/>
      </c>
      <c r="V71" s="15">
        <f>IF(V14&gt;0,V39/V14,0)</f>
        <v/>
      </c>
      <c r="W71" s="15">
        <f>IF(W14&gt;0,W39/W14,0)</f>
        <v/>
      </c>
      <c r="X71" s="15">
        <f>IF(X14&gt;0,X39/X14,0)</f>
        <v/>
      </c>
      <c r="Y71" s="15">
        <f>IF(Y14&gt;0,Y39/Y14,0)</f>
        <v/>
      </c>
      <c r="Z71" s="15">
        <f>IF(Z14&gt;0,Z39/Z14,0)</f>
        <v/>
      </c>
      <c r="AA71" s="15">
        <f>IF(AA14&gt;0,AA39/AA14,0)</f>
        <v/>
      </c>
      <c r="AB71" s="15">
        <f>IF(AB14&gt;0,AB39/AB14,0)</f>
        <v/>
      </c>
      <c r="AC71" s="15">
        <f>IF(AC14&gt;0,AC39/AC14,0)</f>
        <v/>
      </c>
      <c r="AD71" s="15">
        <f>IF(AD14&gt;0,AD39/AD14,0)</f>
        <v/>
      </c>
      <c r="AE71" s="15">
        <f>IF(AE14&gt;0,AE39/AE14,0)</f>
        <v/>
      </c>
      <c r="AF71" s="15">
        <f>IF(AF14&gt;0,AF39/AF14,0)</f>
        <v/>
      </c>
      <c r="AG71" s="15">
        <f>IF(AG14&gt;0,AG39/AG14,0)</f>
        <v/>
      </c>
      <c r="AH71" s="15">
        <f>IF(AH14&gt;0,AH39/AH14,0)</f>
        <v/>
      </c>
      <c r="AI71" s="15">
        <f>IF(AI14&gt;0,AI39/AI14,0)</f>
        <v/>
      </c>
      <c r="AJ71" s="15">
        <f>IF(AJ14&gt;0,AJ39/AJ14,0)</f>
        <v/>
      </c>
      <c r="AK71" s="15">
        <f>IF(AK14&gt;0,AK39/AK14,0)</f>
        <v/>
      </c>
      <c r="AL71" s="15">
        <f>IF(AL14&gt;0,AL39/AL14,0)</f>
        <v/>
      </c>
      <c r="AN71" s="15">
        <f>N71</f>
        <v/>
      </c>
      <c r="AO71" s="15">
        <f>Z71</f>
        <v/>
      </c>
      <c r="AP71" s="15">
        <f>AL71</f>
        <v/>
      </c>
    </row>
    <row r="72">
      <c r="A72" s="9" t="inlineStr">
        <is>
          <t>Payback du CAC (mois)</t>
        </is>
      </c>
      <c r="B72" s="4" t="inlineStr">
        <is>
          <t>mois</t>
        </is>
      </c>
      <c r="C72" s="38">
        <f>IF(C69&gt;0,Hypothèses!$D$23*$E$4/C69,0)</f>
        <v/>
      </c>
      <c r="D72" s="38">
        <f>IF(D69&gt;0,Hypothèses!$D$23*$E$4/D69,0)</f>
        <v/>
      </c>
      <c r="E72" s="38">
        <f>IF(E69&gt;0,Hypothèses!$D$23*$E$4/E69,0)</f>
        <v/>
      </c>
      <c r="F72" s="38">
        <f>IF(F69&gt;0,Hypothèses!$D$23*$E$4/F69,0)</f>
        <v/>
      </c>
      <c r="G72" s="38">
        <f>IF(G69&gt;0,Hypothèses!$D$23*$E$4/G69,0)</f>
        <v/>
      </c>
      <c r="H72" s="38">
        <f>IF(H69&gt;0,Hypothèses!$D$23*$E$4/H69,0)</f>
        <v/>
      </c>
      <c r="I72" s="38">
        <f>IF(I69&gt;0,Hypothèses!$D$23*$E$4/I69,0)</f>
        <v/>
      </c>
      <c r="J72" s="38">
        <f>IF(J69&gt;0,Hypothèses!$D$23*$E$4/J69,0)</f>
        <v/>
      </c>
      <c r="K72" s="38">
        <f>IF(K69&gt;0,Hypothèses!$D$23*$E$4/K69,0)</f>
        <v/>
      </c>
      <c r="L72" s="38">
        <f>IF(L69&gt;0,Hypothèses!$D$23*$E$4/L69,0)</f>
        <v/>
      </c>
      <c r="M72" s="38">
        <f>IF(M69&gt;0,Hypothèses!$D$23*$E$4/M69,0)</f>
        <v/>
      </c>
      <c r="N72" s="38">
        <f>IF(N69&gt;0,Hypothèses!$D$23*$E$4/N69,0)</f>
        <v/>
      </c>
      <c r="O72" s="38">
        <f>IF(O69&gt;0,Hypothèses!$D$23*$E$4/O69,0)</f>
        <v/>
      </c>
      <c r="P72" s="38">
        <f>IF(P69&gt;0,Hypothèses!$D$23*$E$4/P69,0)</f>
        <v/>
      </c>
      <c r="Q72" s="38">
        <f>IF(Q69&gt;0,Hypothèses!$D$23*$E$4/Q69,0)</f>
        <v/>
      </c>
      <c r="R72" s="38">
        <f>IF(R69&gt;0,Hypothèses!$D$23*$E$4/R69,0)</f>
        <v/>
      </c>
      <c r="S72" s="38">
        <f>IF(S69&gt;0,Hypothèses!$D$23*$E$4/S69,0)</f>
        <v/>
      </c>
      <c r="T72" s="38">
        <f>IF(T69&gt;0,Hypothèses!$D$23*$E$4/T69,0)</f>
        <v/>
      </c>
      <c r="U72" s="38">
        <f>IF(U69&gt;0,Hypothèses!$D$23*$E$4/U69,0)</f>
        <v/>
      </c>
      <c r="V72" s="38">
        <f>IF(V69&gt;0,Hypothèses!$D$23*$E$4/V69,0)</f>
        <v/>
      </c>
      <c r="W72" s="38">
        <f>IF(W69&gt;0,Hypothèses!$D$23*$E$4/W69,0)</f>
        <v/>
      </c>
      <c r="X72" s="38">
        <f>IF(X69&gt;0,Hypothèses!$D$23*$E$4/X69,0)</f>
        <v/>
      </c>
      <c r="Y72" s="38">
        <f>IF(Y69&gt;0,Hypothèses!$D$23*$E$4/Y69,0)</f>
        <v/>
      </c>
      <c r="Z72" s="38">
        <f>IF(Z69&gt;0,Hypothèses!$D$23*$E$4/Z69,0)</f>
        <v/>
      </c>
      <c r="AA72" s="38">
        <f>IF(AA69&gt;0,Hypothèses!$D$23*$E$4/AA69,0)</f>
        <v/>
      </c>
      <c r="AB72" s="38">
        <f>IF(AB69&gt;0,Hypothèses!$D$23*$E$4/AB69,0)</f>
        <v/>
      </c>
      <c r="AC72" s="38">
        <f>IF(AC69&gt;0,Hypothèses!$D$23*$E$4/AC69,0)</f>
        <v/>
      </c>
      <c r="AD72" s="38">
        <f>IF(AD69&gt;0,Hypothèses!$D$23*$E$4/AD69,0)</f>
        <v/>
      </c>
      <c r="AE72" s="38">
        <f>IF(AE69&gt;0,Hypothèses!$D$23*$E$4/AE69,0)</f>
        <v/>
      </c>
      <c r="AF72" s="38">
        <f>IF(AF69&gt;0,Hypothèses!$D$23*$E$4/AF69,0)</f>
        <v/>
      </c>
      <c r="AG72" s="38">
        <f>IF(AG69&gt;0,Hypothèses!$D$23*$E$4/AG69,0)</f>
        <v/>
      </c>
      <c r="AH72" s="38">
        <f>IF(AH69&gt;0,Hypothèses!$D$23*$E$4/AH69,0)</f>
        <v/>
      </c>
      <c r="AI72" s="38">
        <f>IF(AI69&gt;0,Hypothèses!$D$23*$E$4/AI69,0)</f>
        <v/>
      </c>
      <c r="AJ72" s="38">
        <f>IF(AJ69&gt;0,Hypothèses!$D$23*$E$4/AJ69,0)</f>
        <v/>
      </c>
      <c r="AK72" s="38">
        <f>IF(AK69&gt;0,Hypothèses!$D$23*$E$4/AK69,0)</f>
        <v/>
      </c>
      <c r="AL72" s="38">
        <f>IF(AL69&gt;0,Hypothèses!$D$23*$E$4/AL69,0)</f>
        <v/>
      </c>
      <c r="AN72" s="38">
        <f>N72</f>
        <v/>
      </c>
      <c r="AO72" s="38">
        <f>Z72</f>
        <v/>
      </c>
      <c r="AP72" s="38">
        <f>AL72</f>
        <v/>
      </c>
    </row>
    <row r="73">
      <c r="A73" s="9" t="inlineStr">
        <is>
          <t>LTV contributive simplifiée (contribution / churn)</t>
        </is>
      </c>
      <c r="B73" s="4" t="inlineStr">
        <is>
          <t>€ HT</t>
        </is>
      </c>
      <c r="C73" s="15">
        <f>IF(Hypothèses!$D$26*$D$4&gt;0,C69/(Hypothèses!$D$26*$D$4),0)</f>
        <v/>
      </c>
      <c r="D73" s="15">
        <f>IF(Hypothèses!$D$26*$D$4&gt;0,D69/(Hypothèses!$D$26*$D$4),0)</f>
        <v/>
      </c>
      <c r="E73" s="15">
        <f>IF(Hypothèses!$D$26*$D$4&gt;0,E69/(Hypothèses!$D$26*$D$4),0)</f>
        <v/>
      </c>
      <c r="F73" s="15">
        <f>IF(Hypothèses!$D$26*$D$4&gt;0,F69/(Hypothèses!$D$26*$D$4),0)</f>
        <v/>
      </c>
      <c r="G73" s="15">
        <f>IF(Hypothèses!$D$26*$D$4&gt;0,G69/(Hypothèses!$D$26*$D$4),0)</f>
        <v/>
      </c>
      <c r="H73" s="15">
        <f>IF(Hypothèses!$D$26*$D$4&gt;0,H69/(Hypothèses!$D$26*$D$4),0)</f>
        <v/>
      </c>
      <c r="I73" s="15">
        <f>IF(Hypothèses!$D$26*$D$4&gt;0,I69/(Hypothèses!$D$26*$D$4),0)</f>
        <v/>
      </c>
      <c r="J73" s="15">
        <f>IF(Hypothèses!$D$26*$D$4&gt;0,J69/(Hypothèses!$D$26*$D$4),0)</f>
        <v/>
      </c>
      <c r="K73" s="15">
        <f>IF(Hypothèses!$D$26*$D$4&gt;0,K69/(Hypothèses!$D$26*$D$4),0)</f>
        <v/>
      </c>
      <c r="L73" s="15">
        <f>IF(Hypothèses!$D$26*$D$4&gt;0,L69/(Hypothèses!$D$26*$D$4),0)</f>
        <v/>
      </c>
      <c r="M73" s="15">
        <f>IF(Hypothèses!$D$26*$D$4&gt;0,M69/(Hypothèses!$D$26*$D$4),0)</f>
        <v/>
      </c>
      <c r="N73" s="15">
        <f>IF(Hypothèses!$D$26*$D$4&gt;0,N69/(Hypothèses!$D$26*$D$4),0)</f>
        <v/>
      </c>
      <c r="O73" s="15">
        <f>IF(Hypothèses!$D$26*$D$4&gt;0,O69/(Hypothèses!$D$26*$D$4),0)</f>
        <v/>
      </c>
      <c r="P73" s="15">
        <f>IF(Hypothèses!$D$26*$D$4&gt;0,P69/(Hypothèses!$D$26*$D$4),0)</f>
        <v/>
      </c>
      <c r="Q73" s="15">
        <f>IF(Hypothèses!$D$26*$D$4&gt;0,Q69/(Hypothèses!$D$26*$D$4),0)</f>
        <v/>
      </c>
      <c r="R73" s="15">
        <f>IF(Hypothèses!$D$26*$D$4&gt;0,R69/(Hypothèses!$D$26*$D$4),0)</f>
        <v/>
      </c>
      <c r="S73" s="15">
        <f>IF(Hypothèses!$D$26*$D$4&gt;0,S69/(Hypothèses!$D$26*$D$4),0)</f>
        <v/>
      </c>
      <c r="T73" s="15">
        <f>IF(Hypothèses!$D$26*$D$4&gt;0,T69/(Hypothèses!$D$26*$D$4),0)</f>
        <v/>
      </c>
      <c r="U73" s="15">
        <f>IF(Hypothèses!$D$26*$D$4&gt;0,U69/(Hypothèses!$D$26*$D$4),0)</f>
        <v/>
      </c>
      <c r="V73" s="15">
        <f>IF(Hypothèses!$D$26*$D$4&gt;0,V69/(Hypothèses!$D$26*$D$4),0)</f>
        <v/>
      </c>
      <c r="W73" s="15">
        <f>IF(Hypothèses!$D$26*$D$4&gt;0,W69/(Hypothèses!$D$26*$D$4),0)</f>
        <v/>
      </c>
      <c r="X73" s="15">
        <f>IF(Hypothèses!$D$26*$D$4&gt;0,X69/(Hypothèses!$D$26*$D$4),0)</f>
        <v/>
      </c>
      <c r="Y73" s="15">
        <f>IF(Hypothèses!$D$26*$D$4&gt;0,Y69/(Hypothèses!$D$26*$D$4),0)</f>
        <v/>
      </c>
      <c r="Z73" s="15">
        <f>IF(Hypothèses!$D$26*$D$4&gt;0,Z69/(Hypothèses!$D$26*$D$4),0)</f>
        <v/>
      </c>
      <c r="AA73" s="15">
        <f>IF(Hypothèses!$D$26*$D$4&gt;0,AA69/(Hypothèses!$D$26*$D$4),0)</f>
        <v/>
      </c>
      <c r="AB73" s="15">
        <f>IF(Hypothèses!$D$26*$D$4&gt;0,AB69/(Hypothèses!$D$26*$D$4),0)</f>
        <v/>
      </c>
      <c r="AC73" s="15">
        <f>IF(Hypothèses!$D$26*$D$4&gt;0,AC69/(Hypothèses!$D$26*$D$4),0)</f>
        <v/>
      </c>
      <c r="AD73" s="15">
        <f>IF(Hypothèses!$D$26*$D$4&gt;0,AD69/(Hypothèses!$D$26*$D$4),0)</f>
        <v/>
      </c>
      <c r="AE73" s="15">
        <f>IF(Hypothèses!$D$26*$D$4&gt;0,AE69/(Hypothèses!$D$26*$D$4),0)</f>
        <v/>
      </c>
      <c r="AF73" s="15">
        <f>IF(Hypothèses!$D$26*$D$4&gt;0,AF69/(Hypothèses!$D$26*$D$4),0)</f>
        <v/>
      </c>
      <c r="AG73" s="15">
        <f>IF(Hypothèses!$D$26*$D$4&gt;0,AG69/(Hypothèses!$D$26*$D$4),0)</f>
        <v/>
      </c>
      <c r="AH73" s="15">
        <f>IF(Hypothèses!$D$26*$D$4&gt;0,AH69/(Hypothèses!$D$26*$D$4),0)</f>
        <v/>
      </c>
      <c r="AI73" s="15">
        <f>IF(Hypothèses!$D$26*$D$4&gt;0,AI69/(Hypothèses!$D$26*$D$4),0)</f>
        <v/>
      </c>
      <c r="AJ73" s="15">
        <f>IF(Hypothèses!$D$26*$D$4&gt;0,AJ69/(Hypothèses!$D$26*$D$4),0)</f>
        <v/>
      </c>
      <c r="AK73" s="15">
        <f>IF(Hypothèses!$D$26*$D$4&gt;0,AK69/(Hypothèses!$D$26*$D$4),0)</f>
        <v/>
      </c>
      <c r="AL73" s="15">
        <f>IF(Hypothèses!$D$26*$D$4&gt;0,AL69/(Hypothèses!$D$26*$D$4),0)</f>
        <v/>
      </c>
      <c r="AN73" s="15">
        <f>N73</f>
        <v/>
      </c>
      <c r="AO73" s="15">
        <f>Z73</f>
        <v/>
      </c>
      <c r="AP73" s="15">
        <f>AL73</f>
        <v/>
      </c>
    </row>
    <row r="74">
      <c r="A74" s="9" t="inlineStr">
        <is>
          <t>LTV / CAC</t>
        </is>
      </c>
      <c r="B74" s="4" t="inlineStr">
        <is>
          <t>x</t>
        </is>
      </c>
      <c r="C74" s="41">
        <f>IF(Hypothèses!$D$23*$E$4&gt;0,C73/(Hypothèses!$D$23*$E$4),0)</f>
        <v/>
      </c>
      <c r="D74" s="41">
        <f>IF(Hypothèses!$D$23*$E$4&gt;0,D73/(Hypothèses!$D$23*$E$4),0)</f>
        <v/>
      </c>
      <c r="E74" s="41">
        <f>IF(Hypothèses!$D$23*$E$4&gt;0,E73/(Hypothèses!$D$23*$E$4),0)</f>
        <v/>
      </c>
      <c r="F74" s="41">
        <f>IF(Hypothèses!$D$23*$E$4&gt;0,F73/(Hypothèses!$D$23*$E$4),0)</f>
        <v/>
      </c>
      <c r="G74" s="41">
        <f>IF(Hypothèses!$D$23*$E$4&gt;0,G73/(Hypothèses!$D$23*$E$4),0)</f>
        <v/>
      </c>
      <c r="H74" s="41">
        <f>IF(Hypothèses!$D$23*$E$4&gt;0,H73/(Hypothèses!$D$23*$E$4),0)</f>
        <v/>
      </c>
      <c r="I74" s="41">
        <f>IF(Hypothèses!$D$23*$E$4&gt;0,I73/(Hypothèses!$D$23*$E$4),0)</f>
        <v/>
      </c>
      <c r="J74" s="41">
        <f>IF(Hypothèses!$D$23*$E$4&gt;0,J73/(Hypothèses!$D$23*$E$4),0)</f>
        <v/>
      </c>
      <c r="K74" s="41">
        <f>IF(Hypothèses!$D$23*$E$4&gt;0,K73/(Hypothèses!$D$23*$E$4),0)</f>
        <v/>
      </c>
      <c r="L74" s="41">
        <f>IF(Hypothèses!$D$23*$E$4&gt;0,L73/(Hypothèses!$D$23*$E$4),0)</f>
        <v/>
      </c>
      <c r="M74" s="41">
        <f>IF(Hypothèses!$D$23*$E$4&gt;0,M73/(Hypothèses!$D$23*$E$4),0)</f>
        <v/>
      </c>
      <c r="N74" s="41">
        <f>IF(Hypothèses!$D$23*$E$4&gt;0,N73/(Hypothèses!$D$23*$E$4),0)</f>
        <v/>
      </c>
      <c r="O74" s="41">
        <f>IF(Hypothèses!$D$23*$E$4&gt;0,O73/(Hypothèses!$D$23*$E$4),0)</f>
        <v/>
      </c>
      <c r="P74" s="41">
        <f>IF(Hypothèses!$D$23*$E$4&gt;0,P73/(Hypothèses!$D$23*$E$4),0)</f>
        <v/>
      </c>
      <c r="Q74" s="41">
        <f>IF(Hypothèses!$D$23*$E$4&gt;0,Q73/(Hypothèses!$D$23*$E$4),0)</f>
        <v/>
      </c>
      <c r="R74" s="41">
        <f>IF(Hypothèses!$D$23*$E$4&gt;0,R73/(Hypothèses!$D$23*$E$4),0)</f>
        <v/>
      </c>
      <c r="S74" s="41">
        <f>IF(Hypothèses!$D$23*$E$4&gt;0,S73/(Hypothèses!$D$23*$E$4),0)</f>
        <v/>
      </c>
      <c r="T74" s="41">
        <f>IF(Hypothèses!$D$23*$E$4&gt;0,T73/(Hypothèses!$D$23*$E$4),0)</f>
        <v/>
      </c>
      <c r="U74" s="41">
        <f>IF(Hypothèses!$D$23*$E$4&gt;0,U73/(Hypothèses!$D$23*$E$4),0)</f>
        <v/>
      </c>
      <c r="V74" s="41">
        <f>IF(Hypothèses!$D$23*$E$4&gt;0,V73/(Hypothèses!$D$23*$E$4),0)</f>
        <v/>
      </c>
      <c r="W74" s="41">
        <f>IF(Hypothèses!$D$23*$E$4&gt;0,W73/(Hypothèses!$D$23*$E$4),0)</f>
        <v/>
      </c>
      <c r="X74" s="41">
        <f>IF(Hypothèses!$D$23*$E$4&gt;0,X73/(Hypothèses!$D$23*$E$4),0)</f>
        <v/>
      </c>
      <c r="Y74" s="41">
        <f>IF(Hypothèses!$D$23*$E$4&gt;0,Y73/(Hypothèses!$D$23*$E$4),0)</f>
        <v/>
      </c>
      <c r="Z74" s="41">
        <f>IF(Hypothèses!$D$23*$E$4&gt;0,Z73/(Hypothèses!$D$23*$E$4),0)</f>
        <v/>
      </c>
      <c r="AA74" s="41">
        <f>IF(Hypothèses!$D$23*$E$4&gt;0,AA73/(Hypothèses!$D$23*$E$4),0)</f>
        <v/>
      </c>
      <c r="AB74" s="41">
        <f>IF(Hypothèses!$D$23*$E$4&gt;0,AB73/(Hypothèses!$D$23*$E$4),0)</f>
        <v/>
      </c>
      <c r="AC74" s="41">
        <f>IF(Hypothèses!$D$23*$E$4&gt;0,AC73/(Hypothèses!$D$23*$E$4),0)</f>
        <v/>
      </c>
      <c r="AD74" s="41">
        <f>IF(Hypothèses!$D$23*$E$4&gt;0,AD73/(Hypothèses!$D$23*$E$4),0)</f>
        <v/>
      </c>
      <c r="AE74" s="41">
        <f>IF(Hypothèses!$D$23*$E$4&gt;0,AE73/(Hypothèses!$D$23*$E$4),0)</f>
        <v/>
      </c>
      <c r="AF74" s="41">
        <f>IF(Hypothèses!$D$23*$E$4&gt;0,AF73/(Hypothèses!$D$23*$E$4),0)</f>
        <v/>
      </c>
      <c r="AG74" s="41">
        <f>IF(Hypothèses!$D$23*$E$4&gt;0,AG73/(Hypothèses!$D$23*$E$4),0)</f>
        <v/>
      </c>
      <c r="AH74" s="41">
        <f>IF(Hypothèses!$D$23*$E$4&gt;0,AH73/(Hypothèses!$D$23*$E$4),0)</f>
        <v/>
      </c>
      <c r="AI74" s="41">
        <f>IF(Hypothèses!$D$23*$E$4&gt;0,AI73/(Hypothèses!$D$23*$E$4),0)</f>
        <v/>
      </c>
      <c r="AJ74" s="41">
        <f>IF(Hypothèses!$D$23*$E$4&gt;0,AJ73/(Hypothèses!$D$23*$E$4),0)</f>
        <v/>
      </c>
      <c r="AK74" s="41">
        <f>IF(Hypothèses!$D$23*$E$4&gt;0,AK73/(Hypothèses!$D$23*$E$4),0)</f>
        <v/>
      </c>
      <c r="AL74" s="41">
        <f>IF(Hypothèses!$D$23*$E$4&gt;0,AL73/(Hypothèses!$D$23*$E$4),0)</f>
        <v/>
      </c>
      <c r="AN74" s="41">
        <f>N74</f>
        <v/>
      </c>
      <c r="AO74" s="41">
        <f>Z74</f>
        <v/>
      </c>
      <c r="AP74" s="41">
        <f>AL74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0916A"/>
    <outlinePr summaryBelow="1" summaryRight="1"/>
    <pageSetUpPr/>
  </sheetPr>
  <dimension ref="A1:AP7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40" max="40"/>
    <col width="13" customWidth="1" min="41" max="41"/>
    <col width="13" customWidth="1" min="42" max="42"/>
  </cols>
  <sheetData>
    <row r="1">
      <c r="A1" s="1" t="inlineStr">
        <is>
          <t>Modèle Ambitieux (36 mois)</t>
        </is>
      </c>
    </row>
    <row r="2">
      <c r="A2" s="4" t="inlineStr">
        <is>
          <t>Flux en € HT sauf mention TTC. Formules vivantes ; ne saisir que dans l'onglet Hypothèses et la ligne de chocs ci-dessous.</t>
        </is>
      </c>
    </row>
    <row r="3">
      <c r="A3" s="2" t="inlineStr">
        <is>
          <t>Chocs de sensibilité (1 = aucun ; retard en mois)</t>
        </is>
      </c>
      <c r="C3" s="33" t="inlineStr">
        <is>
          <t>Prix ×</t>
        </is>
      </c>
      <c r="D3" s="33" t="inlineStr">
        <is>
          <t>Churn ×</t>
        </is>
      </c>
      <c r="E3" s="33" t="inlineStr">
        <is>
          <t>CAC ×</t>
        </is>
      </c>
      <c r="F3" s="33" t="inlineStr">
        <is>
          <t>Coût IA ×</t>
        </is>
      </c>
      <c r="G3" s="33" t="inlineStr">
        <is>
          <t>Coûts fixes ×</t>
        </is>
      </c>
      <c r="H3" s="33" t="inlineStr">
        <is>
          <t>Retard lancement (mois)</t>
        </is>
      </c>
    </row>
    <row r="4">
      <c r="C4" s="34" t="n">
        <v>1</v>
      </c>
      <c r="D4" s="34" t="n">
        <v>1</v>
      </c>
      <c r="E4" s="34" t="n">
        <v>1</v>
      </c>
      <c r="F4" s="34" t="n">
        <v>1</v>
      </c>
      <c r="G4" s="34" t="n">
        <v>1</v>
      </c>
      <c r="H4" s="35" t="n">
        <v>0</v>
      </c>
    </row>
    <row r="5">
      <c r="A5" s="2" t="inlineStr">
        <is>
          <t>Mois de lancement effectif</t>
        </is>
      </c>
      <c r="B5" s="22">
        <f>Hypothèses!$E$10+$H$4</f>
        <v/>
      </c>
    </row>
    <row r="6">
      <c r="A6" s="28" t="inlineStr">
        <is>
          <t>Ligne</t>
        </is>
      </c>
      <c r="B6" s="28" t="inlineStr">
        <is>
          <t>Unité</t>
        </is>
      </c>
      <c r="C6" s="36" t="inlineStr">
        <is>
          <t>M1</t>
        </is>
      </c>
      <c r="D6" s="36" t="inlineStr">
        <is>
          <t>M2</t>
        </is>
      </c>
      <c r="E6" s="36" t="inlineStr">
        <is>
          <t>M3</t>
        </is>
      </c>
      <c r="F6" s="36" t="inlineStr">
        <is>
          <t>M4</t>
        </is>
      </c>
      <c r="G6" s="36" t="inlineStr">
        <is>
          <t>M5</t>
        </is>
      </c>
      <c r="H6" s="36" t="inlineStr">
        <is>
          <t>M6</t>
        </is>
      </c>
      <c r="I6" s="36" t="inlineStr">
        <is>
          <t>M7</t>
        </is>
      </c>
      <c r="J6" s="36" t="inlineStr">
        <is>
          <t>M8</t>
        </is>
      </c>
      <c r="K6" s="36" t="inlineStr">
        <is>
          <t>M9</t>
        </is>
      </c>
      <c r="L6" s="36" t="inlineStr">
        <is>
          <t>M10</t>
        </is>
      </c>
      <c r="M6" s="36" t="inlineStr">
        <is>
          <t>M11</t>
        </is>
      </c>
      <c r="N6" s="36" t="inlineStr">
        <is>
          <t>M12</t>
        </is>
      </c>
      <c r="O6" s="36" t="inlineStr">
        <is>
          <t>M13</t>
        </is>
      </c>
      <c r="P6" s="36" t="inlineStr">
        <is>
          <t>M14</t>
        </is>
      </c>
      <c r="Q6" s="36" t="inlineStr">
        <is>
          <t>M15</t>
        </is>
      </c>
      <c r="R6" s="36" t="inlineStr">
        <is>
          <t>M16</t>
        </is>
      </c>
      <c r="S6" s="36" t="inlineStr">
        <is>
          <t>M17</t>
        </is>
      </c>
      <c r="T6" s="36" t="inlineStr">
        <is>
          <t>M18</t>
        </is>
      </c>
      <c r="U6" s="36" t="inlineStr">
        <is>
          <t>M19</t>
        </is>
      </c>
      <c r="V6" s="36" t="inlineStr">
        <is>
          <t>M20</t>
        </is>
      </c>
      <c r="W6" s="36" t="inlineStr">
        <is>
          <t>M21</t>
        </is>
      </c>
      <c r="X6" s="36" t="inlineStr">
        <is>
          <t>M22</t>
        </is>
      </c>
      <c r="Y6" s="36" t="inlineStr">
        <is>
          <t>M23</t>
        </is>
      </c>
      <c r="Z6" s="36" t="inlineStr">
        <is>
          <t>M24</t>
        </is>
      </c>
      <c r="AA6" s="36" t="inlineStr">
        <is>
          <t>M25</t>
        </is>
      </c>
      <c r="AB6" s="36" t="inlineStr">
        <is>
          <t>M26</t>
        </is>
      </c>
      <c r="AC6" s="36" t="inlineStr">
        <is>
          <t>M27</t>
        </is>
      </c>
      <c r="AD6" s="36" t="inlineStr">
        <is>
          <t>M28</t>
        </is>
      </c>
      <c r="AE6" s="36" t="inlineStr">
        <is>
          <t>M29</t>
        </is>
      </c>
      <c r="AF6" s="36" t="inlineStr">
        <is>
          <t>M30</t>
        </is>
      </c>
      <c r="AG6" s="36" t="inlineStr">
        <is>
          <t>M31</t>
        </is>
      </c>
      <c r="AH6" s="36" t="inlineStr">
        <is>
          <t>M32</t>
        </is>
      </c>
      <c r="AI6" s="36" t="inlineStr">
        <is>
          <t>M33</t>
        </is>
      </c>
      <c r="AJ6" s="36" t="inlineStr">
        <is>
          <t>M34</t>
        </is>
      </c>
      <c r="AK6" s="36" t="inlineStr">
        <is>
          <t>M35</t>
        </is>
      </c>
      <c r="AL6" s="36" t="inlineStr">
        <is>
          <t>M36</t>
        </is>
      </c>
      <c r="AN6" s="37" t="inlineStr">
        <is>
          <t>Année 1</t>
        </is>
      </c>
      <c r="AO6" s="37" t="inlineStr">
        <is>
          <t>Année 2</t>
        </is>
      </c>
      <c r="AP6" s="37" t="inlineStr">
        <is>
          <t>Année 3</t>
        </is>
      </c>
    </row>
    <row r="7">
      <c r="A7" s="9" t="inlineStr">
        <is>
          <t>Mois</t>
        </is>
      </c>
      <c r="B7" s="4" t="inlineStr">
        <is>
          <t>n°</t>
        </is>
      </c>
      <c r="C7" s="13" t="n">
        <v>1</v>
      </c>
      <c r="D7" s="13" t="n">
        <v>2</v>
      </c>
      <c r="E7" s="13" t="n">
        <v>3</v>
      </c>
      <c r="F7" s="13" t="n">
        <v>4</v>
      </c>
      <c r="G7" s="13" t="n">
        <v>5</v>
      </c>
      <c r="H7" s="13" t="n">
        <v>6</v>
      </c>
      <c r="I7" s="13" t="n">
        <v>7</v>
      </c>
      <c r="J7" s="13" t="n">
        <v>8</v>
      </c>
      <c r="K7" s="13" t="n">
        <v>9</v>
      </c>
      <c r="L7" s="13" t="n">
        <v>10</v>
      </c>
      <c r="M7" s="13" t="n">
        <v>11</v>
      </c>
      <c r="N7" s="13" t="n">
        <v>12</v>
      </c>
      <c r="O7" s="13" t="n">
        <v>13</v>
      </c>
      <c r="P7" s="13" t="n">
        <v>14</v>
      </c>
      <c r="Q7" s="13" t="n">
        <v>15</v>
      </c>
      <c r="R7" s="13" t="n">
        <v>16</v>
      </c>
      <c r="S7" s="13" t="n">
        <v>17</v>
      </c>
      <c r="T7" s="13" t="n">
        <v>18</v>
      </c>
      <c r="U7" s="13" t="n">
        <v>19</v>
      </c>
      <c r="V7" s="13" t="n">
        <v>20</v>
      </c>
      <c r="W7" s="13" t="n">
        <v>21</v>
      </c>
      <c r="X7" s="13" t="n">
        <v>22</v>
      </c>
      <c r="Y7" s="13" t="n">
        <v>23</v>
      </c>
      <c r="Z7" s="13" t="n">
        <v>24</v>
      </c>
      <c r="AA7" s="13" t="n">
        <v>25</v>
      </c>
      <c r="AB7" s="13" t="n">
        <v>26</v>
      </c>
      <c r="AC7" s="13" t="n">
        <v>27</v>
      </c>
      <c r="AD7" s="13" t="n">
        <v>28</v>
      </c>
      <c r="AE7" s="13" t="n">
        <v>29</v>
      </c>
      <c r="AF7" s="13" t="n">
        <v>30</v>
      </c>
      <c r="AG7" s="13" t="n">
        <v>31</v>
      </c>
      <c r="AH7" s="13" t="n">
        <v>32</v>
      </c>
      <c r="AI7" s="13" t="n">
        <v>33</v>
      </c>
      <c r="AJ7" s="13" t="n">
        <v>34</v>
      </c>
      <c r="AK7" s="13" t="n">
        <v>35</v>
      </c>
      <c r="AL7" s="13" t="n">
        <v>36</v>
      </c>
    </row>
    <row r="8">
      <c r="A8" s="9" t="inlineStr">
        <is>
          <t>Date</t>
        </is>
      </c>
      <c r="B8" s="4" t="inlineStr"/>
      <c r="C8" s="11">
        <f>EDATE(Hypothèses!$E$7,C7-1)</f>
        <v/>
      </c>
      <c r="D8" s="11">
        <f>EDATE(Hypothèses!$E$7,D7-1)</f>
        <v/>
      </c>
      <c r="E8" s="11">
        <f>EDATE(Hypothèses!$E$7,E7-1)</f>
        <v/>
      </c>
      <c r="F8" s="11">
        <f>EDATE(Hypothèses!$E$7,F7-1)</f>
        <v/>
      </c>
      <c r="G8" s="11">
        <f>EDATE(Hypothèses!$E$7,G7-1)</f>
        <v/>
      </c>
      <c r="H8" s="11">
        <f>EDATE(Hypothèses!$E$7,H7-1)</f>
        <v/>
      </c>
      <c r="I8" s="11">
        <f>EDATE(Hypothèses!$E$7,I7-1)</f>
        <v/>
      </c>
      <c r="J8" s="11">
        <f>EDATE(Hypothèses!$E$7,J7-1)</f>
        <v/>
      </c>
      <c r="K8" s="11">
        <f>EDATE(Hypothèses!$E$7,K7-1)</f>
        <v/>
      </c>
      <c r="L8" s="11">
        <f>EDATE(Hypothèses!$E$7,L7-1)</f>
        <v/>
      </c>
      <c r="M8" s="11">
        <f>EDATE(Hypothèses!$E$7,M7-1)</f>
        <v/>
      </c>
      <c r="N8" s="11">
        <f>EDATE(Hypothèses!$E$7,N7-1)</f>
        <v/>
      </c>
      <c r="O8" s="11">
        <f>EDATE(Hypothèses!$E$7,O7-1)</f>
        <v/>
      </c>
      <c r="P8" s="11">
        <f>EDATE(Hypothèses!$E$7,P7-1)</f>
        <v/>
      </c>
      <c r="Q8" s="11">
        <f>EDATE(Hypothèses!$E$7,Q7-1)</f>
        <v/>
      </c>
      <c r="R8" s="11">
        <f>EDATE(Hypothèses!$E$7,R7-1)</f>
        <v/>
      </c>
      <c r="S8" s="11">
        <f>EDATE(Hypothèses!$E$7,S7-1)</f>
        <v/>
      </c>
      <c r="T8" s="11">
        <f>EDATE(Hypothèses!$E$7,T7-1)</f>
        <v/>
      </c>
      <c r="U8" s="11">
        <f>EDATE(Hypothèses!$E$7,U7-1)</f>
        <v/>
      </c>
      <c r="V8" s="11">
        <f>EDATE(Hypothèses!$E$7,V7-1)</f>
        <v/>
      </c>
      <c r="W8" s="11">
        <f>EDATE(Hypothèses!$E$7,W7-1)</f>
        <v/>
      </c>
      <c r="X8" s="11">
        <f>EDATE(Hypothèses!$E$7,X7-1)</f>
        <v/>
      </c>
      <c r="Y8" s="11">
        <f>EDATE(Hypothèses!$E$7,Y7-1)</f>
        <v/>
      </c>
      <c r="Z8" s="11">
        <f>EDATE(Hypothèses!$E$7,Z7-1)</f>
        <v/>
      </c>
      <c r="AA8" s="11">
        <f>EDATE(Hypothèses!$E$7,AA7-1)</f>
        <v/>
      </c>
      <c r="AB8" s="11">
        <f>EDATE(Hypothèses!$E$7,AB7-1)</f>
        <v/>
      </c>
      <c r="AC8" s="11">
        <f>EDATE(Hypothèses!$E$7,AC7-1)</f>
        <v/>
      </c>
      <c r="AD8" s="11">
        <f>EDATE(Hypothèses!$E$7,AD7-1)</f>
        <v/>
      </c>
      <c r="AE8" s="11">
        <f>EDATE(Hypothèses!$E$7,AE7-1)</f>
        <v/>
      </c>
      <c r="AF8" s="11">
        <f>EDATE(Hypothèses!$E$7,AF7-1)</f>
        <v/>
      </c>
      <c r="AG8" s="11">
        <f>EDATE(Hypothèses!$E$7,AG7-1)</f>
        <v/>
      </c>
      <c r="AH8" s="11">
        <f>EDATE(Hypothèses!$E$7,AH7-1)</f>
        <v/>
      </c>
      <c r="AI8" s="11">
        <f>EDATE(Hypothèses!$E$7,AI7-1)</f>
        <v/>
      </c>
      <c r="AJ8" s="11">
        <f>EDATE(Hypothèses!$E$7,AJ7-1)</f>
        <v/>
      </c>
      <c r="AK8" s="11">
        <f>EDATE(Hypothèses!$E$7,AK7-1)</f>
        <v/>
      </c>
      <c r="AL8" s="11">
        <f>EDATE(Hypothèses!$E$7,AL7-1)</f>
        <v/>
      </c>
    </row>
    <row r="9">
      <c r="A9" s="9" t="inlineStr">
        <is>
          <t>Lancé ? (1 = oui)</t>
        </is>
      </c>
      <c r="B9" s="4" t="inlineStr">
        <is>
          <t>0/1</t>
        </is>
      </c>
      <c r="C9" s="13">
        <f>IF(C7&gt;=$B$5,1,0)</f>
        <v/>
      </c>
      <c r="D9" s="13">
        <f>IF(D7&gt;=$B$5,1,0)</f>
        <v/>
      </c>
      <c r="E9" s="13">
        <f>IF(E7&gt;=$B$5,1,0)</f>
        <v/>
      </c>
      <c r="F9" s="13">
        <f>IF(F7&gt;=$B$5,1,0)</f>
        <v/>
      </c>
      <c r="G9" s="13">
        <f>IF(G7&gt;=$B$5,1,0)</f>
        <v/>
      </c>
      <c r="H9" s="13">
        <f>IF(H7&gt;=$B$5,1,0)</f>
        <v/>
      </c>
      <c r="I9" s="13">
        <f>IF(I7&gt;=$B$5,1,0)</f>
        <v/>
      </c>
      <c r="J9" s="13">
        <f>IF(J7&gt;=$B$5,1,0)</f>
        <v/>
      </c>
      <c r="K9" s="13">
        <f>IF(K7&gt;=$B$5,1,0)</f>
        <v/>
      </c>
      <c r="L9" s="13">
        <f>IF(L7&gt;=$B$5,1,0)</f>
        <v/>
      </c>
      <c r="M9" s="13">
        <f>IF(M7&gt;=$B$5,1,0)</f>
        <v/>
      </c>
      <c r="N9" s="13">
        <f>IF(N7&gt;=$B$5,1,0)</f>
        <v/>
      </c>
      <c r="O9" s="13">
        <f>IF(O7&gt;=$B$5,1,0)</f>
        <v/>
      </c>
      <c r="P9" s="13">
        <f>IF(P7&gt;=$B$5,1,0)</f>
        <v/>
      </c>
      <c r="Q9" s="13">
        <f>IF(Q7&gt;=$B$5,1,0)</f>
        <v/>
      </c>
      <c r="R9" s="13">
        <f>IF(R7&gt;=$B$5,1,0)</f>
        <v/>
      </c>
      <c r="S9" s="13">
        <f>IF(S7&gt;=$B$5,1,0)</f>
        <v/>
      </c>
      <c r="T9" s="13">
        <f>IF(T7&gt;=$B$5,1,0)</f>
        <v/>
      </c>
      <c r="U9" s="13">
        <f>IF(U7&gt;=$B$5,1,0)</f>
        <v/>
      </c>
      <c r="V9" s="13">
        <f>IF(V7&gt;=$B$5,1,0)</f>
        <v/>
      </c>
      <c r="W9" s="13">
        <f>IF(W7&gt;=$B$5,1,0)</f>
        <v/>
      </c>
      <c r="X9" s="13">
        <f>IF(X7&gt;=$B$5,1,0)</f>
        <v/>
      </c>
      <c r="Y9" s="13">
        <f>IF(Y7&gt;=$B$5,1,0)</f>
        <v/>
      </c>
      <c r="Z9" s="13">
        <f>IF(Z7&gt;=$B$5,1,0)</f>
        <v/>
      </c>
      <c r="AA9" s="13">
        <f>IF(AA7&gt;=$B$5,1,0)</f>
        <v/>
      </c>
      <c r="AB9" s="13">
        <f>IF(AB7&gt;=$B$5,1,0)</f>
        <v/>
      </c>
      <c r="AC9" s="13">
        <f>IF(AC7&gt;=$B$5,1,0)</f>
        <v/>
      </c>
      <c r="AD9" s="13">
        <f>IF(AD7&gt;=$B$5,1,0)</f>
        <v/>
      </c>
      <c r="AE9" s="13">
        <f>IF(AE7&gt;=$B$5,1,0)</f>
        <v/>
      </c>
      <c r="AF9" s="13">
        <f>IF(AF7&gt;=$B$5,1,0)</f>
        <v/>
      </c>
      <c r="AG9" s="13">
        <f>IF(AG7&gt;=$B$5,1,0)</f>
        <v/>
      </c>
      <c r="AH9" s="13">
        <f>IF(AH7&gt;=$B$5,1,0)</f>
        <v/>
      </c>
      <c r="AI9" s="13">
        <f>IF(AI7&gt;=$B$5,1,0)</f>
        <v/>
      </c>
      <c r="AJ9" s="13">
        <f>IF(AJ7&gt;=$B$5,1,0)</f>
        <v/>
      </c>
      <c r="AK9" s="13">
        <f>IF(AK7&gt;=$B$5,1,0)</f>
        <v/>
      </c>
      <c r="AL9" s="13">
        <f>IF(AL7&gt;=$B$5,1,0)</f>
        <v/>
      </c>
    </row>
    <row r="10">
      <c r="A10" s="9" t="inlineStr">
        <is>
          <t>Pilote en cours ? (1 = oui)</t>
        </is>
      </c>
      <c r="B10" s="4" t="inlineStr">
        <is>
          <t>0/1</t>
        </is>
      </c>
      <c r="C10" s="13">
        <f>IF(AND(C7&gt;=Hypothèses!$E$8,C7&lt;$B$5),1,0)</f>
        <v/>
      </c>
      <c r="D10" s="13">
        <f>IF(AND(D7&gt;=Hypothèses!$E$8,D7&lt;$B$5),1,0)</f>
        <v/>
      </c>
      <c r="E10" s="13">
        <f>IF(AND(E7&gt;=Hypothèses!$E$8,E7&lt;$B$5),1,0)</f>
        <v/>
      </c>
      <c r="F10" s="13">
        <f>IF(AND(F7&gt;=Hypothèses!$E$8,F7&lt;$B$5),1,0)</f>
        <v/>
      </c>
      <c r="G10" s="13">
        <f>IF(AND(G7&gt;=Hypothèses!$E$8,G7&lt;$B$5),1,0)</f>
        <v/>
      </c>
      <c r="H10" s="13">
        <f>IF(AND(H7&gt;=Hypothèses!$E$8,H7&lt;$B$5),1,0)</f>
        <v/>
      </c>
      <c r="I10" s="13">
        <f>IF(AND(I7&gt;=Hypothèses!$E$8,I7&lt;$B$5),1,0)</f>
        <v/>
      </c>
      <c r="J10" s="13">
        <f>IF(AND(J7&gt;=Hypothèses!$E$8,J7&lt;$B$5),1,0)</f>
        <v/>
      </c>
      <c r="K10" s="13">
        <f>IF(AND(K7&gt;=Hypothèses!$E$8,K7&lt;$B$5),1,0)</f>
        <v/>
      </c>
      <c r="L10" s="13">
        <f>IF(AND(L7&gt;=Hypothèses!$E$8,L7&lt;$B$5),1,0)</f>
        <v/>
      </c>
      <c r="M10" s="13">
        <f>IF(AND(M7&gt;=Hypothèses!$E$8,M7&lt;$B$5),1,0)</f>
        <v/>
      </c>
      <c r="N10" s="13">
        <f>IF(AND(N7&gt;=Hypothèses!$E$8,N7&lt;$B$5),1,0)</f>
        <v/>
      </c>
      <c r="O10" s="13">
        <f>IF(AND(O7&gt;=Hypothèses!$E$8,O7&lt;$B$5),1,0)</f>
        <v/>
      </c>
      <c r="P10" s="13">
        <f>IF(AND(P7&gt;=Hypothèses!$E$8,P7&lt;$B$5),1,0)</f>
        <v/>
      </c>
      <c r="Q10" s="13">
        <f>IF(AND(Q7&gt;=Hypothèses!$E$8,Q7&lt;$B$5),1,0)</f>
        <v/>
      </c>
      <c r="R10" s="13">
        <f>IF(AND(R7&gt;=Hypothèses!$E$8,R7&lt;$B$5),1,0)</f>
        <v/>
      </c>
      <c r="S10" s="13">
        <f>IF(AND(S7&gt;=Hypothèses!$E$8,S7&lt;$B$5),1,0)</f>
        <v/>
      </c>
      <c r="T10" s="13">
        <f>IF(AND(T7&gt;=Hypothèses!$E$8,T7&lt;$B$5),1,0)</f>
        <v/>
      </c>
      <c r="U10" s="13">
        <f>IF(AND(U7&gt;=Hypothèses!$E$8,U7&lt;$B$5),1,0)</f>
        <v/>
      </c>
      <c r="V10" s="13">
        <f>IF(AND(V7&gt;=Hypothèses!$E$8,V7&lt;$B$5),1,0)</f>
        <v/>
      </c>
      <c r="W10" s="13">
        <f>IF(AND(W7&gt;=Hypothèses!$E$8,W7&lt;$B$5),1,0)</f>
        <v/>
      </c>
      <c r="X10" s="13">
        <f>IF(AND(X7&gt;=Hypothèses!$E$8,X7&lt;$B$5),1,0)</f>
        <v/>
      </c>
      <c r="Y10" s="13">
        <f>IF(AND(Y7&gt;=Hypothèses!$E$8,Y7&lt;$B$5),1,0)</f>
        <v/>
      </c>
      <c r="Z10" s="13">
        <f>IF(AND(Z7&gt;=Hypothèses!$E$8,Z7&lt;$B$5),1,0)</f>
        <v/>
      </c>
      <c r="AA10" s="13">
        <f>IF(AND(AA7&gt;=Hypothèses!$E$8,AA7&lt;$B$5),1,0)</f>
        <v/>
      </c>
      <c r="AB10" s="13">
        <f>IF(AND(AB7&gt;=Hypothèses!$E$8,AB7&lt;$B$5),1,0)</f>
        <v/>
      </c>
      <c r="AC10" s="13">
        <f>IF(AND(AC7&gt;=Hypothèses!$E$8,AC7&lt;$B$5),1,0)</f>
        <v/>
      </c>
      <c r="AD10" s="13">
        <f>IF(AND(AD7&gt;=Hypothèses!$E$8,AD7&lt;$B$5),1,0)</f>
        <v/>
      </c>
      <c r="AE10" s="13">
        <f>IF(AND(AE7&gt;=Hypothèses!$E$8,AE7&lt;$B$5),1,0)</f>
        <v/>
      </c>
      <c r="AF10" s="13">
        <f>IF(AND(AF7&gt;=Hypothèses!$E$8,AF7&lt;$B$5),1,0)</f>
        <v/>
      </c>
      <c r="AG10" s="13">
        <f>IF(AND(AG7&gt;=Hypothèses!$E$8,AG7&lt;$B$5),1,0)</f>
        <v/>
      </c>
      <c r="AH10" s="13">
        <f>IF(AND(AH7&gt;=Hypothèses!$E$8,AH7&lt;$B$5),1,0)</f>
        <v/>
      </c>
      <c r="AI10" s="13">
        <f>IF(AND(AI7&gt;=Hypothèses!$E$8,AI7&lt;$B$5),1,0)</f>
        <v/>
      </c>
      <c r="AJ10" s="13">
        <f>IF(AND(AJ7&gt;=Hypothèses!$E$8,AJ7&lt;$B$5),1,0)</f>
        <v/>
      </c>
      <c r="AK10" s="13">
        <f>IF(AND(AK7&gt;=Hypothèses!$E$8,AK7&lt;$B$5),1,0)</f>
        <v/>
      </c>
      <c r="AL10" s="13">
        <f>IF(AND(AL7&gt;=Hypothèses!$E$8,AL7&lt;$B$5),1,0)</f>
        <v/>
      </c>
    </row>
    <row r="11">
      <c r="A11" s="9" t="inlineStr">
        <is>
          <t>Budget d'acquisition du mois</t>
        </is>
      </c>
      <c r="B11" s="4" t="inlineStr">
        <is>
          <t>€ HT</t>
        </is>
      </c>
      <c r="C11" s="15">
        <f>IF(C9=1,IF(C7&lt;=12,Hypothèses!$E$20,IF(C7&lt;=24,Hypothèses!$E$21,Hypothèses!$E$22)),0)</f>
        <v/>
      </c>
      <c r="D11" s="15">
        <f>IF(D9=1,IF(D7&lt;=12,Hypothèses!$E$20,IF(D7&lt;=24,Hypothèses!$E$21,Hypothèses!$E$22)),0)</f>
        <v/>
      </c>
      <c r="E11" s="15">
        <f>IF(E9=1,IF(E7&lt;=12,Hypothèses!$E$20,IF(E7&lt;=24,Hypothèses!$E$21,Hypothèses!$E$22)),0)</f>
        <v/>
      </c>
      <c r="F11" s="15">
        <f>IF(F9=1,IF(F7&lt;=12,Hypothèses!$E$20,IF(F7&lt;=24,Hypothèses!$E$21,Hypothèses!$E$22)),0)</f>
        <v/>
      </c>
      <c r="G11" s="15">
        <f>IF(G9=1,IF(G7&lt;=12,Hypothèses!$E$20,IF(G7&lt;=24,Hypothèses!$E$21,Hypothèses!$E$22)),0)</f>
        <v/>
      </c>
      <c r="H11" s="15">
        <f>IF(H9=1,IF(H7&lt;=12,Hypothèses!$E$20,IF(H7&lt;=24,Hypothèses!$E$21,Hypothèses!$E$22)),0)</f>
        <v/>
      </c>
      <c r="I11" s="15">
        <f>IF(I9=1,IF(I7&lt;=12,Hypothèses!$E$20,IF(I7&lt;=24,Hypothèses!$E$21,Hypothèses!$E$22)),0)</f>
        <v/>
      </c>
      <c r="J11" s="15">
        <f>IF(J9=1,IF(J7&lt;=12,Hypothèses!$E$20,IF(J7&lt;=24,Hypothèses!$E$21,Hypothèses!$E$22)),0)</f>
        <v/>
      </c>
      <c r="K11" s="15">
        <f>IF(K9=1,IF(K7&lt;=12,Hypothèses!$E$20,IF(K7&lt;=24,Hypothèses!$E$21,Hypothèses!$E$22)),0)</f>
        <v/>
      </c>
      <c r="L11" s="15">
        <f>IF(L9=1,IF(L7&lt;=12,Hypothèses!$E$20,IF(L7&lt;=24,Hypothèses!$E$21,Hypothèses!$E$22)),0)</f>
        <v/>
      </c>
      <c r="M11" s="15">
        <f>IF(M9=1,IF(M7&lt;=12,Hypothèses!$E$20,IF(M7&lt;=24,Hypothèses!$E$21,Hypothèses!$E$22)),0)</f>
        <v/>
      </c>
      <c r="N11" s="15">
        <f>IF(N9=1,IF(N7&lt;=12,Hypothèses!$E$20,IF(N7&lt;=24,Hypothèses!$E$21,Hypothèses!$E$22)),0)</f>
        <v/>
      </c>
      <c r="O11" s="15">
        <f>IF(O9=1,IF(O7&lt;=12,Hypothèses!$E$20,IF(O7&lt;=24,Hypothèses!$E$21,Hypothèses!$E$22)),0)</f>
        <v/>
      </c>
      <c r="P11" s="15">
        <f>IF(P9=1,IF(P7&lt;=12,Hypothèses!$E$20,IF(P7&lt;=24,Hypothèses!$E$21,Hypothèses!$E$22)),0)</f>
        <v/>
      </c>
      <c r="Q11" s="15">
        <f>IF(Q9=1,IF(Q7&lt;=12,Hypothèses!$E$20,IF(Q7&lt;=24,Hypothèses!$E$21,Hypothèses!$E$22)),0)</f>
        <v/>
      </c>
      <c r="R11" s="15">
        <f>IF(R9=1,IF(R7&lt;=12,Hypothèses!$E$20,IF(R7&lt;=24,Hypothèses!$E$21,Hypothèses!$E$22)),0)</f>
        <v/>
      </c>
      <c r="S11" s="15">
        <f>IF(S9=1,IF(S7&lt;=12,Hypothèses!$E$20,IF(S7&lt;=24,Hypothèses!$E$21,Hypothèses!$E$22)),0)</f>
        <v/>
      </c>
      <c r="T11" s="15">
        <f>IF(T9=1,IF(T7&lt;=12,Hypothèses!$E$20,IF(T7&lt;=24,Hypothèses!$E$21,Hypothèses!$E$22)),0)</f>
        <v/>
      </c>
      <c r="U11" s="15">
        <f>IF(U9=1,IF(U7&lt;=12,Hypothèses!$E$20,IF(U7&lt;=24,Hypothèses!$E$21,Hypothèses!$E$22)),0)</f>
        <v/>
      </c>
      <c r="V11" s="15">
        <f>IF(V9=1,IF(V7&lt;=12,Hypothèses!$E$20,IF(V7&lt;=24,Hypothèses!$E$21,Hypothèses!$E$22)),0)</f>
        <v/>
      </c>
      <c r="W11" s="15">
        <f>IF(W9=1,IF(W7&lt;=12,Hypothèses!$E$20,IF(W7&lt;=24,Hypothèses!$E$21,Hypothèses!$E$22)),0)</f>
        <v/>
      </c>
      <c r="X11" s="15">
        <f>IF(X9=1,IF(X7&lt;=12,Hypothèses!$E$20,IF(X7&lt;=24,Hypothèses!$E$21,Hypothèses!$E$22)),0)</f>
        <v/>
      </c>
      <c r="Y11" s="15">
        <f>IF(Y9=1,IF(Y7&lt;=12,Hypothèses!$E$20,IF(Y7&lt;=24,Hypothèses!$E$21,Hypothèses!$E$22)),0)</f>
        <v/>
      </c>
      <c r="Z11" s="15">
        <f>IF(Z9=1,IF(Z7&lt;=12,Hypothèses!$E$20,IF(Z7&lt;=24,Hypothèses!$E$21,Hypothèses!$E$22)),0)</f>
        <v/>
      </c>
      <c r="AA11" s="15">
        <f>IF(AA9=1,IF(AA7&lt;=12,Hypothèses!$E$20,IF(AA7&lt;=24,Hypothèses!$E$21,Hypothèses!$E$22)),0)</f>
        <v/>
      </c>
      <c r="AB11" s="15">
        <f>IF(AB9=1,IF(AB7&lt;=12,Hypothèses!$E$20,IF(AB7&lt;=24,Hypothèses!$E$21,Hypothèses!$E$22)),0)</f>
        <v/>
      </c>
      <c r="AC11" s="15">
        <f>IF(AC9=1,IF(AC7&lt;=12,Hypothèses!$E$20,IF(AC7&lt;=24,Hypothèses!$E$21,Hypothèses!$E$22)),0)</f>
        <v/>
      </c>
      <c r="AD11" s="15">
        <f>IF(AD9=1,IF(AD7&lt;=12,Hypothèses!$E$20,IF(AD7&lt;=24,Hypothèses!$E$21,Hypothèses!$E$22)),0)</f>
        <v/>
      </c>
      <c r="AE11" s="15">
        <f>IF(AE9=1,IF(AE7&lt;=12,Hypothèses!$E$20,IF(AE7&lt;=24,Hypothèses!$E$21,Hypothèses!$E$22)),0)</f>
        <v/>
      </c>
      <c r="AF11" s="15">
        <f>IF(AF9=1,IF(AF7&lt;=12,Hypothèses!$E$20,IF(AF7&lt;=24,Hypothèses!$E$21,Hypothèses!$E$22)),0)</f>
        <v/>
      </c>
      <c r="AG11" s="15">
        <f>IF(AG9=1,IF(AG7&lt;=12,Hypothèses!$E$20,IF(AG7&lt;=24,Hypothèses!$E$21,Hypothèses!$E$22)),0)</f>
        <v/>
      </c>
      <c r="AH11" s="15">
        <f>IF(AH9=1,IF(AH7&lt;=12,Hypothèses!$E$20,IF(AH7&lt;=24,Hypothèses!$E$21,Hypothèses!$E$22)),0)</f>
        <v/>
      </c>
      <c r="AI11" s="15">
        <f>IF(AI9=1,IF(AI7&lt;=12,Hypothèses!$E$20,IF(AI7&lt;=24,Hypothèses!$E$21,Hypothèses!$E$22)),0)</f>
        <v/>
      </c>
      <c r="AJ11" s="15">
        <f>IF(AJ9=1,IF(AJ7&lt;=12,Hypothèses!$E$20,IF(AJ7&lt;=24,Hypothèses!$E$21,Hypothèses!$E$22)),0)</f>
        <v/>
      </c>
      <c r="AK11" s="15">
        <f>IF(AK9=1,IF(AK7&lt;=12,Hypothèses!$E$20,IF(AK7&lt;=24,Hypothèses!$E$21,Hypothèses!$E$22)),0)</f>
        <v/>
      </c>
      <c r="AL11" s="15">
        <f>IF(AL9=1,IF(AL7&lt;=12,Hypothèses!$E$20,IF(AL7&lt;=24,Hypothèses!$E$21,Hypothèses!$E$22)),0)</f>
        <v/>
      </c>
      <c r="AN11" s="15">
        <f>SUM(C11:N11)</f>
        <v/>
      </c>
      <c r="AO11" s="15">
        <f>SUM(O11:Z11)</f>
        <v/>
      </c>
      <c r="AP11" s="15">
        <f>SUM(AA11:AL11)</f>
        <v/>
      </c>
    </row>
    <row r="12">
      <c r="A12" s="8" t="inlineStr">
        <is>
          <t>Abonnés</t>
        </is>
      </c>
    </row>
    <row r="13">
      <c r="A13" s="9" t="inlineStr">
        <is>
          <t>Abonnés en début de mois</t>
        </is>
      </c>
      <c r="B13" s="4" t="inlineStr">
        <is>
          <t>abonnés</t>
        </is>
      </c>
      <c r="C13" s="38">
        <f>0</f>
        <v/>
      </c>
      <c r="D13" s="38">
        <f>C18</f>
        <v/>
      </c>
      <c r="E13" s="38">
        <f>D18</f>
        <v/>
      </c>
      <c r="F13" s="38">
        <f>E18</f>
        <v/>
      </c>
      <c r="G13" s="38">
        <f>F18</f>
        <v/>
      </c>
      <c r="H13" s="38">
        <f>G18</f>
        <v/>
      </c>
      <c r="I13" s="38">
        <f>H18</f>
        <v/>
      </c>
      <c r="J13" s="38">
        <f>I18</f>
        <v/>
      </c>
      <c r="K13" s="38">
        <f>J18</f>
        <v/>
      </c>
      <c r="L13" s="38">
        <f>K18</f>
        <v/>
      </c>
      <c r="M13" s="38">
        <f>L18</f>
        <v/>
      </c>
      <c r="N13" s="38">
        <f>M18</f>
        <v/>
      </c>
      <c r="O13" s="38">
        <f>N18</f>
        <v/>
      </c>
      <c r="P13" s="38">
        <f>O18</f>
        <v/>
      </c>
      <c r="Q13" s="38">
        <f>P18</f>
        <v/>
      </c>
      <c r="R13" s="38">
        <f>Q18</f>
        <v/>
      </c>
      <c r="S13" s="38">
        <f>R18</f>
        <v/>
      </c>
      <c r="T13" s="38">
        <f>S18</f>
        <v/>
      </c>
      <c r="U13" s="38">
        <f>T18</f>
        <v/>
      </c>
      <c r="V13" s="38">
        <f>U18</f>
        <v/>
      </c>
      <c r="W13" s="38">
        <f>V18</f>
        <v/>
      </c>
      <c r="X13" s="38">
        <f>W18</f>
        <v/>
      </c>
      <c r="Y13" s="38">
        <f>X18</f>
        <v/>
      </c>
      <c r="Z13" s="38">
        <f>Y18</f>
        <v/>
      </c>
      <c r="AA13" s="38">
        <f>Z18</f>
        <v/>
      </c>
      <c r="AB13" s="38">
        <f>AA18</f>
        <v/>
      </c>
      <c r="AC13" s="38">
        <f>AB18</f>
        <v/>
      </c>
      <c r="AD13" s="38">
        <f>AC18</f>
        <v/>
      </c>
      <c r="AE13" s="38">
        <f>AD18</f>
        <v/>
      </c>
      <c r="AF13" s="38">
        <f>AE18</f>
        <v/>
      </c>
      <c r="AG13" s="38">
        <f>AF18</f>
        <v/>
      </c>
      <c r="AH13" s="38">
        <f>AG18</f>
        <v/>
      </c>
      <c r="AI13" s="38">
        <f>AH18</f>
        <v/>
      </c>
      <c r="AJ13" s="38">
        <f>AI18</f>
        <v/>
      </c>
      <c r="AK13" s="38">
        <f>AJ18</f>
        <v/>
      </c>
      <c r="AL13" s="38">
        <f>AK18</f>
        <v/>
      </c>
    </row>
    <row r="14">
      <c r="A14" s="9" t="inlineStr">
        <is>
          <t>Nouveaux abonnés par acquisition payante</t>
        </is>
      </c>
      <c r="B14" s="4" t="inlineStr">
        <is>
          <t>abonnés</t>
        </is>
      </c>
      <c r="C14" s="38">
        <f>C11/(Hypothèses!$E$23*$E$4)</f>
        <v/>
      </c>
      <c r="D14" s="38">
        <f>D11/(Hypothèses!$E$23*$E$4)</f>
        <v/>
      </c>
      <c r="E14" s="38">
        <f>E11/(Hypothèses!$E$23*$E$4)</f>
        <v/>
      </c>
      <c r="F14" s="38">
        <f>F11/(Hypothèses!$E$23*$E$4)</f>
        <v/>
      </c>
      <c r="G14" s="38">
        <f>G11/(Hypothèses!$E$23*$E$4)</f>
        <v/>
      </c>
      <c r="H14" s="38">
        <f>H11/(Hypothèses!$E$23*$E$4)</f>
        <v/>
      </c>
      <c r="I14" s="38">
        <f>I11/(Hypothèses!$E$23*$E$4)</f>
        <v/>
      </c>
      <c r="J14" s="38">
        <f>J11/(Hypothèses!$E$23*$E$4)</f>
        <v/>
      </c>
      <c r="K14" s="38">
        <f>K11/(Hypothèses!$E$23*$E$4)</f>
        <v/>
      </c>
      <c r="L14" s="38">
        <f>L11/(Hypothèses!$E$23*$E$4)</f>
        <v/>
      </c>
      <c r="M14" s="38">
        <f>M11/(Hypothèses!$E$23*$E$4)</f>
        <v/>
      </c>
      <c r="N14" s="38">
        <f>N11/(Hypothèses!$E$23*$E$4)</f>
        <v/>
      </c>
      <c r="O14" s="38">
        <f>O11/(Hypothèses!$E$23*$E$4)</f>
        <v/>
      </c>
      <c r="P14" s="38">
        <f>P11/(Hypothèses!$E$23*$E$4)</f>
        <v/>
      </c>
      <c r="Q14" s="38">
        <f>Q11/(Hypothèses!$E$23*$E$4)</f>
        <v/>
      </c>
      <c r="R14" s="38">
        <f>R11/(Hypothèses!$E$23*$E$4)</f>
        <v/>
      </c>
      <c r="S14" s="38">
        <f>S11/(Hypothèses!$E$23*$E$4)</f>
        <v/>
      </c>
      <c r="T14" s="38">
        <f>T11/(Hypothèses!$E$23*$E$4)</f>
        <v/>
      </c>
      <c r="U14" s="38">
        <f>U11/(Hypothèses!$E$23*$E$4)</f>
        <v/>
      </c>
      <c r="V14" s="38">
        <f>V11/(Hypothèses!$E$23*$E$4)</f>
        <v/>
      </c>
      <c r="W14" s="38">
        <f>W11/(Hypothèses!$E$23*$E$4)</f>
        <v/>
      </c>
      <c r="X14" s="38">
        <f>X11/(Hypothèses!$E$23*$E$4)</f>
        <v/>
      </c>
      <c r="Y14" s="38">
        <f>Y11/(Hypothèses!$E$23*$E$4)</f>
        <v/>
      </c>
      <c r="Z14" s="38">
        <f>Z11/(Hypothèses!$E$23*$E$4)</f>
        <v/>
      </c>
      <c r="AA14" s="38">
        <f>AA11/(Hypothèses!$E$23*$E$4)</f>
        <v/>
      </c>
      <c r="AB14" s="38">
        <f>AB11/(Hypothèses!$E$23*$E$4)</f>
        <v/>
      </c>
      <c r="AC14" s="38">
        <f>AC11/(Hypothèses!$E$23*$E$4)</f>
        <v/>
      </c>
      <c r="AD14" s="38">
        <f>AD11/(Hypothèses!$E$23*$E$4)</f>
        <v/>
      </c>
      <c r="AE14" s="38">
        <f>AE11/(Hypothèses!$E$23*$E$4)</f>
        <v/>
      </c>
      <c r="AF14" s="38">
        <f>AF11/(Hypothèses!$E$23*$E$4)</f>
        <v/>
      </c>
      <c r="AG14" s="38">
        <f>AG11/(Hypothèses!$E$23*$E$4)</f>
        <v/>
      </c>
      <c r="AH14" s="38">
        <f>AH11/(Hypothèses!$E$23*$E$4)</f>
        <v/>
      </c>
      <c r="AI14" s="38">
        <f>AI11/(Hypothèses!$E$23*$E$4)</f>
        <v/>
      </c>
      <c r="AJ14" s="38">
        <f>AJ11/(Hypothèses!$E$23*$E$4)</f>
        <v/>
      </c>
      <c r="AK14" s="38">
        <f>AK11/(Hypothèses!$E$23*$E$4)</f>
        <v/>
      </c>
      <c r="AL14" s="38">
        <f>AL11/(Hypothèses!$E$23*$E$4)</f>
        <v/>
      </c>
      <c r="AN14" s="38">
        <f>SUM(C14:N14)</f>
        <v/>
      </c>
      <c r="AO14" s="38">
        <f>SUM(O14:Z14)</f>
        <v/>
      </c>
      <c r="AP14" s="38">
        <f>SUM(AA14:AL14)</f>
        <v/>
      </c>
    </row>
    <row r="15">
      <c r="A15" s="9" t="inlineStr">
        <is>
          <t>Nouveaux abonnés pilote</t>
        </is>
      </c>
      <c r="B15" s="4" t="inlineStr">
        <is>
          <t>abonnés</t>
        </is>
      </c>
      <c r="C15" s="38">
        <f>IF(C7=Hypothèses!$E$8,Hypothèses!$E$9,0)</f>
        <v/>
      </c>
      <c r="D15" s="38">
        <f>IF(D7=Hypothèses!$E$8,Hypothèses!$E$9,0)</f>
        <v/>
      </c>
      <c r="E15" s="38">
        <f>IF(E7=Hypothèses!$E$8,Hypothèses!$E$9,0)</f>
        <v/>
      </c>
      <c r="F15" s="38">
        <f>IF(F7=Hypothèses!$E$8,Hypothèses!$E$9,0)</f>
        <v/>
      </c>
      <c r="G15" s="38">
        <f>IF(G7=Hypothèses!$E$8,Hypothèses!$E$9,0)</f>
        <v/>
      </c>
      <c r="H15" s="38">
        <f>IF(H7=Hypothèses!$E$8,Hypothèses!$E$9,0)</f>
        <v/>
      </c>
      <c r="I15" s="38">
        <f>IF(I7=Hypothèses!$E$8,Hypothèses!$E$9,0)</f>
        <v/>
      </c>
      <c r="J15" s="38">
        <f>IF(J7=Hypothèses!$E$8,Hypothèses!$E$9,0)</f>
        <v/>
      </c>
      <c r="K15" s="38">
        <f>IF(K7=Hypothèses!$E$8,Hypothèses!$E$9,0)</f>
        <v/>
      </c>
      <c r="L15" s="38">
        <f>IF(L7=Hypothèses!$E$8,Hypothèses!$E$9,0)</f>
        <v/>
      </c>
      <c r="M15" s="38">
        <f>IF(M7=Hypothèses!$E$8,Hypothèses!$E$9,0)</f>
        <v/>
      </c>
      <c r="N15" s="38">
        <f>IF(N7=Hypothèses!$E$8,Hypothèses!$E$9,0)</f>
        <v/>
      </c>
      <c r="O15" s="38">
        <f>IF(O7=Hypothèses!$E$8,Hypothèses!$E$9,0)</f>
        <v/>
      </c>
      <c r="P15" s="38">
        <f>IF(P7=Hypothèses!$E$8,Hypothèses!$E$9,0)</f>
        <v/>
      </c>
      <c r="Q15" s="38">
        <f>IF(Q7=Hypothèses!$E$8,Hypothèses!$E$9,0)</f>
        <v/>
      </c>
      <c r="R15" s="38">
        <f>IF(R7=Hypothèses!$E$8,Hypothèses!$E$9,0)</f>
        <v/>
      </c>
      <c r="S15" s="38">
        <f>IF(S7=Hypothèses!$E$8,Hypothèses!$E$9,0)</f>
        <v/>
      </c>
      <c r="T15" s="38">
        <f>IF(T7=Hypothèses!$E$8,Hypothèses!$E$9,0)</f>
        <v/>
      </c>
      <c r="U15" s="38">
        <f>IF(U7=Hypothèses!$E$8,Hypothèses!$E$9,0)</f>
        <v/>
      </c>
      <c r="V15" s="38">
        <f>IF(V7=Hypothèses!$E$8,Hypothèses!$E$9,0)</f>
        <v/>
      </c>
      <c r="W15" s="38">
        <f>IF(W7=Hypothèses!$E$8,Hypothèses!$E$9,0)</f>
        <v/>
      </c>
      <c r="X15" s="38">
        <f>IF(X7=Hypothèses!$E$8,Hypothèses!$E$9,0)</f>
        <v/>
      </c>
      <c r="Y15" s="38">
        <f>IF(Y7=Hypothèses!$E$8,Hypothèses!$E$9,0)</f>
        <v/>
      </c>
      <c r="Z15" s="38">
        <f>IF(Z7=Hypothèses!$E$8,Hypothèses!$E$9,0)</f>
        <v/>
      </c>
      <c r="AA15" s="38">
        <f>IF(AA7=Hypothèses!$E$8,Hypothèses!$E$9,0)</f>
        <v/>
      </c>
      <c r="AB15" s="38">
        <f>IF(AB7=Hypothèses!$E$8,Hypothèses!$E$9,0)</f>
        <v/>
      </c>
      <c r="AC15" s="38">
        <f>IF(AC7=Hypothèses!$E$8,Hypothèses!$E$9,0)</f>
        <v/>
      </c>
      <c r="AD15" s="38">
        <f>IF(AD7=Hypothèses!$E$8,Hypothèses!$E$9,0)</f>
        <v/>
      </c>
      <c r="AE15" s="38">
        <f>IF(AE7=Hypothèses!$E$8,Hypothèses!$E$9,0)</f>
        <v/>
      </c>
      <c r="AF15" s="38">
        <f>IF(AF7=Hypothèses!$E$8,Hypothèses!$E$9,0)</f>
        <v/>
      </c>
      <c r="AG15" s="38">
        <f>IF(AG7=Hypothèses!$E$8,Hypothèses!$E$9,0)</f>
        <v/>
      </c>
      <c r="AH15" s="38">
        <f>IF(AH7=Hypothèses!$E$8,Hypothèses!$E$9,0)</f>
        <v/>
      </c>
      <c r="AI15" s="38">
        <f>IF(AI7=Hypothèses!$E$8,Hypothèses!$E$9,0)</f>
        <v/>
      </c>
      <c r="AJ15" s="38">
        <f>IF(AJ7=Hypothèses!$E$8,Hypothèses!$E$9,0)</f>
        <v/>
      </c>
      <c r="AK15" s="38">
        <f>IF(AK7=Hypothèses!$E$8,Hypothèses!$E$9,0)</f>
        <v/>
      </c>
      <c r="AL15" s="38">
        <f>IF(AL7=Hypothèses!$E$8,Hypothèses!$E$9,0)</f>
        <v/>
      </c>
      <c r="AN15" s="38">
        <f>SUM(C15:N15)</f>
        <v/>
      </c>
      <c r="AO15" s="38">
        <f>SUM(O15:Z15)</f>
        <v/>
      </c>
      <c r="AP15" s="38">
        <f>SUM(AA15:AL15)</f>
        <v/>
      </c>
    </row>
    <row r="16">
      <c r="A16" s="9" t="inlineStr">
        <is>
          <t>Nouveaux abonnés organiques (parrainage)</t>
        </is>
      </c>
      <c r="B16" s="4" t="inlineStr">
        <is>
          <t>abonnés</t>
        </is>
      </c>
      <c r="C16" s="38">
        <f>C9*C13*Hypothèses!$E$24</f>
        <v/>
      </c>
      <c r="D16" s="38">
        <f>D9*D13*Hypothèses!$E$24</f>
        <v/>
      </c>
      <c r="E16" s="38">
        <f>E9*E13*Hypothèses!$E$24</f>
        <v/>
      </c>
      <c r="F16" s="38">
        <f>F9*F13*Hypothèses!$E$24</f>
        <v/>
      </c>
      <c r="G16" s="38">
        <f>G9*G13*Hypothèses!$E$24</f>
        <v/>
      </c>
      <c r="H16" s="38">
        <f>H9*H13*Hypothèses!$E$24</f>
        <v/>
      </c>
      <c r="I16" s="38">
        <f>I9*I13*Hypothèses!$E$24</f>
        <v/>
      </c>
      <c r="J16" s="38">
        <f>J9*J13*Hypothèses!$E$24</f>
        <v/>
      </c>
      <c r="K16" s="38">
        <f>K9*K13*Hypothèses!$E$24</f>
        <v/>
      </c>
      <c r="L16" s="38">
        <f>L9*L13*Hypothèses!$E$24</f>
        <v/>
      </c>
      <c r="M16" s="38">
        <f>M9*M13*Hypothèses!$E$24</f>
        <v/>
      </c>
      <c r="N16" s="38">
        <f>N9*N13*Hypothèses!$E$24</f>
        <v/>
      </c>
      <c r="O16" s="38">
        <f>O9*O13*Hypothèses!$E$24</f>
        <v/>
      </c>
      <c r="P16" s="38">
        <f>P9*P13*Hypothèses!$E$24</f>
        <v/>
      </c>
      <c r="Q16" s="38">
        <f>Q9*Q13*Hypothèses!$E$24</f>
        <v/>
      </c>
      <c r="R16" s="38">
        <f>R9*R13*Hypothèses!$E$24</f>
        <v/>
      </c>
      <c r="S16" s="38">
        <f>S9*S13*Hypothèses!$E$24</f>
        <v/>
      </c>
      <c r="T16" s="38">
        <f>T9*T13*Hypothèses!$E$24</f>
        <v/>
      </c>
      <c r="U16" s="38">
        <f>U9*U13*Hypothèses!$E$24</f>
        <v/>
      </c>
      <c r="V16" s="38">
        <f>V9*V13*Hypothèses!$E$24</f>
        <v/>
      </c>
      <c r="W16" s="38">
        <f>W9*W13*Hypothèses!$E$24</f>
        <v/>
      </c>
      <c r="X16" s="38">
        <f>X9*X13*Hypothèses!$E$24</f>
        <v/>
      </c>
      <c r="Y16" s="38">
        <f>Y9*Y13*Hypothèses!$E$24</f>
        <v/>
      </c>
      <c r="Z16" s="38">
        <f>Z9*Z13*Hypothèses!$E$24</f>
        <v/>
      </c>
      <c r="AA16" s="38">
        <f>AA9*AA13*Hypothèses!$E$24</f>
        <v/>
      </c>
      <c r="AB16" s="38">
        <f>AB9*AB13*Hypothèses!$E$24</f>
        <v/>
      </c>
      <c r="AC16" s="38">
        <f>AC9*AC13*Hypothèses!$E$24</f>
        <v/>
      </c>
      <c r="AD16" s="38">
        <f>AD9*AD13*Hypothèses!$E$24</f>
        <v/>
      </c>
      <c r="AE16" s="38">
        <f>AE9*AE13*Hypothèses!$E$24</f>
        <v/>
      </c>
      <c r="AF16" s="38">
        <f>AF9*AF13*Hypothèses!$E$24</f>
        <v/>
      </c>
      <c r="AG16" s="38">
        <f>AG9*AG13*Hypothèses!$E$24</f>
        <v/>
      </c>
      <c r="AH16" s="38">
        <f>AH9*AH13*Hypothèses!$E$24</f>
        <v/>
      </c>
      <c r="AI16" s="38">
        <f>AI9*AI13*Hypothèses!$E$24</f>
        <v/>
      </c>
      <c r="AJ16" s="38">
        <f>AJ9*AJ13*Hypothèses!$E$24</f>
        <v/>
      </c>
      <c r="AK16" s="38">
        <f>AK9*AK13*Hypothèses!$E$24</f>
        <v/>
      </c>
      <c r="AL16" s="38">
        <f>AL9*AL13*Hypothèses!$E$24</f>
        <v/>
      </c>
      <c r="AN16" s="38">
        <f>SUM(C16:N16)</f>
        <v/>
      </c>
      <c r="AO16" s="38">
        <f>SUM(O16:Z16)</f>
        <v/>
      </c>
      <c r="AP16" s="38">
        <f>SUM(AA16:AL16)</f>
        <v/>
      </c>
    </row>
    <row r="17">
      <c r="A17" s="9" t="inlineStr">
        <is>
          <t>Résiliations</t>
        </is>
      </c>
      <c r="B17" s="4" t="inlineStr">
        <is>
          <t>abonnés</t>
        </is>
      </c>
      <c r="C17" s="38">
        <f>C13*Hypothèses!$E$26*$D$4</f>
        <v/>
      </c>
      <c r="D17" s="38">
        <f>D13*Hypothèses!$E$26*$D$4</f>
        <v/>
      </c>
      <c r="E17" s="38">
        <f>E13*Hypothèses!$E$26*$D$4</f>
        <v/>
      </c>
      <c r="F17" s="38">
        <f>F13*Hypothèses!$E$26*$D$4</f>
        <v/>
      </c>
      <c r="G17" s="38">
        <f>G13*Hypothèses!$E$26*$D$4</f>
        <v/>
      </c>
      <c r="H17" s="38">
        <f>H13*Hypothèses!$E$26*$D$4</f>
        <v/>
      </c>
      <c r="I17" s="38">
        <f>I13*Hypothèses!$E$26*$D$4</f>
        <v/>
      </c>
      <c r="J17" s="38">
        <f>J13*Hypothèses!$E$26*$D$4</f>
        <v/>
      </c>
      <c r="K17" s="38">
        <f>K13*Hypothèses!$E$26*$D$4</f>
        <v/>
      </c>
      <c r="L17" s="38">
        <f>L13*Hypothèses!$E$26*$D$4</f>
        <v/>
      </c>
      <c r="M17" s="38">
        <f>M13*Hypothèses!$E$26*$D$4</f>
        <v/>
      </c>
      <c r="N17" s="38">
        <f>N13*Hypothèses!$E$26*$D$4</f>
        <v/>
      </c>
      <c r="O17" s="38">
        <f>O13*Hypothèses!$E$26*$D$4</f>
        <v/>
      </c>
      <c r="P17" s="38">
        <f>P13*Hypothèses!$E$26*$D$4</f>
        <v/>
      </c>
      <c r="Q17" s="38">
        <f>Q13*Hypothèses!$E$26*$D$4</f>
        <v/>
      </c>
      <c r="R17" s="38">
        <f>R13*Hypothèses!$E$26*$D$4</f>
        <v/>
      </c>
      <c r="S17" s="38">
        <f>S13*Hypothèses!$E$26*$D$4</f>
        <v/>
      </c>
      <c r="T17" s="38">
        <f>T13*Hypothèses!$E$26*$D$4</f>
        <v/>
      </c>
      <c r="U17" s="38">
        <f>U13*Hypothèses!$E$26*$D$4</f>
        <v/>
      </c>
      <c r="V17" s="38">
        <f>V13*Hypothèses!$E$26*$D$4</f>
        <v/>
      </c>
      <c r="W17" s="38">
        <f>W13*Hypothèses!$E$26*$D$4</f>
        <v/>
      </c>
      <c r="X17" s="38">
        <f>X13*Hypothèses!$E$26*$D$4</f>
        <v/>
      </c>
      <c r="Y17" s="38">
        <f>Y13*Hypothèses!$E$26*$D$4</f>
        <v/>
      </c>
      <c r="Z17" s="38">
        <f>Z13*Hypothèses!$E$26*$D$4</f>
        <v/>
      </c>
      <c r="AA17" s="38">
        <f>AA13*Hypothèses!$E$26*$D$4</f>
        <v/>
      </c>
      <c r="AB17" s="38">
        <f>AB13*Hypothèses!$E$26*$D$4</f>
        <v/>
      </c>
      <c r="AC17" s="38">
        <f>AC13*Hypothèses!$E$26*$D$4</f>
        <v/>
      </c>
      <c r="AD17" s="38">
        <f>AD13*Hypothèses!$E$26*$D$4</f>
        <v/>
      </c>
      <c r="AE17" s="38">
        <f>AE13*Hypothèses!$E$26*$D$4</f>
        <v/>
      </c>
      <c r="AF17" s="38">
        <f>AF13*Hypothèses!$E$26*$D$4</f>
        <v/>
      </c>
      <c r="AG17" s="38">
        <f>AG13*Hypothèses!$E$26*$D$4</f>
        <v/>
      </c>
      <c r="AH17" s="38">
        <f>AH13*Hypothèses!$E$26*$D$4</f>
        <v/>
      </c>
      <c r="AI17" s="38">
        <f>AI13*Hypothèses!$E$26*$D$4</f>
        <v/>
      </c>
      <c r="AJ17" s="38">
        <f>AJ13*Hypothèses!$E$26*$D$4</f>
        <v/>
      </c>
      <c r="AK17" s="38">
        <f>AK13*Hypothèses!$E$26*$D$4</f>
        <v/>
      </c>
      <c r="AL17" s="38">
        <f>AL13*Hypothèses!$E$26*$D$4</f>
        <v/>
      </c>
      <c r="AN17" s="38">
        <f>SUM(C17:N17)</f>
        <v/>
      </c>
      <c r="AO17" s="38">
        <f>SUM(O17:Z17)</f>
        <v/>
      </c>
      <c r="AP17" s="38">
        <f>SUM(AA17:AL17)</f>
        <v/>
      </c>
    </row>
    <row r="18">
      <c r="A18" s="2" t="inlineStr">
        <is>
          <t>Abonnés en fin de mois</t>
        </is>
      </c>
      <c r="B18" s="4" t="inlineStr">
        <is>
          <t>abonnés</t>
        </is>
      </c>
      <c r="C18" s="39">
        <f>C13+C14+C15+C16-C17</f>
        <v/>
      </c>
      <c r="D18" s="39">
        <f>D13+D14+D15+D16-D17</f>
        <v/>
      </c>
      <c r="E18" s="39">
        <f>E13+E14+E15+E16-E17</f>
        <v/>
      </c>
      <c r="F18" s="39">
        <f>F13+F14+F15+F16-F17</f>
        <v/>
      </c>
      <c r="G18" s="39">
        <f>G13+G14+G15+G16-G17</f>
        <v/>
      </c>
      <c r="H18" s="39">
        <f>H13+H14+H15+H16-H17</f>
        <v/>
      </c>
      <c r="I18" s="39">
        <f>I13+I14+I15+I16-I17</f>
        <v/>
      </c>
      <c r="J18" s="39">
        <f>J13+J14+J15+J16-J17</f>
        <v/>
      </c>
      <c r="K18" s="39">
        <f>K13+K14+K15+K16-K17</f>
        <v/>
      </c>
      <c r="L18" s="39">
        <f>L13+L14+L15+L16-L17</f>
        <v/>
      </c>
      <c r="M18" s="39">
        <f>M13+M14+M15+M16-M17</f>
        <v/>
      </c>
      <c r="N18" s="39">
        <f>N13+N14+N15+N16-N17</f>
        <v/>
      </c>
      <c r="O18" s="39">
        <f>O13+O14+O15+O16-O17</f>
        <v/>
      </c>
      <c r="P18" s="39">
        <f>P13+P14+P15+P16-P17</f>
        <v/>
      </c>
      <c r="Q18" s="39">
        <f>Q13+Q14+Q15+Q16-Q17</f>
        <v/>
      </c>
      <c r="R18" s="39">
        <f>R13+R14+R15+R16-R17</f>
        <v/>
      </c>
      <c r="S18" s="39">
        <f>S13+S14+S15+S16-S17</f>
        <v/>
      </c>
      <c r="T18" s="39">
        <f>T13+T14+T15+T16-T17</f>
        <v/>
      </c>
      <c r="U18" s="39">
        <f>U13+U14+U15+U16-U17</f>
        <v/>
      </c>
      <c r="V18" s="39">
        <f>V13+V14+V15+V16-V17</f>
        <v/>
      </c>
      <c r="W18" s="39">
        <f>W13+W14+W15+W16-W17</f>
        <v/>
      </c>
      <c r="X18" s="39">
        <f>X13+X14+X15+X16-X17</f>
        <v/>
      </c>
      <c r="Y18" s="39">
        <f>Y13+Y14+Y15+Y16-Y17</f>
        <v/>
      </c>
      <c r="Z18" s="39">
        <f>Z13+Z14+Z15+Z16-Z17</f>
        <v/>
      </c>
      <c r="AA18" s="39">
        <f>AA13+AA14+AA15+AA16-AA17</f>
        <v/>
      </c>
      <c r="AB18" s="39">
        <f>AB13+AB14+AB15+AB16-AB17</f>
        <v/>
      </c>
      <c r="AC18" s="39">
        <f>AC13+AC14+AC15+AC16-AC17</f>
        <v/>
      </c>
      <c r="AD18" s="39">
        <f>AD13+AD14+AD15+AD16-AD17</f>
        <v/>
      </c>
      <c r="AE18" s="39">
        <f>AE13+AE14+AE15+AE16-AE17</f>
        <v/>
      </c>
      <c r="AF18" s="39">
        <f>AF13+AF14+AF15+AF16-AF17</f>
        <v/>
      </c>
      <c r="AG18" s="39">
        <f>AG13+AG14+AG15+AG16-AG17</f>
        <v/>
      </c>
      <c r="AH18" s="39">
        <f>AH13+AH14+AH15+AH16-AH17</f>
        <v/>
      </c>
      <c r="AI18" s="39">
        <f>AI13+AI14+AI15+AI16-AI17</f>
        <v/>
      </c>
      <c r="AJ18" s="39">
        <f>AJ13+AJ14+AJ15+AJ16-AJ17</f>
        <v/>
      </c>
      <c r="AK18" s="39">
        <f>AK13+AK14+AK15+AK16-AK17</f>
        <v/>
      </c>
      <c r="AL18" s="39">
        <f>AL13+AL14+AL15+AL16-AL17</f>
        <v/>
      </c>
      <c r="AN18" s="39">
        <f>N18</f>
        <v/>
      </c>
      <c r="AO18" s="39">
        <f>Z18</f>
        <v/>
      </c>
      <c r="AP18" s="39">
        <f>AL18</f>
        <v/>
      </c>
    </row>
    <row r="19">
      <c r="A19" s="9" t="inlineStr">
        <is>
          <t>dont Personal</t>
        </is>
      </c>
      <c r="B19" s="4" t="inlineStr">
        <is>
          <t>abonnés</t>
        </is>
      </c>
      <c r="C19" s="38">
        <f>C18*Hypothèses!$E$16</f>
        <v/>
      </c>
      <c r="D19" s="38">
        <f>D18*Hypothèses!$E$16</f>
        <v/>
      </c>
      <c r="E19" s="38">
        <f>E18*Hypothèses!$E$16</f>
        <v/>
      </c>
      <c r="F19" s="38">
        <f>F18*Hypothèses!$E$16</f>
        <v/>
      </c>
      <c r="G19" s="38">
        <f>G18*Hypothèses!$E$16</f>
        <v/>
      </c>
      <c r="H19" s="38">
        <f>H18*Hypothèses!$E$16</f>
        <v/>
      </c>
      <c r="I19" s="38">
        <f>I18*Hypothèses!$E$16</f>
        <v/>
      </c>
      <c r="J19" s="38">
        <f>J18*Hypothèses!$E$16</f>
        <v/>
      </c>
      <c r="K19" s="38">
        <f>K18*Hypothèses!$E$16</f>
        <v/>
      </c>
      <c r="L19" s="38">
        <f>L18*Hypothèses!$E$16</f>
        <v/>
      </c>
      <c r="M19" s="38">
        <f>M18*Hypothèses!$E$16</f>
        <v/>
      </c>
      <c r="N19" s="38">
        <f>N18*Hypothèses!$E$16</f>
        <v/>
      </c>
      <c r="O19" s="38">
        <f>O18*Hypothèses!$E$16</f>
        <v/>
      </c>
      <c r="P19" s="38">
        <f>P18*Hypothèses!$E$16</f>
        <v/>
      </c>
      <c r="Q19" s="38">
        <f>Q18*Hypothèses!$E$16</f>
        <v/>
      </c>
      <c r="R19" s="38">
        <f>R18*Hypothèses!$E$16</f>
        <v/>
      </c>
      <c r="S19" s="38">
        <f>S18*Hypothèses!$E$16</f>
        <v/>
      </c>
      <c r="T19" s="38">
        <f>T18*Hypothèses!$E$16</f>
        <v/>
      </c>
      <c r="U19" s="38">
        <f>U18*Hypothèses!$E$16</f>
        <v/>
      </c>
      <c r="V19" s="38">
        <f>V18*Hypothèses!$E$16</f>
        <v/>
      </c>
      <c r="W19" s="38">
        <f>W18*Hypothèses!$E$16</f>
        <v/>
      </c>
      <c r="X19" s="38">
        <f>X18*Hypothèses!$E$16</f>
        <v/>
      </c>
      <c r="Y19" s="38">
        <f>Y18*Hypothèses!$E$16</f>
        <v/>
      </c>
      <c r="Z19" s="38">
        <f>Z18*Hypothèses!$E$16</f>
        <v/>
      </c>
      <c r="AA19" s="38">
        <f>AA18*Hypothèses!$E$16</f>
        <v/>
      </c>
      <c r="AB19" s="38">
        <f>AB18*Hypothèses!$E$16</f>
        <v/>
      </c>
      <c r="AC19" s="38">
        <f>AC18*Hypothèses!$E$16</f>
        <v/>
      </c>
      <c r="AD19" s="38">
        <f>AD18*Hypothèses!$E$16</f>
        <v/>
      </c>
      <c r="AE19" s="38">
        <f>AE18*Hypothèses!$E$16</f>
        <v/>
      </c>
      <c r="AF19" s="38">
        <f>AF18*Hypothèses!$E$16</f>
        <v/>
      </c>
      <c r="AG19" s="38">
        <f>AG18*Hypothèses!$E$16</f>
        <v/>
      </c>
      <c r="AH19" s="38">
        <f>AH18*Hypothèses!$E$16</f>
        <v/>
      </c>
      <c r="AI19" s="38">
        <f>AI18*Hypothèses!$E$16</f>
        <v/>
      </c>
      <c r="AJ19" s="38">
        <f>AJ18*Hypothèses!$E$16</f>
        <v/>
      </c>
      <c r="AK19" s="38">
        <f>AK18*Hypothèses!$E$16</f>
        <v/>
      </c>
      <c r="AL19" s="38">
        <f>AL18*Hypothèses!$E$16</f>
        <v/>
      </c>
      <c r="AN19" s="38">
        <f>N19</f>
        <v/>
      </c>
      <c r="AO19" s="38">
        <f>Z19</f>
        <v/>
      </c>
      <c r="AP19" s="38">
        <f>AL19</f>
        <v/>
      </c>
    </row>
    <row r="20">
      <c r="A20" s="9" t="inlineStr">
        <is>
          <t>dont Premium</t>
        </is>
      </c>
      <c r="B20" s="4" t="inlineStr">
        <is>
          <t>abonnés</t>
        </is>
      </c>
      <c r="C20" s="38">
        <f>C18*Hypothèses!$E$17</f>
        <v/>
      </c>
      <c r="D20" s="38">
        <f>D18*Hypothèses!$E$17</f>
        <v/>
      </c>
      <c r="E20" s="38">
        <f>E18*Hypothèses!$E$17</f>
        <v/>
      </c>
      <c r="F20" s="38">
        <f>F18*Hypothèses!$E$17</f>
        <v/>
      </c>
      <c r="G20" s="38">
        <f>G18*Hypothèses!$E$17</f>
        <v/>
      </c>
      <c r="H20" s="38">
        <f>H18*Hypothèses!$E$17</f>
        <v/>
      </c>
      <c r="I20" s="38">
        <f>I18*Hypothèses!$E$17</f>
        <v/>
      </c>
      <c r="J20" s="38">
        <f>J18*Hypothèses!$E$17</f>
        <v/>
      </c>
      <c r="K20" s="38">
        <f>K18*Hypothèses!$E$17</f>
        <v/>
      </c>
      <c r="L20" s="38">
        <f>L18*Hypothèses!$E$17</f>
        <v/>
      </c>
      <c r="M20" s="38">
        <f>M18*Hypothèses!$E$17</f>
        <v/>
      </c>
      <c r="N20" s="38">
        <f>N18*Hypothèses!$E$17</f>
        <v/>
      </c>
      <c r="O20" s="38">
        <f>O18*Hypothèses!$E$17</f>
        <v/>
      </c>
      <c r="P20" s="38">
        <f>P18*Hypothèses!$E$17</f>
        <v/>
      </c>
      <c r="Q20" s="38">
        <f>Q18*Hypothèses!$E$17</f>
        <v/>
      </c>
      <c r="R20" s="38">
        <f>R18*Hypothèses!$E$17</f>
        <v/>
      </c>
      <c r="S20" s="38">
        <f>S18*Hypothèses!$E$17</f>
        <v/>
      </c>
      <c r="T20" s="38">
        <f>T18*Hypothèses!$E$17</f>
        <v/>
      </c>
      <c r="U20" s="38">
        <f>U18*Hypothèses!$E$17</f>
        <v/>
      </c>
      <c r="V20" s="38">
        <f>V18*Hypothèses!$E$17</f>
        <v/>
      </c>
      <c r="W20" s="38">
        <f>W18*Hypothèses!$E$17</f>
        <v/>
      </c>
      <c r="X20" s="38">
        <f>X18*Hypothèses!$E$17</f>
        <v/>
      </c>
      <c r="Y20" s="38">
        <f>Y18*Hypothèses!$E$17</f>
        <v/>
      </c>
      <c r="Z20" s="38">
        <f>Z18*Hypothèses!$E$17</f>
        <v/>
      </c>
      <c r="AA20" s="38">
        <f>AA18*Hypothèses!$E$17</f>
        <v/>
      </c>
      <c r="AB20" s="38">
        <f>AB18*Hypothèses!$E$17</f>
        <v/>
      </c>
      <c r="AC20" s="38">
        <f>AC18*Hypothèses!$E$17</f>
        <v/>
      </c>
      <c r="AD20" s="38">
        <f>AD18*Hypothèses!$E$17</f>
        <v/>
      </c>
      <c r="AE20" s="38">
        <f>AE18*Hypothèses!$E$17</f>
        <v/>
      </c>
      <c r="AF20" s="38">
        <f>AF18*Hypothèses!$E$17</f>
        <v/>
      </c>
      <c r="AG20" s="38">
        <f>AG18*Hypothèses!$E$17</f>
        <v/>
      </c>
      <c r="AH20" s="38">
        <f>AH18*Hypothèses!$E$17</f>
        <v/>
      </c>
      <c r="AI20" s="38">
        <f>AI18*Hypothèses!$E$17</f>
        <v/>
      </c>
      <c r="AJ20" s="38">
        <f>AJ18*Hypothèses!$E$17</f>
        <v/>
      </c>
      <c r="AK20" s="38">
        <f>AK18*Hypothèses!$E$17</f>
        <v/>
      </c>
      <c r="AL20" s="38">
        <f>AL18*Hypothèses!$E$17</f>
        <v/>
      </c>
      <c r="AN20" s="38">
        <f>N20</f>
        <v/>
      </c>
      <c r="AO20" s="38">
        <f>Z20</f>
        <v/>
      </c>
      <c r="AP20" s="38">
        <f>AL20</f>
        <v/>
      </c>
    </row>
    <row r="21">
      <c r="A21" s="9" t="inlineStr">
        <is>
          <t>dont Family</t>
        </is>
      </c>
      <c r="B21" s="4" t="inlineStr">
        <is>
          <t>abonnés</t>
        </is>
      </c>
      <c r="C21" s="38">
        <f>C18*Hypothèses!$E$18</f>
        <v/>
      </c>
      <c r="D21" s="38">
        <f>D18*Hypothèses!$E$18</f>
        <v/>
      </c>
      <c r="E21" s="38">
        <f>E18*Hypothèses!$E$18</f>
        <v/>
      </c>
      <c r="F21" s="38">
        <f>F18*Hypothèses!$E$18</f>
        <v/>
      </c>
      <c r="G21" s="38">
        <f>G18*Hypothèses!$E$18</f>
        <v/>
      </c>
      <c r="H21" s="38">
        <f>H18*Hypothèses!$E$18</f>
        <v/>
      </c>
      <c r="I21" s="38">
        <f>I18*Hypothèses!$E$18</f>
        <v/>
      </c>
      <c r="J21" s="38">
        <f>J18*Hypothèses!$E$18</f>
        <v/>
      </c>
      <c r="K21" s="38">
        <f>K18*Hypothèses!$E$18</f>
        <v/>
      </c>
      <c r="L21" s="38">
        <f>L18*Hypothèses!$E$18</f>
        <v/>
      </c>
      <c r="M21" s="38">
        <f>M18*Hypothèses!$E$18</f>
        <v/>
      </c>
      <c r="N21" s="38">
        <f>N18*Hypothèses!$E$18</f>
        <v/>
      </c>
      <c r="O21" s="38">
        <f>O18*Hypothèses!$E$18</f>
        <v/>
      </c>
      <c r="P21" s="38">
        <f>P18*Hypothèses!$E$18</f>
        <v/>
      </c>
      <c r="Q21" s="38">
        <f>Q18*Hypothèses!$E$18</f>
        <v/>
      </c>
      <c r="R21" s="38">
        <f>R18*Hypothèses!$E$18</f>
        <v/>
      </c>
      <c r="S21" s="38">
        <f>S18*Hypothèses!$E$18</f>
        <v/>
      </c>
      <c r="T21" s="38">
        <f>T18*Hypothèses!$E$18</f>
        <v/>
      </c>
      <c r="U21" s="38">
        <f>U18*Hypothèses!$E$18</f>
        <v/>
      </c>
      <c r="V21" s="38">
        <f>V18*Hypothèses!$E$18</f>
        <v/>
      </c>
      <c r="W21" s="38">
        <f>W18*Hypothèses!$E$18</f>
        <v/>
      </c>
      <c r="X21" s="38">
        <f>X18*Hypothèses!$E$18</f>
        <v/>
      </c>
      <c r="Y21" s="38">
        <f>Y18*Hypothèses!$E$18</f>
        <v/>
      </c>
      <c r="Z21" s="38">
        <f>Z18*Hypothèses!$E$18</f>
        <v/>
      </c>
      <c r="AA21" s="38">
        <f>AA18*Hypothèses!$E$18</f>
        <v/>
      </c>
      <c r="AB21" s="38">
        <f>AB18*Hypothèses!$E$18</f>
        <v/>
      </c>
      <c r="AC21" s="38">
        <f>AC18*Hypothèses!$E$18</f>
        <v/>
      </c>
      <c r="AD21" s="38">
        <f>AD18*Hypothèses!$E$18</f>
        <v/>
      </c>
      <c r="AE21" s="38">
        <f>AE18*Hypothèses!$E$18</f>
        <v/>
      </c>
      <c r="AF21" s="38">
        <f>AF18*Hypothèses!$E$18</f>
        <v/>
      </c>
      <c r="AG21" s="38">
        <f>AG18*Hypothèses!$E$18</f>
        <v/>
      </c>
      <c r="AH21" s="38">
        <f>AH18*Hypothèses!$E$18</f>
        <v/>
      </c>
      <c r="AI21" s="38">
        <f>AI18*Hypothèses!$E$18</f>
        <v/>
      </c>
      <c r="AJ21" s="38">
        <f>AJ18*Hypothèses!$E$18</f>
        <v/>
      </c>
      <c r="AK21" s="38">
        <f>AK18*Hypothèses!$E$18</f>
        <v/>
      </c>
      <c r="AL21" s="38">
        <f>AL18*Hypothèses!$E$18</f>
        <v/>
      </c>
      <c r="AN21" s="38">
        <f>N21</f>
        <v/>
      </c>
      <c r="AO21" s="38">
        <f>Z21</f>
        <v/>
      </c>
      <c r="AP21" s="38">
        <f>AL21</f>
        <v/>
      </c>
    </row>
    <row r="22">
      <c r="A22" s="8" t="inlineStr">
        <is>
          <t>Revenus</t>
        </is>
      </c>
    </row>
    <row r="23">
      <c r="A23" s="9" t="inlineStr">
        <is>
          <t>Facturation Personal TTC</t>
        </is>
      </c>
      <c r="B23" s="4" t="inlineStr">
        <is>
          <t>€ TTC</t>
        </is>
      </c>
      <c r="C23" s="15">
        <f>C19*Hypothèses!$E$12*$C$4</f>
        <v/>
      </c>
      <c r="D23" s="15">
        <f>D19*Hypothèses!$E$12*$C$4</f>
        <v/>
      </c>
      <c r="E23" s="15">
        <f>E19*Hypothèses!$E$12*$C$4</f>
        <v/>
      </c>
      <c r="F23" s="15">
        <f>F19*Hypothèses!$E$12*$C$4</f>
        <v/>
      </c>
      <c r="G23" s="15">
        <f>G19*Hypothèses!$E$12*$C$4</f>
        <v/>
      </c>
      <c r="H23" s="15">
        <f>H19*Hypothèses!$E$12*$C$4</f>
        <v/>
      </c>
      <c r="I23" s="15">
        <f>I19*Hypothèses!$E$12*$C$4</f>
        <v/>
      </c>
      <c r="J23" s="15">
        <f>J19*Hypothèses!$E$12*$C$4</f>
        <v/>
      </c>
      <c r="K23" s="15">
        <f>K19*Hypothèses!$E$12*$C$4</f>
        <v/>
      </c>
      <c r="L23" s="15">
        <f>L19*Hypothèses!$E$12*$C$4</f>
        <v/>
      </c>
      <c r="M23" s="15">
        <f>M19*Hypothèses!$E$12*$C$4</f>
        <v/>
      </c>
      <c r="N23" s="15">
        <f>N19*Hypothèses!$E$12*$C$4</f>
        <v/>
      </c>
      <c r="O23" s="15">
        <f>O19*Hypothèses!$E$12*$C$4</f>
        <v/>
      </c>
      <c r="P23" s="15">
        <f>P19*Hypothèses!$E$12*$C$4</f>
        <v/>
      </c>
      <c r="Q23" s="15">
        <f>Q19*Hypothèses!$E$12*$C$4</f>
        <v/>
      </c>
      <c r="R23" s="15">
        <f>R19*Hypothèses!$E$12*$C$4</f>
        <v/>
      </c>
      <c r="S23" s="15">
        <f>S19*Hypothèses!$E$12*$C$4</f>
        <v/>
      </c>
      <c r="T23" s="15">
        <f>T19*Hypothèses!$E$12*$C$4</f>
        <v/>
      </c>
      <c r="U23" s="15">
        <f>U19*Hypothèses!$E$12*$C$4</f>
        <v/>
      </c>
      <c r="V23" s="15">
        <f>V19*Hypothèses!$E$12*$C$4</f>
        <v/>
      </c>
      <c r="W23" s="15">
        <f>W19*Hypothèses!$E$12*$C$4</f>
        <v/>
      </c>
      <c r="X23" s="15">
        <f>X19*Hypothèses!$E$12*$C$4</f>
        <v/>
      </c>
      <c r="Y23" s="15">
        <f>Y19*Hypothèses!$E$12*$C$4</f>
        <v/>
      </c>
      <c r="Z23" s="15">
        <f>Z19*Hypothèses!$E$12*$C$4</f>
        <v/>
      </c>
      <c r="AA23" s="15">
        <f>AA19*Hypothèses!$E$12*$C$4</f>
        <v/>
      </c>
      <c r="AB23" s="15">
        <f>AB19*Hypothèses!$E$12*$C$4</f>
        <v/>
      </c>
      <c r="AC23" s="15">
        <f>AC19*Hypothèses!$E$12*$C$4</f>
        <v/>
      </c>
      <c r="AD23" s="15">
        <f>AD19*Hypothèses!$E$12*$C$4</f>
        <v/>
      </c>
      <c r="AE23" s="15">
        <f>AE19*Hypothèses!$E$12*$C$4</f>
        <v/>
      </c>
      <c r="AF23" s="15">
        <f>AF19*Hypothèses!$E$12*$C$4</f>
        <v/>
      </c>
      <c r="AG23" s="15">
        <f>AG19*Hypothèses!$E$12*$C$4</f>
        <v/>
      </c>
      <c r="AH23" s="15">
        <f>AH19*Hypothèses!$E$12*$C$4</f>
        <v/>
      </c>
      <c r="AI23" s="15">
        <f>AI19*Hypothèses!$E$12*$C$4</f>
        <v/>
      </c>
      <c r="AJ23" s="15">
        <f>AJ19*Hypothèses!$E$12*$C$4</f>
        <v/>
      </c>
      <c r="AK23" s="15">
        <f>AK19*Hypothèses!$E$12*$C$4</f>
        <v/>
      </c>
      <c r="AL23" s="15">
        <f>AL19*Hypothèses!$E$12*$C$4</f>
        <v/>
      </c>
      <c r="AN23" s="15">
        <f>SUM(C23:N23)</f>
        <v/>
      </c>
      <c r="AO23" s="15">
        <f>SUM(O23:Z23)</f>
        <v/>
      </c>
      <c r="AP23" s="15">
        <f>SUM(AA23:AL23)</f>
        <v/>
      </c>
    </row>
    <row r="24">
      <c r="A24" s="9" t="inlineStr">
        <is>
          <t>Facturation Premium TTC</t>
        </is>
      </c>
      <c r="B24" s="4" t="inlineStr">
        <is>
          <t>€ TTC</t>
        </is>
      </c>
      <c r="C24" s="15">
        <f>C20*Hypothèses!$E$13*$C$4</f>
        <v/>
      </c>
      <c r="D24" s="15">
        <f>D20*Hypothèses!$E$13*$C$4</f>
        <v/>
      </c>
      <c r="E24" s="15">
        <f>E20*Hypothèses!$E$13*$C$4</f>
        <v/>
      </c>
      <c r="F24" s="15">
        <f>F20*Hypothèses!$E$13*$C$4</f>
        <v/>
      </c>
      <c r="G24" s="15">
        <f>G20*Hypothèses!$E$13*$C$4</f>
        <v/>
      </c>
      <c r="H24" s="15">
        <f>H20*Hypothèses!$E$13*$C$4</f>
        <v/>
      </c>
      <c r="I24" s="15">
        <f>I20*Hypothèses!$E$13*$C$4</f>
        <v/>
      </c>
      <c r="J24" s="15">
        <f>J20*Hypothèses!$E$13*$C$4</f>
        <v/>
      </c>
      <c r="K24" s="15">
        <f>K20*Hypothèses!$E$13*$C$4</f>
        <v/>
      </c>
      <c r="L24" s="15">
        <f>L20*Hypothèses!$E$13*$C$4</f>
        <v/>
      </c>
      <c r="M24" s="15">
        <f>M20*Hypothèses!$E$13*$C$4</f>
        <v/>
      </c>
      <c r="N24" s="15">
        <f>N20*Hypothèses!$E$13*$C$4</f>
        <v/>
      </c>
      <c r="O24" s="15">
        <f>O20*Hypothèses!$E$13*$C$4</f>
        <v/>
      </c>
      <c r="P24" s="15">
        <f>P20*Hypothèses!$E$13*$C$4</f>
        <v/>
      </c>
      <c r="Q24" s="15">
        <f>Q20*Hypothèses!$E$13*$C$4</f>
        <v/>
      </c>
      <c r="R24" s="15">
        <f>R20*Hypothèses!$E$13*$C$4</f>
        <v/>
      </c>
      <c r="S24" s="15">
        <f>S20*Hypothèses!$E$13*$C$4</f>
        <v/>
      </c>
      <c r="T24" s="15">
        <f>T20*Hypothèses!$E$13*$C$4</f>
        <v/>
      </c>
      <c r="U24" s="15">
        <f>U20*Hypothèses!$E$13*$C$4</f>
        <v/>
      </c>
      <c r="V24" s="15">
        <f>V20*Hypothèses!$E$13*$C$4</f>
        <v/>
      </c>
      <c r="W24" s="15">
        <f>W20*Hypothèses!$E$13*$C$4</f>
        <v/>
      </c>
      <c r="X24" s="15">
        <f>X20*Hypothèses!$E$13*$C$4</f>
        <v/>
      </c>
      <c r="Y24" s="15">
        <f>Y20*Hypothèses!$E$13*$C$4</f>
        <v/>
      </c>
      <c r="Z24" s="15">
        <f>Z20*Hypothèses!$E$13*$C$4</f>
        <v/>
      </c>
      <c r="AA24" s="15">
        <f>AA20*Hypothèses!$E$13*$C$4</f>
        <v/>
      </c>
      <c r="AB24" s="15">
        <f>AB20*Hypothèses!$E$13*$C$4</f>
        <v/>
      </c>
      <c r="AC24" s="15">
        <f>AC20*Hypothèses!$E$13*$C$4</f>
        <v/>
      </c>
      <c r="AD24" s="15">
        <f>AD20*Hypothèses!$E$13*$C$4</f>
        <v/>
      </c>
      <c r="AE24" s="15">
        <f>AE20*Hypothèses!$E$13*$C$4</f>
        <v/>
      </c>
      <c r="AF24" s="15">
        <f>AF20*Hypothèses!$E$13*$C$4</f>
        <v/>
      </c>
      <c r="AG24" s="15">
        <f>AG20*Hypothèses!$E$13*$C$4</f>
        <v/>
      </c>
      <c r="AH24" s="15">
        <f>AH20*Hypothèses!$E$13*$C$4</f>
        <v/>
      </c>
      <c r="AI24" s="15">
        <f>AI20*Hypothèses!$E$13*$C$4</f>
        <v/>
      </c>
      <c r="AJ24" s="15">
        <f>AJ20*Hypothèses!$E$13*$C$4</f>
        <v/>
      </c>
      <c r="AK24" s="15">
        <f>AK20*Hypothèses!$E$13*$C$4</f>
        <v/>
      </c>
      <c r="AL24" s="15">
        <f>AL20*Hypothèses!$E$13*$C$4</f>
        <v/>
      </c>
      <c r="AN24" s="15">
        <f>SUM(C24:N24)</f>
        <v/>
      </c>
      <c r="AO24" s="15">
        <f>SUM(O24:Z24)</f>
        <v/>
      </c>
      <c r="AP24" s="15">
        <f>SUM(AA24:AL24)</f>
        <v/>
      </c>
    </row>
    <row r="25">
      <c r="A25" s="9" t="inlineStr">
        <is>
          <t>Facturation Family TTC</t>
        </is>
      </c>
      <c r="B25" s="4" t="inlineStr">
        <is>
          <t>€ TTC</t>
        </is>
      </c>
      <c r="C25" s="15">
        <f>C21*Hypothèses!$E$14*$C$4</f>
        <v/>
      </c>
      <c r="D25" s="15">
        <f>D21*Hypothèses!$E$14*$C$4</f>
        <v/>
      </c>
      <c r="E25" s="15">
        <f>E21*Hypothèses!$E$14*$C$4</f>
        <v/>
      </c>
      <c r="F25" s="15">
        <f>F21*Hypothèses!$E$14*$C$4</f>
        <v/>
      </c>
      <c r="G25" s="15">
        <f>G21*Hypothèses!$E$14*$C$4</f>
        <v/>
      </c>
      <c r="H25" s="15">
        <f>H21*Hypothèses!$E$14*$C$4</f>
        <v/>
      </c>
      <c r="I25" s="15">
        <f>I21*Hypothèses!$E$14*$C$4</f>
        <v/>
      </c>
      <c r="J25" s="15">
        <f>J21*Hypothèses!$E$14*$C$4</f>
        <v/>
      </c>
      <c r="K25" s="15">
        <f>K21*Hypothèses!$E$14*$C$4</f>
        <v/>
      </c>
      <c r="L25" s="15">
        <f>L21*Hypothèses!$E$14*$C$4</f>
        <v/>
      </c>
      <c r="M25" s="15">
        <f>M21*Hypothèses!$E$14*$C$4</f>
        <v/>
      </c>
      <c r="N25" s="15">
        <f>N21*Hypothèses!$E$14*$C$4</f>
        <v/>
      </c>
      <c r="O25" s="15">
        <f>O21*Hypothèses!$E$14*$C$4</f>
        <v/>
      </c>
      <c r="P25" s="15">
        <f>P21*Hypothèses!$E$14*$C$4</f>
        <v/>
      </c>
      <c r="Q25" s="15">
        <f>Q21*Hypothèses!$E$14*$C$4</f>
        <v/>
      </c>
      <c r="R25" s="15">
        <f>R21*Hypothèses!$E$14*$C$4</f>
        <v/>
      </c>
      <c r="S25" s="15">
        <f>S21*Hypothèses!$E$14*$C$4</f>
        <v/>
      </c>
      <c r="T25" s="15">
        <f>T21*Hypothèses!$E$14*$C$4</f>
        <v/>
      </c>
      <c r="U25" s="15">
        <f>U21*Hypothèses!$E$14*$C$4</f>
        <v/>
      </c>
      <c r="V25" s="15">
        <f>V21*Hypothèses!$E$14*$C$4</f>
        <v/>
      </c>
      <c r="W25" s="15">
        <f>W21*Hypothèses!$E$14*$C$4</f>
        <v/>
      </c>
      <c r="X25" s="15">
        <f>X21*Hypothèses!$E$14*$C$4</f>
        <v/>
      </c>
      <c r="Y25" s="15">
        <f>Y21*Hypothèses!$E$14*$C$4</f>
        <v/>
      </c>
      <c r="Z25" s="15">
        <f>Z21*Hypothèses!$E$14*$C$4</f>
        <v/>
      </c>
      <c r="AA25" s="15">
        <f>AA21*Hypothèses!$E$14*$C$4</f>
        <v/>
      </c>
      <c r="AB25" s="15">
        <f>AB21*Hypothèses!$E$14*$C$4</f>
        <v/>
      </c>
      <c r="AC25" s="15">
        <f>AC21*Hypothèses!$E$14*$C$4</f>
        <v/>
      </c>
      <c r="AD25" s="15">
        <f>AD21*Hypothèses!$E$14*$C$4</f>
        <v/>
      </c>
      <c r="AE25" s="15">
        <f>AE21*Hypothèses!$E$14*$C$4</f>
        <v/>
      </c>
      <c r="AF25" s="15">
        <f>AF21*Hypothèses!$E$14*$C$4</f>
        <v/>
      </c>
      <c r="AG25" s="15">
        <f>AG21*Hypothèses!$E$14*$C$4</f>
        <v/>
      </c>
      <c r="AH25" s="15">
        <f>AH21*Hypothèses!$E$14*$C$4</f>
        <v/>
      </c>
      <c r="AI25" s="15">
        <f>AI21*Hypothèses!$E$14*$C$4</f>
        <v/>
      </c>
      <c r="AJ25" s="15">
        <f>AJ21*Hypothèses!$E$14*$C$4</f>
        <v/>
      </c>
      <c r="AK25" s="15">
        <f>AK21*Hypothèses!$E$14*$C$4</f>
        <v/>
      </c>
      <c r="AL25" s="15">
        <f>AL21*Hypothèses!$E$14*$C$4</f>
        <v/>
      </c>
      <c r="AN25" s="15">
        <f>SUM(C25:N25)</f>
        <v/>
      </c>
      <c r="AO25" s="15">
        <f>SUM(O25:Z25)</f>
        <v/>
      </c>
      <c r="AP25" s="15">
        <f>SUM(AA25:AL25)</f>
        <v/>
      </c>
    </row>
    <row r="26">
      <c r="A26" s="2" t="inlineStr">
        <is>
          <t>Facturation totale TTC (MRR TTC)</t>
        </is>
      </c>
      <c r="B26" s="4" t="inlineStr">
        <is>
          <t>€ TTC</t>
        </is>
      </c>
      <c r="C26" s="40">
        <f>C23+C24+C25</f>
        <v/>
      </c>
      <c r="D26" s="40">
        <f>D23+D24+D25</f>
        <v/>
      </c>
      <c r="E26" s="40">
        <f>E23+E24+E25</f>
        <v/>
      </c>
      <c r="F26" s="40">
        <f>F23+F24+F25</f>
        <v/>
      </c>
      <c r="G26" s="40">
        <f>G23+G24+G25</f>
        <v/>
      </c>
      <c r="H26" s="40">
        <f>H23+H24+H25</f>
        <v/>
      </c>
      <c r="I26" s="40">
        <f>I23+I24+I25</f>
        <v/>
      </c>
      <c r="J26" s="40">
        <f>J23+J24+J25</f>
        <v/>
      </c>
      <c r="K26" s="40">
        <f>K23+K24+K25</f>
        <v/>
      </c>
      <c r="L26" s="40">
        <f>L23+L24+L25</f>
        <v/>
      </c>
      <c r="M26" s="40">
        <f>M23+M24+M25</f>
        <v/>
      </c>
      <c r="N26" s="40">
        <f>N23+N24+N25</f>
        <v/>
      </c>
      <c r="O26" s="40">
        <f>O23+O24+O25</f>
        <v/>
      </c>
      <c r="P26" s="40">
        <f>P23+P24+P25</f>
        <v/>
      </c>
      <c r="Q26" s="40">
        <f>Q23+Q24+Q25</f>
        <v/>
      </c>
      <c r="R26" s="40">
        <f>R23+R24+R25</f>
        <v/>
      </c>
      <c r="S26" s="40">
        <f>S23+S24+S25</f>
        <v/>
      </c>
      <c r="T26" s="40">
        <f>T23+T24+T25</f>
        <v/>
      </c>
      <c r="U26" s="40">
        <f>U23+U24+U25</f>
        <v/>
      </c>
      <c r="V26" s="40">
        <f>V23+V24+V25</f>
        <v/>
      </c>
      <c r="W26" s="40">
        <f>W23+W24+W25</f>
        <v/>
      </c>
      <c r="X26" s="40">
        <f>X23+X24+X25</f>
        <v/>
      </c>
      <c r="Y26" s="40">
        <f>Y23+Y24+Y25</f>
        <v/>
      </c>
      <c r="Z26" s="40">
        <f>Z23+Z24+Z25</f>
        <v/>
      </c>
      <c r="AA26" s="40">
        <f>AA23+AA24+AA25</f>
        <v/>
      </c>
      <c r="AB26" s="40">
        <f>AB23+AB24+AB25</f>
        <v/>
      </c>
      <c r="AC26" s="40">
        <f>AC23+AC24+AC25</f>
        <v/>
      </c>
      <c r="AD26" s="40">
        <f>AD23+AD24+AD25</f>
        <v/>
      </c>
      <c r="AE26" s="40">
        <f>AE23+AE24+AE25</f>
        <v/>
      </c>
      <c r="AF26" s="40">
        <f>AF23+AF24+AF25</f>
        <v/>
      </c>
      <c r="AG26" s="40">
        <f>AG23+AG24+AG25</f>
        <v/>
      </c>
      <c r="AH26" s="40">
        <f>AH23+AH24+AH25</f>
        <v/>
      </c>
      <c r="AI26" s="40">
        <f>AI23+AI24+AI25</f>
        <v/>
      </c>
      <c r="AJ26" s="40">
        <f>AJ23+AJ24+AJ25</f>
        <v/>
      </c>
      <c r="AK26" s="40">
        <f>AK23+AK24+AK25</f>
        <v/>
      </c>
      <c r="AL26" s="40">
        <f>AL23+AL24+AL25</f>
        <v/>
      </c>
      <c r="AN26" s="40">
        <f>SUM(C26:N26)</f>
        <v/>
      </c>
      <c r="AO26" s="40">
        <f>SUM(O26:Z26)</f>
        <v/>
      </c>
      <c r="AP26" s="40">
        <f>SUM(AA26:AL26)</f>
        <v/>
      </c>
    </row>
    <row r="27">
      <c r="A27" s="9" t="inlineStr">
        <is>
          <t>TVA collectée</t>
        </is>
      </c>
      <c r="B27" s="4" t="inlineStr">
        <is>
          <t>€</t>
        </is>
      </c>
      <c r="C27" s="15">
        <f>C26*Hypothèses!$E$15/(1+Hypothèses!$E$15)</f>
        <v/>
      </c>
      <c r="D27" s="15">
        <f>D26*Hypothèses!$E$15/(1+Hypothèses!$E$15)</f>
        <v/>
      </c>
      <c r="E27" s="15">
        <f>E26*Hypothèses!$E$15/(1+Hypothèses!$E$15)</f>
        <v/>
      </c>
      <c r="F27" s="15">
        <f>F26*Hypothèses!$E$15/(1+Hypothèses!$E$15)</f>
        <v/>
      </c>
      <c r="G27" s="15">
        <f>G26*Hypothèses!$E$15/(1+Hypothèses!$E$15)</f>
        <v/>
      </c>
      <c r="H27" s="15">
        <f>H26*Hypothèses!$E$15/(1+Hypothèses!$E$15)</f>
        <v/>
      </c>
      <c r="I27" s="15">
        <f>I26*Hypothèses!$E$15/(1+Hypothèses!$E$15)</f>
        <v/>
      </c>
      <c r="J27" s="15">
        <f>J26*Hypothèses!$E$15/(1+Hypothèses!$E$15)</f>
        <v/>
      </c>
      <c r="K27" s="15">
        <f>K26*Hypothèses!$E$15/(1+Hypothèses!$E$15)</f>
        <v/>
      </c>
      <c r="L27" s="15">
        <f>L26*Hypothèses!$E$15/(1+Hypothèses!$E$15)</f>
        <v/>
      </c>
      <c r="M27" s="15">
        <f>M26*Hypothèses!$E$15/(1+Hypothèses!$E$15)</f>
        <v/>
      </c>
      <c r="N27" s="15">
        <f>N26*Hypothèses!$E$15/(1+Hypothèses!$E$15)</f>
        <v/>
      </c>
      <c r="O27" s="15">
        <f>O26*Hypothèses!$E$15/(1+Hypothèses!$E$15)</f>
        <v/>
      </c>
      <c r="P27" s="15">
        <f>P26*Hypothèses!$E$15/(1+Hypothèses!$E$15)</f>
        <v/>
      </c>
      <c r="Q27" s="15">
        <f>Q26*Hypothèses!$E$15/(1+Hypothèses!$E$15)</f>
        <v/>
      </c>
      <c r="R27" s="15">
        <f>R26*Hypothèses!$E$15/(1+Hypothèses!$E$15)</f>
        <v/>
      </c>
      <c r="S27" s="15">
        <f>S26*Hypothèses!$E$15/(1+Hypothèses!$E$15)</f>
        <v/>
      </c>
      <c r="T27" s="15">
        <f>T26*Hypothèses!$E$15/(1+Hypothèses!$E$15)</f>
        <v/>
      </c>
      <c r="U27" s="15">
        <f>U26*Hypothèses!$E$15/(1+Hypothèses!$E$15)</f>
        <v/>
      </c>
      <c r="V27" s="15">
        <f>V26*Hypothèses!$E$15/(1+Hypothèses!$E$15)</f>
        <v/>
      </c>
      <c r="W27" s="15">
        <f>W26*Hypothèses!$E$15/(1+Hypothèses!$E$15)</f>
        <v/>
      </c>
      <c r="X27" s="15">
        <f>X26*Hypothèses!$E$15/(1+Hypothèses!$E$15)</f>
        <v/>
      </c>
      <c r="Y27" s="15">
        <f>Y26*Hypothèses!$E$15/(1+Hypothèses!$E$15)</f>
        <v/>
      </c>
      <c r="Z27" s="15">
        <f>Z26*Hypothèses!$E$15/(1+Hypothèses!$E$15)</f>
        <v/>
      </c>
      <c r="AA27" s="15">
        <f>AA26*Hypothèses!$E$15/(1+Hypothèses!$E$15)</f>
        <v/>
      </c>
      <c r="AB27" s="15">
        <f>AB26*Hypothèses!$E$15/(1+Hypothèses!$E$15)</f>
        <v/>
      </c>
      <c r="AC27" s="15">
        <f>AC26*Hypothèses!$E$15/(1+Hypothèses!$E$15)</f>
        <v/>
      </c>
      <c r="AD27" s="15">
        <f>AD26*Hypothèses!$E$15/(1+Hypothèses!$E$15)</f>
        <v/>
      </c>
      <c r="AE27" s="15">
        <f>AE26*Hypothèses!$E$15/(1+Hypothèses!$E$15)</f>
        <v/>
      </c>
      <c r="AF27" s="15">
        <f>AF26*Hypothèses!$E$15/(1+Hypothèses!$E$15)</f>
        <v/>
      </c>
      <c r="AG27" s="15">
        <f>AG26*Hypothèses!$E$15/(1+Hypothèses!$E$15)</f>
        <v/>
      </c>
      <c r="AH27" s="15">
        <f>AH26*Hypothèses!$E$15/(1+Hypothèses!$E$15)</f>
        <v/>
      </c>
      <c r="AI27" s="15">
        <f>AI26*Hypothèses!$E$15/(1+Hypothèses!$E$15)</f>
        <v/>
      </c>
      <c r="AJ27" s="15">
        <f>AJ26*Hypothèses!$E$15/(1+Hypothèses!$E$15)</f>
        <v/>
      </c>
      <c r="AK27" s="15">
        <f>AK26*Hypothèses!$E$15/(1+Hypothèses!$E$15)</f>
        <v/>
      </c>
      <c r="AL27" s="15">
        <f>AL26*Hypothèses!$E$15/(1+Hypothèses!$E$15)</f>
        <v/>
      </c>
      <c r="AN27" s="15">
        <f>SUM(C27:N27)</f>
        <v/>
      </c>
      <c r="AO27" s="15">
        <f>SUM(O27:Z27)</f>
        <v/>
      </c>
      <c r="AP27" s="15">
        <f>SUM(AA27:AL27)</f>
        <v/>
      </c>
    </row>
    <row r="28">
      <c r="A28" s="2" t="inlineStr">
        <is>
          <t>Chiffre d'affaires HT</t>
        </is>
      </c>
      <c r="B28" s="4" t="inlineStr">
        <is>
          <t>€ HT</t>
        </is>
      </c>
      <c r="C28" s="40">
        <f>C26-C27</f>
        <v/>
      </c>
      <c r="D28" s="40">
        <f>D26-D27</f>
        <v/>
      </c>
      <c r="E28" s="40">
        <f>E26-E27</f>
        <v/>
      </c>
      <c r="F28" s="40">
        <f>F26-F27</f>
        <v/>
      </c>
      <c r="G28" s="40">
        <f>G26-G27</f>
        <v/>
      </c>
      <c r="H28" s="40">
        <f>H26-H27</f>
        <v/>
      </c>
      <c r="I28" s="40">
        <f>I26-I27</f>
        <v/>
      </c>
      <c r="J28" s="40">
        <f>J26-J27</f>
        <v/>
      </c>
      <c r="K28" s="40">
        <f>K26-K27</f>
        <v/>
      </c>
      <c r="L28" s="40">
        <f>L26-L27</f>
        <v/>
      </c>
      <c r="M28" s="40">
        <f>M26-M27</f>
        <v/>
      </c>
      <c r="N28" s="40">
        <f>N26-N27</f>
        <v/>
      </c>
      <c r="O28" s="40">
        <f>O26-O27</f>
        <v/>
      </c>
      <c r="P28" s="40">
        <f>P26-P27</f>
        <v/>
      </c>
      <c r="Q28" s="40">
        <f>Q26-Q27</f>
        <v/>
      </c>
      <c r="R28" s="40">
        <f>R26-R27</f>
        <v/>
      </c>
      <c r="S28" s="40">
        <f>S26-S27</f>
        <v/>
      </c>
      <c r="T28" s="40">
        <f>T26-T27</f>
        <v/>
      </c>
      <c r="U28" s="40">
        <f>U26-U27</f>
        <v/>
      </c>
      <c r="V28" s="40">
        <f>V26-V27</f>
        <v/>
      </c>
      <c r="W28" s="40">
        <f>W26-W27</f>
        <v/>
      </c>
      <c r="X28" s="40">
        <f>X26-X27</f>
        <v/>
      </c>
      <c r="Y28" s="40">
        <f>Y26-Y27</f>
        <v/>
      </c>
      <c r="Z28" s="40">
        <f>Z26-Z27</f>
        <v/>
      </c>
      <c r="AA28" s="40">
        <f>AA26-AA27</f>
        <v/>
      </c>
      <c r="AB28" s="40">
        <f>AB26-AB27</f>
        <v/>
      </c>
      <c r="AC28" s="40">
        <f>AC26-AC27</f>
        <v/>
      </c>
      <c r="AD28" s="40">
        <f>AD26-AD27</f>
        <v/>
      </c>
      <c r="AE28" s="40">
        <f>AE26-AE27</f>
        <v/>
      </c>
      <c r="AF28" s="40">
        <f>AF26-AF27</f>
        <v/>
      </c>
      <c r="AG28" s="40">
        <f>AG26-AG27</f>
        <v/>
      </c>
      <c r="AH28" s="40">
        <f>AH26-AH27</f>
        <v/>
      </c>
      <c r="AI28" s="40">
        <f>AI26-AI27</f>
        <v/>
      </c>
      <c r="AJ28" s="40">
        <f>AJ26-AJ27</f>
        <v/>
      </c>
      <c r="AK28" s="40">
        <f>AK26-AK27</f>
        <v/>
      </c>
      <c r="AL28" s="40">
        <f>AL26-AL27</f>
        <v/>
      </c>
      <c r="AN28" s="40">
        <f>SUM(C28:N28)</f>
        <v/>
      </c>
      <c r="AO28" s="40">
        <f>SUM(O28:Z28)</f>
        <v/>
      </c>
      <c r="AP28" s="40">
        <f>SUM(AA28:AL28)</f>
        <v/>
      </c>
    </row>
    <row r="29">
      <c r="A29" s="9" t="inlineStr">
        <is>
          <t>Impayés (TTC)</t>
        </is>
      </c>
      <c r="B29" s="4" t="inlineStr">
        <is>
          <t>€ TTC</t>
        </is>
      </c>
      <c r="C29" s="15">
        <f>C26*Hypothèses!$E$27</f>
        <v/>
      </c>
      <c r="D29" s="15">
        <f>D26*Hypothèses!$E$27</f>
        <v/>
      </c>
      <c r="E29" s="15">
        <f>E26*Hypothèses!$E$27</f>
        <v/>
      </c>
      <c r="F29" s="15">
        <f>F26*Hypothèses!$E$27</f>
        <v/>
      </c>
      <c r="G29" s="15">
        <f>G26*Hypothèses!$E$27</f>
        <v/>
      </c>
      <c r="H29" s="15">
        <f>H26*Hypothèses!$E$27</f>
        <v/>
      </c>
      <c r="I29" s="15">
        <f>I26*Hypothèses!$E$27</f>
        <v/>
      </c>
      <c r="J29" s="15">
        <f>J26*Hypothèses!$E$27</f>
        <v/>
      </c>
      <c r="K29" s="15">
        <f>K26*Hypothèses!$E$27</f>
        <v/>
      </c>
      <c r="L29" s="15">
        <f>L26*Hypothèses!$E$27</f>
        <v/>
      </c>
      <c r="M29" s="15">
        <f>M26*Hypothèses!$E$27</f>
        <v/>
      </c>
      <c r="N29" s="15">
        <f>N26*Hypothèses!$E$27</f>
        <v/>
      </c>
      <c r="O29" s="15">
        <f>O26*Hypothèses!$E$27</f>
        <v/>
      </c>
      <c r="P29" s="15">
        <f>P26*Hypothèses!$E$27</f>
        <v/>
      </c>
      <c r="Q29" s="15">
        <f>Q26*Hypothèses!$E$27</f>
        <v/>
      </c>
      <c r="R29" s="15">
        <f>R26*Hypothèses!$E$27</f>
        <v/>
      </c>
      <c r="S29" s="15">
        <f>S26*Hypothèses!$E$27</f>
        <v/>
      </c>
      <c r="T29" s="15">
        <f>T26*Hypothèses!$E$27</f>
        <v/>
      </c>
      <c r="U29" s="15">
        <f>U26*Hypothèses!$E$27</f>
        <v/>
      </c>
      <c r="V29" s="15">
        <f>V26*Hypothèses!$E$27</f>
        <v/>
      </c>
      <c r="W29" s="15">
        <f>W26*Hypothèses!$E$27</f>
        <v/>
      </c>
      <c r="X29" s="15">
        <f>X26*Hypothèses!$E$27</f>
        <v/>
      </c>
      <c r="Y29" s="15">
        <f>Y26*Hypothèses!$E$27</f>
        <v/>
      </c>
      <c r="Z29" s="15">
        <f>Z26*Hypothèses!$E$27</f>
        <v/>
      </c>
      <c r="AA29" s="15">
        <f>AA26*Hypothèses!$E$27</f>
        <v/>
      </c>
      <c r="AB29" s="15">
        <f>AB26*Hypothèses!$E$27</f>
        <v/>
      </c>
      <c r="AC29" s="15">
        <f>AC26*Hypothèses!$E$27</f>
        <v/>
      </c>
      <c r="AD29" s="15">
        <f>AD26*Hypothèses!$E$27</f>
        <v/>
      </c>
      <c r="AE29" s="15">
        <f>AE26*Hypothèses!$E$27</f>
        <v/>
      </c>
      <c r="AF29" s="15">
        <f>AF26*Hypothèses!$E$27</f>
        <v/>
      </c>
      <c r="AG29" s="15">
        <f>AG26*Hypothèses!$E$27</f>
        <v/>
      </c>
      <c r="AH29" s="15">
        <f>AH26*Hypothèses!$E$27</f>
        <v/>
      </c>
      <c r="AI29" s="15">
        <f>AI26*Hypothèses!$E$27</f>
        <v/>
      </c>
      <c r="AJ29" s="15">
        <f>AJ26*Hypothèses!$E$27</f>
        <v/>
      </c>
      <c r="AK29" s="15">
        <f>AK26*Hypothèses!$E$27</f>
        <v/>
      </c>
      <c r="AL29" s="15">
        <f>AL26*Hypothèses!$E$27</f>
        <v/>
      </c>
      <c r="AN29" s="15">
        <f>SUM(C29:N29)</f>
        <v/>
      </c>
      <c r="AO29" s="15">
        <f>SUM(O29:Z29)</f>
        <v/>
      </c>
      <c r="AP29" s="15">
        <f>SUM(AA29:AL29)</f>
        <v/>
      </c>
    </row>
    <row r="30">
      <c r="A30" s="9" t="inlineStr">
        <is>
          <t>Frais de paiement</t>
        </is>
      </c>
      <c r="B30" s="4" t="inlineStr">
        <is>
          <t>€</t>
        </is>
      </c>
      <c r="C30" s="15">
        <f>(C26-C29)*Hypothèses!$E$28+C18*Hypothèses!$E$29</f>
        <v/>
      </c>
      <c r="D30" s="15">
        <f>(D26-D29)*Hypothèses!$E$28+D18*Hypothèses!$E$29</f>
        <v/>
      </c>
      <c r="E30" s="15">
        <f>(E26-E29)*Hypothèses!$E$28+E18*Hypothèses!$E$29</f>
        <v/>
      </c>
      <c r="F30" s="15">
        <f>(F26-F29)*Hypothèses!$E$28+F18*Hypothèses!$E$29</f>
        <v/>
      </c>
      <c r="G30" s="15">
        <f>(G26-G29)*Hypothèses!$E$28+G18*Hypothèses!$E$29</f>
        <v/>
      </c>
      <c r="H30" s="15">
        <f>(H26-H29)*Hypothèses!$E$28+H18*Hypothèses!$E$29</f>
        <v/>
      </c>
      <c r="I30" s="15">
        <f>(I26-I29)*Hypothèses!$E$28+I18*Hypothèses!$E$29</f>
        <v/>
      </c>
      <c r="J30" s="15">
        <f>(J26-J29)*Hypothèses!$E$28+J18*Hypothèses!$E$29</f>
        <v/>
      </c>
      <c r="K30" s="15">
        <f>(K26-K29)*Hypothèses!$E$28+K18*Hypothèses!$E$29</f>
        <v/>
      </c>
      <c r="L30" s="15">
        <f>(L26-L29)*Hypothèses!$E$28+L18*Hypothèses!$E$29</f>
        <v/>
      </c>
      <c r="M30" s="15">
        <f>(M26-M29)*Hypothèses!$E$28+M18*Hypothèses!$E$29</f>
        <v/>
      </c>
      <c r="N30" s="15">
        <f>(N26-N29)*Hypothèses!$E$28+N18*Hypothèses!$E$29</f>
        <v/>
      </c>
      <c r="O30" s="15">
        <f>(O26-O29)*Hypothèses!$E$28+O18*Hypothèses!$E$29</f>
        <v/>
      </c>
      <c r="P30" s="15">
        <f>(P26-P29)*Hypothèses!$E$28+P18*Hypothèses!$E$29</f>
        <v/>
      </c>
      <c r="Q30" s="15">
        <f>(Q26-Q29)*Hypothèses!$E$28+Q18*Hypothèses!$E$29</f>
        <v/>
      </c>
      <c r="R30" s="15">
        <f>(R26-R29)*Hypothèses!$E$28+R18*Hypothèses!$E$29</f>
        <v/>
      </c>
      <c r="S30" s="15">
        <f>(S26-S29)*Hypothèses!$E$28+S18*Hypothèses!$E$29</f>
        <v/>
      </c>
      <c r="T30" s="15">
        <f>(T26-T29)*Hypothèses!$E$28+T18*Hypothèses!$E$29</f>
        <v/>
      </c>
      <c r="U30" s="15">
        <f>(U26-U29)*Hypothèses!$E$28+U18*Hypothèses!$E$29</f>
        <v/>
      </c>
      <c r="V30" s="15">
        <f>(V26-V29)*Hypothèses!$E$28+V18*Hypothèses!$E$29</f>
        <v/>
      </c>
      <c r="W30" s="15">
        <f>(W26-W29)*Hypothèses!$E$28+W18*Hypothèses!$E$29</f>
        <v/>
      </c>
      <c r="X30" s="15">
        <f>(X26-X29)*Hypothèses!$E$28+X18*Hypothèses!$E$29</f>
        <v/>
      </c>
      <c r="Y30" s="15">
        <f>(Y26-Y29)*Hypothèses!$E$28+Y18*Hypothèses!$E$29</f>
        <v/>
      </c>
      <c r="Z30" s="15">
        <f>(Z26-Z29)*Hypothèses!$E$28+Z18*Hypothèses!$E$29</f>
        <v/>
      </c>
      <c r="AA30" s="15">
        <f>(AA26-AA29)*Hypothèses!$E$28+AA18*Hypothèses!$E$29</f>
        <v/>
      </c>
      <c r="AB30" s="15">
        <f>(AB26-AB29)*Hypothèses!$E$28+AB18*Hypothèses!$E$29</f>
        <v/>
      </c>
      <c r="AC30" s="15">
        <f>(AC26-AC29)*Hypothèses!$E$28+AC18*Hypothèses!$E$29</f>
        <v/>
      </c>
      <c r="AD30" s="15">
        <f>(AD26-AD29)*Hypothèses!$E$28+AD18*Hypothèses!$E$29</f>
        <v/>
      </c>
      <c r="AE30" s="15">
        <f>(AE26-AE29)*Hypothèses!$E$28+AE18*Hypothèses!$E$29</f>
        <v/>
      </c>
      <c r="AF30" s="15">
        <f>(AF26-AF29)*Hypothèses!$E$28+AF18*Hypothèses!$E$29</f>
        <v/>
      </c>
      <c r="AG30" s="15">
        <f>(AG26-AG29)*Hypothèses!$E$28+AG18*Hypothèses!$E$29</f>
        <v/>
      </c>
      <c r="AH30" s="15">
        <f>(AH26-AH29)*Hypothèses!$E$28+AH18*Hypothèses!$E$29</f>
        <v/>
      </c>
      <c r="AI30" s="15">
        <f>(AI26-AI29)*Hypothèses!$E$28+AI18*Hypothèses!$E$29</f>
        <v/>
      </c>
      <c r="AJ30" s="15">
        <f>(AJ26-AJ29)*Hypothèses!$E$28+AJ18*Hypothèses!$E$29</f>
        <v/>
      </c>
      <c r="AK30" s="15">
        <f>(AK26-AK29)*Hypothèses!$E$28+AK18*Hypothèses!$E$29</f>
        <v/>
      </c>
      <c r="AL30" s="15">
        <f>(AL26-AL29)*Hypothèses!$E$28+AL18*Hypothèses!$E$29</f>
        <v/>
      </c>
      <c r="AN30" s="15">
        <f>SUM(C30:N30)</f>
        <v/>
      </c>
      <c r="AO30" s="15">
        <f>SUM(O30:Z30)</f>
        <v/>
      </c>
      <c r="AP30" s="15">
        <f>SUM(AA30:AL30)</f>
        <v/>
      </c>
    </row>
    <row r="31">
      <c r="A31" s="2" t="inlineStr">
        <is>
          <t>Encaissements nets TTC</t>
        </is>
      </c>
      <c r="B31" s="4" t="inlineStr">
        <is>
          <t>€ TTC</t>
        </is>
      </c>
      <c r="C31" s="40">
        <f>C26-C29-C30</f>
        <v/>
      </c>
      <c r="D31" s="40">
        <f>D26-D29-D30</f>
        <v/>
      </c>
      <c r="E31" s="40">
        <f>E26-E29-E30</f>
        <v/>
      </c>
      <c r="F31" s="40">
        <f>F26-F29-F30</f>
        <v/>
      </c>
      <c r="G31" s="40">
        <f>G26-G29-G30</f>
        <v/>
      </c>
      <c r="H31" s="40">
        <f>H26-H29-H30</f>
        <v/>
      </c>
      <c r="I31" s="40">
        <f>I26-I29-I30</f>
        <v/>
      </c>
      <c r="J31" s="40">
        <f>J26-J29-J30</f>
        <v/>
      </c>
      <c r="K31" s="40">
        <f>K26-K29-K30</f>
        <v/>
      </c>
      <c r="L31" s="40">
        <f>L26-L29-L30</f>
        <v/>
      </c>
      <c r="M31" s="40">
        <f>M26-M29-M30</f>
        <v/>
      </c>
      <c r="N31" s="40">
        <f>N26-N29-N30</f>
        <v/>
      </c>
      <c r="O31" s="40">
        <f>O26-O29-O30</f>
        <v/>
      </c>
      <c r="P31" s="40">
        <f>P26-P29-P30</f>
        <v/>
      </c>
      <c r="Q31" s="40">
        <f>Q26-Q29-Q30</f>
        <v/>
      </c>
      <c r="R31" s="40">
        <f>R26-R29-R30</f>
        <v/>
      </c>
      <c r="S31" s="40">
        <f>S26-S29-S30</f>
        <v/>
      </c>
      <c r="T31" s="40">
        <f>T26-T29-T30</f>
        <v/>
      </c>
      <c r="U31" s="40">
        <f>U26-U29-U30</f>
        <v/>
      </c>
      <c r="V31" s="40">
        <f>V26-V29-V30</f>
        <v/>
      </c>
      <c r="W31" s="40">
        <f>W26-W29-W30</f>
        <v/>
      </c>
      <c r="X31" s="40">
        <f>X26-X29-X30</f>
        <v/>
      </c>
      <c r="Y31" s="40">
        <f>Y26-Y29-Y30</f>
        <v/>
      </c>
      <c r="Z31" s="40">
        <f>Z26-Z29-Z30</f>
        <v/>
      </c>
      <c r="AA31" s="40">
        <f>AA26-AA29-AA30</f>
        <v/>
      </c>
      <c r="AB31" s="40">
        <f>AB26-AB29-AB30</f>
        <v/>
      </c>
      <c r="AC31" s="40">
        <f>AC26-AC29-AC30</f>
        <v/>
      </c>
      <c r="AD31" s="40">
        <f>AD26-AD29-AD30</f>
        <v/>
      </c>
      <c r="AE31" s="40">
        <f>AE26-AE29-AE30</f>
        <v/>
      </c>
      <c r="AF31" s="40">
        <f>AF26-AF29-AF30</f>
        <v/>
      </c>
      <c r="AG31" s="40">
        <f>AG26-AG29-AG30</f>
        <v/>
      </c>
      <c r="AH31" s="40">
        <f>AH26-AH29-AH30</f>
        <v/>
      </c>
      <c r="AI31" s="40">
        <f>AI26-AI29-AI30</f>
        <v/>
      </c>
      <c r="AJ31" s="40">
        <f>AJ26-AJ29-AJ30</f>
        <v/>
      </c>
      <c r="AK31" s="40">
        <f>AK26-AK29-AK30</f>
        <v/>
      </c>
      <c r="AL31" s="40">
        <f>AL26-AL29-AL30</f>
        <v/>
      </c>
      <c r="AN31" s="40">
        <f>SUM(C31:N31)</f>
        <v/>
      </c>
      <c r="AO31" s="40">
        <f>SUM(O31:Z31)</f>
        <v/>
      </c>
      <c r="AP31" s="40">
        <f>SUM(AA31:AL31)</f>
        <v/>
      </c>
    </row>
    <row r="32">
      <c r="A32" s="8" t="inlineStr">
        <is>
          <t>Coûts variables</t>
        </is>
      </c>
    </row>
    <row r="33">
      <c r="A33" s="9" t="inlineStr">
        <is>
          <t>Coût IA et outils (missions × coût par mission)</t>
        </is>
      </c>
      <c r="B33" s="4" t="inlineStr">
        <is>
          <t>€ HT</t>
        </is>
      </c>
      <c r="C33" s="15">
        <f>(C19*Hypothèses!$E$31+C20*Hypothèses!$E$32+C21*Hypothèses!$E$33)*Hypothèses!$E$34*$F$4</f>
        <v/>
      </c>
      <c r="D33" s="15">
        <f>(D19*Hypothèses!$E$31+D20*Hypothèses!$E$32+D21*Hypothèses!$E$33)*Hypothèses!$E$34*$F$4</f>
        <v/>
      </c>
      <c r="E33" s="15">
        <f>(E19*Hypothèses!$E$31+E20*Hypothèses!$E$32+E21*Hypothèses!$E$33)*Hypothèses!$E$34*$F$4</f>
        <v/>
      </c>
      <c r="F33" s="15">
        <f>(F19*Hypothèses!$E$31+F20*Hypothèses!$E$32+F21*Hypothèses!$E$33)*Hypothèses!$E$34*$F$4</f>
        <v/>
      </c>
      <c r="G33" s="15">
        <f>(G19*Hypothèses!$E$31+G20*Hypothèses!$E$32+G21*Hypothèses!$E$33)*Hypothèses!$E$34*$F$4</f>
        <v/>
      </c>
      <c r="H33" s="15">
        <f>(H19*Hypothèses!$E$31+H20*Hypothèses!$E$32+H21*Hypothèses!$E$33)*Hypothèses!$E$34*$F$4</f>
        <v/>
      </c>
      <c r="I33" s="15">
        <f>(I19*Hypothèses!$E$31+I20*Hypothèses!$E$32+I21*Hypothèses!$E$33)*Hypothèses!$E$34*$F$4</f>
        <v/>
      </c>
      <c r="J33" s="15">
        <f>(J19*Hypothèses!$E$31+J20*Hypothèses!$E$32+J21*Hypothèses!$E$33)*Hypothèses!$E$34*$F$4</f>
        <v/>
      </c>
      <c r="K33" s="15">
        <f>(K19*Hypothèses!$E$31+K20*Hypothèses!$E$32+K21*Hypothèses!$E$33)*Hypothèses!$E$34*$F$4</f>
        <v/>
      </c>
      <c r="L33" s="15">
        <f>(L19*Hypothèses!$E$31+L20*Hypothèses!$E$32+L21*Hypothèses!$E$33)*Hypothèses!$E$34*$F$4</f>
        <v/>
      </c>
      <c r="M33" s="15">
        <f>(M19*Hypothèses!$E$31+M20*Hypothèses!$E$32+M21*Hypothèses!$E$33)*Hypothèses!$E$34*$F$4</f>
        <v/>
      </c>
      <c r="N33" s="15">
        <f>(N19*Hypothèses!$E$31+N20*Hypothèses!$E$32+N21*Hypothèses!$E$33)*Hypothèses!$E$34*$F$4</f>
        <v/>
      </c>
      <c r="O33" s="15">
        <f>(O19*Hypothèses!$E$31+O20*Hypothèses!$E$32+O21*Hypothèses!$E$33)*Hypothèses!$E$34*$F$4</f>
        <v/>
      </c>
      <c r="P33" s="15">
        <f>(P19*Hypothèses!$E$31+P20*Hypothèses!$E$32+P21*Hypothèses!$E$33)*Hypothèses!$E$34*$F$4</f>
        <v/>
      </c>
      <c r="Q33" s="15">
        <f>(Q19*Hypothèses!$E$31+Q20*Hypothèses!$E$32+Q21*Hypothèses!$E$33)*Hypothèses!$E$34*$F$4</f>
        <v/>
      </c>
      <c r="R33" s="15">
        <f>(R19*Hypothèses!$E$31+R20*Hypothèses!$E$32+R21*Hypothèses!$E$33)*Hypothèses!$E$34*$F$4</f>
        <v/>
      </c>
      <c r="S33" s="15">
        <f>(S19*Hypothèses!$E$31+S20*Hypothèses!$E$32+S21*Hypothèses!$E$33)*Hypothèses!$E$34*$F$4</f>
        <v/>
      </c>
      <c r="T33" s="15">
        <f>(T19*Hypothèses!$E$31+T20*Hypothèses!$E$32+T21*Hypothèses!$E$33)*Hypothèses!$E$34*$F$4</f>
        <v/>
      </c>
      <c r="U33" s="15">
        <f>(U19*Hypothèses!$E$31+U20*Hypothèses!$E$32+U21*Hypothèses!$E$33)*Hypothèses!$E$34*$F$4</f>
        <v/>
      </c>
      <c r="V33" s="15">
        <f>(V19*Hypothèses!$E$31+V20*Hypothèses!$E$32+V21*Hypothèses!$E$33)*Hypothèses!$E$34*$F$4</f>
        <v/>
      </c>
      <c r="W33" s="15">
        <f>(W19*Hypothèses!$E$31+W20*Hypothèses!$E$32+W21*Hypothèses!$E$33)*Hypothèses!$E$34*$F$4</f>
        <v/>
      </c>
      <c r="X33" s="15">
        <f>(X19*Hypothèses!$E$31+X20*Hypothèses!$E$32+X21*Hypothèses!$E$33)*Hypothèses!$E$34*$F$4</f>
        <v/>
      </c>
      <c r="Y33" s="15">
        <f>(Y19*Hypothèses!$E$31+Y20*Hypothèses!$E$32+Y21*Hypothèses!$E$33)*Hypothèses!$E$34*$F$4</f>
        <v/>
      </c>
      <c r="Z33" s="15">
        <f>(Z19*Hypothèses!$E$31+Z20*Hypothèses!$E$32+Z21*Hypothèses!$E$33)*Hypothèses!$E$34*$F$4</f>
        <v/>
      </c>
      <c r="AA33" s="15">
        <f>(AA19*Hypothèses!$E$31+AA20*Hypothèses!$E$32+AA21*Hypothèses!$E$33)*Hypothèses!$E$34*$F$4</f>
        <v/>
      </c>
      <c r="AB33" s="15">
        <f>(AB19*Hypothèses!$E$31+AB20*Hypothèses!$E$32+AB21*Hypothèses!$E$33)*Hypothèses!$E$34*$F$4</f>
        <v/>
      </c>
      <c r="AC33" s="15">
        <f>(AC19*Hypothèses!$E$31+AC20*Hypothèses!$E$32+AC21*Hypothèses!$E$33)*Hypothèses!$E$34*$F$4</f>
        <v/>
      </c>
      <c r="AD33" s="15">
        <f>(AD19*Hypothèses!$E$31+AD20*Hypothèses!$E$32+AD21*Hypothèses!$E$33)*Hypothèses!$E$34*$F$4</f>
        <v/>
      </c>
      <c r="AE33" s="15">
        <f>(AE19*Hypothèses!$E$31+AE20*Hypothèses!$E$32+AE21*Hypothèses!$E$33)*Hypothèses!$E$34*$F$4</f>
        <v/>
      </c>
      <c r="AF33" s="15">
        <f>(AF19*Hypothèses!$E$31+AF20*Hypothèses!$E$32+AF21*Hypothèses!$E$33)*Hypothèses!$E$34*$F$4</f>
        <v/>
      </c>
      <c r="AG33" s="15">
        <f>(AG19*Hypothèses!$E$31+AG20*Hypothèses!$E$32+AG21*Hypothèses!$E$33)*Hypothèses!$E$34*$F$4</f>
        <v/>
      </c>
      <c r="AH33" s="15">
        <f>(AH19*Hypothèses!$E$31+AH20*Hypothèses!$E$32+AH21*Hypothèses!$E$33)*Hypothèses!$E$34*$F$4</f>
        <v/>
      </c>
      <c r="AI33" s="15">
        <f>(AI19*Hypothèses!$E$31+AI20*Hypothèses!$E$32+AI21*Hypothèses!$E$33)*Hypothèses!$E$34*$F$4</f>
        <v/>
      </c>
      <c r="AJ33" s="15">
        <f>(AJ19*Hypothèses!$E$31+AJ20*Hypothèses!$E$32+AJ21*Hypothèses!$E$33)*Hypothèses!$E$34*$F$4</f>
        <v/>
      </c>
      <c r="AK33" s="15">
        <f>(AK19*Hypothèses!$E$31+AK20*Hypothèses!$E$32+AK21*Hypothèses!$E$33)*Hypothèses!$E$34*$F$4</f>
        <v/>
      </c>
      <c r="AL33" s="15">
        <f>(AL19*Hypothèses!$E$31+AL20*Hypothèses!$E$32+AL21*Hypothèses!$E$33)*Hypothèses!$E$34*$F$4</f>
        <v/>
      </c>
      <c r="AN33" s="15">
        <f>SUM(C33:N33)</f>
        <v/>
      </c>
      <c r="AO33" s="15">
        <f>SUM(O33:Z33)</f>
        <v/>
      </c>
      <c r="AP33" s="15">
        <f>SUM(AA33:AL33)</f>
        <v/>
      </c>
    </row>
    <row r="34">
      <c r="A34" s="9" t="inlineStr">
        <is>
          <t>Hébergement, stockage, connecteurs</t>
        </is>
      </c>
      <c r="B34" s="4" t="inlineStr">
        <is>
          <t>€ HT</t>
        </is>
      </c>
      <c r="C34" s="15">
        <f>C18*Hypothèses!$E$35</f>
        <v/>
      </c>
      <c r="D34" s="15">
        <f>D18*Hypothèses!$E$35</f>
        <v/>
      </c>
      <c r="E34" s="15">
        <f>E18*Hypothèses!$E$35</f>
        <v/>
      </c>
      <c r="F34" s="15">
        <f>F18*Hypothèses!$E$35</f>
        <v/>
      </c>
      <c r="G34" s="15">
        <f>G18*Hypothèses!$E$35</f>
        <v/>
      </c>
      <c r="H34" s="15">
        <f>H18*Hypothèses!$E$35</f>
        <v/>
      </c>
      <c r="I34" s="15">
        <f>I18*Hypothèses!$E$35</f>
        <v/>
      </c>
      <c r="J34" s="15">
        <f>J18*Hypothèses!$E$35</f>
        <v/>
      </c>
      <c r="K34" s="15">
        <f>K18*Hypothèses!$E$35</f>
        <v/>
      </c>
      <c r="L34" s="15">
        <f>L18*Hypothèses!$E$35</f>
        <v/>
      </c>
      <c r="M34" s="15">
        <f>M18*Hypothèses!$E$35</f>
        <v/>
      </c>
      <c r="N34" s="15">
        <f>N18*Hypothèses!$E$35</f>
        <v/>
      </c>
      <c r="O34" s="15">
        <f>O18*Hypothèses!$E$35</f>
        <v/>
      </c>
      <c r="P34" s="15">
        <f>P18*Hypothèses!$E$35</f>
        <v/>
      </c>
      <c r="Q34" s="15">
        <f>Q18*Hypothèses!$E$35</f>
        <v/>
      </c>
      <c r="R34" s="15">
        <f>R18*Hypothèses!$E$35</f>
        <v/>
      </c>
      <c r="S34" s="15">
        <f>S18*Hypothèses!$E$35</f>
        <v/>
      </c>
      <c r="T34" s="15">
        <f>T18*Hypothèses!$E$35</f>
        <v/>
      </c>
      <c r="U34" s="15">
        <f>U18*Hypothèses!$E$35</f>
        <v/>
      </c>
      <c r="V34" s="15">
        <f>V18*Hypothèses!$E$35</f>
        <v/>
      </c>
      <c r="W34" s="15">
        <f>W18*Hypothèses!$E$35</f>
        <v/>
      </c>
      <c r="X34" s="15">
        <f>X18*Hypothèses!$E$35</f>
        <v/>
      </c>
      <c r="Y34" s="15">
        <f>Y18*Hypothèses!$E$35</f>
        <v/>
      </c>
      <c r="Z34" s="15">
        <f>Z18*Hypothèses!$E$35</f>
        <v/>
      </c>
      <c r="AA34" s="15">
        <f>AA18*Hypothèses!$E$35</f>
        <v/>
      </c>
      <c r="AB34" s="15">
        <f>AB18*Hypothèses!$E$35</f>
        <v/>
      </c>
      <c r="AC34" s="15">
        <f>AC18*Hypothèses!$E$35</f>
        <v/>
      </c>
      <c r="AD34" s="15">
        <f>AD18*Hypothèses!$E$35</f>
        <v/>
      </c>
      <c r="AE34" s="15">
        <f>AE18*Hypothèses!$E$35</f>
        <v/>
      </c>
      <c r="AF34" s="15">
        <f>AF18*Hypothèses!$E$35</f>
        <v/>
      </c>
      <c r="AG34" s="15">
        <f>AG18*Hypothèses!$E$35</f>
        <v/>
      </c>
      <c r="AH34" s="15">
        <f>AH18*Hypothèses!$E$35</f>
        <v/>
      </c>
      <c r="AI34" s="15">
        <f>AI18*Hypothèses!$E$35</f>
        <v/>
      </c>
      <c r="AJ34" s="15">
        <f>AJ18*Hypothèses!$E$35</f>
        <v/>
      </c>
      <c r="AK34" s="15">
        <f>AK18*Hypothèses!$E$35</f>
        <v/>
      </c>
      <c r="AL34" s="15">
        <f>AL18*Hypothèses!$E$35</f>
        <v/>
      </c>
      <c r="AN34" s="15">
        <f>SUM(C34:N34)</f>
        <v/>
      </c>
      <c r="AO34" s="15">
        <f>SUM(O34:Z34)</f>
        <v/>
      </c>
      <c r="AP34" s="15">
        <f>SUM(AA34:AL34)</f>
        <v/>
      </c>
    </row>
    <row r="35">
      <c r="A35" s="9" t="inlineStr">
        <is>
          <t>Support humain</t>
        </is>
      </c>
      <c r="B35" s="4" t="inlineStr">
        <is>
          <t>€ HT</t>
        </is>
      </c>
      <c r="C35" s="15">
        <f>C18*Hypothèses!$E$36</f>
        <v/>
      </c>
      <c r="D35" s="15">
        <f>D18*Hypothèses!$E$36</f>
        <v/>
      </c>
      <c r="E35" s="15">
        <f>E18*Hypothèses!$E$36</f>
        <v/>
      </c>
      <c r="F35" s="15">
        <f>F18*Hypothèses!$E$36</f>
        <v/>
      </c>
      <c r="G35" s="15">
        <f>G18*Hypothèses!$E$36</f>
        <v/>
      </c>
      <c r="H35" s="15">
        <f>H18*Hypothèses!$E$36</f>
        <v/>
      </c>
      <c r="I35" s="15">
        <f>I18*Hypothèses!$E$36</f>
        <v/>
      </c>
      <c r="J35" s="15">
        <f>J18*Hypothèses!$E$36</f>
        <v/>
      </c>
      <c r="K35" s="15">
        <f>K18*Hypothèses!$E$36</f>
        <v/>
      </c>
      <c r="L35" s="15">
        <f>L18*Hypothèses!$E$36</f>
        <v/>
      </c>
      <c r="M35" s="15">
        <f>M18*Hypothèses!$E$36</f>
        <v/>
      </c>
      <c r="N35" s="15">
        <f>N18*Hypothèses!$E$36</f>
        <v/>
      </c>
      <c r="O35" s="15">
        <f>O18*Hypothèses!$E$36</f>
        <v/>
      </c>
      <c r="P35" s="15">
        <f>P18*Hypothèses!$E$36</f>
        <v/>
      </c>
      <c r="Q35" s="15">
        <f>Q18*Hypothèses!$E$36</f>
        <v/>
      </c>
      <c r="R35" s="15">
        <f>R18*Hypothèses!$E$36</f>
        <v/>
      </c>
      <c r="S35" s="15">
        <f>S18*Hypothèses!$E$36</f>
        <v/>
      </c>
      <c r="T35" s="15">
        <f>T18*Hypothèses!$E$36</f>
        <v/>
      </c>
      <c r="U35" s="15">
        <f>U18*Hypothèses!$E$36</f>
        <v/>
      </c>
      <c r="V35" s="15">
        <f>V18*Hypothèses!$E$36</f>
        <v/>
      </c>
      <c r="W35" s="15">
        <f>W18*Hypothèses!$E$36</f>
        <v/>
      </c>
      <c r="X35" s="15">
        <f>X18*Hypothèses!$E$36</f>
        <v/>
      </c>
      <c r="Y35" s="15">
        <f>Y18*Hypothèses!$E$36</f>
        <v/>
      </c>
      <c r="Z35" s="15">
        <f>Z18*Hypothèses!$E$36</f>
        <v/>
      </c>
      <c r="AA35" s="15">
        <f>AA18*Hypothèses!$E$36</f>
        <v/>
      </c>
      <c r="AB35" s="15">
        <f>AB18*Hypothèses!$E$36</f>
        <v/>
      </c>
      <c r="AC35" s="15">
        <f>AC18*Hypothèses!$E$36</f>
        <v/>
      </c>
      <c r="AD35" s="15">
        <f>AD18*Hypothèses!$E$36</f>
        <v/>
      </c>
      <c r="AE35" s="15">
        <f>AE18*Hypothèses!$E$36</f>
        <v/>
      </c>
      <c r="AF35" s="15">
        <f>AF18*Hypothèses!$E$36</f>
        <v/>
      </c>
      <c r="AG35" s="15">
        <f>AG18*Hypothèses!$E$36</f>
        <v/>
      </c>
      <c r="AH35" s="15">
        <f>AH18*Hypothèses!$E$36</f>
        <v/>
      </c>
      <c r="AI35" s="15">
        <f>AI18*Hypothèses!$E$36</f>
        <v/>
      </c>
      <c r="AJ35" s="15">
        <f>AJ18*Hypothèses!$E$36</f>
        <v/>
      </c>
      <c r="AK35" s="15">
        <f>AK18*Hypothèses!$E$36</f>
        <v/>
      </c>
      <c r="AL35" s="15">
        <f>AL18*Hypothèses!$E$36</f>
        <v/>
      </c>
      <c r="AN35" s="15">
        <f>SUM(C35:N35)</f>
        <v/>
      </c>
      <c r="AO35" s="15">
        <f>SUM(O35:Z35)</f>
        <v/>
      </c>
      <c r="AP35" s="15">
        <f>SUM(AA35:AL35)</f>
        <v/>
      </c>
    </row>
    <row r="36">
      <c r="A36" s="2" t="inlineStr">
        <is>
          <t>Total coûts variables</t>
        </is>
      </c>
      <c r="B36" s="4" t="inlineStr">
        <is>
          <t>€ HT</t>
        </is>
      </c>
      <c r="C36" s="40">
        <f>C33+C34+C35</f>
        <v/>
      </c>
      <c r="D36" s="40">
        <f>D33+D34+D35</f>
        <v/>
      </c>
      <c r="E36" s="40">
        <f>E33+E34+E35</f>
        <v/>
      </c>
      <c r="F36" s="40">
        <f>F33+F34+F35</f>
        <v/>
      </c>
      <c r="G36" s="40">
        <f>G33+G34+G35</f>
        <v/>
      </c>
      <c r="H36" s="40">
        <f>H33+H34+H35</f>
        <v/>
      </c>
      <c r="I36" s="40">
        <f>I33+I34+I35</f>
        <v/>
      </c>
      <c r="J36" s="40">
        <f>J33+J34+J35</f>
        <v/>
      </c>
      <c r="K36" s="40">
        <f>K33+K34+K35</f>
        <v/>
      </c>
      <c r="L36" s="40">
        <f>L33+L34+L35</f>
        <v/>
      </c>
      <c r="M36" s="40">
        <f>M33+M34+M35</f>
        <v/>
      </c>
      <c r="N36" s="40">
        <f>N33+N34+N35</f>
        <v/>
      </c>
      <c r="O36" s="40">
        <f>O33+O34+O35</f>
        <v/>
      </c>
      <c r="P36" s="40">
        <f>P33+P34+P35</f>
        <v/>
      </c>
      <c r="Q36" s="40">
        <f>Q33+Q34+Q35</f>
        <v/>
      </c>
      <c r="R36" s="40">
        <f>R33+R34+R35</f>
        <v/>
      </c>
      <c r="S36" s="40">
        <f>S33+S34+S35</f>
        <v/>
      </c>
      <c r="T36" s="40">
        <f>T33+T34+T35</f>
        <v/>
      </c>
      <c r="U36" s="40">
        <f>U33+U34+U35</f>
        <v/>
      </c>
      <c r="V36" s="40">
        <f>V33+V34+V35</f>
        <v/>
      </c>
      <c r="W36" s="40">
        <f>W33+W34+W35</f>
        <v/>
      </c>
      <c r="X36" s="40">
        <f>X33+X34+X35</f>
        <v/>
      </c>
      <c r="Y36" s="40">
        <f>Y33+Y34+Y35</f>
        <v/>
      </c>
      <c r="Z36" s="40">
        <f>Z33+Z34+Z35</f>
        <v/>
      </c>
      <c r="AA36" s="40">
        <f>AA33+AA34+AA35</f>
        <v/>
      </c>
      <c r="AB36" s="40">
        <f>AB33+AB34+AB35</f>
        <v/>
      </c>
      <c r="AC36" s="40">
        <f>AC33+AC34+AC35</f>
        <v/>
      </c>
      <c r="AD36" s="40">
        <f>AD33+AD34+AD35</f>
        <v/>
      </c>
      <c r="AE36" s="40">
        <f>AE33+AE34+AE35</f>
        <v/>
      </c>
      <c r="AF36" s="40">
        <f>AF33+AF34+AF35</f>
        <v/>
      </c>
      <c r="AG36" s="40">
        <f>AG33+AG34+AG35</f>
        <v/>
      </c>
      <c r="AH36" s="40">
        <f>AH33+AH34+AH35</f>
        <v/>
      </c>
      <c r="AI36" s="40">
        <f>AI33+AI34+AI35</f>
        <v/>
      </c>
      <c r="AJ36" s="40">
        <f>AJ33+AJ34+AJ35</f>
        <v/>
      </c>
      <c r="AK36" s="40">
        <f>AK33+AK34+AK35</f>
        <v/>
      </c>
      <c r="AL36" s="40">
        <f>AL33+AL34+AL35</f>
        <v/>
      </c>
      <c r="AN36" s="40">
        <f>SUM(C36:N36)</f>
        <v/>
      </c>
      <c r="AO36" s="40">
        <f>SUM(O36:Z36)</f>
        <v/>
      </c>
      <c r="AP36" s="40">
        <f>SUM(AA36:AL36)</f>
        <v/>
      </c>
    </row>
    <row r="37">
      <c r="A37" s="2" t="inlineStr">
        <is>
          <t>Marge sur coûts variables (CA HT − variables − frais − impayés HT)</t>
        </is>
      </c>
      <c r="B37" s="4" t="inlineStr">
        <is>
          <t>€ HT</t>
        </is>
      </c>
      <c r="C37" s="40">
        <f>C28-C36-C30-C29/(1+Hypothèses!$E$15)</f>
        <v/>
      </c>
      <c r="D37" s="40">
        <f>D28-D36-D30-D29/(1+Hypothèses!$E$15)</f>
        <v/>
      </c>
      <c r="E37" s="40">
        <f>E28-E36-E30-E29/(1+Hypothèses!$E$15)</f>
        <v/>
      </c>
      <c r="F37" s="40">
        <f>F28-F36-F30-F29/(1+Hypothèses!$E$15)</f>
        <v/>
      </c>
      <c r="G37" s="40">
        <f>G28-G36-G30-G29/(1+Hypothèses!$E$15)</f>
        <v/>
      </c>
      <c r="H37" s="40">
        <f>H28-H36-H30-H29/(1+Hypothèses!$E$15)</f>
        <v/>
      </c>
      <c r="I37" s="40">
        <f>I28-I36-I30-I29/(1+Hypothèses!$E$15)</f>
        <v/>
      </c>
      <c r="J37" s="40">
        <f>J28-J36-J30-J29/(1+Hypothèses!$E$15)</f>
        <v/>
      </c>
      <c r="K37" s="40">
        <f>K28-K36-K30-K29/(1+Hypothèses!$E$15)</f>
        <v/>
      </c>
      <c r="L37" s="40">
        <f>L28-L36-L30-L29/(1+Hypothèses!$E$15)</f>
        <v/>
      </c>
      <c r="M37" s="40">
        <f>M28-M36-M30-M29/(1+Hypothèses!$E$15)</f>
        <v/>
      </c>
      <c r="N37" s="40">
        <f>N28-N36-N30-N29/(1+Hypothèses!$E$15)</f>
        <v/>
      </c>
      <c r="O37" s="40">
        <f>O28-O36-O30-O29/(1+Hypothèses!$E$15)</f>
        <v/>
      </c>
      <c r="P37" s="40">
        <f>P28-P36-P30-P29/(1+Hypothèses!$E$15)</f>
        <v/>
      </c>
      <c r="Q37" s="40">
        <f>Q28-Q36-Q30-Q29/(1+Hypothèses!$E$15)</f>
        <v/>
      </c>
      <c r="R37" s="40">
        <f>R28-R36-R30-R29/(1+Hypothèses!$E$15)</f>
        <v/>
      </c>
      <c r="S37" s="40">
        <f>S28-S36-S30-S29/(1+Hypothèses!$E$15)</f>
        <v/>
      </c>
      <c r="T37" s="40">
        <f>T28-T36-T30-T29/(1+Hypothèses!$E$15)</f>
        <v/>
      </c>
      <c r="U37" s="40">
        <f>U28-U36-U30-U29/(1+Hypothèses!$E$15)</f>
        <v/>
      </c>
      <c r="V37" s="40">
        <f>V28-V36-V30-V29/(1+Hypothèses!$E$15)</f>
        <v/>
      </c>
      <c r="W37" s="40">
        <f>W28-W36-W30-W29/(1+Hypothèses!$E$15)</f>
        <v/>
      </c>
      <c r="X37" s="40">
        <f>X28-X36-X30-X29/(1+Hypothèses!$E$15)</f>
        <v/>
      </c>
      <c r="Y37" s="40">
        <f>Y28-Y36-Y30-Y29/(1+Hypothèses!$E$15)</f>
        <v/>
      </c>
      <c r="Z37" s="40">
        <f>Z28-Z36-Z30-Z29/(1+Hypothèses!$E$15)</f>
        <v/>
      </c>
      <c r="AA37" s="40">
        <f>AA28-AA36-AA30-AA29/(1+Hypothèses!$E$15)</f>
        <v/>
      </c>
      <c r="AB37" s="40">
        <f>AB28-AB36-AB30-AB29/(1+Hypothèses!$E$15)</f>
        <v/>
      </c>
      <c r="AC37" s="40">
        <f>AC28-AC36-AC30-AC29/(1+Hypothèses!$E$15)</f>
        <v/>
      </c>
      <c r="AD37" s="40">
        <f>AD28-AD36-AD30-AD29/(1+Hypothèses!$E$15)</f>
        <v/>
      </c>
      <c r="AE37" s="40">
        <f>AE28-AE36-AE30-AE29/(1+Hypothèses!$E$15)</f>
        <v/>
      </c>
      <c r="AF37" s="40">
        <f>AF28-AF36-AF30-AF29/(1+Hypothèses!$E$15)</f>
        <v/>
      </c>
      <c r="AG37" s="40">
        <f>AG28-AG36-AG30-AG29/(1+Hypothèses!$E$15)</f>
        <v/>
      </c>
      <c r="AH37" s="40">
        <f>AH28-AH36-AH30-AH29/(1+Hypothèses!$E$15)</f>
        <v/>
      </c>
      <c r="AI37" s="40">
        <f>AI28-AI36-AI30-AI29/(1+Hypothèses!$E$15)</f>
        <v/>
      </c>
      <c r="AJ37" s="40">
        <f>AJ28-AJ36-AJ30-AJ29/(1+Hypothèses!$E$15)</f>
        <v/>
      </c>
      <c r="AK37" s="40">
        <f>AK28-AK36-AK30-AK29/(1+Hypothèses!$E$15)</f>
        <v/>
      </c>
      <c r="AL37" s="40">
        <f>AL28-AL36-AL30-AL29/(1+Hypothèses!$E$15)</f>
        <v/>
      </c>
      <c r="AN37" s="40">
        <f>SUM(C37:N37)</f>
        <v/>
      </c>
      <c r="AO37" s="40">
        <f>SUM(O37:Z37)</f>
        <v/>
      </c>
      <c r="AP37" s="40">
        <f>SUM(AA37:AL37)</f>
        <v/>
      </c>
    </row>
    <row r="38">
      <c r="A38" s="8" t="inlineStr">
        <is>
          <t>Acquisition et coûts fixes</t>
        </is>
      </c>
    </row>
    <row r="39">
      <c r="A39" s="9" t="inlineStr">
        <is>
          <t>Dépenses d'acquisition</t>
        </is>
      </c>
      <c r="B39" s="4" t="inlineStr">
        <is>
          <t>€ HT</t>
        </is>
      </c>
      <c r="C39" s="15">
        <f>C11</f>
        <v/>
      </c>
      <c r="D39" s="15">
        <f>D11</f>
        <v/>
      </c>
      <c r="E39" s="15">
        <f>E11</f>
        <v/>
      </c>
      <c r="F39" s="15">
        <f>F11</f>
        <v/>
      </c>
      <c r="G39" s="15">
        <f>G11</f>
        <v/>
      </c>
      <c r="H39" s="15">
        <f>H11</f>
        <v/>
      </c>
      <c r="I39" s="15">
        <f>I11</f>
        <v/>
      </c>
      <c r="J39" s="15">
        <f>J11</f>
        <v/>
      </c>
      <c r="K39" s="15">
        <f>K11</f>
        <v/>
      </c>
      <c r="L39" s="15">
        <f>L11</f>
        <v/>
      </c>
      <c r="M39" s="15">
        <f>M11</f>
        <v/>
      </c>
      <c r="N39" s="15">
        <f>N11</f>
        <v/>
      </c>
      <c r="O39" s="15">
        <f>O11</f>
        <v/>
      </c>
      <c r="P39" s="15">
        <f>P11</f>
        <v/>
      </c>
      <c r="Q39" s="15">
        <f>Q11</f>
        <v/>
      </c>
      <c r="R39" s="15">
        <f>R11</f>
        <v/>
      </c>
      <c r="S39" s="15">
        <f>S11</f>
        <v/>
      </c>
      <c r="T39" s="15">
        <f>T11</f>
        <v/>
      </c>
      <c r="U39" s="15">
        <f>U11</f>
        <v/>
      </c>
      <c r="V39" s="15">
        <f>V11</f>
        <v/>
      </c>
      <c r="W39" s="15">
        <f>W11</f>
        <v/>
      </c>
      <c r="X39" s="15">
        <f>X11</f>
        <v/>
      </c>
      <c r="Y39" s="15">
        <f>Y11</f>
        <v/>
      </c>
      <c r="Z39" s="15">
        <f>Z11</f>
        <v/>
      </c>
      <c r="AA39" s="15">
        <f>AA11</f>
        <v/>
      </c>
      <c r="AB39" s="15">
        <f>AB11</f>
        <v/>
      </c>
      <c r="AC39" s="15">
        <f>AC11</f>
        <v/>
      </c>
      <c r="AD39" s="15">
        <f>AD11</f>
        <v/>
      </c>
      <c r="AE39" s="15">
        <f>AE11</f>
        <v/>
      </c>
      <c r="AF39" s="15">
        <f>AF11</f>
        <v/>
      </c>
      <c r="AG39" s="15">
        <f>AG11</f>
        <v/>
      </c>
      <c r="AH39" s="15">
        <f>AH11</f>
        <v/>
      </c>
      <c r="AI39" s="15">
        <f>AI11</f>
        <v/>
      </c>
      <c r="AJ39" s="15">
        <f>AJ11</f>
        <v/>
      </c>
      <c r="AK39" s="15">
        <f>AK11</f>
        <v/>
      </c>
      <c r="AL39" s="15">
        <f>AL11</f>
        <v/>
      </c>
      <c r="AN39" s="15">
        <f>SUM(C39:N39)</f>
        <v/>
      </c>
      <c r="AO39" s="15">
        <f>SUM(O39:Z39)</f>
        <v/>
      </c>
      <c r="AP39" s="15">
        <f>SUM(AA39:AL39)</f>
        <v/>
      </c>
    </row>
    <row r="40">
      <c r="A40" s="9" t="inlineStr">
        <is>
          <t>Rémunération des fondateurs</t>
        </is>
      </c>
      <c r="B40" s="4" t="inlineStr">
        <is>
          <t>€ HT</t>
        </is>
      </c>
      <c r="C40" s="15">
        <f>IF(C7&gt;=Hypothèses!$E$39,Hypothèses!$E$38*Hypothèses!$E$40,0)*$G$4</f>
        <v/>
      </c>
      <c r="D40" s="15">
        <f>IF(D7&gt;=Hypothèses!$E$39,Hypothèses!$E$38*Hypothèses!$E$40,0)*$G$4</f>
        <v/>
      </c>
      <c r="E40" s="15">
        <f>IF(E7&gt;=Hypothèses!$E$39,Hypothèses!$E$38*Hypothèses!$E$40,0)*$G$4</f>
        <v/>
      </c>
      <c r="F40" s="15">
        <f>IF(F7&gt;=Hypothèses!$E$39,Hypothèses!$E$38*Hypothèses!$E$40,0)*$G$4</f>
        <v/>
      </c>
      <c r="G40" s="15">
        <f>IF(G7&gt;=Hypothèses!$E$39,Hypothèses!$E$38*Hypothèses!$E$40,0)*$G$4</f>
        <v/>
      </c>
      <c r="H40" s="15">
        <f>IF(H7&gt;=Hypothèses!$E$39,Hypothèses!$E$38*Hypothèses!$E$40,0)*$G$4</f>
        <v/>
      </c>
      <c r="I40" s="15">
        <f>IF(I7&gt;=Hypothèses!$E$39,Hypothèses!$E$38*Hypothèses!$E$40,0)*$G$4</f>
        <v/>
      </c>
      <c r="J40" s="15">
        <f>IF(J7&gt;=Hypothèses!$E$39,Hypothèses!$E$38*Hypothèses!$E$40,0)*$G$4</f>
        <v/>
      </c>
      <c r="K40" s="15">
        <f>IF(K7&gt;=Hypothèses!$E$39,Hypothèses!$E$38*Hypothèses!$E$40,0)*$G$4</f>
        <v/>
      </c>
      <c r="L40" s="15">
        <f>IF(L7&gt;=Hypothèses!$E$39,Hypothèses!$E$38*Hypothèses!$E$40,0)*$G$4</f>
        <v/>
      </c>
      <c r="M40" s="15">
        <f>IF(M7&gt;=Hypothèses!$E$39,Hypothèses!$E$38*Hypothèses!$E$40,0)*$G$4</f>
        <v/>
      </c>
      <c r="N40" s="15">
        <f>IF(N7&gt;=Hypothèses!$E$39,Hypothèses!$E$38*Hypothèses!$E$40,0)*$G$4</f>
        <v/>
      </c>
      <c r="O40" s="15">
        <f>IF(O7&gt;=Hypothèses!$E$39,Hypothèses!$E$38*Hypothèses!$E$40,0)*$G$4</f>
        <v/>
      </c>
      <c r="P40" s="15">
        <f>IF(P7&gt;=Hypothèses!$E$39,Hypothèses!$E$38*Hypothèses!$E$40,0)*$G$4</f>
        <v/>
      </c>
      <c r="Q40" s="15">
        <f>IF(Q7&gt;=Hypothèses!$E$39,Hypothèses!$E$38*Hypothèses!$E$40,0)*$G$4</f>
        <v/>
      </c>
      <c r="R40" s="15">
        <f>IF(R7&gt;=Hypothèses!$E$39,Hypothèses!$E$38*Hypothèses!$E$40,0)*$G$4</f>
        <v/>
      </c>
      <c r="S40" s="15">
        <f>IF(S7&gt;=Hypothèses!$E$39,Hypothèses!$E$38*Hypothèses!$E$40,0)*$G$4</f>
        <v/>
      </c>
      <c r="T40" s="15">
        <f>IF(T7&gt;=Hypothèses!$E$39,Hypothèses!$E$38*Hypothèses!$E$40,0)*$G$4</f>
        <v/>
      </c>
      <c r="U40" s="15">
        <f>IF(U7&gt;=Hypothèses!$E$39,Hypothèses!$E$38*Hypothèses!$E$40,0)*$G$4</f>
        <v/>
      </c>
      <c r="V40" s="15">
        <f>IF(V7&gt;=Hypothèses!$E$39,Hypothèses!$E$38*Hypothèses!$E$40,0)*$G$4</f>
        <v/>
      </c>
      <c r="W40" s="15">
        <f>IF(W7&gt;=Hypothèses!$E$39,Hypothèses!$E$38*Hypothèses!$E$40,0)*$G$4</f>
        <v/>
      </c>
      <c r="X40" s="15">
        <f>IF(X7&gt;=Hypothèses!$E$39,Hypothèses!$E$38*Hypothèses!$E$40,0)*$G$4</f>
        <v/>
      </c>
      <c r="Y40" s="15">
        <f>IF(Y7&gt;=Hypothèses!$E$39,Hypothèses!$E$38*Hypothèses!$E$40,0)*$G$4</f>
        <v/>
      </c>
      <c r="Z40" s="15">
        <f>IF(Z7&gt;=Hypothèses!$E$39,Hypothèses!$E$38*Hypothèses!$E$40,0)*$G$4</f>
        <v/>
      </c>
      <c r="AA40" s="15">
        <f>IF(AA7&gt;=Hypothèses!$E$39,Hypothèses!$E$38*Hypothèses!$E$40,0)*$G$4</f>
        <v/>
      </c>
      <c r="AB40" s="15">
        <f>IF(AB7&gt;=Hypothèses!$E$39,Hypothèses!$E$38*Hypothèses!$E$40,0)*$G$4</f>
        <v/>
      </c>
      <c r="AC40" s="15">
        <f>IF(AC7&gt;=Hypothèses!$E$39,Hypothèses!$E$38*Hypothèses!$E$40,0)*$G$4</f>
        <v/>
      </c>
      <c r="AD40" s="15">
        <f>IF(AD7&gt;=Hypothèses!$E$39,Hypothèses!$E$38*Hypothèses!$E$40,0)*$G$4</f>
        <v/>
      </c>
      <c r="AE40" s="15">
        <f>IF(AE7&gt;=Hypothèses!$E$39,Hypothèses!$E$38*Hypothèses!$E$40,0)*$G$4</f>
        <v/>
      </c>
      <c r="AF40" s="15">
        <f>IF(AF7&gt;=Hypothèses!$E$39,Hypothèses!$E$38*Hypothèses!$E$40,0)*$G$4</f>
        <v/>
      </c>
      <c r="AG40" s="15">
        <f>IF(AG7&gt;=Hypothèses!$E$39,Hypothèses!$E$38*Hypothèses!$E$40,0)*$G$4</f>
        <v/>
      </c>
      <c r="AH40" s="15">
        <f>IF(AH7&gt;=Hypothèses!$E$39,Hypothèses!$E$38*Hypothèses!$E$40,0)*$G$4</f>
        <v/>
      </c>
      <c r="AI40" s="15">
        <f>IF(AI7&gt;=Hypothèses!$E$39,Hypothèses!$E$38*Hypothèses!$E$40,0)*$G$4</f>
        <v/>
      </c>
      <c r="AJ40" s="15">
        <f>IF(AJ7&gt;=Hypothèses!$E$39,Hypothèses!$E$38*Hypothèses!$E$40,0)*$G$4</f>
        <v/>
      </c>
      <c r="AK40" s="15">
        <f>IF(AK7&gt;=Hypothèses!$E$39,Hypothèses!$E$38*Hypothèses!$E$40,0)*$G$4</f>
        <v/>
      </c>
      <c r="AL40" s="15">
        <f>IF(AL7&gt;=Hypothèses!$E$39,Hypothèses!$E$38*Hypothèses!$E$40,0)*$G$4</f>
        <v/>
      </c>
      <c r="AN40" s="15">
        <f>SUM(C40:N40)</f>
        <v/>
      </c>
      <c r="AO40" s="15">
        <f>SUM(O40:Z40)</f>
        <v/>
      </c>
      <c r="AP40" s="15">
        <f>SUM(AA40:AL40)</f>
        <v/>
      </c>
    </row>
    <row r="41">
      <c r="A41" s="9" t="inlineStr">
        <is>
          <t>Salarié 1 (growth / customer success)</t>
        </is>
      </c>
      <c r="B41" s="4" t="inlineStr">
        <is>
          <t>€ HT</t>
        </is>
      </c>
      <c r="C41" s="15">
        <f>IF(C7&gt;=Hypothèses!$E$41,Hypothèses!$E$42,0)*$G$4</f>
        <v/>
      </c>
      <c r="D41" s="15">
        <f>IF(D7&gt;=Hypothèses!$E$41,Hypothèses!$E$42,0)*$G$4</f>
        <v/>
      </c>
      <c r="E41" s="15">
        <f>IF(E7&gt;=Hypothèses!$E$41,Hypothèses!$E$42,0)*$G$4</f>
        <v/>
      </c>
      <c r="F41" s="15">
        <f>IF(F7&gt;=Hypothèses!$E$41,Hypothèses!$E$42,0)*$G$4</f>
        <v/>
      </c>
      <c r="G41" s="15">
        <f>IF(G7&gt;=Hypothèses!$E$41,Hypothèses!$E$42,0)*$G$4</f>
        <v/>
      </c>
      <c r="H41" s="15">
        <f>IF(H7&gt;=Hypothèses!$E$41,Hypothèses!$E$42,0)*$G$4</f>
        <v/>
      </c>
      <c r="I41" s="15">
        <f>IF(I7&gt;=Hypothèses!$E$41,Hypothèses!$E$42,0)*$G$4</f>
        <v/>
      </c>
      <c r="J41" s="15">
        <f>IF(J7&gt;=Hypothèses!$E$41,Hypothèses!$E$42,0)*$G$4</f>
        <v/>
      </c>
      <c r="K41" s="15">
        <f>IF(K7&gt;=Hypothèses!$E$41,Hypothèses!$E$42,0)*$G$4</f>
        <v/>
      </c>
      <c r="L41" s="15">
        <f>IF(L7&gt;=Hypothèses!$E$41,Hypothèses!$E$42,0)*$G$4</f>
        <v/>
      </c>
      <c r="M41" s="15">
        <f>IF(M7&gt;=Hypothèses!$E$41,Hypothèses!$E$42,0)*$G$4</f>
        <v/>
      </c>
      <c r="N41" s="15">
        <f>IF(N7&gt;=Hypothèses!$E$41,Hypothèses!$E$42,0)*$G$4</f>
        <v/>
      </c>
      <c r="O41" s="15">
        <f>IF(O7&gt;=Hypothèses!$E$41,Hypothèses!$E$42,0)*$G$4</f>
        <v/>
      </c>
      <c r="P41" s="15">
        <f>IF(P7&gt;=Hypothèses!$E$41,Hypothèses!$E$42,0)*$G$4</f>
        <v/>
      </c>
      <c r="Q41" s="15">
        <f>IF(Q7&gt;=Hypothèses!$E$41,Hypothèses!$E$42,0)*$G$4</f>
        <v/>
      </c>
      <c r="R41" s="15">
        <f>IF(R7&gt;=Hypothèses!$E$41,Hypothèses!$E$42,0)*$G$4</f>
        <v/>
      </c>
      <c r="S41" s="15">
        <f>IF(S7&gt;=Hypothèses!$E$41,Hypothèses!$E$42,0)*$G$4</f>
        <v/>
      </c>
      <c r="T41" s="15">
        <f>IF(T7&gt;=Hypothèses!$E$41,Hypothèses!$E$42,0)*$G$4</f>
        <v/>
      </c>
      <c r="U41" s="15">
        <f>IF(U7&gt;=Hypothèses!$E$41,Hypothèses!$E$42,0)*$G$4</f>
        <v/>
      </c>
      <c r="V41" s="15">
        <f>IF(V7&gt;=Hypothèses!$E$41,Hypothèses!$E$42,0)*$G$4</f>
        <v/>
      </c>
      <c r="W41" s="15">
        <f>IF(W7&gt;=Hypothèses!$E$41,Hypothèses!$E$42,0)*$G$4</f>
        <v/>
      </c>
      <c r="X41" s="15">
        <f>IF(X7&gt;=Hypothèses!$E$41,Hypothèses!$E$42,0)*$G$4</f>
        <v/>
      </c>
      <c r="Y41" s="15">
        <f>IF(Y7&gt;=Hypothèses!$E$41,Hypothèses!$E$42,0)*$G$4</f>
        <v/>
      </c>
      <c r="Z41" s="15">
        <f>IF(Z7&gt;=Hypothèses!$E$41,Hypothèses!$E$42,0)*$G$4</f>
        <v/>
      </c>
      <c r="AA41" s="15">
        <f>IF(AA7&gt;=Hypothèses!$E$41,Hypothèses!$E$42,0)*$G$4</f>
        <v/>
      </c>
      <c r="AB41" s="15">
        <f>IF(AB7&gt;=Hypothèses!$E$41,Hypothèses!$E$42,0)*$G$4</f>
        <v/>
      </c>
      <c r="AC41" s="15">
        <f>IF(AC7&gt;=Hypothèses!$E$41,Hypothèses!$E$42,0)*$G$4</f>
        <v/>
      </c>
      <c r="AD41" s="15">
        <f>IF(AD7&gt;=Hypothèses!$E$41,Hypothèses!$E$42,0)*$G$4</f>
        <v/>
      </c>
      <c r="AE41" s="15">
        <f>IF(AE7&gt;=Hypothèses!$E$41,Hypothèses!$E$42,0)*$G$4</f>
        <v/>
      </c>
      <c r="AF41" s="15">
        <f>IF(AF7&gt;=Hypothèses!$E$41,Hypothèses!$E$42,0)*$G$4</f>
        <v/>
      </c>
      <c r="AG41" s="15">
        <f>IF(AG7&gt;=Hypothèses!$E$41,Hypothèses!$E$42,0)*$G$4</f>
        <v/>
      </c>
      <c r="AH41" s="15">
        <f>IF(AH7&gt;=Hypothèses!$E$41,Hypothèses!$E$42,0)*$G$4</f>
        <v/>
      </c>
      <c r="AI41" s="15">
        <f>IF(AI7&gt;=Hypothèses!$E$41,Hypothèses!$E$42,0)*$G$4</f>
        <v/>
      </c>
      <c r="AJ41" s="15">
        <f>IF(AJ7&gt;=Hypothèses!$E$41,Hypothèses!$E$42,0)*$G$4</f>
        <v/>
      </c>
      <c r="AK41" s="15">
        <f>IF(AK7&gt;=Hypothèses!$E$41,Hypothèses!$E$42,0)*$G$4</f>
        <v/>
      </c>
      <c r="AL41" s="15">
        <f>IF(AL7&gt;=Hypothèses!$E$41,Hypothèses!$E$42,0)*$G$4</f>
        <v/>
      </c>
      <c r="AN41" s="15">
        <f>SUM(C41:N41)</f>
        <v/>
      </c>
      <c r="AO41" s="15">
        <f>SUM(O41:Z41)</f>
        <v/>
      </c>
      <c r="AP41" s="15">
        <f>SUM(AA41:AL41)</f>
        <v/>
      </c>
    </row>
    <row r="42">
      <c r="A42" s="9" t="inlineStr">
        <is>
          <t>Salarié 2 (ingénieur)</t>
        </is>
      </c>
      <c r="B42" s="4" t="inlineStr">
        <is>
          <t>€ HT</t>
        </is>
      </c>
      <c r="C42" s="15">
        <f>IF(C7&gt;=Hypothèses!$E$43,Hypothèses!$E$44,0)*$G$4</f>
        <v/>
      </c>
      <c r="D42" s="15">
        <f>IF(D7&gt;=Hypothèses!$E$43,Hypothèses!$E$44,0)*$G$4</f>
        <v/>
      </c>
      <c r="E42" s="15">
        <f>IF(E7&gt;=Hypothèses!$E$43,Hypothèses!$E$44,0)*$G$4</f>
        <v/>
      </c>
      <c r="F42" s="15">
        <f>IF(F7&gt;=Hypothèses!$E$43,Hypothèses!$E$44,0)*$G$4</f>
        <v/>
      </c>
      <c r="G42" s="15">
        <f>IF(G7&gt;=Hypothèses!$E$43,Hypothèses!$E$44,0)*$G$4</f>
        <v/>
      </c>
      <c r="H42" s="15">
        <f>IF(H7&gt;=Hypothèses!$E$43,Hypothèses!$E$44,0)*$G$4</f>
        <v/>
      </c>
      <c r="I42" s="15">
        <f>IF(I7&gt;=Hypothèses!$E$43,Hypothèses!$E$44,0)*$G$4</f>
        <v/>
      </c>
      <c r="J42" s="15">
        <f>IF(J7&gt;=Hypothèses!$E$43,Hypothèses!$E$44,0)*$G$4</f>
        <v/>
      </c>
      <c r="K42" s="15">
        <f>IF(K7&gt;=Hypothèses!$E$43,Hypothèses!$E$44,0)*$G$4</f>
        <v/>
      </c>
      <c r="L42" s="15">
        <f>IF(L7&gt;=Hypothèses!$E$43,Hypothèses!$E$44,0)*$G$4</f>
        <v/>
      </c>
      <c r="M42" s="15">
        <f>IF(M7&gt;=Hypothèses!$E$43,Hypothèses!$E$44,0)*$G$4</f>
        <v/>
      </c>
      <c r="N42" s="15">
        <f>IF(N7&gt;=Hypothèses!$E$43,Hypothèses!$E$44,0)*$G$4</f>
        <v/>
      </c>
      <c r="O42" s="15">
        <f>IF(O7&gt;=Hypothèses!$E$43,Hypothèses!$E$44,0)*$G$4</f>
        <v/>
      </c>
      <c r="P42" s="15">
        <f>IF(P7&gt;=Hypothèses!$E$43,Hypothèses!$E$44,0)*$G$4</f>
        <v/>
      </c>
      <c r="Q42" s="15">
        <f>IF(Q7&gt;=Hypothèses!$E$43,Hypothèses!$E$44,0)*$G$4</f>
        <v/>
      </c>
      <c r="R42" s="15">
        <f>IF(R7&gt;=Hypothèses!$E$43,Hypothèses!$E$44,0)*$G$4</f>
        <v/>
      </c>
      <c r="S42" s="15">
        <f>IF(S7&gt;=Hypothèses!$E$43,Hypothèses!$E$44,0)*$G$4</f>
        <v/>
      </c>
      <c r="T42" s="15">
        <f>IF(T7&gt;=Hypothèses!$E$43,Hypothèses!$E$44,0)*$G$4</f>
        <v/>
      </c>
      <c r="U42" s="15">
        <f>IF(U7&gt;=Hypothèses!$E$43,Hypothèses!$E$44,0)*$G$4</f>
        <v/>
      </c>
      <c r="V42" s="15">
        <f>IF(V7&gt;=Hypothèses!$E$43,Hypothèses!$E$44,0)*$G$4</f>
        <v/>
      </c>
      <c r="W42" s="15">
        <f>IF(W7&gt;=Hypothèses!$E$43,Hypothèses!$E$44,0)*$G$4</f>
        <v/>
      </c>
      <c r="X42" s="15">
        <f>IF(X7&gt;=Hypothèses!$E$43,Hypothèses!$E$44,0)*$G$4</f>
        <v/>
      </c>
      <c r="Y42" s="15">
        <f>IF(Y7&gt;=Hypothèses!$E$43,Hypothèses!$E$44,0)*$G$4</f>
        <v/>
      </c>
      <c r="Z42" s="15">
        <f>IF(Z7&gt;=Hypothèses!$E$43,Hypothèses!$E$44,0)*$G$4</f>
        <v/>
      </c>
      <c r="AA42" s="15">
        <f>IF(AA7&gt;=Hypothèses!$E$43,Hypothèses!$E$44,0)*$G$4</f>
        <v/>
      </c>
      <c r="AB42" s="15">
        <f>IF(AB7&gt;=Hypothèses!$E$43,Hypothèses!$E$44,0)*$G$4</f>
        <v/>
      </c>
      <c r="AC42" s="15">
        <f>IF(AC7&gt;=Hypothèses!$E$43,Hypothèses!$E$44,0)*$G$4</f>
        <v/>
      </c>
      <c r="AD42" s="15">
        <f>IF(AD7&gt;=Hypothèses!$E$43,Hypothèses!$E$44,0)*$G$4</f>
        <v/>
      </c>
      <c r="AE42" s="15">
        <f>IF(AE7&gt;=Hypothèses!$E$43,Hypothèses!$E$44,0)*$G$4</f>
        <v/>
      </c>
      <c r="AF42" s="15">
        <f>IF(AF7&gt;=Hypothèses!$E$43,Hypothèses!$E$44,0)*$G$4</f>
        <v/>
      </c>
      <c r="AG42" s="15">
        <f>IF(AG7&gt;=Hypothèses!$E$43,Hypothèses!$E$44,0)*$G$4</f>
        <v/>
      </c>
      <c r="AH42" s="15">
        <f>IF(AH7&gt;=Hypothèses!$E$43,Hypothèses!$E$44,0)*$G$4</f>
        <v/>
      </c>
      <c r="AI42" s="15">
        <f>IF(AI7&gt;=Hypothèses!$E$43,Hypothèses!$E$44,0)*$G$4</f>
        <v/>
      </c>
      <c r="AJ42" s="15">
        <f>IF(AJ7&gt;=Hypothèses!$E$43,Hypothèses!$E$44,0)*$G$4</f>
        <v/>
      </c>
      <c r="AK42" s="15">
        <f>IF(AK7&gt;=Hypothèses!$E$43,Hypothèses!$E$44,0)*$G$4</f>
        <v/>
      </c>
      <c r="AL42" s="15">
        <f>IF(AL7&gt;=Hypothèses!$E$43,Hypothèses!$E$44,0)*$G$4</f>
        <v/>
      </c>
      <c r="AN42" s="15">
        <f>SUM(C42:N42)</f>
        <v/>
      </c>
      <c r="AO42" s="15">
        <f>SUM(O42:Z42)</f>
        <v/>
      </c>
      <c r="AP42" s="15">
        <f>SUM(AA42:AL42)</f>
        <v/>
      </c>
    </row>
    <row r="43">
      <c r="A43" s="9" t="inlineStr">
        <is>
          <t>Développement MVP externe (étalé jusqu'au lancement)</t>
        </is>
      </c>
      <c r="B43" s="4" t="inlineStr">
        <is>
          <t>€ HT</t>
        </is>
      </c>
      <c r="C43" s="15">
        <f>IF(C7&lt;$B$5,Hypothèses!$E$45/MAX(1,$B$5-1),0)</f>
        <v/>
      </c>
      <c r="D43" s="15">
        <f>IF(D7&lt;$B$5,Hypothèses!$E$45/MAX(1,$B$5-1),0)</f>
        <v/>
      </c>
      <c r="E43" s="15">
        <f>IF(E7&lt;$B$5,Hypothèses!$E$45/MAX(1,$B$5-1),0)</f>
        <v/>
      </c>
      <c r="F43" s="15">
        <f>IF(F7&lt;$B$5,Hypothèses!$E$45/MAX(1,$B$5-1),0)</f>
        <v/>
      </c>
      <c r="G43" s="15">
        <f>IF(G7&lt;$B$5,Hypothèses!$E$45/MAX(1,$B$5-1),0)</f>
        <v/>
      </c>
      <c r="H43" s="15">
        <f>IF(H7&lt;$B$5,Hypothèses!$E$45/MAX(1,$B$5-1),0)</f>
        <v/>
      </c>
      <c r="I43" s="15">
        <f>IF(I7&lt;$B$5,Hypothèses!$E$45/MAX(1,$B$5-1),0)</f>
        <v/>
      </c>
      <c r="J43" s="15">
        <f>IF(J7&lt;$B$5,Hypothèses!$E$45/MAX(1,$B$5-1),0)</f>
        <v/>
      </c>
      <c r="K43" s="15">
        <f>IF(K7&lt;$B$5,Hypothèses!$E$45/MAX(1,$B$5-1),0)</f>
        <v/>
      </c>
      <c r="L43" s="15">
        <f>IF(L7&lt;$B$5,Hypothèses!$E$45/MAX(1,$B$5-1),0)</f>
        <v/>
      </c>
      <c r="M43" s="15">
        <f>IF(M7&lt;$B$5,Hypothèses!$E$45/MAX(1,$B$5-1),0)</f>
        <v/>
      </c>
      <c r="N43" s="15">
        <f>IF(N7&lt;$B$5,Hypothèses!$E$45/MAX(1,$B$5-1),0)</f>
        <v/>
      </c>
      <c r="O43" s="15">
        <f>IF(O7&lt;$B$5,Hypothèses!$E$45/MAX(1,$B$5-1),0)</f>
        <v/>
      </c>
      <c r="P43" s="15">
        <f>IF(P7&lt;$B$5,Hypothèses!$E$45/MAX(1,$B$5-1),0)</f>
        <v/>
      </c>
      <c r="Q43" s="15">
        <f>IF(Q7&lt;$B$5,Hypothèses!$E$45/MAX(1,$B$5-1),0)</f>
        <v/>
      </c>
      <c r="R43" s="15">
        <f>IF(R7&lt;$B$5,Hypothèses!$E$45/MAX(1,$B$5-1),0)</f>
        <v/>
      </c>
      <c r="S43" s="15">
        <f>IF(S7&lt;$B$5,Hypothèses!$E$45/MAX(1,$B$5-1),0)</f>
        <v/>
      </c>
      <c r="T43" s="15">
        <f>IF(T7&lt;$B$5,Hypothèses!$E$45/MAX(1,$B$5-1),0)</f>
        <v/>
      </c>
      <c r="U43" s="15">
        <f>IF(U7&lt;$B$5,Hypothèses!$E$45/MAX(1,$B$5-1),0)</f>
        <v/>
      </c>
      <c r="V43" s="15">
        <f>IF(V7&lt;$B$5,Hypothèses!$E$45/MAX(1,$B$5-1),0)</f>
        <v/>
      </c>
      <c r="W43" s="15">
        <f>IF(W7&lt;$B$5,Hypothèses!$E$45/MAX(1,$B$5-1),0)</f>
        <v/>
      </c>
      <c r="X43" s="15">
        <f>IF(X7&lt;$B$5,Hypothèses!$E$45/MAX(1,$B$5-1),0)</f>
        <v/>
      </c>
      <c r="Y43" s="15">
        <f>IF(Y7&lt;$B$5,Hypothèses!$E$45/MAX(1,$B$5-1),0)</f>
        <v/>
      </c>
      <c r="Z43" s="15">
        <f>IF(Z7&lt;$B$5,Hypothèses!$E$45/MAX(1,$B$5-1),0)</f>
        <v/>
      </c>
      <c r="AA43" s="15">
        <f>IF(AA7&lt;$B$5,Hypothèses!$E$45/MAX(1,$B$5-1),0)</f>
        <v/>
      </c>
      <c r="AB43" s="15">
        <f>IF(AB7&lt;$B$5,Hypothèses!$E$45/MAX(1,$B$5-1),0)</f>
        <v/>
      </c>
      <c r="AC43" s="15">
        <f>IF(AC7&lt;$B$5,Hypothèses!$E$45/MAX(1,$B$5-1),0)</f>
        <v/>
      </c>
      <c r="AD43" s="15">
        <f>IF(AD7&lt;$B$5,Hypothèses!$E$45/MAX(1,$B$5-1),0)</f>
        <v/>
      </c>
      <c r="AE43" s="15">
        <f>IF(AE7&lt;$B$5,Hypothèses!$E$45/MAX(1,$B$5-1),0)</f>
        <v/>
      </c>
      <c r="AF43" s="15">
        <f>IF(AF7&lt;$B$5,Hypothèses!$E$45/MAX(1,$B$5-1),0)</f>
        <v/>
      </c>
      <c r="AG43" s="15">
        <f>IF(AG7&lt;$B$5,Hypothèses!$E$45/MAX(1,$B$5-1),0)</f>
        <v/>
      </c>
      <c r="AH43" s="15">
        <f>IF(AH7&lt;$B$5,Hypothèses!$E$45/MAX(1,$B$5-1),0)</f>
        <v/>
      </c>
      <c r="AI43" s="15">
        <f>IF(AI7&lt;$B$5,Hypothèses!$E$45/MAX(1,$B$5-1),0)</f>
        <v/>
      </c>
      <c r="AJ43" s="15">
        <f>IF(AJ7&lt;$B$5,Hypothèses!$E$45/MAX(1,$B$5-1),0)</f>
        <v/>
      </c>
      <c r="AK43" s="15">
        <f>IF(AK7&lt;$B$5,Hypothèses!$E$45/MAX(1,$B$5-1),0)</f>
        <v/>
      </c>
      <c r="AL43" s="15">
        <f>IF(AL7&lt;$B$5,Hypothèses!$E$45/MAX(1,$B$5-1),0)</f>
        <v/>
      </c>
      <c r="AN43" s="15">
        <f>SUM(C43:N43)</f>
        <v/>
      </c>
      <c r="AO43" s="15">
        <f>SUM(O43:Z43)</f>
        <v/>
      </c>
      <c r="AP43" s="15">
        <f>SUM(AA43:AL43)</f>
        <v/>
      </c>
    </row>
    <row r="44">
      <c r="A44" s="9" t="inlineStr">
        <is>
          <t>Outils et SaaS</t>
        </is>
      </c>
      <c r="B44" s="4" t="inlineStr">
        <is>
          <t>€ HT</t>
        </is>
      </c>
      <c r="C44" s="15">
        <f>Hypothèses!$E$46*$G$4</f>
        <v/>
      </c>
      <c r="D44" s="15">
        <f>Hypothèses!$E$46*$G$4</f>
        <v/>
      </c>
      <c r="E44" s="15">
        <f>Hypothèses!$E$46*$G$4</f>
        <v/>
      </c>
      <c r="F44" s="15">
        <f>Hypothèses!$E$46*$G$4</f>
        <v/>
      </c>
      <c r="G44" s="15">
        <f>Hypothèses!$E$46*$G$4</f>
        <v/>
      </c>
      <c r="H44" s="15">
        <f>Hypothèses!$E$46*$G$4</f>
        <v/>
      </c>
      <c r="I44" s="15">
        <f>Hypothèses!$E$46*$G$4</f>
        <v/>
      </c>
      <c r="J44" s="15">
        <f>Hypothèses!$E$46*$G$4</f>
        <v/>
      </c>
      <c r="K44" s="15">
        <f>Hypothèses!$E$46*$G$4</f>
        <v/>
      </c>
      <c r="L44" s="15">
        <f>Hypothèses!$E$46*$G$4</f>
        <v/>
      </c>
      <c r="M44" s="15">
        <f>Hypothèses!$E$46*$G$4</f>
        <v/>
      </c>
      <c r="N44" s="15">
        <f>Hypothèses!$E$46*$G$4</f>
        <v/>
      </c>
      <c r="O44" s="15">
        <f>Hypothèses!$E$46*$G$4</f>
        <v/>
      </c>
      <c r="P44" s="15">
        <f>Hypothèses!$E$46*$G$4</f>
        <v/>
      </c>
      <c r="Q44" s="15">
        <f>Hypothèses!$E$46*$G$4</f>
        <v/>
      </c>
      <c r="R44" s="15">
        <f>Hypothèses!$E$46*$G$4</f>
        <v/>
      </c>
      <c r="S44" s="15">
        <f>Hypothèses!$E$46*$G$4</f>
        <v/>
      </c>
      <c r="T44" s="15">
        <f>Hypothèses!$E$46*$G$4</f>
        <v/>
      </c>
      <c r="U44" s="15">
        <f>Hypothèses!$E$46*$G$4</f>
        <v/>
      </c>
      <c r="V44" s="15">
        <f>Hypothèses!$E$46*$G$4</f>
        <v/>
      </c>
      <c r="W44" s="15">
        <f>Hypothèses!$E$46*$G$4</f>
        <v/>
      </c>
      <c r="X44" s="15">
        <f>Hypothèses!$E$46*$G$4</f>
        <v/>
      </c>
      <c r="Y44" s="15">
        <f>Hypothèses!$E$46*$G$4</f>
        <v/>
      </c>
      <c r="Z44" s="15">
        <f>Hypothèses!$E$46*$G$4</f>
        <v/>
      </c>
      <c r="AA44" s="15">
        <f>Hypothèses!$E$46*$G$4</f>
        <v/>
      </c>
      <c r="AB44" s="15">
        <f>Hypothèses!$E$46*$G$4</f>
        <v/>
      </c>
      <c r="AC44" s="15">
        <f>Hypothèses!$E$46*$G$4</f>
        <v/>
      </c>
      <c r="AD44" s="15">
        <f>Hypothèses!$E$46*$G$4</f>
        <v/>
      </c>
      <c r="AE44" s="15">
        <f>Hypothèses!$E$46*$G$4</f>
        <v/>
      </c>
      <c r="AF44" s="15">
        <f>Hypothèses!$E$46*$G$4</f>
        <v/>
      </c>
      <c r="AG44" s="15">
        <f>Hypothèses!$E$46*$G$4</f>
        <v/>
      </c>
      <c r="AH44" s="15">
        <f>Hypothèses!$E$46*$G$4</f>
        <v/>
      </c>
      <c r="AI44" s="15">
        <f>Hypothèses!$E$46*$G$4</f>
        <v/>
      </c>
      <c r="AJ44" s="15">
        <f>Hypothèses!$E$46*$G$4</f>
        <v/>
      </c>
      <c r="AK44" s="15">
        <f>Hypothèses!$E$46*$G$4</f>
        <v/>
      </c>
      <c r="AL44" s="15">
        <f>Hypothèses!$E$46*$G$4</f>
        <v/>
      </c>
      <c r="AN44" s="15">
        <f>SUM(C44:N44)</f>
        <v/>
      </c>
      <c r="AO44" s="15">
        <f>SUM(O44:Z44)</f>
        <v/>
      </c>
      <c r="AP44" s="15">
        <f>SUM(AA44:AL44)</f>
        <v/>
      </c>
    </row>
    <row r="45">
      <c r="A45" s="9" t="inlineStr">
        <is>
          <t>Juridique et comptabilité</t>
        </is>
      </c>
      <c r="B45" s="4" t="inlineStr">
        <is>
          <t>€ HT</t>
        </is>
      </c>
      <c r="C45" s="15">
        <f>Hypothèses!$E$47*$G$4</f>
        <v/>
      </c>
      <c r="D45" s="15">
        <f>Hypothèses!$E$47*$G$4</f>
        <v/>
      </c>
      <c r="E45" s="15">
        <f>Hypothèses!$E$47*$G$4</f>
        <v/>
      </c>
      <c r="F45" s="15">
        <f>Hypothèses!$E$47*$G$4</f>
        <v/>
      </c>
      <c r="G45" s="15">
        <f>Hypothèses!$E$47*$G$4</f>
        <v/>
      </c>
      <c r="H45" s="15">
        <f>Hypothèses!$E$47*$G$4</f>
        <v/>
      </c>
      <c r="I45" s="15">
        <f>Hypothèses!$E$47*$G$4</f>
        <v/>
      </c>
      <c r="J45" s="15">
        <f>Hypothèses!$E$47*$G$4</f>
        <v/>
      </c>
      <c r="K45" s="15">
        <f>Hypothèses!$E$47*$G$4</f>
        <v/>
      </c>
      <c r="L45" s="15">
        <f>Hypothèses!$E$47*$G$4</f>
        <v/>
      </c>
      <c r="M45" s="15">
        <f>Hypothèses!$E$47*$G$4</f>
        <v/>
      </c>
      <c r="N45" s="15">
        <f>Hypothèses!$E$47*$G$4</f>
        <v/>
      </c>
      <c r="O45" s="15">
        <f>Hypothèses!$E$47*$G$4</f>
        <v/>
      </c>
      <c r="P45" s="15">
        <f>Hypothèses!$E$47*$G$4</f>
        <v/>
      </c>
      <c r="Q45" s="15">
        <f>Hypothèses!$E$47*$G$4</f>
        <v/>
      </c>
      <c r="R45" s="15">
        <f>Hypothèses!$E$47*$G$4</f>
        <v/>
      </c>
      <c r="S45" s="15">
        <f>Hypothèses!$E$47*$G$4</f>
        <v/>
      </c>
      <c r="T45" s="15">
        <f>Hypothèses!$E$47*$G$4</f>
        <v/>
      </c>
      <c r="U45" s="15">
        <f>Hypothèses!$E$47*$G$4</f>
        <v/>
      </c>
      <c r="V45" s="15">
        <f>Hypothèses!$E$47*$G$4</f>
        <v/>
      </c>
      <c r="W45" s="15">
        <f>Hypothèses!$E$47*$G$4</f>
        <v/>
      </c>
      <c r="X45" s="15">
        <f>Hypothèses!$E$47*$G$4</f>
        <v/>
      </c>
      <c r="Y45" s="15">
        <f>Hypothèses!$E$47*$G$4</f>
        <v/>
      </c>
      <c r="Z45" s="15">
        <f>Hypothèses!$E$47*$G$4</f>
        <v/>
      </c>
      <c r="AA45" s="15">
        <f>Hypothèses!$E$47*$G$4</f>
        <v/>
      </c>
      <c r="AB45" s="15">
        <f>Hypothèses!$E$47*$G$4</f>
        <v/>
      </c>
      <c r="AC45" s="15">
        <f>Hypothèses!$E$47*$G$4</f>
        <v/>
      </c>
      <c r="AD45" s="15">
        <f>Hypothèses!$E$47*$G$4</f>
        <v/>
      </c>
      <c r="AE45" s="15">
        <f>Hypothèses!$E$47*$G$4</f>
        <v/>
      </c>
      <c r="AF45" s="15">
        <f>Hypothèses!$E$47*$G$4</f>
        <v/>
      </c>
      <c r="AG45" s="15">
        <f>Hypothèses!$E$47*$G$4</f>
        <v/>
      </c>
      <c r="AH45" s="15">
        <f>Hypothèses!$E$47*$G$4</f>
        <v/>
      </c>
      <c r="AI45" s="15">
        <f>Hypothèses!$E$47*$G$4</f>
        <v/>
      </c>
      <c r="AJ45" s="15">
        <f>Hypothèses!$E$47*$G$4</f>
        <v/>
      </c>
      <c r="AK45" s="15">
        <f>Hypothèses!$E$47*$G$4</f>
        <v/>
      </c>
      <c r="AL45" s="15">
        <f>Hypothèses!$E$47*$G$4</f>
        <v/>
      </c>
      <c r="AN45" s="15">
        <f>SUM(C45:N45)</f>
        <v/>
      </c>
      <c r="AO45" s="15">
        <f>SUM(O45:Z45)</f>
        <v/>
      </c>
      <c r="AP45" s="15">
        <f>SUM(AA45:AL45)</f>
        <v/>
      </c>
    </row>
    <row r="46">
      <c r="A46" s="9" t="inlineStr">
        <is>
          <t>Assurance RC pro</t>
        </is>
      </c>
      <c r="B46" s="4" t="inlineStr">
        <is>
          <t>€</t>
        </is>
      </c>
      <c r="C46" s="15">
        <f>C9*Hypothèses!$E$48*$G$4</f>
        <v/>
      </c>
      <c r="D46" s="15">
        <f>D9*Hypothèses!$E$48*$G$4</f>
        <v/>
      </c>
      <c r="E46" s="15">
        <f>E9*Hypothèses!$E$48*$G$4</f>
        <v/>
      </c>
      <c r="F46" s="15">
        <f>F9*Hypothèses!$E$48*$G$4</f>
        <v/>
      </c>
      <c r="G46" s="15">
        <f>G9*Hypothèses!$E$48*$G$4</f>
        <v/>
      </c>
      <c r="H46" s="15">
        <f>H9*Hypothèses!$E$48*$G$4</f>
        <v/>
      </c>
      <c r="I46" s="15">
        <f>I9*Hypothèses!$E$48*$G$4</f>
        <v/>
      </c>
      <c r="J46" s="15">
        <f>J9*Hypothèses!$E$48*$G$4</f>
        <v/>
      </c>
      <c r="K46" s="15">
        <f>K9*Hypothèses!$E$48*$G$4</f>
        <v/>
      </c>
      <c r="L46" s="15">
        <f>L9*Hypothèses!$E$48*$G$4</f>
        <v/>
      </c>
      <c r="M46" s="15">
        <f>M9*Hypothèses!$E$48*$G$4</f>
        <v/>
      </c>
      <c r="N46" s="15">
        <f>N9*Hypothèses!$E$48*$G$4</f>
        <v/>
      </c>
      <c r="O46" s="15">
        <f>O9*Hypothèses!$E$48*$G$4</f>
        <v/>
      </c>
      <c r="P46" s="15">
        <f>P9*Hypothèses!$E$48*$G$4</f>
        <v/>
      </c>
      <c r="Q46" s="15">
        <f>Q9*Hypothèses!$E$48*$G$4</f>
        <v/>
      </c>
      <c r="R46" s="15">
        <f>R9*Hypothèses!$E$48*$G$4</f>
        <v/>
      </c>
      <c r="S46" s="15">
        <f>S9*Hypothèses!$E$48*$G$4</f>
        <v/>
      </c>
      <c r="T46" s="15">
        <f>T9*Hypothèses!$E$48*$G$4</f>
        <v/>
      </c>
      <c r="U46" s="15">
        <f>U9*Hypothèses!$E$48*$G$4</f>
        <v/>
      </c>
      <c r="V46" s="15">
        <f>V9*Hypothèses!$E$48*$G$4</f>
        <v/>
      </c>
      <c r="W46" s="15">
        <f>W9*Hypothèses!$E$48*$G$4</f>
        <v/>
      </c>
      <c r="X46" s="15">
        <f>X9*Hypothèses!$E$48*$G$4</f>
        <v/>
      </c>
      <c r="Y46" s="15">
        <f>Y9*Hypothèses!$E$48*$G$4</f>
        <v/>
      </c>
      <c r="Z46" s="15">
        <f>Z9*Hypothèses!$E$48*$G$4</f>
        <v/>
      </c>
      <c r="AA46" s="15">
        <f>AA9*Hypothèses!$E$48*$G$4</f>
        <v/>
      </c>
      <c r="AB46" s="15">
        <f>AB9*Hypothèses!$E$48*$G$4</f>
        <v/>
      </c>
      <c r="AC46" s="15">
        <f>AC9*Hypothèses!$E$48*$G$4</f>
        <v/>
      </c>
      <c r="AD46" s="15">
        <f>AD9*Hypothèses!$E$48*$G$4</f>
        <v/>
      </c>
      <c r="AE46" s="15">
        <f>AE9*Hypothèses!$E$48*$G$4</f>
        <v/>
      </c>
      <c r="AF46" s="15">
        <f>AF9*Hypothèses!$E$48*$G$4</f>
        <v/>
      </c>
      <c r="AG46" s="15">
        <f>AG9*Hypothèses!$E$48*$G$4</f>
        <v/>
      </c>
      <c r="AH46" s="15">
        <f>AH9*Hypothèses!$E$48*$G$4</f>
        <v/>
      </c>
      <c r="AI46" s="15">
        <f>AI9*Hypothèses!$E$48*$G$4</f>
        <v/>
      </c>
      <c r="AJ46" s="15">
        <f>AJ9*Hypothèses!$E$48*$G$4</f>
        <v/>
      </c>
      <c r="AK46" s="15">
        <f>AK9*Hypothèses!$E$48*$G$4</f>
        <v/>
      </c>
      <c r="AL46" s="15">
        <f>AL9*Hypothèses!$E$48*$G$4</f>
        <v/>
      </c>
      <c r="AN46" s="15">
        <f>SUM(C46:N46)</f>
        <v/>
      </c>
      <c r="AO46" s="15">
        <f>SUM(O46:Z46)</f>
        <v/>
      </c>
      <c r="AP46" s="15">
        <f>SUM(AA46:AL46)</f>
        <v/>
      </c>
    </row>
    <row r="47">
      <c r="A47" s="9" t="inlineStr">
        <is>
          <t>Marketing fixe</t>
        </is>
      </c>
      <c r="B47" s="4" t="inlineStr">
        <is>
          <t>€ HT</t>
        </is>
      </c>
      <c r="C47" s="15">
        <f>C9*Hypothèses!$E$49*$G$4</f>
        <v/>
      </c>
      <c r="D47" s="15">
        <f>D9*Hypothèses!$E$49*$G$4</f>
        <v/>
      </c>
      <c r="E47" s="15">
        <f>E9*Hypothèses!$E$49*$G$4</f>
        <v/>
      </c>
      <c r="F47" s="15">
        <f>F9*Hypothèses!$E$49*$G$4</f>
        <v/>
      </c>
      <c r="G47" s="15">
        <f>G9*Hypothèses!$E$49*$G$4</f>
        <v/>
      </c>
      <c r="H47" s="15">
        <f>H9*Hypothèses!$E$49*$G$4</f>
        <v/>
      </c>
      <c r="I47" s="15">
        <f>I9*Hypothèses!$E$49*$G$4</f>
        <v/>
      </c>
      <c r="J47" s="15">
        <f>J9*Hypothèses!$E$49*$G$4</f>
        <v/>
      </c>
      <c r="K47" s="15">
        <f>K9*Hypothèses!$E$49*$G$4</f>
        <v/>
      </c>
      <c r="L47" s="15">
        <f>L9*Hypothèses!$E$49*$G$4</f>
        <v/>
      </c>
      <c r="M47" s="15">
        <f>M9*Hypothèses!$E$49*$G$4</f>
        <v/>
      </c>
      <c r="N47" s="15">
        <f>N9*Hypothèses!$E$49*$G$4</f>
        <v/>
      </c>
      <c r="O47" s="15">
        <f>O9*Hypothèses!$E$49*$G$4</f>
        <v/>
      </c>
      <c r="P47" s="15">
        <f>P9*Hypothèses!$E$49*$G$4</f>
        <v/>
      </c>
      <c r="Q47" s="15">
        <f>Q9*Hypothèses!$E$49*$G$4</f>
        <v/>
      </c>
      <c r="R47" s="15">
        <f>R9*Hypothèses!$E$49*$G$4</f>
        <v/>
      </c>
      <c r="S47" s="15">
        <f>S9*Hypothèses!$E$49*$G$4</f>
        <v/>
      </c>
      <c r="T47" s="15">
        <f>T9*Hypothèses!$E$49*$G$4</f>
        <v/>
      </c>
      <c r="U47" s="15">
        <f>U9*Hypothèses!$E$49*$G$4</f>
        <v/>
      </c>
      <c r="V47" s="15">
        <f>V9*Hypothèses!$E$49*$G$4</f>
        <v/>
      </c>
      <c r="W47" s="15">
        <f>W9*Hypothèses!$E$49*$G$4</f>
        <v/>
      </c>
      <c r="X47" s="15">
        <f>X9*Hypothèses!$E$49*$G$4</f>
        <v/>
      </c>
      <c r="Y47" s="15">
        <f>Y9*Hypothèses!$E$49*$G$4</f>
        <v/>
      </c>
      <c r="Z47" s="15">
        <f>Z9*Hypothèses!$E$49*$G$4</f>
        <v/>
      </c>
      <c r="AA47" s="15">
        <f>AA9*Hypothèses!$E$49*$G$4</f>
        <v/>
      </c>
      <c r="AB47" s="15">
        <f>AB9*Hypothèses!$E$49*$G$4</f>
        <v/>
      </c>
      <c r="AC47" s="15">
        <f>AC9*Hypothèses!$E$49*$G$4</f>
        <v/>
      </c>
      <c r="AD47" s="15">
        <f>AD9*Hypothèses!$E$49*$G$4</f>
        <v/>
      </c>
      <c r="AE47" s="15">
        <f>AE9*Hypothèses!$E$49*$G$4</f>
        <v/>
      </c>
      <c r="AF47" s="15">
        <f>AF9*Hypothèses!$E$49*$G$4</f>
        <v/>
      </c>
      <c r="AG47" s="15">
        <f>AG9*Hypothèses!$E$49*$G$4</f>
        <v/>
      </c>
      <c r="AH47" s="15">
        <f>AH9*Hypothèses!$E$49*$G$4</f>
        <v/>
      </c>
      <c r="AI47" s="15">
        <f>AI9*Hypothèses!$E$49*$G$4</f>
        <v/>
      </c>
      <c r="AJ47" s="15">
        <f>AJ9*Hypothèses!$E$49*$G$4</f>
        <v/>
      </c>
      <c r="AK47" s="15">
        <f>AK9*Hypothèses!$E$49*$G$4</f>
        <v/>
      </c>
      <c r="AL47" s="15">
        <f>AL9*Hypothèses!$E$49*$G$4</f>
        <v/>
      </c>
      <c r="AN47" s="15">
        <f>SUM(C47:N47)</f>
        <v/>
      </c>
      <c r="AO47" s="15">
        <f>SUM(O47:Z47)</f>
        <v/>
      </c>
      <c r="AP47" s="15">
        <f>SUM(AA47:AL47)</f>
        <v/>
      </c>
    </row>
    <row r="48">
      <c r="A48" s="9" t="inlineStr">
        <is>
          <t>Frais généraux</t>
        </is>
      </c>
      <c r="B48" s="4" t="inlineStr">
        <is>
          <t>€ HT</t>
        </is>
      </c>
      <c r="C48" s="15">
        <f>Hypothèses!$E$50*$G$4</f>
        <v/>
      </c>
      <c r="D48" s="15">
        <f>Hypothèses!$E$50*$G$4</f>
        <v/>
      </c>
      <c r="E48" s="15">
        <f>Hypothèses!$E$50*$G$4</f>
        <v/>
      </c>
      <c r="F48" s="15">
        <f>Hypothèses!$E$50*$G$4</f>
        <v/>
      </c>
      <c r="G48" s="15">
        <f>Hypothèses!$E$50*$G$4</f>
        <v/>
      </c>
      <c r="H48" s="15">
        <f>Hypothèses!$E$50*$G$4</f>
        <v/>
      </c>
      <c r="I48" s="15">
        <f>Hypothèses!$E$50*$G$4</f>
        <v/>
      </c>
      <c r="J48" s="15">
        <f>Hypothèses!$E$50*$G$4</f>
        <v/>
      </c>
      <c r="K48" s="15">
        <f>Hypothèses!$E$50*$G$4</f>
        <v/>
      </c>
      <c r="L48" s="15">
        <f>Hypothèses!$E$50*$G$4</f>
        <v/>
      </c>
      <c r="M48" s="15">
        <f>Hypothèses!$E$50*$G$4</f>
        <v/>
      </c>
      <c r="N48" s="15">
        <f>Hypothèses!$E$50*$G$4</f>
        <v/>
      </c>
      <c r="O48" s="15">
        <f>Hypothèses!$E$50*$G$4</f>
        <v/>
      </c>
      <c r="P48" s="15">
        <f>Hypothèses!$E$50*$G$4</f>
        <v/>
      </c>
      <c r="Q48" s="15">
        <f>Hypothèses!$E$50*$G$4</f>
        <v/>
      </c>
      <c r="R48" s="15">
        <f>Hypothèses!$E$50*$G$4</f>
        <v/>
      </c>
      <c r="S48" s="15">
        <f>Hypothèses!$E$50*$G$4</f>
        <v/>
      </c>
      <c r="T48" s="15">
        <f>Hypothèses!$E$50*$G$4</f>
        <v/>
      </c>
      <c r="U48" s="15">
        <f>Hypothèses!$E$50*$G$4</f>
        <v/>
      </c>
      <c r="V48" s="15">
        <f>Hypothèses!$E$50*$G$4</f>
        <v/>
      </c>
      <c r="W48" s="15">
        <f>Hypothèses!$E$50*$G$4</f>
        <v/>
      </c>
      <c r="X48" s="15">
        <f>Hypothèses!$E$50*$G$4</f>
        <v/>
      </c>
      <c r="Y48" s="15">
        <f>Hypothèses!$E$50*$G$4</f>
        <v/>
      </c>
      <c r="Z48" s="15">
        <f>Hypothèses!$E$50*$G$4</f>
        <v/>
      </c>
      <c r="AA48" s="15">
        <f>Hypothèses!$E$50*$G$4</f>
        <v/>
      </c>
      <c r="AB48" s="15">
        <f>Hypothèses!$E$50*$G$4</f>
        <v/>
      </c>
      <c r="AC48" s="15">
        <f>Hypothèses!$E$50*$G$4</f>
        <v/>
      </c>
      <c r="AD48" s="15">
        <f>Hypothèses!$E$50*$G$4</f>
        <v/>
      </c>
      <c r="AE48" s="15">
        <f>Hypothèses!$E$50*$G$4</f>
        <v/>
      </c>
      <c r="AF48" s="15">
        <f>Hypothèses!$E$50*$G$4</f>
        <v/>
      </c>
      <c r="AG48" s="15">
        <f>Hypothèses!$E$50*$G$4</f>
        <v/>
      </c>
      <c r="AH48" s="15">
        <f>Hypothèses!$E$50*$G$4</f>
        <v/>
      </c>
      <c r="AI48" s="15">
        <f>Hypothèses!$E$50*$G$4</f>
        <v/>
      </c>
      <c r="AJ48" s="15">
        <f>Hypothèses!$E$50*$G$4</f>
        <v/>
      </c>
      <c r="AK48" s="15">
        <f>Hypothèses!$E$50*$G$4</f>
        <v/>
      </c>
      <c r="AL48" s="15">
        <f>Hypothèses!$E$50*$G$4</f>
        <v/>
      </c>
      <c r="AN48" s="15">
        <f>SUM(C48:N48)</f>
        <v/>
      </c>
      <c r="AO48" s="15">
        <f>SUM(O48:Z48)</f>
        <v/>
      </c>
      <c r="AP48" s="15">
        <f>SUM(AA48:AL48)</f>
        <v/>
      </c>
    </row>
    <row r="49">
      <c r="A49" s="9" t="inlineStr">
        <is>
          <t>Audit de sécurité (annuel, à partir du lancement)</t>
        </is>
      </c>
      <c r="B49" s="4" t="inlineStr">
        <is>
          <t>€ HT</t>
        </is>
      </c>
      <c r="C49" s="15">
        <f>IF(AND(C9=1,MOD(C7-$B$5,12)=0),Hypothèses!$E$51,0)*$G$4</f>
        <v/>
      </c>
      <c r="D49" s="15">
        <f>IF(AND(D9=1,MOD(D7-$B$5,12)=0),Hypothèses!$E$51,0)*$G$4</f>
        <v/>
      </c>
      <c r="E49" s="15">
        <f>IF(AND(E9=1,MOD(E7-$B$5,12)=0),Hypothèses!$E$51,0)*$G$4</f>
        <v/>
      </c>
      <c r="F49" s="15">
        <f>IF(AND(F9=1,MOD(F7-$B$5,12)=0),Hypothèses!$E$51,0)*$G$4</f>
        <v/>
      </c>
      <c r="G49" s="15">
        <f>IF(AND(G9=1,MOD(G7-$B$5,12)=0),Hypothèses!$E$51,0)*$G$4</f>
        <v/>
      </c>
      <c r="H49" s="15">
        <f>IF(AND(H9=1,MOD(H7-$B$5,12)=0),Hypothèses!$E$51,0)*$G$4</f>
        <v/>
      </c>
      <c r="I49" s="15">
        <f>IF(AND(I9=1,MOD(I7-$B$5,12)=0),Hypothèses!$E$51,0)*$G$4</f>
        <v/>
      </c>
      <c r="J49" s="15">
        <f>IF(AND(J9=1,MOD(J7-$B$5,12)=0),Hypothèses!$E$51,0)*$G$4</f>
        <v/>
      </c>
      <c r="K49" s="15">
        <f>IF(AND(K9=1,MOD(K7-$B$5,12)=0),Hypothèses!$E$51,0)*$G$4</f>
        <v/>
      </c>
      <c r="L49" s="15">
        <f>IF(AND(L9=1,MOD(L7-$B$5,12)=0),Hypothèses!$E$51,0)*$G$4</f>
        <v/>
      </c>
      <c r="M49" s="15">
        <f>IF(AND(M9=1,MOD(M7-$B$5,12)=0),Hypothèses!$E$51,0)*$G$4</f>
        <v/>
      </c>
      <c r="N49" s="15">
        <f>IF(AND(N9=1,MOD(N7-$B$5,12)=0),Hypothèses!$E$51,0)*$G$4</f>
        <v/>
      </c>
      <c r="O49" s="15">
        <f>IF(AND(O9=1,MOD(O7-$B$5,12)=0),Hypothèses!$E$51,0)*$G$4</f>
        <v/>
      </c>
      <c r="P49" s="15">
        <f>IF(AND(P9=1,MOD(P7-$B$5,12)=0),Hypothèses!$E$51,0)*$G$4</f>
        <v/>
      </c>
      <c r="Q49" s="15">
        <f>IF(AND(Q9=1,MOD(Q7-$B$5,12)=0),Hypothèses!$E$51,0)*$G$4</f>
        <v/>
      </c>
      <c r="R49" s="15">
        <f>IF(AND(R9=1,MOD(R7-$B$5,12)=0),Hypothèses!$E$51,0)*$G$4</f>
        <v/>
      </c>
      <c r="S49" s="15">
        <f>IF(AND(S9=1,MOD(S7-$B$5,12)=0),Hypothèses!$E$51,0)*$G$4</f>
        <v/>
      </c>
      <c r="T49" s="15">
        <f>IF(AND(T9=1,MOD(T7-$B$5,12)=0),Hypothèses!$E$51,0)*$G$4</f>
        <v/>
      </c>
      <c r="U49" s="15">
        <f>IF(AND(U9=1,MOD(U7-$B$5,12)=0),Hypothèses!$E$51,0)*$G$4</f>
        <v/>
      </c>
      <c r="V49" s="15">
        <f>IF(AND(V9=1,MOD(V7-$B$5,12)=0),Hypothèses!$E$51,0)*$G$4</f>
        <v/>
      </c>
      <c r="W49" s="15">
        <f>IF(AND(W9=1,MOD(W7-$B$5,12)=0),Hypothèses!$E$51,0)*$G$4</f>
        <v/>
      </c>
      <c r="X49" s="15">
        <f>IF(AND(X9=1,MOD(X7-$B$5,12)=0),Hypothèses!$E$51,0)*$G$4</f>
        <v/>
      </c>
      <c r="Y49" s="15">
        <f>IF(AND(Y9=1,MOD(Y7-$B$5,12)=0),Hypothèses!$E$51,0)*$G$4</f>
        <v/>
      </c>
      <c r="Z49" s="15">
        <f>IF(AND(Z9=1,MOD(Z7-$B$5,12)=0),Hypothèses!$E$51,0)*$G$4</f>
        <v/>
      </c>
      <c r="AA49" s="15">
        <f>IF(AND(AA9=1,MOD(AA7-$B$5,12)=0),Hypothèses!$E$51,0)*$G$4</f>
        <v/>
      </c>
      <c r="AB49" s="15">
        <f>IF(AND(AB9=1,MOD(AB7-$B$5,12)=0),Hypothèses!$E$51,0)*$G$4</f>
        <v/>
      </c>
      <c r="AC49" s="15">
        <f>IF(AND(AC9=1,MOD(AC7-$B$5,12)=0),Hypothèses!$E$51,0)*$G$4</f>
        <v/>
      </c>
      <c r="AD49" s="15">
        <f>IF(AND(AD9=1,MOD(AD7-$B$5,12)=0),Hypothèses!$E$51,0)*$G$4</f>
        <v/>
      </c>
      <c r="AE49" s="15">
        <f>IF(AND(AE9=1,MOD(AE7-$B$5,12)=0),Hypothèses!$E$51,0)*$G$4</f>
        <v/>
      </c>
      <c r="AF49" s="15">
        <f>IF(AND(AF9=1,MOD(AF7-$B$5,12)=0),Hypothèses!$E$51,0)*$G$4</f>
        <v/>
      </c>
      <c r="AG49" s="15">
        <f>IF(AND(AG9=1,MOD(AG7-$B$5,12)=0),Hypothèses!$E$51,0)*$G$4</f>
        <v/>
      </c>
      <c r="AH49" s="15">
        <f>IF(AND(AH9=1,MOD(AH7-$B$5,12)=0),Hypothèses!$E$51,0)*$G$4</f>
        <v/>
      </c>
      <c r="AI49" s="15">
        <f>IF(AND(AI9=1,MOD(AI7-$B$5,12)=0),Hypothèses!$E$51,0)*$G$4</f>
        <v/>
      </c>
      <c r="AJ49" s="15">
        <f>IF(AND(AJ9=1,MOD(AJ7-$B$5,12)=0),Hypothèses!$E$51,0)*$G$4</f>
        <v/>
      </c>
      <c r="AK49" s="15">
        <f>IF(AND(AK9=1,MOD(AK7-$B$5,12)=0),Hypothèses!$E$51,0)*$G$4</f>
        <v/>
      </c>
      <c r="AL49" s="15">
        <f>IF(AND(AL9=1,MOD(AL7-$B$5,12)=0),Hypothèses!$E$51,0)*$G$4</f>
        <v/>
      </c>
      <c r="AN49" s="15">
        <f>SUM(C49:N49)</f>
        <v/>
      </c>
      <c r="AO49" s="15">
        <f>SUM(O49:Z49)</f>
        <v/>
      </c>
      <c r="AP49" s="15">
        <f>SUM(AA49:AL49)</f>
        <v/>
      </c>
    </row>
    <row r="50">
      <c r="A50" s="9" t="inlineStr">
        <is>
          <t>Frais de constitution</t>
        </is>
      </c>
      <c r="B50" s="4" t="inlineStr">
        <is>
          <t>€ HT</t>
        </is>
      </c>
      <c r="C50" s="15">
        <f>IF(C7=2,Hypothèses!$E$52,0)</f>
        <v/>
      </c>
      <c r="D50" s="15">
        <f>IF(D7=2,Hypothèses!$E$52,0)</f>
        <v/>
      </c>
      <c r="E50" s="15">
        <f>IF(E7=2,Hypothèses!$E$52,0)</f>
        <v/>
      </c>
      <c r="F50" s="15">
        <f>IF(F7=2,Hypothèses!$E$52,0)</f>
        <v/>
      </c>
      <c r="G50" s="15">
        <f>IF(G7=2,Hypothèses!$E$52,0)</f>
        <v/>
      </c>
      <c r="H50" s="15">
        <f>IF(H7=2,Hypothèses!$E$52,0)</f>
        <v/>
      </c>
      <c r="I50" s="15">
        <f>IF(I7=2,Hypothèses!$E$52,0)</f>
        <v/>
      </c>
      <c r="J50" s="15">
        <f>IF(J7=2,Hypothèses!$E$52,0)</f>
        <v/>
      </c>
      <c r="K50" s="15">
        <f>IF(K7=2,Hypothèses!$E$52,0)</f>
        <v/>
      </c>
      <c r="L50" s="15">
        <f>IF(L7=2,Hypothèses!$E$52,0)</f>
        <v/>
      </c>
      <c r="M50" s="15">
        <f>IF(M7=2,Hypothèses!$E$52,0)</f>
        <v/>
      </c>
      <c r="N50" s="15">
        <f>IF(N7=2,Hypothèses!$E$52,0)</f>
        <v/>
      </c>
      <c r="O50" s="15">
        <f>IF(O7=2,Hypothèses!$E$52,0)</f>
        <v/>
      </c>
      <c r="P50" s="15">
        <f>IF(P7=2,Hypothèses!$E$52,0)</f>
        <v/>
      </c>
      <c r="Q50" s="15">
        <f>IF(Q7=2,Hypothèses!$E$52,0)</f>
        <v/>
      </c>
      <c r="R50" s="15">
        <f>IF(R7=2,Hypothèses!$E$52,0)</f>
        <v/>
      </c>
      <c r="S50" s="15">
        <f>IF(S7=2,Hypothèses!$E$52,0)</f>
        <v/>
      </c>
      <c r="T50" s="15">
        <f>IF(T7=2,Hypothèses!$E$52,0)</f>
        <v/>
      </c>
      <c r="U50" s="15">
        <f>IF(U7=2,Hypothèses!$E$52,0)</f>
        <v/>
      </c>
      <c r="V50" s="15">
        <f>IF(V7=2,Hypothèses!$E$52,0)</f>
        <v/>
      </c>
      <c r="W50" s="15">
        <f>IF(W7=2,Hypothèses!$E$52,0)</f>
        <v/>
      </c>
      <c r="X50" s="15">
        <f>IF(X7=2,Hypothèses!$E$52,0)</f>
        <v/>
      </c>
      <c r="Y50" s="15">
        <f>IF(Y7=2,Hypothèses!$E$52,0)</f>
        <v/>
      </c>
      <c r="Z50" s="15">
        <f>IF(Z7=2,Hypothèses!$E$52,0)</f>
        <v/>
      </c>
      <c r="AA50" s="15">
        <f>IF(AA7=2,Hypothèses!$E$52,0)</f>
        <v/>
      </c>
      <c r="AB50" s="15">
        <f>IF(AB7=2,Hypothèses!$E$52,0)</f>
        <v/>
      </c>
      <c r="AC50" s="15">
        <f>IF(AC7=2,Hypothèses!$E$52,0)</f>
        <v/>
      </c>
      <c r="AD50" s="15">
        <f>IF(AD7=2,Hypothèses!$E$52,0)</f>
        <v/>
      </c>
      <c r="AE50" s="15">
        <f>IF(AE7=2,Hypothèses!$E$52,0)</f>
        <v/>
      </c>
      <c r="AF50" s="15">
        <f>IF(AF7=2,Hypothèses!$E$52,0)</f>
        <v/>
      </c>
      <c r="AG50" s="15">
        <f>IF(AG7=2,Hypothèses!$E$52,0)</f>
        <v/>
      </c>
      <c r="AH50" s="15">
        <f>IF(AH7=2,Hypothèses!$E$52,0)</f>
        <v/>
      </c>
      <c r="AI50" s="15">
        <f>IF(AI7=2,Hypothèses!$E$52,0)</f>
        <v/>
      </c>
      <c r="AJ50" s="15">
        <f>IF(AJ7=2,Hypothèses!$E$52,0)</f>
        <v/>
      </c>
      <c r="AK50" s="15">
        <f>IF(AK7=2,Hypothèses!$E$52,0)</f>
        <v/>
      </c>
      <c r="AL50" s="15">
        <f>IF(AL7=2,Hypothèses!$E$52,0)</f>
        <v/>
      </c>
      <c r="AN50" s="15">
        <f>SUM(C50:N50)</f>
        <v/>
      </c>
      <c r="AO50" s="15">
        <f>SUM(O50:Z50)</f>
        <v/>
      </c>
      <c r="AP50" s="15">
        <f>SUM(AA50:AL50)</f>
        <v/>
      </c>
    </row>
    <row r="51">
      <c r="A51" s="2" t="inlineStr">
        <is>
          <t>Total coûts fixes</t>
        </is>
      </c>
      <c r="B51" s="4" t="inlineStr">
        <is>
          <t>€ HT</t>
        </is>
      </c>
      <c r="C51" s="40">
        <f>SUM(C40:C50)</f>
        <v/>
      </c>
      <c r="D51" s="40">
        <f>SUM(D40:D50)</f>
        <v/>
      </c>
      <c r="E51" s="40">
        <f>SUM(E40:E50)</f>
        <v/>
      </c>
      <c r="F51" s="40">
        <f>SUM(F40:F50)</f>
        <v/>
      </c>
      <c r="G51" s="40">
        <f>SUM(G40:G50)</f>
        <v/>
      </c>
      <c r="H51" s="40">
        <f>SUM(H40:H50)</f>
        <v/>
      </c>
      <c r="I51" s="40">
        <f>SUM(I40:I50)</f>
        <v/>
      </c>
      <c r="J51" s="40">
        <f>SUM(J40:J50)</f>
        <v/>
      </c>
      <c r="K51" s="40">
        <f>SUM(K40:K50)</f>
        <v/>
      </c>
      <c r="L51" s="40">
        <f>SUM(L40:L50)</f>
        <v/>
      </c>
      <c r="M51" s="40">
        <f>SUM(M40:M50)</f>
        <v/>
      </c>
      <c r="N51" s="40">
        <f>SUM(N40:N50)</f>
        <v/>
      </c>
      <c r="O51" s="40">
        <f>SUM(O40:O50)</f>
        <v/>
      </c>
      <c r="P51" s="40">
        <f>SUM(P40:P50)</f>
        <v/>
      </c>
      <c r="Q51" s="40">
        <f>SUM(Q40:Q50)</f>
        <v/>
      </c>
      <c r="R51" s="40">
        <f>SUM(R40:R50)</f>
        <v/>
      </c>
      <c r="S51" s="40">
        <f>SUM(S40:S50)</f>
        <v/>
      </c>
      <c r="T51" s="40">
        <f>SUM(T40:T50)</f>
        <v/>
      </c>
      <c r="U51" s="40">
        <f>SUM(U40:U50)</f>
        <v/>
      </c>
      <c r="V51" s="40">
        <f>SUM(V40:V50)</f>
        <v/>
      </c>
      <c r="W51" s="40">
        <f>SUM(W40:W50)</f>
        <v/>
      </c>
      <c r="X51" s="40">
        <f>SUM(X40:X50)</f>
        <v/>
      </c>
      <c r="Y51" s="40">
        <f>SUM(Y40:Y50)</f>
        <v/>
      </c>
      <c r="Z51" s="40">
        <f>SUM(Z40:Z50)</f>
        <v/>
      </c>
      <c r="AA51" s="40">
        <f>SUM(AA40:AA50)</f>
        <v/>
      </c>
      <c r="AB51" s="40">
        <f>SUM(AB40:AB50)</f>
        <v/>
      </c>
      <c r="AC51" s="40">
        <f>SUM(AC40:AC50)</f>
        <v/>
      </c>
      <c r="AD51" s="40">
        <f>SUM(AD40:AD50)</f>
        <v/>
      </c>
      <c r="AE51" s="40">
        <f>SUM(AE40:AE50)</f>
        <v/>
      </c>
      <c r="AF51" s="40">
        <f>SUM(AF40:AF50)</f>
        <v/>
      </c>
      <c r="AG51" s="40">
        <f>SUM(AG40:AG50)</f>
        <v/>
      </c>
      <c r="AH51" s="40">
        <f>SUM(AH40:AH50)</f>
        <v/>
      </c>
      <c r="AI51" s="40">
        <f>SUM(AI40:AI50)</f>
        <v/>
      </c>
      <c r="AJ51" s="40">
        <f>SUM(AJ40:AJ50)</f>
        <v/>
      </c>
      <c r="AK51" s="40">
        <f>SUM(AK40:AK50)</f>
        <v/>
      </c>
      <c r="AL51" s="40">
        <f>SUM(AL40:AL50)</f>
        <v/>
      </c>
      <c r="AN51" s="40">
        <f>SUM(C51:N51)</f>
        <v/>
      </c>
      <c r="AO51" s="40">
        <f>SUM(O51:Z51)</f>
        <v/>
      </c>
      <c r="AP51" s="40">
        <f>SUM(AA51:AL51)</f>
        <v/>
      </c>
    </row>
    <row r="52">
      <c r="A52" s="2" t="inlineStr">
        <is>
          <t>EBITDA (marge variable − acquisition − fixes)</t>
        </is>
      </c>
      <c r="B52" s="4" t="inlineStr">
        <is>
          <t>€ HT</t>
        </is>
      </c>
      <c r="C52" s="40">
        <f>C37-C39-C51</f>
        <v/>
      </c>
      <c r="D52" s="40">
        <f>D37-D39-D51</f>
        <v/>
      </c>
      <c r="E52" s="40">
        <f>E37-E39-E51</f>
        <v/>
      </c>
      <c r="F52" s="40">
        <f>F37-F39-F51</f>
        <v/>
      </c>
      <c r="G52" s="40">
        <f>G37-G39-G51</f>
        <v/>
      </c>
      <c r="H52" s="40">
        <f>H37-H39-H51</f>
        <v/>
      </c>
      <c r="I52" s="40">
        <f>I37-I39-I51</f>
        <v/>
      </c>
      <c r="J52" s="40">
        <f>J37-J39-J51</f>
        <v/>
      </c>
      <c r="K52" s="40">
        <f>K37-K39-K51</f>
        <v/>
      </c>
      <c r="L52" s="40">
        <f>L37-L39-L51</f>
        <v/>
      </c>
      <c r="M52" s="40">
        <f>M37-M39-M51</f>
        <v/>
      </c>
      <c r="N52" s="40">
        <f>N37-N39-N51</f>
        <v/>
      </c>
      <c r="O52" s="40">
        <f>O37-O39-O51</f>
        <v/>
      </c>
      <c r="P52" s="40">
        <f>P37-P39-P51</f>
        <v/>
      </c>
      <c r="Q52" s="40">
        <f>Q37-Q39-Q51</f>
        <v/>
      </c>
      <c r="R52" s="40">
        <f>R37-R39-R51</f>
        <v/>
      </c>
      <c r="S52" s="40">
        <f>S37-S39-S51</f>
        <v/>
      </c>
      <c r="T52" s="40">
        <f>T37-T39-T51</f>
        <v/>
      </c>
      <c r="U52" s="40">
        <f>U37-U39-U51</f>
        <v/>
      </c>
      <c r="V52" s="40">
        <f>V37-V39-V51</f>
        <v/>
      </c>
      <c r="W52" s="40">
        <f>W37-W39-W51</f>
        <v/>
      </c>
      <c r="X52" s="40">
        <f>X37-X39-X51</f>
        <v/>
      </c>
      <c r="Y52" s="40">
        <f>Y37-Y39-Y51</f>
        <v/>
      </c>
      <c r="Z52" s="40">
        <f>Z37-Z39-Z51</f>
        <v/>
      </c>
      <c r="AA52" s="40">
        <f>AA37-AA39-AA51</f>
        <v/>
      </c>
      <c r="AB52" s="40">
        <f>AB37-AB39-AB51</f>
        <v/>
      </c>
      <c r="AC52" s="40">
        <f>AC37-AC39-AC51</f>
        <v/>
      </c>
      <c r="AD52" s="40">
        <f>AD37-AD39-AD51</f>
        <v/>
      </c>
      <c r="AE52" s="40">
        <f>AE37-AE39-AE51</f>
        <v/>
      </c>
      <c r="AF52" s="40">
        <f>AF37-AF39-AF51</f>
        <v/>
      </c>
      <c r="AG52" s="40">
        <f>AG37-AG39-AG51</f>
        <v/>
      </c>
      <c r="AH52" s="40">
        <f>AH37-AH39-AH51</f>
        <v/>
      </c>
      <c r="AI52" s="40">
        <f>AI37-AI39-AI51</f>
        <v/>
      </c>
      <c r="AJ52" s="40">
        <f>AJ37-AJ39-AJ51</f>
        <v/>
      </c>
      <c r="AK52" s="40">
        <f>AK37-AK39-AK51</f>
        <v/>
      </c>
      <c r="AL52" s="40">
        <f>AL37-AL39-AL51</f>
        <v/>
      </c>
      <c r="AN52" s="40">
        <f>SUM(C52:N52)</f>
        <v/>
      </c>
      <c r="AO52" s="40">
        <f>SUM(O52:Z52)</f>
        <v/>
      </c>
      <c r="AP52" s="40">
        <f>SUM(AA52:AL52)</f>
        <v/>
      </c>
    </row>
    <row r="53">
      <c r="A53" s="9" t="inlineStr">
        <is>
          <t>EBITDA positif ? (1 = oui)</t>
        </is>
      </c>
      <c r="B53" s="4" t="inlineStr">
        <is>
          <t>0/1</t>
        </is>
      </c>
      <c r="C53" s="13">
        <f>IF(C52&gt;0,1,0)</f>
        <v/>
      </c>
      <c r="D53" s="13">
        <f>IF(D52&gt;0,1,0)</f>
        <v/>
      </c>
      <c r="E53" s="13">
        <f>IF(E52&gt;0,1,0)</f>
        <v/>
      </c>
      <c r="F53" s="13">
        <f>IF(F52&gt;0,1,0)</f>
        <v/>
      </c>
      <c r="G53" s="13">
        <f>IF(G52&gt;0,1,0)</f>
        <v/>
      </c>
      <c r="H53" s="13">
        <f>IF(H52&gt;0,1,0)</f>
        <v/>
      </c>
      <c r="I53" s="13">
        <f>IF(I52&gt;0,1,0)</f>
        <v/>
      </c>
      <c r="J53" s="13">
        <f>IF(J52&gt;0,1,0)</f>
        <v/>
      </c>
      <c r="K53" s="13">
        <f>IF(K52&gt;0,1,0)</f>
        <v/>
      </c>
      <c r="L53" s="13">
        <f>IF(L52&gt;0,1,0)</f>
        <v/>
      </c>
      <c r="M53" s="13">
        <f>IF(M52&gt;0,1,0)</f>
        <v/>
      </c>
      <c r="N53" s="13">
        <f>IF(N52&gt;0,1,0)</f>
        <v/>
      </c>
      <c r="O53" s="13">
        <f>IF(O52&gt;0,1,0)</f>
        <v/>
      </c>
      <c r="P53" s="13">
        <f>IF(P52&gt;0,1,0)</f>
        <v/>
      </c>
      <c r="Q53" s="13">
        <f>IF(Q52&gt;0,1,0)</f>
        <v/>
      </c>
      <c r="R53" s="13">
        <f>IF(R52&gt;0,1,0)</f>
        <v/>
      </c>
      <c r="S53" s="13">
        <f>IF(S52&gt;0,1,0)</f>
        <v/>
      </c>
      <c r="T53" s="13">
        <f>IF(T52&gt;0,1,0)</f>
        <v/>
      </c>
      <c r="U53" s="13">
        <f>IF(U52&gt;0,1,0)</f>
        <v/>
      </c>
      <c r="V53" s="13">
        <f>IF(V52&gt;0,1,0)</f>
        <v/>
      </c>
      <c r="W53" s="13">
        <f>IF(W52&gt;0,1,0)</f>
        <v/>
      </c>
      <c r="X53" s="13">
        <f>IF(X52&gt;0,1,0)</f>
        <v/>
      </c>
      <c r="Y53" s="13">
        <f>IF(Y52&gt;0,1,0)</f>
        <v/>
      </c>
      <c r="Z53" s="13">
        <f>IF(Z52&gt;0,1,0)</f>
        <v/>
      </c>
      <c r="AA53" s="13">
        <f>IF(AA52&gt;0,1,0)</f>
        <v/>
      </c>
      <c r="AB53" s="13">
        <f>IF(AB52&gt;0,1,0)</f>
        <v/>
      </c>
      <c r="AC53" s="13">
        <f>IF(AC52&gt;0,1,0)</f>
        <v/>
      </c>
      <c r="AD53" s="13">
        <f>IF(AD52&gt;0,1,0)</f>
        <v/>
      </c>
      <c r="AE53" s="13">
        <f>IF(AE52&gt;0,1,0)</f>
        <v/>
      </c>
      <c r="AF53" s="13">
        <f>IF(AF52&gt;0,1,0)</f>
        <v/>
      </c>
      <c r="AG53" s="13">
        <f>IF(AG52&gt;0,1,0)</f>
        <v/>
      </c>
      <c r="AH53" s="13">
        <f>IF(AH52&gt;0,1,0)</f>
        <v/>
      </c>
      <c r="AI53" s="13">
        <f>IF(AI52&gt;0,1,0)</f>
        <v/>
      </c>
      <c r="AJ53" s="13">
        <f>IF(AJ52&gt;0,1,0)</f>
        <v/>
      </c>
      <c r="AK53" s="13">
        <f>IF(AK52&gt;0,1,0)</f>
        <v/>
      </c>
      <c r="AL53" s="13">
        <f>IF(AL52&gt;0,1,0)</f>
        <v/>
      </c>
    </row>
    <row r="54">
      <c r="A54" s="8" t="inlineStr">
        <is>
          <t>Trésorerie</t>
        </is>
      </c>
    </row>
    <row r="55">
      <c r="A55" s="9" t="inlineStr">
        <is>
          <t>TVA collectée reversée (mois suivant)</t>
        </is>
      </c>
      <c r="B55" s="4" t="inlineStr">
        <is>
          <t>€</t>
        </is>
      </c>
      <c r="C55" s="15">
        <f>0</f>
        <v/>
      </c>
      <c r="D55" s="15">
        <f>C27</f>
        <v/>
      </c>
      <c r="E55" s="15">
        <f>D27</f>
        <v/>
      </c>
      <c r="F55" s="15">
        <f>E27</f>
        <v/>
      </c>
      <c r="G55" s="15">
        <f>F27</f>
        <v/>
      </c>
      <c r="H55" s="15">
        <f>G27</f>
        <v/>
      </c>
      <c r="I55" s="15">
        <f>H27</f>
        <v/>
      </c>
      <c r="J55" s="15">
        <f>I27</f>
        <v/>
      </c>
      <c r="K55" s="15">
        <f>J27</f>
        <v/>
      </c>
      <c r="L55" s="15">
        <f>K27</f>
        <v/>
      </c>
      <c r="M55" s="15">
        <f>L27</f>
        <v/>
      </c>
      <c r="N55" s="15">
        <f>M27</f>
        <v/>
      </c>
      <c r="O55" s="15">
        <f>N27</f>
        <v/>
      </c>
      <c r="P55" s="15">
        <f>O27</f>
        <v/>
      </c>
      <c r="Q55" s="15">
        <f>P27</f>
        <v/>
      </c>
      <c r="R55" s="15">
        <f>Q27</f>
        <v/>
      </c>
      <c r="S55" s="15">
        <f>R27</f>
        <v/>
      </c>
      <c r="T55" s="15">
        <f>S27</f>
        <v/>
      </c>
      <c r="U55" s="15">
        <f>T27</f>
        <v/>
      </c>
      <c r="V55" s="15">
        <f>U27</f>
        <v/>
      </c>
      <c r="W55" s="15">
        <f>V27</f>
        <v/>
      </c>
      <c r="X55" s="15">
        <f>W27</f>
        <v/>
      </c>
      <c r="Y55" s="15">
        <f>X27</f>
        <v/>
      </c>
      <c r="Z55" s="15">
        <f>Y27</f>
        <v/>
      </c>
      <c r="AA55" s="15">
        <f>Z27</f>
        <v/>
      </c>
      <c r="AB55" s="15">
        <f>AA27</f>
        <v/>
      </c>
      <c r="AC55" s="15">
        <f>AB27</f>
        <v/>
      </c>
      <c r="AD55" s="15">
        <f>AC27</f>
        <v/>
      </c>
      <c r="AE55" s="15">
        <f>AD27</f>
        <v/>
      </c>
      <c r="AF55" s="15">
        <f>AE27</f>
        <v/>
      </c>
      <c r="AG55" s="15">
        <f>AF27</f>
        <v/>
      </c>
      <c r="AH55" s="15">
        <f>AG27</f>
        <v/>
      </c>
      <c r="AI55" s="15">
        <f>AH27</f>
        <v/>
      </c>
      <c r="AJ55" s="15">
        <f>AI27</f>
        <v/>
      </c>
      <c r="AK55" s="15">
        <f>AJ27</f>
        <v/>
      </c>
      <c r="AL55" s="15">
        <f>AK27</f>
        <v/>
      </c>
      <c r="AN55" s="15">
        <f>SUM(C55:N55)</f>
        <v/>
      </c>
      <c r="AO55" s="15">
        <f>SUM(O55:Z55)</f>
        <v/>
      </c>
      <c r="AP55" s="15">
        <f>SUM(AA55:AL55)</f>
        <v/>
      </c>
    </row>
    <row r="56">
      <c r="A56" s="9" t="inlineStr">
        <is>
          <t>TVA déductible récupérée (mois suivant, coûts externes)</t>
        </is>
      </c>
      <c r="B56" s="4" t="inlineStr">
        <is>
          <t>€</t>
        </is>
      </c>
      <c r="C56" s="15">
        <f>0</f>
        <v/>
      </c>
      <c r="D56" s="15">
        <f>(C36+C39+C43+C44+C45+C47+C48+C49+C50)*Hypothèses!$E$15</f>
        <v/>
      </c>
      <c r="E56" s="15">
        <f>(D36+D39+D43+D44+D45+D47+D48+D49+D50)*Hypothèses!$E$15</f>
        <v/>
      </c>
      <c r="F56" s="15">
        <f>(E36+E39+E43+E44+E45+E47+E48+E49+E50)*Hypothèses!$E$15</f>
        <v/>
      </c>
      <c r="G56" s="15">
        <f>(F36+F39+F43+F44+F45+F47+F48+F49+F50)*Hypothèses!$E$15</f>
        <v/>
      </c>
      <c r="H56" s="15">
        <f>(G36+G39+G43+G44+G45+G47+G48+G49+G50)*Hypothèses!$E$15</f>
        <v/>
      </c>
      <c r="I56" s="15">
        <f>(H36+H39+H43+H44+H45+H47+H48+H49+H50)*Hypothèses!$E$15</f>
        <v/>
      </c>
      <c r="J56" s="15">
        <f>(I36+I39+I43+I44+I45+I47+I48+I49+I50)*Hypothèses!$E$15</f>
        <v/>
      </c>
      <c r="K56" s="15">
        <f>(J36+J39+J43+J44+J45+J47+J48+J49+J50)*Hypothèses!$E$15</f>
        <v/>
      </c>
      <c r="L56" s="15">
        <f>(K36+K39+K43+K44+K45+K47+K48+K49+K50)*Hypothèses!$E$15</f>
        <v/>
      </c>
      <c r="M56" s="15">
        <f>(L36+L39+L43+L44+L45+L47+L48+L49+L50)*Hypothèses!$E$15</f>
        <v/>
      </c>
      <c r="N56" s="15">
        <f>(M36+M39+M43+M44+M45+M47+M48+M49+M50)*Hypothèses!$E$15</f>
        <v/>
      </c>
      <c r="O56" s="15">
        <f>(N36+N39+N43+N44+N45+N47+N48+N49+N50)*Hypothèses!$E$15</f>
        <v/>
      </c>
      <c r="P56" s="15">
        <f>(O36+O39+O43+O44+O45+O47+O48+O49+O50)*Hypothèses!$E$15</f>
        <v/>
      </c>
      <c r="Q56" s="15">
        <f>(P36+P39+P43+P44+P45+P47+P48+P49+P50)*Hypothèses!$E$15</f>
        <v/>
      </c>
      <c r="R56" s="15">
        <f>(Q36+Q39+Q43+Q44+Q45+Q47+Q48+Q49+Q50)*Hypothèses!$E$15</f>
        <v/>
      </c>
      <c r="S56" s="15">
        <f>(R36+R39+R43+R44+R45+R47+R48+R49+R50)*Hypothèses!$E$15</f>
        <v/>
      </c>
      <c r="T56" s="15">
        <f>(S36+S39+S43+S44+S45+S47+S48+S49+S50)*Hypothèses!$E$15</f>
        <v/>
      </c>
      <c r="U56" s="15">
        <f>(T36+T39+T43+T44+T45+T47+T48+T49+T50)*Hypothèses!$E$15</f>
        <v/>
      </c>
      <c r="V56" s="15">
        <f>(U36+U39+U43+U44+U45+U47+U48+U49+U50)*Hypothèses!$E$15</f>
        <v/>
      </c>
      <c r="W56" s="15">
        <f>(V36+V39+V43+V44+V45+V47+V48+V49+V50)*Hypothèses!$E$15</f>
        <v/>
      </c>
      <c r="X56" s="15">
        <f>(W36+W39+W43+W44+W45+W47+W48+W49+W50)*Hypothèses!$E$15</f>
        <v/>
      </c>
      <c r="Y56" s="15">
        <f>(X36+X39+X43+X44+X45+X47+X48+X49+X50)*Hypothèses!$E$15</f>
        <v/>
      </c>
      <c r="Z56" s="15">
        <f>(Y36+Y39+Y43+Y44+Y45+Y47+Y48+Y49+Y50)*Hypothèses!$E$15</f>
        <v/>
      </c>
      <c r="AA56" s="15">
        <f>(Z36+Z39+Z43+Z44+Z45+Z47+Z48+Z49+Z50)*Hypothèses!$E$15</f>
        <v/>
      </c>
      <c r="AB56" s="15">
        <f>(AA36+AA39+AA43+AA44+AA45+AA47+AA48+AA49+AA50)*Hypothèses!$E$15</f>
        <v/>
      </c>
      <c r="AC56" s="15">
        <f>(AB36+AB39+AB43+AB44+AB45+AB47+AB48+AB49+AB50)*Hypothèses!$E$15</f>
        <v/>
      </c>
      <c r="AD56" s="15">
        <f>(AC36+AC39+AC43+AC44+AC45+AC47+AC48+AC49+AC50)*Hypothèses!$E$15</f>
        <v/>
      </c>
      <c r="AE56" s="15">
        <f>(AD36+AD39+AD43+AD44+AD45+AD47+AD48+AD49+AD50)*Hypothèses!$E$15</f>
        <v/>
      </c>
      <c r="AF56" s="15">
        <f>(AE36+AE39+AE43+AE44+AE45+AE47+AE48+AE49+AE50)*Hypothèses!$E$15</f>
        <v/>
      </c>
      <c r="AG56" s="15">
        <f>(AF36+AF39+AF43+AF44+AF45+AF47+AF48+AF49+AF50)*Hypothèses!$E$15</f>
        <v/>
      </c>
      <c r="AH56" s="15">
        <f>(AG36+AG39+AG43+AG44+AG45+AG47+AG48+AG49+AG50)*Hypothèses!$E$15</f>
        <v/>
      </c>
      <c r="AI56" s="15">
        <f>(AH36+AH39+AH43+AH44+AH45+AH47+AH48+AH49+AH50)*Hypothèses!$E$15</f>
        <v/>
      </c>
      <c r="AJ56" s="15">
        <f>(AI36+AI39+AI43+AI44+AI45+AI47+AI48+AI49+AI50)*Hypothèses!$E$15</f>
        <v/>
      </c>
      <c r="AK56" s="15">
        <f>(AJ36+AJ39+AJ43+AJ44+AJ45+AJ47+AJ48+AJ49+AJ50)*Hypothèses!$E$15</f>
        <v/>
      </c>
      <c r="AL56" s="15">
        <f>(AK36+AK39+AK43+AK44+AK45+AK47+AK48+AK49+AK50)*Hypothèses!$E$15</f>
        <v/>
      </c>
      <c r="AN56" s="15">
        <f>SUM(C56:N56)</f>
        <v/>
      </c>
      <c r="AO56" s="15">
        <f>SUM(O56:Z56)</f>
        <v/>
      </c>
      <c r="AP56" s="15">
        <f>SUM(AA56:AL56)</f>
        <v/>
      </c>
    </row>
    <row r="57">
      <c r="A57" s="9" t="inlineStr">
        <is>
          <t>Financement reçu</t>
        </is>
      </c>
      <c r="B57" s="4" t="inlineStr">
        <is>
          <t>€</t>
        </is>
      </c>
      <c r="C57" s="15">
        <f>Hypothèses!$E$56*(IF(C7=Hypothèses!$E$57,Hypothèses!$E$58,0)+IF(C7=Hypothèses!$E$59,Hypothèses!$E$60,0)+IF(C7=Hypothèses!$E$61,Hypothèses!$E$62,0))</f>
        <v/>
      </c>
      <c r="D57" s="15">
        <f>Hypothèses!$E$56*(IF(D7=Hypothèses!$E$57,Hypothèses!$E$58,0)+IF(D7=Hypothèses!$E$59,Hypothèses!$E$60,0)+IF(D7=Hypothèses!$E$61,Hypothèses!$E$62,0))</f>
        <v/>
      </c>
      <c r="E57" s="15">
        <f>Hypothèses!$E$56*(IF(E7=Hypothèses!$E$57,Hypothèses!$E$58,0)+IF(E7=Hypothèses!$E$59,Hypothèses!$E$60,0)+IF(E7=Hypothèses!$E$61,Hypothèses!$E$62,0))</f>
        <v/>
      </c>
      <c r="F57" s="15">
        <f>Hypothèses!$E$56*(IF(F7=Hypothèses!$E$57,Hypothèses!$E$58,0)+IF(F7=Hypothèses!$E$59,Hypothèses!$E$60,0)+IF(F7=Hypothèses!$E$61,Hypothèses!$E$62,0))</f>
        <v/>
      </c>
      <c r="G57" s="15">
        <f>Hypothèses!$E$56*(IF(G7=Hypothèses!$E$57,Hypothèses!$E$58,0)+IF(G7=Hypothèses!$E$59,Hypothèses!$E$60,0)+IF(G7=Hypothèses!$E$61,Hypothèses!$E$62,0))</f>
        <v/>
      </c>
      <c r="H57" s="15">
        <f>Hypothèses!$E$56*(IF(H7=Hypothèses!$E$57,Hypothèses!$E$58,0)+IF(H7=Hypothèses!$E$59,Hypothèses!$E$60,0)+IF(H7=Hypothèses!$E$61,Hypothèses!$E$62,0))</f>
        <v/>
      </c>
      <c r="I57" s="15">
        <f>Hypothèses!$E$56*(IF(I7=Hypothèses!$E$57,Hypothèses!$E$58,0)+IF(I7=Hypothèses!$E$59,Hypothèses!$E$60,0)+IF(I7=Hypothèses!$E$61,Hypothèses!$E$62,0))</f>
        <v/>
      </c>
      <c r="J57" s="15">
        <f>Hypothèses!$E$56*(IF(J7=Hypothèses!$E$57,Hypothèses!$E$58,0)+IF(J7=Hypothèses!$E$59,Hypothèses!$E$60,0)+IF(J7=Hypothèses!$E$61,Hypothèses!$E$62,0))</f>
        <v/>
      </c>
      <c r="K57" s="15">
        <f>Hypothèses!$E$56*(IF(K7=Hypothèses!$E$57,Hypothèses!$E$58,0)+IF(K7=Hypothèses!$E$59,Hypothèses!$E$60,0)+IF(K7=Hypothèses!$E$61,Hypothèses!$E$62,0))</f>
        <v/>
      </c>
      <c r="L57" s="15">
        <f>Hypothèses!$E$56*(IF(L7=Hypothèses!$E$57,Hypothèses!$E$58,0)+IF(L7=Hypothèses!$E$59,Hypothèses!$E$60,0)+IF(L7=Hypothèses!$E$61,Hypothèses!$E$62,0))</f>
        <v/>
      </c>
      <c r="M57" s="15">
        <f>Hypothèses!$E$56*(IF(M7=Hypothèses!$E$57,Hypothèses!$E$58,0)+IF(M7=Hypothèses!$E$59,Hypothèses!$E$60,0)+IF(M7=Hypothèses!$E$61,Hypothèses!$E$62,0))</f>
        <v/>
      </c>
      <c r="N57" s="15">
        <f>Hypothèses!$E$56*(IF(N7=Hypothèses!$E$57,Hypothèses!$E$58,0)+IF(N7=Hypothèses!$E$59,Hypothèses!$E$60,0)+IF(N7=Hypothèses!$E$61,Hypothèses!$E$62,0))</f>
        <v/>
      </c>
      <c r="O57" s="15">
        <f>Hypothèses!$E$56*(IF(O7=Hypothèses!$E$57,Hypothèses!$E$58,0)+IF(O7=Hypothèses!$E$59,Hypothèses!$E$60,0)+IF(O7=Hypothèses!$E$61,Hypothèses!$E$62,0))</f>
        <v/>
      </c>
      <c r="P57" s="15">
        <f>Hypothèses!$E$56*(IF(P7=Hypothèses!$E$57,Hypothèses!$E$58,0)+IF(P7=Hypothèses!$E$59,Hypothèses!$E$60,0)+IF(P7=Hypothèses!$E$61,Hypothèses!$E$62,0))</f>
        <v/>
      </c>
      <c r="Q57" s="15">
        <f>Hypothèses!$E$56*(IF(Q7=Hypothèses!$E$57,Hypothèses!$E$58,0)+IF(Q7=Hypothèses!$E$59,Hypothèses!$E$60,0)+IF(Q7=Hypothèses!$E$61,Hypothèses!$E$62,0))</f>
        <v/>
      </c>
      <c r="R57" s="15">
        <f>Hypothèses!$E$56*(IF(R7=Hypothèses!$E$57,Hypothèses!$E$58,0)+IF(R7=Hypothèses!$E$59,Hypothèses!$E$60,0)+IF(R7=Hypothèses!$E$61,Hypothèses!$E$62,0))</f>
        <v/>
      </c>
      <c r="S57" s="15">
        <f>Hypothèses!$E$56*(IF(S7=Hypothèses!$E$57,Hypothèses!$E$58,0)+IF(S7=Hypothèses!$E$59,Hypothèses!$E$60,0)+IF(S7=Hypothèses!$E$61,Hypothèses!$E$62,0))</f>
        <v/>
      </c>
      <c r="T57" s="15">
        <f>Hypothèses!$E$56*(IF(T7=Hypothèses!$E$57,Hypothèses!$E$58,0)+IF(T7=Hypothèses!$E$59,Hypothèses!$E$60,0)+IF(T7=Hypothèses!$E$61,Hypothèses!$E$62,0))</f>
        <v/>
      </c>
      <c r="U57" s="15">
        <f>Hypothèses!$E$56*(IF(U7=Hypothèses!$E$57,Hypothèses!$E$58,0)+IF(U7=Hypothèses!$E$59,Hypothèses!$E$60,0)+IF(U7=Hypothèses!$E$61,Hypothèses!$E$62,0))</f>
        <v/>
      </c>
      <c r="V57" s="15">
        <f>Hypothèses!$E$56*(IF(V7=Hypothèses!$E$57,Hypothèses!$E$58,0)+IF(V7=Hypothèses!$E$59,Hypothèses!$E$60,0)+IF(V7=Hypothèses!$E$61,Hypothèses!$E$62,0))</f>
        <v/>
      </c>
      <c r="W57" s="15">
        <f>Hypothèses!$E$56*(IF(W7=Hypothèses!$E$57,Hypothèses!$E$58,0)+IF(W7=Hypothèses!$E$59,Hypothèses!$E$60,0)+IF(W7=Hypothèses!$E$61,Hypothèses!$E$62,0))</f>
        <v/>
      </c>
      <c r="X57" s="15">
        <f>Hypothèses!$E$56*(IF(X7=Hypothèses!$E$57,Hypothèses!$E$58,0)+IF(X7=Hypothèses!$E$59,Hypothèses!$E$60,0)+IF(X7=Hypothèses!$E$61,Hypothèses!$E$62,0))</f>
        <v/>
      </c>
      <c r="Y57" s="15">
        <f>Hypothèses!$E$56*(IF(Y7=Hypothèses!$E$57,Hypothèses!$E$58,0)+IF(Y7=Hypothèses!$E$59,Hypothèses!$E$60,0)+IF(Y7=Hypothèses!$E$61,Hypothèses!$E$62,0))</f>
        <v/>
      </c>
      <c r="Z57" s="15">
        <f>Hypothèses!$E$56*(IF(Z7=Hypothèses!$E$57,Hypothèses!$E$58,0)+IF(Z7=Hypothèses!$E$59,Hypothèses!$E$60,0)+IF(Z7=Hypothèses!$E$61,Hypothèses!$E$62,0))</f>
        <v/>
      </c>
      <c r="AA57" s="15">
        <f>Hypothèses!$E$56*(IF(AA7=Hypothèses!$E$57,Hypothèses!$E$58,0)+IF(AA7=Hypothèses!$E$59,Hypothèses!$E$60,0)+IF(AA7=Hypothèses!$E$61,Hypothèses!$E$62,0))</f>
        <v/>
      </c>
      <c r="AB57" s="15">
        <f>Hypothèses!$E$56*(IF(AB7=Hypothèses!$E$57,Hypothèses!$E$58,0)+IF(AB7=Hypothèses!$E$59,Hypothèses!$E$60,0)+IF(AB7=Hypothèses!$E$61,Hypothèses!$E$62,0))</f>
        <v/>
      </c>
      <c r="AC57" s="15">
        <f>Hypothèses!$E$56*(IF(AC7=Hypothèses!$E$57,Hypothèses!$E$58,0)+IF(AC7=Hypothèses!$E$59,Hypothèses!$E$60,0)+IF(AC7=Hypothèses!$E$61,Hypothèses!$E$62,0))</f>
        <v/>
      </c>
      <c r="AD57" s="15">
        <f>Hypothèses!$E$56*(IF(AD7=Hypothèses!$E$57,Hypothèses!$E$58,0)+IF(AD7=Hypothèses!$E$59,Hypothèses!$E$60,0)+IF(AD7=Hypothèses!$E$61,Hypothèses!$E$62,0))</f>
        <v/>
      </c>
      <c r="AE57" s="15">
        <f>Hypothèses!$E$56*(IF(AE7=Hypothèses!$E$57,Hypothèses!$E$58,0)+IF(AE7=Hypothèses!$E$59,Hypothèses!$E$60,0)+IF(AE7=Hypothèses!$E$61,Hypothèses!$E$62,0))</f>
        <v/>
      </c>
      <c r="AF57" s="15">
        <f>Hypothèses!$E$56*(IF(AF7=Hypothèses!$E$57,Hypothèses!$E$58,0)+IF(AF7=Hypothèses!$E$59,Hypothèses!$E$60,0)+IF(AF7=Hypothèses!$E$61,Hypothèses!$E$62,0))</f>
        <v/>
      </c>
      <c r="AG57" s="15">
        <f>Hypothèses!$E$56*(IF(AG7=Hypothèses!$E$57,Hypothèses!$E$58,0)+IF(AG7=Hypothèses!$E$59,Hypothèses!$E$60,0)+IF(AG7=Hypothèses!$E$61,Hypothèses!$E$62,0))</f>
        <v/>
      </c>
      <c r="AH57" s="15">
        <f>Hypothèses!$E$56*(IF(AH7=Hypothèses!$E$57,Hypothèses!$E$58,0)+IF(AH7=Hypothèses!$E$59,Hypothèses!$E$60,0)+IF(AH7=Hypothèses!$E$61,Hypothèses!$E$62,0))</f>
        <v/>
      </c>
      <c r="AI57" s="15">
        <f>Hypothèses!$E$56*(IF(AI7=Hypothèses!$E$57,Hypothèses!$E$58,0)+IF(AI7=Hypothèses!$E$59,Hypothèses!$E$60,0)+IF(AI7=Hypothèses!$E$61,Hypothèses!$E$62,0))</f>
        <v/>
      </c>
      <c r="AJ57" s="15">
        <f>Hypothèses!$E$56*(IF(AJ7=Hypothèses!$E$57,Hypothèses!$E$58,0)+IF(AJ7=Hypothèses!$E$59,Hypothèses!$E$60,0)+IF(AJ7=Hypothèses!$E$61,Hypothèses!$E$62,0))</f>
        <v/>
      </c>
      <c r="AK57" s="15">
        <f>Hypothèses!$E$56*(IF(AK7=Hypothèses!$E$57,Hypothèses!$E$58,0)+IF(AK7=Hypothèses!$E$59,Hypothèses!$E$60,0)+IF(AK7=Hypothèses!$E$61,Hypothèses!$E$62,0))</f>
        <v/>
      </c>
      <c r="AL57" s="15">
        <f>Hypothèses!$E$56*(IF(AL7=Hypothèses!$E$57,Hypothèses!$E$58,0)+IF(AL7=Hypothèses!$E$59,Hypothèses!$E$60,0)+IF(AL7=Hypothèses!$E$61,Hypothèses!$E$62,0))</f>
        <v/>
      </c>
      <c r="AN57" s="15">
        <f>SUM(C57:N57)</f>
        <v/>
      </c>
      <c r="AO57" s="15">
        <f>SUM(O57:Z57)</f>
        <v/>
      </c>
      <c r="AP57" s="15">
        <f>SUM(AA57:AL57)</f>
        <v/>
      </c>
    </row>
    <row r="58">
      <c r="A58" s="9" t="inlineStr">
        <is>
          <t>Trésorerie d'ouverture</t>
        </is>
      </c>
      <c r="B58" s="4" t="inlineStr">
        <is>
          <t>€</t>
        </is>
      </c>
      <c r="C58" s="15">
        <f>Hypothèses!$E$54</f>
        <v/>
      </c>
      <c r="D58" s="15">
        <f>C60</f>
        <v/>
      </c>
      <c r="E58" s="15">
        <f>D60</f>
        <v/>
      </c>
      <c r="F58" s="15">
        <f>E60</f>
        <v/>
      </c>
      <c r="G58" s="15">
        <f>F60</f>
        <v/>
      </c>
      <c r="H58" s="15">
        <f>G60</f>
        <v/>
      </c>
      <c r="I58" s="15">
        <f>H60</f>
        <v/>
      </c>
      <c r="J58" s="15">
        <f>I60</f>
        <v/>
      </c>
      <c r="K58" s="15">
        <f>J60</f>
        <v/>
      </c>
      <c r="L58" s="15">
        <f>K60</f>
        <v/>
      </c>
      <c r="M58" s="15">
        <f>L60</f>
        <v/>
      </c>
      <c r="N58" s="15">
        <f>M60</f>
        <v/>
      </c>
      <c r="O58" s="15">
        <f>N60</f>
        <v/>
      </c>
      <c r="P58" s="15">
        <f>O60</f>
        <v/>
      </c>
      <c r="Q58" s="15">
        <f>P60</f>
        <v/>
      </c>
      <c r="R58" s="15">
        <f>Q60</f>
        <v/>
      </c>
      <c r="S58" s="15">
        <f>R60</f>
        <v/>
      </c>
      <c r="T58" s="15">
        <f>S60</f>
        <v/>
      </c>
      <c r="U58" s="15">
        <f>T60</f>
        <v/>
      </c>
      <c r="V58" s="15">
        <f>U60</f>
        <v/>
      </c>
      <c r="W58" s="15">
        <f>V60</f>
        <v/>
      </c>
      <c r="X58" s="15">
        <f>W60</f>
        <v/>
      </c>
      <c r="Y58" s="15">
        <f>X60</f>
        <v/>
      </c>
      <c r="Z58" s="15">
        <f>Y60</f>
        <v/>
      </c>
      <c r="AA58" s="15">
        <f>Z60</f>
        <v/>
      </c>
      <c r="AB58" s="15">
        <f>AA60</f>
        <v/>
      </c>
      <c r="AC58" s="15">
        <f>AB60</f>
        <v/>
      </c>
      <c r="AD58" s="15">
        <f>AC60</f>
        <v/>
      </c>
      <c r="AE58" s="15">
        <f>AD60</f>
        <v/>
      </c>
      <c r="AF58" s="15">
        <f>AE60</f>
        <v/>
      </c>
      <c r="AG58" s="15">
        <f>AF60</f>
        <v/>
      </c>
      <c r="AH58" s="15">
        <f>AG60</f>
        <v/>
      </c>
      <c r="AI58" s="15">
        <f>AH60</f>
        <v/>
      </c>
      <c r="AJ58" s="15">
        <f>AI60</f>
        <v/>
      </c>
      <c r="AK58" s="15">
        <f>AJ60</f>
        <v/>
      </c>
      <c r="AL58" s="15">
        <f>AK60</f>
        <v/>
      </c>
    </row>
    <row r="59">
      <c r="A59" s="9" t="inlineStr">
        <is>
          <t>Flux de trésorerie du mois</t>
        </is>
      </c>
      <c r="B59" s="4" t="inlineStr">
        <is>
          <t>€</t>
        </is>
      </c>
      <c r="C59" s="15">
        <f>C31-C36-C39-C51-C55+C56+C57</f>
        <v/>
      </c>
      <c r="D59" s="15">
        <f>D31-D36-D39-D51-D55+D56+D57</f>
        <v/>
      </c>
      <c r="E59" s="15">
        <f>E31-E36-E39-E51-E55+E56+E57</f>
        <v/>
      </c>
      <c r="F59" s="15">
        <f>F31-F36-F39-F51-F55+F56+F57</f>
        <v/>
      </c>
      <c r="G59" s="15">
        <f>G31-G36-G39-G51-G55+G56+G57</f>
        <v/>
      </c>
      <c r="H59" s="15">
        <f>H31-H36-H39-H51-H55+H56+H57</f>
        <v/>
      </c>
      <c r="I59" s="15">
        <f>I31-I36-I39-I51-I55+I56+I57</f>
        <v/>
      </c>
      <c r="J59" s="15">
        <f>J31-J36-J39-J51-J55+J56+J57</f>
        <v/>
      </c>
      <c r="K59" s="15">
        <f>K31-K36-K39-K51-K55+K56+K57</f>
        <v/>
      </c>
      <c r="L59" s="15">
        <f>L31-L36-L39-L51-L55+L56+L57</f>
        <v/>
      </c>
      <c r="M59" s="15">
        <f>M31-M36-M39-M51-M55+M56+M57</f>
        <v/>
      </c>
      <c r="N59" s="15">
        <f>N31-N36-N39-N51-N55+N56+N57</f>
        <v/>
      </c>
      <c r="O59" s="15">
        <f>O31-O36-O39-O51-O55+O56+O57</f>
        <v/>
      </c>
      <c r="P59" s="15">
        <f>P31-P36-P39-P51-P55+P56+P57</f>
        <v/>
      </c>
      <c r="Q59" s="15">
        <f>Q31-Q36-Q39-Q51-Q55+Q56+Q57</f>
        <v/>
      </c>
      <c r="R59" s="15">
        <f>R31-R36-R39-R51-R55+R56+R57</f>
        <v/>
      </c>
      <c r="S59" s="15">
        <f>S31-S36-S39-S51-S55+S56+S57</f>
        <v/>
      </c>
      <c r="T59" s="15">
        <f>T31-T36-T39-T51-T55+T56+T57</f>
        <v/>
      </c>
      <c r="U59" s="15">
        <f>U31-U36-U39-U51-U55+U56+U57</f>
        <v/>
      </c>
      <c r="V59" s="15">
        <f>V31-V36-V39-V51-V55+V56+V57</f>
        <v/>
      </c>
      <c r="W59" s="15">
        <f>W31-W36-W39-W51-W55+W56+W57</f>
        <v/>
      </c>
      <c r="X59" s="15">
        <f>X31-X36-X39-X51-X55+X56+X57</f>
        <v/>
      </c>
      <c r="Y59" s="15">
        <f>Y31-Y36-Y39-Y51-Y55+Y56+Y57</f>
        <v/>
      </c>
      <c r="Z59" s="15">
        <f>Z31-Z36-Z39-Z51-Z55+Z56+Z57</f>
        <v/>
      </c>
      <c r="AA59" s="15">
        <f>AA31-AA36-AA39-AA51-AA55+AA56+AA57</f>
        <v/>
      </c>
      <c r="AB59" s="15">
        <f>AB31-AB36-AB39-AB51-AB55+AB56+AB57</f>
        <v/>
      </c>
      <c r="AC59" s="15">
        <f>AC31-AC36-AC39-AC51-AC55+AC56+AC57</f>
        <v/>
      </c>
      <c r="AD59" s="15">
        <f>AD31-AD36-AD39-AD51-AD55+AD56+AD57</f>
        <v/>
      </c>
      <c r="AE59" s="15">
        <f>AE31-AE36-AE39-AE51-AE55+AE56+AE57</f>
        <v/>
      </c>
      <c r="AF59" s="15">
        <f>AF31-AF36-AF39-AF51-AF55+AF56+AF57</f>
        <v/>
      </c>
      <c r="AG59" s="15">
        <f>AG31-AG36-AG39-AG51-AG55+AG56+AG57</f>
        <v/>
      </c>
      <c r="AH59" s="15">
        <f>AH31-AH36-AH39-AH51-AH55+AH56+AH57</f>
        <v/>
      </c>
      <c r="AI59" s="15">
        <f>AI31-AI36-AI39-AI51-AI55+AI56+AI57</f>
        <v/>
      </c>
      <c r="AJ59" s="15">
        <f>AJ31-AJ36-AJ39-AJ51-AJ55+AJ56+AJ57</f>
        <v/>
      </c>
      <c r="AK59" s="15">
        <f>AK31-AK36-AK39-AK51-AK55+AK56+AK57</f>
        <v/>
      </c>
      <c r="AL59" s="15">
        <f>AL31-AL36-AL39-AL51-AL55+AL56+AL57</f>
        <v/>
      </c>
      <c r="AN59" s="15">
        <f>SUM(C59:N59)</f>
        <v/>
      </c>
      <c r="AO59" s="15">
        <f>SUM(O59:Z59)</f>
        <v/>
      </c>
      <c r="AP59" s="15">
        <f>SUM(AA59:AL59)</f>
        <v/>
      </c>
    </row>
    <row r="60">
      <c r="A60" s="2" t="inlineStr">
        <is>
          <t>Trésorerie de clôture</t>
        </is>
      </c>
      <c r="B60" s="4" t="inlineStr">
        <is>
          <t>€</t>
        </is>
      </c>
      <c r="C60" s="40">
        <f>C58+C59</f>
        <v/>
      </c>
      <c r="D60" s="40">
        <f>D58+D59</f>
        <v/>
      </c>
      <c r="E60" s="40">
        <f>E58+E59</f>
        <v/>
      </c>
      <c r="F60" s="40">
        <f>F58+F59</f>
        <v/>
      </c>
      <c r="G60" s="40">
        <f>G58+G59</f>
        <v/>
      </c>
      <c r="H60" s="40">
        <f>H58+H59</f>
        <v/>
      </c>
      <c r="I60" s="40">
        <f>I58+I59</f>
        <v/>
      </c>
      <c r="J60" s="40">
        <f>J58+J59</f>
        <v/>
      </c>
      <c r="K60" s="40">
        <f>K58+K59</f>
        <v/>
      </c>
      <c r="L60" s="40">
        <f>L58+L59</f>
        <v/>
      </c>
      <c r="M60" s="40">
        <f>M58+M59</f>
        <v/>
      </c>
      <c r="N60" s="40">
        <f>N58+N59</f>
        <v/>
      </c>
      <c r="O60" s="40">
        <f>O58+O59</f>
        <v/>
      </c>
      <c r="P60" s="40">
        <f>P58+P59</f>
        <v/>
      </c>
      <c r="Q60" s="40">
        <f>Q58+Q59</f>
        <v/>
      </c>
      <c r="R60" s="40">
        <f>R58+R59</f>
        <v/>
      </c>
      <c r="S60" s="40">
        <f>S58+S59</f>
        <v/>
      </c>
      <c r="T60" s="40">
        <f>T58+T59</f>
        <v/>
      </c>
      <c r="U60" s="40">
        <f>U58+U59</f>
        <v/>
      </c>
      <c r="V60" s="40">
        <f>V58+V59</f>
        <v/>
      </c>
      <c r="W60" s="40">
        <f>W58+W59</f>
        <v/>
      </c>
      <c r="X60" s="40">
        <f>X58+X59</f>
        <v/>
      </c>
      <c r="Y60" s="40">
        <f>Y58+Y59</f>
        <v/>
      </c>
      <c r="Z60" s="40">
        <f>Z58+Z59</f>
        <v/>
      </c>
      <c r="AA60" s="40">
        <f>AA58+AA59</f>
        <v/>
      </c>
      <c r="AB60" s="40">
        <f>AB58+AB59</f>
        <v/>
      </c>
      <c r="AC60" s="40">
        <f>AC58+AC59</f>
        <v/>
      </c>
      <c r="AD60" s="40">
        <f>AD58+AD59</f>
        <v/>
      </c>
      <c r="AE60" s="40">
        <f>AE58+AE59</f>
        <v/>
      </c>
      <c r="AF60" s="40">
        <f>AF58+AF59</f>
        <v/>
      </c>
      <c r="AG60" s="40">
        <f>AG58+AG59</f>
        <v/>
      </c>
      <c r="AH60" s="40">
        <f>AH58+AH59</f>
        <v/>
      </c>
      <c r="AI60" s="40">
        <f>AI58+AI59</f>
        <v/>
      </c>
      <c r="AJ60" s="40">
        <f>AJ58+AJ59</f>
        <v/>
      </c>
      <c r="AK60" s="40">
        <f>AK58+AK59</f>
        <v/>
      </c>
      <c r="AL60" s="40">
        <f>AL58+AL59</f>
        <v/>
      </c>
      <c r="AN60" s="40">
        <f>N60</f>
        <v/>
      </c>
      <c r="AO60" s="40">
        <f>Z60</f>
        <v/>
      </c>
      <c r="AP60" s="40">
        <f>AL60</f>
        <v/>
      </c>
    </row>
    <row r="61">
      <c r="A61" s="9" t="inlineStr">
        <is>
          <t>Financement cumulé</t>
        </is>
      </c>
      <c r="B61" s="4" t="inlineStr">
        <is>
          <t>€</t>
        </is>
      </c>
      <c r="C61" s="15">
        <f>0+C57</f>
        <v/>
      </c>
      <c r="D61" s="15">
        <f>C61+D57</f>
        <v/>
      </c>
      <c r="E61" s="15">
        <f>D61+E57</f>
        <v/>
      </c>
      <c r="F61" s="15">
        <f>E61+F57</f>
        <v/>
      </c>
      <c r="G61" s="15">
        <f>F61+G57</f>
        <v/>
      </c>
      <c r="H61" s="15">
        <f>G61+H57</f>
        <v/>
      </c>
      <c r="I61" s="15">
        <f>H61+I57</f>
        <v/>
      </c>
      <c r="J61" s="15">
        <f>I61+J57</f>
        <v/>
      </c>
      <c r="K61" s="15">
        <f>J61+K57</f>
        <v/>
      </c>
      <c r="L61" s="15">
        <f>K61+L57</f>
        <v/>
      </c>
      <c r="M61" s="15">
        <f>L61+M57</f>
        <v/>
      </c>
      <c r="N61" s="15">
        <f>M61+N57</f>
        <v/>
      </c>
      <c r="O61" s="15">
        <f>N61+O57</f>
        <v/>
      </c>
      <c r="P61" s="15">
        <f>O61+P57</f>
        <v/>
      </c>
      <c r="Q61" s="15">
        <f>P61+Q57</f>
        <v/>
      </c>
      <c r="R61" s="15">
        <f>Q61+R57</f>
        <v/>
      </c>
      <c r="S61" s="15">
        <f>R61+S57</f>
        <v/>
      </c>
      <c r="T61" s="15">
        <f>S61+T57</f>
        <v/>
      </c>
      <c r="U61" s="15">
        <f>T61+U57</f>
        <v/>
      </c>
      <c r="V61" s="15">
        <f>U61+V57</f>
        <v/>
      </c>
      <c r="W61" s="15">
        <f>V61+W57</f>
        <v/>
      </c>
      <c r="X61" s="15">
        <f>W61+X57</f>
        <v/>
      </c>
      <c r="Y61" s="15">
        <f>X61+Y57</f>
        <v/>
      </c>
      <c r="Z61" s="15">
        <f>Y61+Z57</f>
        <v/>
      </c>
      <c r="AA61" s="15">
        <f>Z61+AA57</f>
        <v/>
      </c>
      <c r="AB61" s="15">
        <f>AA61+AB57</f>
        <v/>
      </c>
      <c r="AC61" s="15">
        <f>AB61+AC57</f>
        <v/>
      </c>
      <c r="AD61" s="15">
        <f>AC61+AD57</f>
        <v/>
      </c>
      <c r="AE61" s="15">
        <f>AD61+AE57</f>
        <v/>
      </c>
      <c r="AF61" s="15">
        <f>AE61+AF57</f>
        <v/>
      </c>
      <c r="AG61" s="15">
        <f>AF61+AG57</f>
        <v/>
      </c>
      <c r="AH61" s="15">
        <f>AG61+AH57</f>
        <v/>
      </c>
      <c r="AI61" s="15">
        <f>AH61+AI57</f>
        <v/>
      </c>
      <c r="AJ61" s="15">
        <f>AI61+AJ57</f>
        <v/>
      </c>
      <c r="AK61" s="15">
        <f>AJ61+AK57</f>
        <v/>
      </c>
      <c r="AL61" s="15">
        <f>AK61+AL57</f>
        <v/>
      </c>
      <c r="AN61" s="15">
        <f>N61</f>
        <v/>
      </c>
      <c r="AO61" s="15">
        <f>Z61</f>
        <v/>
      </c>
      <c r="AP61" s="15">
        <f>AL61</f>
        <v/>
      </c>
    </row>
    <row r="62">
      <c r="A62" s="2" t="inlineStr">
        <is>
          <t>Trésorerie cumulée hors financement</t>
        </is>
      </c>
      <c r="B62" s="4" t="inlineStr">
        <is>
          <t>€</t>
        </is>
      </c>
      <c r="C62" s="40">
        <f>C60-C61</f>
        <v/>
      </c>
      <c r="D62" s="40">
        <f>D60-D61</f>
        <v/>
      </c>
      <c r="E62" s="40">
        <f>E60-E61</f>
        <v/>
      </c>
      <c r="F62" s="40">
        <f>F60-F61</f>
        <v/>
      </c>
      <c r="G62" s="40">
        <f>G60-G61</f>
        <v/>
      </c>
      <c r="H62" s="40">
        <f>H60-H61</f>
        <v/>
      </c>
      <c r="I62" s="40">
        <f>I60-I61</f>
        <v/>
      </c>
      <c r="J62" s="40">
        <f>J60-J61</f>
        <v/>
      </c>
      <c r="K62" s="40">
        <f>K60-K61</f>
        <v/>
      </c>
      <c r="L62" s="40">
        <f>L60-L61</f>
        <v/>
      </c>
      <c r="M62" s="40">
        <f>M60-M61</f>
        <v/>
      </c>
      <c r="N62" s="40">
        <f>N60-N61</f>
        <v/>
      </c>
      <c r="O62" s="40">
        <f>O60-O61</f>
        <v/>
      </c>
      <c r="P62" s="40">
        <f>P60-P61</f>
        <v/>
      </c>
      <c r="Q62" s="40">
        <f>Q60-Q61</f>
        <v/>
      </c>
      <c r="R62" s="40">
        <f>R60-R61</f>
        <v/>
      </c>
      <c r="S62" s="40">
        <f>S60-S61</f>
        <v/>
      </c>
      <c r="T62" s="40">
        <f>T60-T61</f>
        <v/>
      </c>
      <c r="U62" s="40">
        <f>U60-U61</f>
        <v/>
      </c>
      <c r="V62" s="40">
        <f>V60-V61</f>
        <v/>
      </c>
      <c r="W62" s="40">
        <f>W60-W61</f>
        <v/>
      </c>
      <c r="X62" s="40">
        <f>X60-X61</f>
        <v/>
      </c>
      <c r="Y62" s="40">
        <f>Y60-Y61</f>
        <v/>
      </c>
      <c r="Z62" s="40">
        <f>Z60-Z61</f>
        <v/>
      </c>
      <c r="AA62" s="40">
        <f>AA60-AA61</f>
        <v/>
      </c>
      <c r="AB62" s="40">
        <f>AB60-AB61</f>
        <v/>
      </c>
      <c r="AC62" s="40">
        <f>AC60-AC61</f>
        <v/>
      </c>
      <c r="AD62" s="40">
        <f>AD60-AD61</f>
        <v/>
      </c>
      <c r="AE62" s="40">
        <f>AE60-AE61</f>
        <v/>
      </c>
      <c r="AF62" s="40">
        <f>AF60-AF61</f>
        <v/>
      </c>
      <c r="AG62" s="40">
        <f>AG60-AG61</f>
        <v/>
      </c>
      <c r="AH62" s="40">
        <f>AH60-AH61</f>
        <v/>
      </c>
      <c r="AI62" s="40">
        <f>AI60-AI61</f>
        <v/>
      </c>
      <c r="AJ62" s="40">
        <f>AJ60-AJ61</f>
        <v/>
      </c>
      <c r="AK62" s="40">
        <f>AK60-AK61</f>
        <v/>
      </c>
      <c r="AL62" s="40">
        <f>AL60-AL61</f>
        <v/>
      </c>
      <c r="AN62" s="40">
        <f>N62</f>
        <v/>
      </c>
      <c r="AO62" s="40">
        <f>Z62</f>
        <v/>
      </c>
      <c r="AP62" s="40">
        <f>AL62</f>
        <v/>
      </c>
    </row>
    <row r="63">
      <c r="A63" s="9" t="inlineStr">
        <is>
          <t>Point bas glissant hors financement</t>
        </is>
      </c>
      <c r="B63" s="4" t="inlineStr">
        <is>
          <t>€</t>
        </is>
      </c>
      <c r="C63" s="15">
        <f>C62</f>
        <v/>
      </c>
      <c r="D63" s="15">
        <f>MIN(C63,D62)</f>
        <v/>
      </c>
      <c r="E63" s="15">
        <f>MIN(D63,E62)</f>
        <v/>
      </c>
      <c r="F63" s="15">
        <f>MIN(E63,F62)</f>
        <v/>
      </c>
      <c r="G63" s="15">
        <f>MIN(F63,G62)</f>
        <v/>
      </c>
      <c r="H63" s="15">
        <f>MIN(G63,H62)</f>
        <v/>
      </c>
      <c r="I63" s="15">
        <f>MIN(H63,I62)</f>
        <v/>
      </c>
      <c r="J63" s="15">
        <f>MIN(I63,J62)</f>
        <v/>
      </c>
      <c r="K63" s="15">
        <f>MIN(J63,K62)</f>
        <v/>
      </c>
      <c r="L63" s="15">
        <f>MIN(K63,L62)</f>
        <v/>
      </c>
      <c r="M63" s="15">
        <f>MIN(L63,M62)</f>
        <v/>
      </c>
      <c r="N63" s="15">
        <f>MIN(M63,N62)</f>
        <v/>
      </c>
      <c r="O63" s="15">
        <f>MIN(N63,O62)</f>
        <v/>
      </c>
      <c r="P63" s="15">
        <f>MIN(O63,P62)</f>
        <v/>
      </c>
      <c r="Q63" s="15">
        <f>MIN(P63,Q62)</f>
        <v/>
      </c>
      <c r="R63" s="15">
        <f>MIN(Q63,R62)</f>
        <v/>
      </c>
      <c r="S63" s="15">
        <f>MIN(R63,S62)</f>
        <v/>
      </c>
      <c r="T63" s="15">
        <f>MIN(S63,T62)</f>
        <v/>
      </c>
      <c r="U63" s="15">
        <f>MIN(T63,U62)</f>
        <v/>
      </c>
      <c r="V63" s="15">
        <f>MIN(U63,V62)</f>
        <v/>
      </c>
      <c r="W63" s="15">
        <f>MIN(V63,W62)</f>
        <v/>
      </c>
      <c r="X63" s="15">
        <f>MIN(W63,X62)</f>
        <v/>
      </c>
      <c r="Y63" s="15">
        <f>MIN(X63,Y62)</f>
        <v/>
      </c>
      <c r="Z63" s="15">
        <f>MIN(Y63,Z62)</f>
        <v/>
      </c>
      <c r="AA63" s="15">
        <f>MIN(Z63,AA62)</f>
        <v/>
      </c>
      <c r="AB63" s="15">
        <f>MIN(AA63,AB62)</f>
        <v/>
      </c>
      <c r="AC63" s="15">
        <f>MIN(AB63,AC62)</f>
        <v/>
      </c>
      <c r="AD63" s="15">
        <f>MIN(AC63,AD62)</f>
        <v/>
      </c>
      <c r="AE63" s="15">
        <f>MIN(AD63,AE62)</f>
        <v/>
      </c>
      <c r="AF63" s="15">
        <f>MIN(AE63,AF62)</f>
        <v/>
      </c>
      <c r="AG63" s="15">
        <f>MIN(AF63,AG62)</f>
        <v/>
      </c>
      <c r="AH63" s="15">
        <f>MIN(AG63,AH62)</f>
        <v/>
      </c>
      <c r="AI63" s="15">
        <f>MIN(AH63,AI62)</f>
        <v/>
      </c>
      <c r="AJ63" s="15">
        <f>MIN(AI63,AJ62)</f>
        <v/>
      </c>
      <c r="AK63" s="15">
        <f>MIN(AJ63,AK62)</f>
        <v/>
      </c>
      <c r="AL63" s="15">
        <f>MIN(AK63,AL62)</f>
        <v/>
      </c>
      <c r="AN63" s="15">
        <f>N63</f>
        <v/>
      </c>
      <c r="AO63" s="15">
        <f>Z63</f>
        <v/>
      </c>
      <c r="AP63" s="15">
        <f>AL63</f>
        <v/>
      </c>
    </row>
    <row r="64">
      <c r="A64" s="9" t="inlineStr">
        <is>
          <t>Trésorerie cumulée hors financement positive après lancement ? (1 = oui)</t>
        </is>
      </c>
      <c r="B64" s="4" t="inlineStr">
        <is>
          <t>0/1</t>
        </is>
      </c>
      <c r="C64" s="13">
        <f>IF(AND(C9=1,C62&gt;0),1,0)</f>
        <v/>
      </c>
      <c r="D64" s="13">
        <f>IF(AND(D9=1,D62&gt;0),1,0)</f>
        <v/>
      </c>
      <c r="E64" s="13">
        <f>IF(AND(E9=1,E62&gt;0),1,0)</f>
        <v/>
      </c>
      <c r="F64" s="13">
        <f>IF(AND(F9=1,F62&gt;0),1,0)</f>
        <v/>
      </c>
      <c r="G64" s="13">
        <f>IF(AND(G9=1,G62&gt;0),1,0)</f>
        <v/>
      </c>
      <c r="H64" s="13">
        <f>IF(AND(H9=1,H62&gt;0),1,0)</f>
        <v/>
      </c>
      <c r="I64" s="13">
        <f>IF(AND(I9=1,I62&gt;0),1,0)</f>
        <v/>
      </c>
      <c r="J64" s="13">
        <f>IF(AND(J9=1,J62&gt;0),1,0)</f>
        <v/>
      </c>
      <c r="K64" s="13">
        <f>IF(AND(K9=1,K62&gt;0),1,0)</f>
        <v/>
      </c>
      <c r="L64" s="13">
        <f>IF(AND(L9=1,L62&gt;0),1,0)</f>
        <v/>
      </c>
      <c r="M64" s="13">
        <f>IF(AND(M9=1,M62&gt;0),1,0)</f>
        <v/>
      </c>
      <c r="N64" s="13">
        <f>IF(AND(N9=1,N62&gt;0),1,0)</f>
        <v/>
      </c>
      <c r="O64" s="13">
        <f>IF(AND(O9=1,O62&gt;0),1,0)</f>
        <v/>
      </c>
      <c r="P64" s="13">
        <f>IF(AND(P9=1,P62&gt;0),1,0)</f>
        <v/>
      </c>
      <c r="Q64" s="13">
        <f>IF(AND(Q9=1,Q62&gt;0),1,0)</f>
        <v/>
      </c>
      <c r="R64" s="13">
        <f>IF(AND(R9=1,R62&gt;0),1,0)</f>
        <v/>
      </c>
      <c r="S64" s="13">
        <f>IF(AND(S9=1,S62&gt;0),1,0)</f>
        <v/>
      </c>
      <c r="T64" s="13">
        <f>IF(AND(T9=1,T62&gt;0),1,0)</f>
        <v/>
      </c>
      <c r="U64" s="13">
        <f>IF(AND(U9=1,U62&gt;0),1,0)</f>
        <v/>
      </c>
      <c r="V64" s="13">
        <f>IF(AND(V9=1,V62&gt;0),1,0)</f>
        <v/>
      </c>
      <c r="W64" s="13">
        <f>IF(AND(W9=1,W62&gt;0),1,0)</f>
        <v/>
      </c>
      <c r="X64" s="13">
        <f>IF(AND(X9=1,X62&gt;0),1,0)</f>
        <v/>
      </c>
      <c r="Y64" s="13">
        <f>IF(AND(Y9=1,Y62&gt;0),1,0)</f>
        <v/>
      </c>
      <c r="Z64" s="13">
        <f>IF(AND(Z9=1,Z62&gt;0),1,0)</f>
        <v/>
      </c>
      <c r="AA64" s="13">
        <f>IF(AND(AA9=1,AA62&gt;0),1,0)</f>
        <v/>
      </c>
      <c r="AB64" s="13">
        <f>IF(AND(AB9=1,AB62&gt;0),1,0)</f>
        <v/>
      </c>
      <c r="AC64" s="13">
        <f>IF(AND(AC9=1,AC62&gt;0),1,0)</f>
        <v/>
      </c>
      <c r="AD64" s="13">
        <f>IF(AND(AD9=1,AD62&gt;0),1,0)</f>
        <v/>
      </c>
      <c r="AE64" s="13">
        <f>IF(AND(AE9=1,AE62&gt;0),1,0)</f>
        <v/>
      </c>
      <c r="AF64" s="13">
        <f>IF(AND(AF9=1,AF62&gt;0),1,0)</f>
        <v/>
      </c>
      <c r="AG64" s="13">
        <f>IF(AND(AG9=1,AG62&gt;0),1,0)</f>
        <v/>
      </c>
      <c r="AH64" s="13">
        <f>IF(AND(AH9=1,AH62&gt;0),1,0)</f>
        <v/>
      </c>
      <c r="AI64" s="13">
        <f>IF(AND(AI9=1,AI62&gt;0),1,0)</f>
        <v/>
      </c>
      <c r="AJ64" s="13">
        <f>IF(AND(AJ9=1,AJ62&gt;0),1,0)</f>
        <v/>
      </c>
      <c r="AK64" s="13">
        <f>IF(AND(AK9=1,AK62&gt;0),1,0)</f>
        <v/>
      </c>
      <c r="AL64" s="13">
        <f>IF(AND(AL9=1,AL62&gt;0),1,0)</f>
        <v/>
      </c>
    </row>
    <row r="65">
      <c r="A65" s="8" t="inlineStr">
        <is>
          <t>Indicateurs</t>
        </is>
      </c>
    </row>
    <row r="66">
      <c r="A66" s="9" t="inlineStr">
        <is>
          <t>ARR HT instantané (CA HT × 12)</t>
        </is>
      </c>
      <c r="B66" s="4" t="inlineStr">
        <is>
          <t>€ HT</t>
        </is>
      </c>
      <c r="C66" s="15">
        <f>C28*12</f>
        <v/>
      </c>
      <c r="D66" s="15">
        <f>D28*12</f>
        <v/>
      </c>
      <c r="E66" s="15">
        <f>E28*12</f>
        <v/>
      </c>
      <c r="F66" s="15">
        <f>F28*12</f>
        <v/>
      </c>
      <c r="G66" s="15">
        <f>G28*12</f>
        <v/>
      </c>
      <c r="H66" s="15">
        <f>H28*12</f>
        <v/>
      </c>
      <c r="I66" s="15">
        <f>I28*12</f>
        <v/>
      </c>
      <c r="J66" s="15">
        <f>J28*12</f>
        <v/>
      </c>
      <c r="K66" s="15">
        <f>K28*12</f>
        <v/>
      </c>
      <c r="L66" s="15">
        <f>L28*12</f>
        <v/>
      </c>
      <c r="M66" s="15">
        <f>M28*12</f>
        <v/>
      </c>
      <c r="N66" s="15">
        <f>N28*12</f>
        <v/>
      </c>
      <c r="O66" s="15">
        <f>O28*12</f>
        <v/>
      </c>
      <c r="P66" s="15">
        <f>P28*12</f>
        <v/>
      </c>
      <c r="Q66" s="15">
        <f>Q28*12</f>
        <v/>
      </c>
      <c r="R66" s="15">
        <f>R28*12</f>
        <v/>
      </c>
      <c r="S66" s="15">
        <f>S28*12</f>
        <v/>
      </c>
      <c r="T66" s="15">
        <f>T28*12</f>
        <v/>
      </c>
      <c r="U66" s="15">
        <f>U28*12</f>
        <v/>
      </c>
      <c r="V66" s="15">
        <f>V28*12</f>
        <v/>
      </c>
      <c r="W66" s="15">
        <f>W28*12</f>
        <v/>
      </c>
      <c r="X66" s="15">
        <f>X28*12</f>
        <v/>
      </c>
      <c r="Y66" s="15">
        <f>Y28*12</f>
        <v/>
      </c>
      <c r="Z66" s="15">
        <f>Z28*12</f>
        <v/>
      </c>
      <c r="AA66" s="15">
        <f>AA28*12</f>
        <v/>
      </c>
      <c r="AB66" s="15">
        <f>AB28*12</f>
        <v/>
      </c>
      <c r="AC66" s="15">
        <f>AC28*12</f>
        <v/>
      </c>
      <c r="AD66" s="15">
        <f>AD28*12</f>
        <v/>
      </c>
      <c r="AE66" s="15">
        <f>AE28*12</f>
        <v/>
      </c>
      <c r="AF66" s="15">
        <f>AF28*12</f>
        <v/>
      </c>
      <c r="AG66" s="15">
        <f>AG28*12</f>
        <v/>
      </c>
      <c r="AH66" s="15">
        <f>AH28*12</f>
        <v/>
      </c>
      <c r="AI66" s="15">
        <f>AI28*12</f>
        <v/>
      </c>
      <c r="AJ66" s="15">
        <f>AJ28*12</f>
        <v/>
      </c>
      <c r="AK66" s="15">
        <f>AK28*12</f>
        <v/>
      </c>
      <c r="AL66" s="15">
        <f>AL28*12</f>
        <v/>
      </c>
      <c r="AN66" s="15">
        <f>N66</f>
        <v/>
      </c>
      <c r="AO66" s="15">
        <f>Z66</f>
        <v/>
      </c>
      <c r="AP66" s="15">
        <f>AL66</f>
        <v/>
      </c>
    </row>
    <row r="67">
      <c r="A67" s="9" t="inlineStr">
        <is>
          <t>ARPA HT (CA HT / abonnés)</t>
        </is>
      </c>
      <c r="B67" s="4" t="inlineStr">
        <is>
          <t>€ HT</t>
        </is>
      </c>
      <c r="C67" s="19">
        <f>IF(C18&gt;0,C28/C18,0)</f>
        <v/>
      </c>
      <c r="D67" s="19">
        <f>IF(D18&gt;0,D28/D18,0)</f>
        <v/>
      </c>
      <c r="E67" s="19">
        <f>IF(E18&gt;0,E28/E18,0)</f>
        <v/>
      </c>
      <c r="F67" s="19">
        <f>IF(F18&gt;0,F28/F18,0)</f>
        <v/>
      </c>
      <c r="G67" s="19">
        <f>IF(G18&gt;0,G28/G18,0)</f>
        <v/>
      </c>
      <c r="H67" s="19">
        <f>IF(H18&gt;0,H28/H18,0)</f>
        <v/>
      </c>
      <c r="I67" s="19">
        <f>IF(I18&gt;0,I28/I18,0)</f>
        <v/>
      </c>
      <c r="J67" s="19">
        <f>IF(J18&gt;0,J28/J18,0)</f>
        <v/>
      </c>
      <c r="K67" s="19">
        <f>IF(K18&gt;0,K28/K18,0)</f>
        <v/>
      </c>
      <c r="L67" s="19">
        <f>IF(L18&gt;0,L28/L18,0)</f>
        <v/>
      </c>
      <c r="M67" s="19">
        <f>IF(M18&gt;0,M28/M18,0)</f>
        <v/>
      </c>
      <c r="N67" s="19">
        <f>IF(N18&gt;0,N28/N18,0)</f>
        <v/>
      </c>
      <c r="O67" s="19">
        <f>IF(O18&gt;0,O28/O18,0)</f>
        <v/>
      </c>
      <c r="P67" s="19">
        <f>IF(P18&gt;0,P28/P18,0)</f>
        <v/>
      </c>
      <c r="Q67" s="19">
        <f>IF(Q18&gt;0,Q28/Q18,0)</f>
        <v/>
      </c>
      <c r="R67" s="19">
        <f>IF(R18&gt;0,R28/R18,0)</f>
        <v/>
      </c>
      <c r="S67" s="19">
        <f>IF(S18&gt;0,S28/S18,0)</f>
        <v/>
      </c>
      <c r="T67" s="19">
        <f>IF(T18&gt;0,T28/T18,0)</f>
        <v/>
      </c>
      <c r="U67" s="19">
        <f>IF(U18&gt;0,U28/U18,0)</f>
        <v/>
      </c>
      <c r="V67" s="19">
        <f>IF(V18&gt;0,V28/V18,0)</f>
        <v/>
      </c>
      <c r="W67" s="19">
        <f>IF(W18&gt;0,W28/W18,0)</f>
        <v/>
      </c>
      <c r="X67" s="19">
        <f>IF(X18&gt;0,X28/X18,0)</f>
        <v/>
      </c>
      <c r="Y67" s="19">
        <f>IF(Y18&gt;0,Y28/Y18,0)</f>
        <v/>
      </c>
      <c r="Z67" s="19">
        <f>IF(Z18&gt;0,Z28/Z18,0)</f>
        <v/>
      </c>
      <c r="AA67" s="19">
        <f>IF(AA18&gt;0,AA28/AA18,0)</f>
        <v/>
      </c>
      <c r="AB67" s="19">
        <f>IF(AB18&gt;0,AB28/AB18,0)</f>
        <v/>
      </c>
      <c r="AC67" s="19">
        <f>IF(AC18&gt;0,AC28/AC18,0)</f>
        <v/>
      </c>
      <c r="AD67" s="19">
        <f>IF(AD18&gt;0,AD28/AD18,0)</f>
        <v/>
      </c>
      <c r="AE67" s="19">
        <f>IF(AE18&gt;0,AE28/AE18,0)</f>
        <v/>
      </c>
      <c r="AF67" s="19">
        <f>IF(AF18&gt;0,AF28/AF18,0)</f>
        <v/>
      </c>
      <c r="AG67" s="19">
        <f>IF(AG18&gt;0,AG28/AG18,0)</f>
        <v/>
      </c>
      <c r="AH67" s="19">
        <f>IF(AH18&gt;0,AH28/AH18,0)</f>
        <v/>
      </c>
      <c r="AI67" s="19">
        <f>IF(AI18&gt;0,AI28/AI18,0)</f>
        <v/>
      </c>
      <c r="AJ67" s="19">
        <f>IF(AJ18&gt;0,AJ28/AJ18,0)</f>
        <v/>
      </c>
      <c r="AK67" s="19">
        <f>IF(AK18&gt;0,AK28/AK18,0)</f>
        <v/>
      </c>
      <c r="AL67" s="19">
        <f>IF(AL18&gt;0,AL28/AL18,0)</f>
        <v/>
      </c>
      <c r="AN67" s="19">
        <f>N67</f>
        <v/>
      </c>
      <c r="AO67" s="19">
        <f>Z67</f>
        <v/>
      </c>
      <c r="AP67" s="19">
        <f>AL67</f>
        <v/>
      </c>
    </row>
    <row r="68">
      <c r="A68" s="9" t="inlineStr">
        <is>
          <t>Coût variable par abonné</t>
        </is>
      </c>
      <c r="B68" s="4" t="inlineStr">
        <is>
          <t>€ HT</t>
        </is>
      </c>
      <c r="C68" s="19">
        <f>IF(C18&gt;0,C36/C18,0)</f>
        <v/>
      </c>
      <c r="D68" s="19">
        <f>IF(D18&gt;0,D36/D18,0)</f>
        <v/>
      </c>
      <c r="E68" s="19">
        <f>IF(E18&gt;0,E36/E18,0)</f>
        <v/>
      </c>
      <c r="F68" s="19">
        <f>IF(F18&gt;0,F36/F18,0)</f>
        <v/>
      </c>
      <c r="G68" s="19">
        <f>IF(G18&gt;0,G36/G18,0)</f>
        <v/>
      </c>
      <c r="H68" s="19">
        <f>IF(H18&gt;0,H36/H18,0)</f>
        <v/>
      </c>
      <c r="I68" s="19">
        <f>IF(I18&gt;0,I36/I18,0)</f>
        <v/>
      </c>
      <c r="J68" s="19">
        <f>IF(J18&gt;0,J36/J18,0)</f>
        <v/>
      </c>
      <c r="K68" s="19">
        <f>IF(K18&gt;0,K36/K18,0)</f>
        <v/>
      </c>
      <c r="L68" s="19">
        <f>IF(L18&gt;0,L36/L18,0)</f>
        <v/>
      </c>
      <c r="M68" s="19">
        <f>IF(M18&gt;0,M36/M18,0)</f>
        <v/>
      </c>
      <c r="N68" s="19">
        <f>IF(N18&gt;0,N36/N18,0)</f>
        <v/>
      </c>
      <c r="O68" s="19">
        <f>IF(O18&gt;0,O36/O18,0)</f>
        <v/>
      </c>
      <c r="P68" s="19">
        <f>IF(P18&gt;0,P36/P18,0)</f>
        <v/>
      </c>
      <c r="Q68" s="19">
        <f>IF(Q18&gt;0,Q36/Q18,0)</f>
        <v/>
      </c>
      <c r="R68" s="19">
        <f>IF(R18&gt;0,R36/R18,0)</f>
        <v/>
      </c>
      <c r="S68" s="19">
        <f>IF(S18&gt;0,S36/S18,0)</f>
        <v/>
      </c>
      <c r="T68" s="19">
        <f>IF(T18&gt;0,T36/T18,0)</f>
        <v/>
      </c>
      <c r="U68" s="19">
        <f>IF(U18&gt;0,U36/U18,0)</f>
        <v/>
      </c>
      <c r="V68" s="19">
        <f>IF(V18&gt;0,V36/V18,0)</f>
        <v/>
      </c>
      <c r="W68" s="19">
        <f>IF(W18&gt;0,W36/W18,0)</f>
        <v/>
      </c>
      <c r="X68" s="19">
        <f>IF(X18&gt;0,X36/X18,0)</f>
        <v/>
      </c>
      <c r="Y68" s="19">
        <f>IF(Y18&gt;0,Y36/Y18,0)</f>
        <v/>
      </c>
      <c r="Z68" s="19">
        <f>IF(Z18&gt;0,Z36/Z18,0)</f>
        <v/>
      </c>
      <c r="AA68" s="19">
        <f>IF(AA18&gt;0,AA36/AA18,0)</f>
        <v/>
      </c>
      <c r="AB68" s="19">
        <f>IF(AB18&gt;0,AB36/AB18,0)</f>
        <v/>
      </c>
      <c r="AC68" s="19">
        <f>IF(AC18&gt;0,AC36/AC18,0)</f>
        <v/>
      </c>
      <c r="AD68" s="19">
        <f>IF(AD18&gt;0,AD36/AD18,0)</f>
        <v/>
      </c>
      <c r="AE68" s="19">
        <f>IF(AE18&gt;0,AE36/AE18,0)</f>
        <v/>
      </c>
      <c r="AF68" s="19">
        <f>IF(AF18&gt;0,AF36/AF18,0)</f>
        <v/>
      </c>
      <c r="AG68" s="19">
        <f>IF(AG18&gt;0,AG36/AG18,0)</f>
        <v/>
      </c>
      <c r="AH68" s="19">
        <f>IF(AH18&gt;0,AH36/AH18,0)</f>
        <v/>
      </c>
      <c r="AI68" s="19">
        <f>IF(AI18&gt;0,AI36/AI18,0)</f>
        <v/>
      </c>
      <c r="AJ68" s="19">
        <f>IF(AJ18&gt;0,AJ36/AJ18,0)</f>
        <v/>
      </c>
      <c r="AK68" s="19">
        <f>IF(AK18&gt;0,AK36/AK18,0)</f>
        <v/>
      </c>
      <c r="AL68" s="19">
        <f>IF(AL18&gt;0,AL36/AL18,0)</f>
        <v/>
      </c>
      <c r="AN68" s="19">
        <f>N68</f>
        <v/>
      </c>
      <c r="AO68" s="19">
        <f>Z68</f>
        <v/>
      </c>
      <c r="AP68" s="19">
        <f>AL68</f>
        <v/>
      </c>
    </row>
    <row r="69">
      <c r="A69" s="9" t="inlineStr">
        <is>
          <t>Contribution par abonné</t>
        </is>
      </c>
      <c r="B69" s="4" t="inlineStr">
        <is>
          <t>€ HT</t>
        </is>
      </c>
      <c r="C69" s="19">
        <f>IF(C18&gt;0,C37/C18,0)</f>
        <v/>
      </c>
      <c r="D69" s="19">
        <f>IF(D18&gt;0,D37/D18,0)</f>
        <v/>
      </c>
      <c r="E69" s="19">
        <f>IF(E18&gt;0,E37/E18,0)</f>
        <v/>
      </c>
      <c r="F69" s="19">
        <f>IF(F18&gt;0,F37/F18,0)</f>
        <v/>
      </c>
      <c r="G69" s="19">
        <f>IF(G18&gt;0,G37/G18,0)</f>
        <v/>
      </c>
      <c r="H69" s="19">
        <f>IF(H18&gt;0,H37/H18,0)</f>
        <v/>
      </c>
      <c r="I69" s="19">
        <f>IF(I18&gt;0,I37/I18,0)</f>
        <v/>
      </c>
      <c r="J69" s="19">
        <f>IF(J18&gt;0,J37/J18,0)</f>
        <v/>
      </c>
      <c r="K69" s="19">
        <f>IF(K18&gt;0,K37/K18,0)</f>
        <v/>
      </c>
      <c r="L69" s="19">
        <f>IF(L18&gt;0,L37/L18,0)</f>
        <v/>
      </c>
      <c r="M69" s="19">
        <f>IF(M18&gt;0,M37/M18,0)</f>
        <v/>
      </c>
      <c r="N69" s="19">
        <f>IF(N18&gt;0,N37/N18,0)</f>
        <v/>
      </c>
      <c r="O69" s="19">
        <f>IF(O18&gt;0,O37/O18,0)</f>
        <v/>
      </c>
      <c r="P69" s="19">
        <f>IF(P18&gt;0,P37/P18,0)</f>
        <v/>
      </c>
      <c r="Q69" s="19">
        <f>IF(Q18&gt;0,Q37/Q18,0)</f>
        <v/>
      </c>
      <c r="R69" s="19">
        <f>IF(R18&gt;0,R37/R18,0)</f>
        <v/>
      </c>
      <c r="S69" s="19">
        <f>IF(S18&gt;0,S37/S18,0)</f>
        <v/>
      </c>
      <c r="T69" s="19">
        <f>IF(T18&gt;0,T37/T18,0)</f>
        <v/>
      </c>
      <c r="U69" s="19">
        <f>IF(U18&gt;0,U37/U18,0)</f>
        <v/>
      </c>
      <c r="V69" s="19">
        <f>IF(V18&gt;0,V37/V18,0)</f>
        <v/>
      </c>
      <c r="W69" s="19">
        <f>IF(W18&gt;0,W37/W18,0)</f>
        <v/>
      </c>
      <c r="X69" s="19">
        <f>IF(X18&gt;0,X37/X18,0)</f>
        <v/>
      </c>
      <c r="Y69" s="19">
        <f>IF(Y18&gt;0,Y37/Y18,0)</f>
        <v/>
      </c>
      <c r="Z69" s="19">
        <f>IF(Z18&gt;0,Z37/Z18,0)</f>
        <v/>
      </c>
      <c r="AA69" s="19">
        <f>IF(AA18&gt;0,AA37/AA18,0)</f>
        <v/>
      </c>
      <c r="AB69" s="19">
        <f>IF(AB18&gt;0,AB37/AB18,0)</f>
        <v/>
      </c>
      <c r="AC69" s="19">
        <f>IF(AC18&gt;0,AC37/AC18,0)</f>
        <v/>
      </c>
      <c r="AD69" s="19">
        <f>IF(AD18&gt;0,AD37/AD18,0)</f>
        <v/>
      </c>
      <c r="AE69" s="19">
        <f>IF(AE18&gt;0,AE37/AE18,0)</f>
        <v/>
      </c>
      <c r="AF69" s="19">
        <f>IF(AF18&gt;0,AF37/AF18,0)</f>
        <v/>
      </c>
      <c r="AG69" s="19">
        <f>IF(AG18&gt;0,AG37/AG18,0)</f>
        <v/>
      </c>
      <c r="AH69" s="19">
        <f>IF(AH18&gt;0,AH37/AH18,0)</f>
        <v/>
      </c>
      <c r="AI69" s="19">
        <f>IF(AI18&gt;0,AI37/AI18,0)</f>
        <v/>
      </c>
      <c r="AJ69" s="19">
        <f>IF(AJ18&gt;0,AJ37/AJ18,0)</f>
        <v/>
      </c>
      <c r="AK69" s="19">
        <f>IF(AK18&gt;0,AK37/AK18,0)</f>
        <v/>
      </c>
      <c r="AL69" s="19">
        <f>IF(AL18&gt;0,AL37/AL18,0)</f>
        <v/>
      </c>
      <c r="AN69" s="19">
        <f>N69</f>
        <v/>
      </c>
      <c r="AO69" s="19">
        <f>Z69</f>
        <v/>
      </c>
      <c r="AP69" s="19">
        <f>AL69</f>
        <v/>
      </c>
    </row>
    <row r="70">
      <c r="A70" s="9" t="inlineStr">
        <is>
          <t>Marge variable (% du CA HT)</t>
        </is>
      </c>
      <c r="B70" s="4" t="inlineStr">
        <is>
          <t>%</t>
        </is>
      </c>
      <c r="C70" s="17">
        <f>IF(C28&gt;0,C37/C28,0)</f>
        <v/>
      </c>
      <c r="D70" s="17">
        <f>IF(D28&gt;0,D37/D28,0)</f>
        <v/>
      </c>
      <c r="E70" s="17">
        <f>IF(E28&gt;0,E37/E28,0)</f>
        <v/>
      </c>
      <c r="F70" s="17">
        <f>IF(F28&gt;0,F37/F28,0)</f>
        <v/>
      </c>
      <c r="G70" s="17">
        <f>IF(G28&gt;0,G37/G28,0)</f>
        <v/>
      </c>
      <c r="H70" s="17">
        <f>IF(H28&gt;0,H37/H28,0)</f>
        <v/>
      </c>
      <c r="I70" s="17">
        <f>IF(I28&gt;0,I37/I28,0)</f>
        <v/>
      </c>
      <c r="J70" s="17">
        <f>IF(J28&gt;0,J37/J28,0)</f>
        <v/>
      </c>
      <c r="K70" s="17">
        <f>IF(K28&gt;0,K37/K28,0)</f>
        <v/>
      </c>
      <c r="L70" s="17">
        <f>IF(L28&gt;0,L37/L28,0)</f>
        <v/>
      </c>
      <c r="M70" s="17">
        <f>IF(M28&gt;0,M37/M28,0)</f>
        <v/>
      </c>
      <c r="N70" s="17">
        <f>IF(N28&gt;0,N37/N28,0)</f>
        <v/>
      </c>
      <c r="O70" s="17">
        <f>IF(O28&gt;0,O37/O28,0)</f>
        <v/>
      </c>
      <c r="P70" s="17">
        <f>IF(P28&gt;0,P37/P28,0)</f>
        <v/>
      </c>
      <c r="Q70" s="17">
        <f>IF(Q28&gt;0,Q37/Q28,0)</f>
        <v/>
      </c>
      <c r="R70" s="17">
        <f>IF(R28&gt;0,R37/R28,0)</f>
        <v/>
      </c>
      <c r="S70" s="17">
        <f>IF(S28&gt;0,S37/S28,0)</f>
        <v/>
      </c>
      <c r="T70" s="17">
        <f>IF(T28&gt;0,T37/T28,0)</f>
        <v/>
      </c>
      <c r="U70" s="17">
        <f>IF(U28&gt;0,U37/U28,0)</f>
        <v/>
      </c>
      <c r="V70" s="17">
        <f>IF(V28&gt;0,V37/V28,0)</f>
        <v/>
      </c>
      <c r="W70" s="17">
        <f>IF(W28&gt;0,W37/W28,0)</f>
        <v/>
      </c>
      <c r="X70" s="17">
        <f>IF(X28&gt;0,X37/X28,0)</f>
        <v/>
      </c>
      <c r="Y70" s="17">
        <f>IF(Y28&gt;0,Y37/Y28,0)</f>
        <v/>
      </c>
      <c r="Z70" s="17">
        <f>IF(Z28&gt;0,Z37/Z28,0)</f>
        <v/>
      </c>
      <c r="AA70" s="17">
        <f>IF(AA28&gt;0,AA37/AA28,0)</f>
        <v/>
      </c>
      <c r="AB70" s="17">
        <f>IF(AB28&gt;0,AB37/AB28,0)</f>
        <v/>
      </c>
      <c r="AC70" s="17">
        <f>IF(AC28&gt;0,AC37/AC28,0)</f>
        <v/>
      </c>
      <c r="AD70" s="17">
        <f>IF(AD28&gt;0,AD37/AD28,0)</f>
        <v/>
      </c>
      <c r="AE70" s="17">
        <f>IF(AE28&gt;0,AE37/AE28,0)</f>
        <v/>
      </c>
      <c r="AF70" s="17">
        <f>IF(AF28&gt;0,AF37/AF28,0)</f>
        <v/>
      </c>
      <c r="AG70" s="17">
        <f>IF(AG28&gt;0,AG37/AG28,0)</f>
        <v/>
      </c>
      <c r="AH70" s="17">
        <f>IF(AH28&gt;0,AH37/AH28,0)</f>
        <v/>
      </c>
      <c r="AI70" s="17">
        <f>IF(AI28&gt;0,AI37/AI28,0)</f>
        <v/>
      </c>
      <c r="AJ70" s="17">
        <f>IF(AJ28&gt;0,AJ37/AJ28,0)</f>
        <v/>
      </c>
      <c r="AK70" s="17">
        <f>IF(AK28&gt;0,AK37/AK28,0)</f>
        <v/>
      </c>
      <c r="AL70" s="17">
        <f>IF(AL28&gt;0,AL37/AL28,0)</f>
        <v/>
      </c>
      <c r="AN70" s="17">
        <f>N70</f>
        <v/>
      </c>
      <c r="AO70" s="17">
        <f>Z70</f>
        <v/>
      </c>
      <c r="AP70" s="17">
        <f>AL70</f>
        <v/>
      </c>
    </row>
    <row r="71">
      <c r="A71" s="9" t="inlineStr">
        <is>
          <t>CAC effectif</t>
        </is>
      </c>
      <c r="B71" s="4" t="inlineStr">
        <is>
          <t>€</t>
        </is>
      </c>
      <c r="C71" s="15">
        <f>IF(C14&gt;0,C39/C14,0)</f>
        <v/>
      </c>
      <c r="D71" s="15">
        <f>IF(D14&gt;0,D39/D14,0)</f>
        <v/>
      </c>
      <c r="E71" s="15">
        <f>IF(E14&gt;0,E39/E14,0)</f>
        <v/>
      </c>
      <c r="F71" s="15">
        <f>IF(F14&gt;0,F39/F14,0)</f>
        <v/>
      </c>
      <c r="G71" s="15">
        <f>IF(G14&gt;0,G39/G14,0)</f>
        <v/>
      </c>
      <c r="H71" s="15">
        <f>IF(H14&gt;0,H39/H14,0)</f>
        <v/>
      </c>
      <c r="I71" s="15">
        <f>IF(I14&gt;0,I39/I14,0)</f>
        <v/>
      </c>
      <c r="J71" s="15">
        <f>IF(J14&gt;0,J39/J14,0)</f>
        <v/>
      </c>
      <c r="K71" s="15">
        <f>IF(K14&gt;0,K39/K14,0)</f>
        <v/>
      </c>
      <c r="L71" s="15">
        <f>IF(L14&gt;0,L39/L14,0)</f>
        <v/>
      </c>
      <c r="M71" s="15">
        <f>IF(M14&gt;0,M39/M14,0)</f>
        <v/>
      </c>
      <c r="N71" s="15">
        <f>IF(N14&gt;0,N39/N14,0)</f>
        <v/>
      </c>
      <c r="O71" s="15">
        <f>IF(O14&gt;0,O39/O14,0)</f>
        <v/>
      </c>
      <c r="P71" s="15">
        <f>IF(P14&gt;0,P39/P14,0)</f>
        <v/>
      </c>
      <c r="Q71" s="15">
        <f>IF(Q14&gt;0,Q39/Q14,0)</f>
        <v/>
      </c>
      <c r="R71" s="15">
        <f>IF(R14&gt;0,R39/R14,0)</f>
        <v/>
      </c>
      <c r="S71" s="15">
        <f>IF(S14&gt;0,S39/S14,0)</f>
        <v/>
      </c>
      <c r="T71" s="15">
        <f>IF(T14&gt;0,T39/T14,0)</f>
        <v/>
      </c>
      <c r="U71" s="15">
        <f>IF(U14&gt;0,U39/U14,0)</f>
        <v/>
      </c>
      <c r="V71" s="15">
        <f>IF(V14&gt;0,V39/V14,0)</f>
        <v/>
      </c>
      <c r="W71" s="15">
        <f>IF(W14&gt;0,W39/W14,0)</f>
        <v/>
      </c>
      <c r="X71" s="15">
        <f>IF(X14&gt;0,X39/X14,0)</f>
        <v/>
      </c>
      <c r="Y71" s="15">
        <f>IF(Y14&gt;0,Y39/Y14,0)</f>
        <v/>
      </c>
      <c r="Z71" s="15">
        <f>IF(Z14&gt;0,Z39/Z14,0)</f>
        <v/>
      </c>
      <c r="AA71" s="15">
        <f>IF(AA14&gt;0,AA39/AA14,0)</f>
        <v/>
      </c>
      <c r="AB71" s="15">
        <f>IF(AB14&gt;0,AB39/AB14,0)</f>
        <v/>
      </c>
      <c r="AC71" s="15">
        <f>IF(AC14&gt;0,AC39/AC14,0)</f>
        <v/>
      </c>
      <c r="AD71" s="15">
        <f>IF(AD14&gt;0,AD39/AD14,0)</f>
        <v/>
      </c>
      <c r="AE71" s="15">
        <f>IF(AE14&gt;0,AE39/AE14,0)</f>
        <v/>
      </c>
      <c r="AF71" s="15">
        <f>IF(AF14&gt;0,AF39/AF14,0)</f>
        <v/>
      </c>
      <c r="AG71" s="15">
        <f>IF(AG14&gt;0,AG39/AG14,0)</f>
        <v/>
      </c>
      <c r="AH71" s="15">
        <f>IF(AH14&gt;0,AH39/AH14,0)</f>
        <v/>
      </c>
      <c r="AI71" s="15">
        <f>IF(AI14&gt;0,AI39/AI14,0)</f>
        <v/>
      </c>
      <c r="AJ71" s="15">
        <f>IF(AJ14&gt;0,AJ39/AJ14,0)</f>
        <v/>
      </c>
      <c r="AK71" s="15">
        <f>IF(AK14&gt;0,AK39/AK14,0)</f>
        <v/>
      </c>
      <c r="AL71" s="15">
        <f>IF(AL14&gt;0,AL39/AL14,0)</f>
        <v/>
      </c>
      <c r="AN71" s="15">
        <f>N71</f>
        <v/>
      </c>
      <c r="AO71" s="15">
        <f>Z71</f>
        <v/>
      </c>
      <c r="AP71" s="15">
        <f>AL71</f>
        <v/>
      </c>
    </row>
    <row r="72">
      <c r="A72" s="9" t="inlineStr">
        <is>
          <t>Payback du CAC (mois)</t>
        </is>
      </c>
      <c r="B72" s="4" t="inlineStr">
        <is>
          <t>mois</t>
        </is>
      </c>
      <c r="C72" s="38">
        <f>IF(C69&gt;0,Hypothèses!$E$23*$E$4/C69,0)</f>
        <v/>
      </c>
      <c r="D72" s="38">
        <f>IF(D69&gt;0,Hypothèses!$E$23*$E$4/D69,0)</f>
        <v/>
      </c>
      <c r="E72" s="38">
        <f>IF(E69&gt;0,Hypothèses!$E$23*$E$4/E69,0)</f>
        <v/>
      </c>
      <c r="F72" s="38">
        <f>IF(F69&gt;0,Hypothèses!$E$23*$E$4/F69,0)</f>
        <v/>
      </c>
      <c r="G72" s="38">
        <f>IF(G69&gt;0,Hypothèses!$E$23*$E$4/G69,0)</f>
        <v/>
      </c>
      <c r="H72" s="38">
        <f>IF(H69&gt;0,Hypothèses!$E$23*$E$4/H69,0)</f>
        <v/>
      </c>
      <c r="I72" s="38">
        <f>IF(I69&gt;0,Hypothèses!$E$23*$E$4/I69,0)</f>
        <v/>
      </c>
      <c r="J72" s="38">
        <f>IF(J69&gt;0,Hypothèses!$E$23*$E$4/J69,0)</f>
        <v/>
      </c>
      <c r="K72" s="38">
        <f>IF(K69&gt;0,Hypothèses!$E$23*$E$4/K69,0)</f>
        <v/>
      </c>
      <c r="L72" s="38">
        <f>IF(L69&gt;0,Hypothèses!$E$23*$E$4/L69,0)</f>
        <v/>
      </c>
      <c r="M72" s="38">
        <f>IF(M69&gt;0,Hypothèses!$E$23*$E$4/M69,0)</f>
        <v/>
      </c>
      <c r="N72" s="38">
        <f>IF(N69&gt;0,Hypothèses!$E$23*$E$4/N69,0)</f>
        <v/>
      </c>
      <c r="O72" s="38">
        <f>IF(O69&gt;0,Hypothèses!$E$23*$E$4/O69,0)</f>
        <v/>
      </c>
      <c r="P72" s="38">
        <f>IF(P69&gt;0,Hypothèses!$E$23*$E$4/P69,0)</f>
        <v/>
      </c>
      <c r="Q72" s="38">
        <f>IF(Q69&gt;0,Hypothèses!$E$23*$E$4/Q69,0)</f>
        <v/>
      </c>
      <c r="R72" s="38">
        <f>IF(R69&gt;0,Hypothèses!$E$23*$E$4/R69,0)</f>
        <v/>
      </c>
      <c r="S72" s="38">
        <f>IF(S69&gt;0,Hypothèses!$E$23*$E$4/S69,0)</f>
        <v/>
      </c>
      <c r="T72" s="38">
        <f>IF(T69&gt;0,Hypothèses!$E$23*$E$4/T69,0)</f>
        <v/>
      </c>
      <c r="U72" s="38">
        <f>IF(U69&gt;0,Hypothèses!$E$23*$E$4/U69,0)</f>
        <v/>
      </c>
      <c r="V72" s="38">
        <f>IF(V69&gt;0,Hypothèses!$E$23*$E$4/V69,0)</f>
        <v/>
      </c>
      <c r="W72" s="38">
        <f>IF(W69&gt;0,Hypothèses!$E$23*$E$4/W69,0)</f>
        <v/>
      </c>
      <c r="X72" s="38">
        <f>IF(X69&gt;0,Hypothèses!$E$23*$E$4/X69,0)</f>
        <v/>
      </c>
      <c r="Y72" s="38">
        <f>IF(Y69&gt;0,Hypothèses!$E$23*$E$4/Y69,0)</f>
        <v/>
      </c>
      <c r="Z72" s="38">
        <f>IF(Z69&gt;0,Hypothèses!$E$23*$E$4/Z69,0)</f>
        <v/>
      </c>
      <c r="AA72" s="38">
        <f>IF(AA69&gt;0,Hypothèses!$E$23*$E$4/AA69,0)</f>
        <v/>
      </c>
      <c r="AB72" s="38">
        <f>IF(AB69&gt;0,Hypothèses!$E$23*$E$4/AB69,0)</f>
        <v/>
      </c>
      <c r="AC72" s="38">
        <f>IF(AC69&gt;0,Hypothèses!$E$23*$E$4/AC69,0)</f>
        <v/>
      </c>
      <c r="AD72" s="38">
        <f>IF(AD69&gt;0,Hypothèses!$E$23*$E$4/AD69,0)</f>
        <v/>
      </c>
      <c r="AE72" s="38">
        <f>IF(AE69&gt;0,Hypothèses!$E$23*$E$4/AE69,0)</f>
        <v/>
      </c>
      <c r="AF72" s="38">
        <f>IF(AF69&gt;0,Hypothèses!$E$23*$E$4/AF69,0)</f>
        <v/>
      </c>
      <c r="AG72" s="38">
        <f>IF(AG69&gt;0,Hypothèses!$E$23*$E$4/AG69,0)</f>
        <v/>
      </c>
      <c r="AH72" s="38">
        <f>IF(AH69&gt;0,Hypothèses!$E$23*$E$4/AH69,0)</f>
        <v/>
      </c>
      <c r="AI72" s="38">
        <f>IF(AI69&gt;0,Hypothèses!$E$23*$E$4/AI69,0)</f>
        <v/>
      </c>
      <c r="AJ72" s="38">
        <f>IF(AJ69&gt;0,Hypothèses!$E$23*$E$4/AJ69,0)</f>
        <v/>
      </c>
      <c r="AK72" s="38">
        <f>IF(AK69&gt;0,Hypothèses!$E$23*$E$4/AK69,0)</f>
        <v/>
      </c>
      <c r="AL72" s="38">
        <f>IF(AL69&gt;0,Hypothèses!$E$23*$E$4/AL69,0)</f>
        <v/>
      </c>
      <c r="AN72" s="38">
        <f>N72</f>
        <v/>
      </c>
      <c r="AO72" s="38">
        <f>Z72</f>
        <v/>
      </c>
      <c r="AP72" s="38">
        <f>AL72</f>
        <v/>
      </c>
    </row>
    <row r="73">
      <c r="A73" s="9" t="inlineStr">
        <is>
          <t>LTV contributive simplifiée (contribution / churn)</t>
        </is>
      </c>
      <c r="B73" s="4" t="inlineStr">
        <is>
          <t>€ HT</t>
        </is>
      </c>
      <c r="C73" s="15">
        <f>IF(Hypothèses!$E$26*$D$4&gt;0,C69/(Hypothèses!$E$26*$D$4),0)</f>
        <v/>
      </c>
      <c r="D73" s="15">
        <f>IF(Hypothèses!$E$26*$D$4&gt;0,D69/(Hypothèses!$E$26*$D$4),0)</f>
        <v/>
      </c>
      <c r="E73" s="15">
        <f>IF(Hypothèses!$E$26*$D$4&gt;0,E69/(Hypothèses!$E$26*$D$4),0)</f>
        <v/>
      </c>
      <c r="F73" s="15">
        <f>IF(Hypothèses!$E$26*$D$4&gt;0,F69/(Hypothèses!$E$26*$D$4),0)</f>
        <v/>
      </c>
      <c r="G73" s="15">
        <f>IF(Hypothèses!$E$26*$D$4&gt;0,G69/(Hypothèses!$E$26*$D$4),0)</f>
        <v/>
      </c>
      <c r="H73" s="15">
        <f>IF(Hypothèses!$E$26*$D$4&gt;0,H69/(Hypothèses!$E$26*$D$4),0)</f>
        <v/>
      </c>
      <c r="I73" s="15">
        <f>IF(Hypothèses!$E$26*$D$4&gt;0,I69/(Hypothèses!$E$26*$D$4),0)</f>
        <v/>
      </c>
      <c r="J73" s="15">
        <f>IF(Hypothèses!$E$26*$D$4&gt;0,J69/(Hypothèses!$E$26*$D$4),0)</f>
        <v/>
      </c>
      <c r="K73" s="15">
        <f>IF(Hypothèses!$E$26*$D$4&gt;0,K69/(Hypothèses!$E$26*$D$4),0)</f>
        <v/>
      </c>
      <c r="L73" s="15">
        <f>IF(Hypothèses!$E$26*$D$4&gt;0,L69/(Hypothèses!$E$26*$D$4),0)</f>
        <v/>
      </c>
      <c r="M73" s="15">
        <f>IF(Hypothèses!$E$26*$D$4&gt;0,M69/(Hypothèses!$E$26*$D$4),0)</f>
        <v/>
      </c>
      <c r="N73" s="15">
        <f>IF(Hypothèses!$E$26*$D$4&gt;0,N69/(Hypothèses!$E$26*$D$4),0)</f>
        <v/>
      </c>
      <c r="O73" s="15">
        <f>IF(Hypothèses!$E$26*$D$4&gt;0,O69/(Hypothèses!$E$26*$D$4),0)</f>
        <v/>
      </c>
      <c r="P73" s="15">
        <f>IF(Hypothèses!$E$26*$D$4&gt;0,P69/(Hypothèses!$E$26*$D$4),0)</f>
        <v/>
      </c>
      <c r="Q73" s="15">
        <f>IF(Hypothèses!$E$26*$D$4&gt;0,Q69/(Hypothèses!$E$26*$D$4),0)</f>
        <v/>
      </c>
      <c r="R73" s="15">
        <f>IF(Hypothèses!$E$26*$D$4&gt;0,R69/(Hypothèses!$E$26*$D$4),0)</f>
        <v/>
      </c>
      <c r="S73" s="15">
        <f>IF(Hypothèses!$E$26*$D$4&gt;0,S69/(Hypothèses!$E$26*$D$4),0)</f>
        <v/>
      </c>
      <c r="T73" s="15">
        <f>IF(Hypothèses!$E$26*$D$4&gt;0,T69/(Hypothèses!$E$26*$D$4),0)</f>
        <v/>
      </c>
      <c r="U73" s="15">
        <f>IF(Hypothèses!$E$26*$D$4&gt;0,U69/(Hypothèses!$E$26*$D$4),0)</f>
        <v/>
      </c>
      <c r="V73" s="15">
        <f>IF(Hypothèses!$E$26*$D$4&gt;0,V69/(Hypothèses!$E$26*$D$4),0)</f>
        <v/>
      </c>
      <c r="W73" s="15">
        <f>IF(Hypothèses!$E$26*$D$4&gt;0,W69/(Hypothèses!$E$26*$D$4),0)</f>
        <v/>
      </c>
      <c r="X73" s="15">
        <f>IF(Hypothèses!$E$26*$D$4&gt;0,X69/(Hypothèses!$E$26*$D$4),0)</f>
        <v/>
      </c>
      <c r="Y73" s="15">
        <f>IF(Hypothèses!$E$26*$D$4&gt;0,Y69/(Hypothèses!$E$26*$D$4),0)</f>
        <v/>
      </c>
      <c r="Z73" s="15">
        <f>IF(Hypothèses!$E$26*$D$4&gt;0,Z69/(Hypothèses!$E$26*$D$4),0)</f>
        <v/>
      </c>
      <c r="AA73" s="15">
        <f>IF(Hypothèses!$E$26*$D$4&gt;0,AA69/(Hypothèses!$E$26*$D$4),0)</f>
        <v/>
      </c>
      <c r="AB73" s="15">
        <f>IF(Hypothèses!$E$26*$D$4&gt;0,AB69/(Hypothèses!$E$26*$D$4),0)</f>
        <v/>
      </c>
      <c r="AC73" s="15">
        <f>IF(Hypothèses!$E$26*$D$4&gt;0,AC69/(Hypothèses!$E$26*$D$4),0)</f>
        <v/>
      </c>
      <c r="AD73" s="15">
        <f>IF(Hypothèses!$E$26*$D$4&gt;0,AD69/(Hypothèses!$E$26*$D$4),0)</f>
        <v/>
      </c>
      <c r="AE73" s="15">
        <f>IF(Hypothèses!$E$26*$D$4&gt;0,AE69/(Hypothèses!$E$26*$D$4),0)</f>
        <v/>
      </c>
      <c r="AF73" s="15">
        <f>IF(Hypothèses!$E$26*$D$4&gt;0,AF69/(Hypothèses!$E$26*$D$4),0)</f>
        <v/>
      </c>
      <c r="AG73" s="15">
        <f>IF(Hypothèses!$E$26*$D$4&gt;0,AG69/(Hypothèses!$E$26*$D$4),0)</f>
        <v/>
      </c>
      <c r="AH73" s="15">
        <f>IF(Hypothèses!$E$26*$D$4&gt;0,AH69/(Hypothèses!$E$26*$D$4),0)</f>
        <v/>
      </c>
      <c r="AI73" s="15">
        <f>IF(Hypothèses!$E$26*$D$4&gt;0,AI69/(Hypothèses!$E$26*$D$4),0)</f>
        <v/>
      </c>
      <c r="AJ73" s="15">
        <f>IF(Hypothèses!$E$26*$D$4&gt;0,AJ69/(Hypothèses!$E$26*$D$4),0)</f>
        <v/>
      </c>
      <c r="AK73" s="15">
        <f>IF(Hypothèses!$E$26*$D$4&gt;0,AK69/(Hypothèses!$E$26*$D$4),0)</f>
        <v/>
      </c>
      <c r="AL73" s="15">
        <f>IF(Hypothèses!$E$26*$D$4&gt;0,AL69/(Hypothèses!$E$26*$D$4),0)</f>
        <v/>
      </c>
      <c r="AN73" s="15">
        <f>N73</f>
        <v/>
      </c>
      <c r="AO73" s="15">
        <f>Z73</f>
        <v/>
      </c>
      <c r="AP73" s="15">
        <f>AL73</f>
        <v/>
      </c>
    </row>
    <row r="74">
      <c r="A74" s="9" t="inlineStr">
        <is>
          <t>LTV / CAC</t>
        </is>
      </c>
      <c r="B74" s="4" t="inlineStr">
        <is>
          <t>x</t>
        </is>
      </c>
      <c r="C74" s="41">
        <f>IF(Hypothèses!$E$23*$E$4&gt;0,C73/(Hypothèses!$E$23*$E$4),0)</f>
        <v/>
      </c>
      <c r="D74" s="41">
        <f>IF(Hypothèses!$E$23*$E$4&gt;0,D73/(Hypothèses!$E$23*$E$4),0)</f>
        <v/>
      </c>
      <c r="E74" s="41">
        <f>IF(Hypothèses!$E$23*$E$4&gt;0,E73/(Hypothèses!$E$23*$E$4),0)</f>
        <v/>
      </c>
      <c r="F74" s="41">
        <f>IF(Hypothèses!$E$23*$E$4&gt;0,F73/(Hypothèses!$E$23*$E$4),0)</f>
        <v/>
      </c>
      <c r="G74" s="41">
        <f>IF(Hypothèses!$E$23*$E$4&gt;0,G73/(Hypothèses!$E$23*$E$4),0)</f>
        <v/>
      </c>
      <c r="H74" s="41">
        <f>IF(Hypothèses!$E$23*$E$4&gt;0,H73/(Hypothèses!$E$23*$E$4),0)</f>
        <v/>
      </c>
      <c r="I74" s="41">
        <f>IF(Hypothèses!$E$23*$E$4&gt;0,I73/(Hypothèses!$E$23*$E$4),0)</f>
        <v/>
      </c>
      <c r="J74" s="41">
        <f>IF(Hypothèses!$E$23*$E$4&gt;0,J73/(Hypothèses!$E$23*$E$4),0)</f>
        <v/>
      </c>
      <c r="K74" s="41">
        <f>IF(Hypothèses!$E$23*$E$4&gt;0,K73/(Hypothèses!$E$23*$E$4),0)</f>
        <v/>
      </c>
      <c r="L74" s="41">
        <f>IF(Hypothèses!$E$23*$E$4&gt;0,L73/(Hypothèses!$E$23*$E$4),0)</f>
        <v/>
      </c>
      <c r="M74" s="41">
        <f>IF(Hypothèses!$E$23*$E$4&gt;0,M73/(Hypothèses!$E$23*$E$4),0)</f>
        <v/>
      </c>
      <c r="N74" s="41">
        <f>IF(Hypothèses!$E$23*$E$4&gt;0,N73/(Hypothèses!$E$23*$E$4),0)</f>
        <v/>
      </c>
      <c r="O74" s="41">
        <f>IF(Hypothèses!$E$23*$E$4&gt;0,O73/(Hypothèses!$E$23*$E$4),0)</f>
        <v/>
      </c>
      <c r="P74" s="41">
        <f>IF(Hypothèses!$E$23*$E$4&gt;0,P73/(Hypothèses!$E$23*$E$4),0)</f>
        <v/>
      </c>
      <c r="Q74" s="41">
        <f>IF(Hypothèses!$E$23*$E$4&gt;0,Q73/(Hypothèses!$E$23*$E$4),0)</f>
        <v/>
      </c>
      <c r="R74" s="41">
        <f>IF(Hypothèses!$E$23*$E$4&gt;0,R73/(Hypothèses!$E$23*$E$4),0)</f>
        <v/>
      </c>
      <c r="S74" s="41">
        <f>IF(Hypothèses!$E$23*$E$4&gt;0,S73/(Hypothèses!$E$23*$E$4),0)</f>
        <v/>
      </c>
      <c r="T74" s="41">
        <f>IF(Hypothèses!$E$23*$E$4&gt;0,T73/(Hypothèses!$E$23*$E$4),0)</f>
        <v/>
      </c>
      <c r="U74" s="41">
        <f>IF(Hypothèses!$E$23*$E$4&gt;0,U73/(Hypothèses!$E$23*$E$4),0)</f>
        <v/>
      </c>
      <c r="V74" s="41">
        <f>IF(Hypothèses!$E$23*$E$4&gt;0,V73/(Hypothèses!$E$23*$E$4),0)</f>
        <v/>
      </c>
      <c r="W74" s="41">
        <f>IF(Hypothèses!$E$23*$E$4&gt;0,W73/(Hypothèses!$E$23*$E$4),0)</f>
        <v/>
      </c>
      <c r="X74" s="41">
        <f>IF(Hypothèses!$E$23*$E$4&gt;0,X73/(Hypothèses!$E$23*$E$4),0)</f>
        <v/>
      </c>
      <c r="Y74" s="41">
        <f>IF(Hypothèses!$E$23*$E$4&gt;0,Y73/(Hypothèses!$E$23*$E$4),0)</f>
        <v/>
      </c>
      <c r="Z74" s="41">
        <f>IF(Hypothèses!$E$23*$E$4&gt;0,Z73/(Hypothèses!$E$23*$E$4),0)</f>
        <v/>
      </c>
      <c r="AA74" s="41">
        <f>IF(Hypothèses!$E$23*$E$4&gt;0,AA73/(Hypothèses!$E$23*$E$4),0)</f>
        <v/>
      </c>
      <c r="AB74" s="41">
        <f>IF(Hypothèses!$E$23*$E$4&gt;0,AB73/(Hypothèses!$E$23*$E$4),0)</f>
        <v/>
      </c>
      <c r="AC74" s="41">
        <f>IF(Hypothèses!$E$23*$E$4&gt;0,AC73/(Hypothèses!$E$23*$E$4),0)</f>
        <v/>
      </c>
      <c r="AD74" s="41">
        <f>IF(Hypothèses!$E$23*$E$4&gt;0,AD73/(Hypothèses!$E$23*$E$4),0)</f>
        <v/>
      </c>
      <c r="AE74" s="41">
        <f>IF(Hypothèses!$E$23*$E$4&gt;0,AE73/(Hypothèses!$E$23*$E$4),0)</f>
        <v/>
      </c>
      <c r="AF74" s="41">
        <f>IF(Hypothèses!$E$23*$E$4&gt;0,AF73/(Hypothèses!$E$23*$E$4),0)</f>
        <v/>
      </c>
      <c r="AG74" s="41">
        <f>IF(Hypothèses!$E$23*$E$4&gt;0,AG73/(Hypothèses!$E$23*$E$4),0)</f>
        <v/>
      </c>
      <c r="AH74" s="41">
        <f>IF(Hypothèses!$E$23*$E$4&gt;0,AH73/(Hypothèses!$E$23*$E$4),0)</f>
        <v/>
      </c>
      <c r="AI74" s="41">
        <f>IF(Hypothèses!$E$23*$E$4&gt;0,AI73/(Hypothèses!$E$23*$E$4),0)</f>
        <v/>
      </c>
      <c r="AJ74" s="41">
        <f>IF(Hypothèses!$E$23*$E$4&gt;0,AJ73/(Hypothèses!$E$23*$E$4),0)</f>
        <v/>
      </c>
      <c r="AK74" s="41">
        <f>IF(Hypothèses!$E$23*$E$4&gt;0,AK73/(Hypothèses!$E$23*$E$4),0)</f>
        <v/>
      </c>
      <c r="AL74" s="41">
        <f>IF(Hypothèses!$E$23*$E$4&gt;0,AL73/(Hypothèses!$E$23*$E$4),0)</f>
        <v/>
      </c>
      <c r="AN74" s="41">
        <f>N74</f>
        <v/>
      </c>
      <c r="AO74" s="41">
        <f>Z74</f>
        <v/>
      </c>
      <c r="AP74" s="41">
        <f>AL74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B8F7A"/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Synthèse des scénarios</t>
        </is>
      </c>
    </row>
    <row r="2">
      <c r="A2" s="4" t="inlineStr">
        <is>
          <t>Toutes les valeurs sont calculées à partir des onglets Modèle. Trésorerie hors financement sauf mention contraire.</t>
        </is>
      </c>
    </row>
    <row r="4">
      <c r="A4" s="7" t="inlineStr">
        <is>
          <t>Indicateur</t>
        </is>
      </c>
      <c r="B4" s="7" t="inlineStr">
        <is>
          <t>Unité</t>
        </is>
      </c>
      <c r="C4" s="7" t="inlineStr">
        <is>
          <t>Modèle Prudent</t>
        </is>
      </c>
      <c r="D4" s="7" t="inlineStr">
        <is>
          <t>Modèle Central</t>
        </is>
      </c>
      <c r="E4" s="7" t="inlineStr">
        <is>
          <t>Modèle Ambitieux</t>
        </is>
      </c>
    </row>
    <row r="5">
      <c r="A5" s="9" t="inlineStr">
        <is>
          <t>Mois de lancement commercial</t>
        </is>
      </c>
      <c r="B5" s="4" t="inlineStr">
        <is>
          <t>mois</t>
        </is>
      </c>
      <c r="C5" s="22">
        <f>'Modèle Prudent'!$B$5</f>
        <v/>
      </c>
      <c r="D5" s="22">
        <f>'Modèle Central'!$B$5</f>
        <v/>
      </c>
      <c r="E5" s="22">
        <f>'Modèle Ambitieux'!$B$5</f>
        <v/>
      </c>
    </row>
    <row r="6">
      <c r="A6" s="9" t="inlineStr">
        <is>
          <t>Point bas de trésorerie hors financement</t>
        </is>
      </c>
      <c r="B6" s="4" t="inlineStr">
        <is>
          <t>€</t>
        </is>
      </c>
      <c r="C6" s="20">
        <f>MIN('Modèle Prudent'!C62:AL62)</f>
        <v/>
      </c>
      <c r="D6" s="20">
        <f>MIN('Modèle Central'!C62:AL62)</f>
        <v/>
      </c>
      <c r="E6" s="20">
        <f>MIN('Modèle Ambitieux'!C62:AL62)</f>
        <v/>
      </c>
    </row>
    <row r="7">
      <c r="A7" s="9" t="inlineStr">
        <is>
          <t>Mois du point bas</t>
        </is>
      </c>
      <c r="B7" s="4" t="inlineStr">
        <is>
          <t>mois</t>
        </is>
      </c>
      <c r="C7" s="22">
        <f>MATCH(MIN('Modèle Prudent'!C62:AL62),'Modèle Prudent'!C62:AL62,0)</f>
        <v/>
      </c>
      <c r="D7" s="22">
        <f>MATCH(MIN('Modèle Central'!C62:AL62),'Modèle Central'!C62:AL62,0)</f>
        <v/>
      </c>
      <c r="E7" s="22">
        <f>MATCH(MIN('Modèle Ambitieux'!C62:AL62),'Modèle Ambitieux'!C62:AL62,0)</f>
        <v/>
      </c>
    </row>
    <row r="8">
      <c r="A8" s="9" t="inlineStr">
        <is>
          <t>Besoin de financement (−point bas + réserve)</t>
        </is>
      </c>
      <c r="B8" s="4" t="inlineStr">
        <is>
          <t>€</t>
        </is>
      </c>
      <c r="C8" s="20">
        <f>MAX(0,-MIN('Modèle Prudent'!C62:AL62))+Hypothèses!$C$53</f>
        <v/>
      </c>
      <c r="D8" s="20">
        <f>MAX(0,-MIN('Modèle Central'!C62:AL62))+Hypothèses!$D$53</f>
        <v/>
      </c>
      <c r="E8" s="20">
        <f>MAX(0,-MIN('Modèle Ambitieux'!C62:AL62))+Hypothèses!$E$53</f>
        <v/>
      </c>
    </row>
    <row r="9">
      <c r="A9" s="9" t="inlineStr">
        <is>
          <t>Trésorerie cumulée hors financement fin A1</t>
        </is>
      </c>
      <c r="B9" s="4" t="inlineStr">
        <is>
          <t>€</t>
        </is>
      </c>
      <c r="C9" s="20">
        <f>'Modèle Prudent'!N62</f>
        <v/>
      </c>
      <c r="D9" s="20">
        <f>'Modèle Central'!N62</f>
        <v/>
      </c>
      <c r="E9" s="20">
        <f>'Modèle Ambitieux'!N62</f>
        <v/>
      </c>
    </row>
    <row r="10">
      <c r="A10" s="9" t="inlineStr">
        <is>
          <t>Trésorerie cumulée hors financement fin A2</t>
        </is>
      </c>
      <c r="B10" s="4" t="inlineStr">
        <is>
          <t>€</t>
        </is>
      </c>
      <c r="C10" s="20">
        <f>'Modèle Prudent'!Z62</f>
        <v/>
      </c>
      <c r="D10" s="20">
        <f>'Modèle Central'!Z62</f>
        <v/>
      </c>
      <c r="E10" s="20">
        <f>'Modèle Ambitieux'!Z62</f>
        <v/>
      </c>
    </row>
    <row r="11">
      <c r="A11" s="9" t="inlineStr">
        <is>
          <t>Trésorerie cumulée hors financement fin A3</t>
        </is>
      </c>
      <c r="B11" s="4" t="inlineStr">
        <is>
          <t>€</t>
        </is>
      </c>
      <c r="C11" s="20">
        <f>'Modèle Prudent'!AL62</f>
        <v/>
      </c>
      <c r="D11" s="20">
        <f>'Modèle Central'!AL62</f>
        <v/>
      </c>
      <c r="E11" s="20">
        <f>'Modèle Ambitieux'!AL62</f>
        <v/>
      </c>
    </row>
    <row r="12">
      <c r="A12" s="9" t="inlineStr">
        <is>
          <t>Premier mois d'EBITDA positif</t>
        </is>
      </c>
      <c r="B12" s="4" t="inlineStr">
        <is>
          <t>mois</t>
        </is>
      </c>
      <c r="C12" s="22">
        <f>IFERROR(MATCH(1,'Modèle Prudent'!C53:AL53,0),"non atteint")</f>
        <v/>
      </c>
      <c r="D12" s="22">
        <f>IFERROR(MATCH(1,'Modèle Central'!C53:AL53,0),"non atteint")</f>
        <v/>
      </c>
      <c r="E12" s="22">
        <f>IFERROR(MATCH(1,'Modèle Ambitieux'!C53:AL53,0),"non atteint")</f>
        <v/>
      </c>
    </row>
    <row r="13">
      <c r="A13" s="9" t="inlineStr">
        <is>
          <t>Premier mois de trésorerie cumulée positive (hors financement)</t>
        </is>
      </c>
      <c r="B13" s="4" t="inlineStr">
        <is>
          <t>mois</t>
        </is>
      </c>
      <c r="C13" s="22">
        <f>IFERROR(MATCH(1,'Modèle Prudent'!C64:AL64,0),"non atteint")</f>
        <v/>
      </c>
      <c r="D13" s="22">
        <f>IFERROR(MATCH(1,'Modèle Central'!C64:AL64,0),"non atteint")</f>
        <v/>
      </c>
      <c r="E13" s="22">
        <f>IFERROR(MATCH(1,'Modèle Ambitieux'!C64:AL64,0),"non atteint")</f>
        <v/>
      </c>
    </row>
    <row r="14">
      <c r="A14" s="9" t="inlineStr">
        <is>
          <t>Abonnés actifs fin A1</t>
        </is>
      </c>
      <c r="B14" s="4" t="inlineStr">
        <is>
          <t>abonnés</t>
        </is>
      </c>
      <c r="C14" s="22">
        <f>'Modèle Prudent'!N18</f>
        <v/>
      </c>
      <c r="D14" s="22">
        <f>'Modèle Central'!N18</f>
        <v/>
      </c>
      <c r="E14" s="22">
        <f>'Modèle Ambitieux'!N18</f>
        <v/>
      </c>
    </row>
    <row r="15">
      <c r="A15" s="9" t="inlineStr">
        <is>
          <t>Abonnés actifs fin A2</t>
        </is>
      </c>
      <c r="B15" s="4" t="inlineStr">
        <is>
          <t>abonnés</t>
        </is>
      </c>
      <c r="C15" s="22">
        <f>'Modèle Prudent'!Z18</f>
        <v/>
      </c>
      <c r="D15" s="22">
        <f>'Modèle Central'!Z18</f>
        <v/>
      </c>
      <c r="E15" s="22">
        <f>'Modèle Ambitieux'!Z18</f>
        <v/>
      </c>
    </row>
    <row r="16">
      <c r="A16" s="9" t="inlineStr">
        <is>
          <t>Abonnés actifs fin A3</t>
        </is>
      </c>
      <c r="B16" s="4" t="inlineStr">
        <is>
          <t>abonnés</t>
        </is>
      </c>
      <c r="C16" s="22">
        <f>'Modèle Prudent'!AL18</f>
        <v/>
      </c>
      <c r="D16" s="22">
        <f>'Modèle Central'!AL18</f>
        <v/>
      </c>
      <c r="E16" s="22">
        <f>'Modèle Ambitieux'!AL18</f>
        <v/>
      </c>
    </row>
    <row r="17">
      <c r="A17" s="9" t="inlineStr">
        <is>
          <t>Chiffre d'affaires HT A1</t>
        </is>
      </c>
      <c r="B17" s="4" t="inlineStr">
        <is>
          <t>€</t>
        </is>
      </c>
      <c r="C17" s="20">
        <f>'Modèle Prudent'!AN28</f>
        <v/>
      </c>
      <c r="D17" s="20">
        <f>'Modèle Central'!AN28</f>
        <v/>
      </c>
      <c r="E17" s="20">
        <f>'Modèle Ambitieux'!AN28</f>
        <v/>
      </c>
    </row>
    <row r="18">
      <c r="A18" s="9" t="inlineStr">
        <is>
          <t>Chiffre d'affaires HT A2</t>
        </is>
      </c>
      <c r="B18" s="4" t="inlineStr">
        <is>
          <t>€</t>
        </is>
      </c>
      <c r="C18" s="20">
        <f>'Modèle Prudent'!AO28</f>
        <v/>
      </c>
      <c r="D18" s="20">
        <f>'Modèle Central'!AO28</f>
        <v/>
      </c>
      <c r="E18" s="20">
        <f>'Modèle Ambitieux'!AO28</f>
        <v/>
      </c>
    </row>
    <row r="19">
      <c r="A19" s="9" t="inlineStr">
        <is>
          <t>Chiffre d'affaires HT A3</t>
        </is>
      </c>
      <c r="B19" s="4" t="inlineStr">
        <is>
          <t>€</t>
        </is>
      </c>
      <c r="C19" s="20">
        <f>'Modèle Prudent'!AP28</f>
        <v/>
      </c>
      <c r="D19" s="20">
        <f>'Modèle Central'!AP28</f>
        <v/>
      </c>
      <c r="E19" s="20">
        <f>'Modèle Ambitieux'!AP28</f>
        <v/>
      </c>
    </row>
    <row r="20">
      <c r="A20" s="9" t="inlineStr">
        <is>
          <t>EBITDA A1</t>
        </is>
      </c>
      <c r="B20" s="4" t="inlineStr">
        <is>
          <t>€</t>
        </is>
      </c>
      <c r="C20" s="20">
        <f>'Modèle Prudent'!AN52</f>
        <v/>
      </c>
      <c r="D20" s="20">
        <f>'Modèle Central'!AN52</f>
        <v/>
      </c>
      <c r="E20" s="20">
        <f>'Modèle Ambitieux'!AN52</f>
        <v/>
      </c>
    </row>
    <row r="21">
      <c r="A21" s="9" t="inlineStr">
        <is>
          <t>EBITDA A2</t>
        </is>
      </c>
      <c r="B21" s="4" t="inlineStr">
        <is>
          <t>€</t>
        </is>
      </c>
      <c r="C21" s="20">
        <f>'Modèle Prudent'!AO52</f>
        <v/>
      </c>
      <c r="D21" s="20">
        <f>'Modèle Central'!AO52</f>
        <v/>
      </c>
      <c r="E21" s="20">
        <f>'Modèle Ambitieux'!AO52</f>
        <v/>
      </c>
    </row>
    <row r="22">
      <c r="A22" s="9" t="inlineStr">
        <is>
          <t>EBITDA A3</t>
        </is>
      </c>
      <c r="B22" s="4" t="inlineStr">
        <is>
          <t>€</t>
        </is>
      </c>
      <c r="C22" s="20">
        <f>'Modèle Prudent'!AP52</f>
        <v/>
      </c>
      <c r="D22" s="20">
        <f>'Modèle Central'!AP52</f>
        <v/>
      </c>
      <c r="E22" s="20">
        <f>'Modèle Ambitieux'!AP52</f>
        <v/>
      </c>
    </row>
    <row r="23">
      <c r="A23" s="9" t="inlineStr">
        <is>
          <t>ARR HT instantané à M36</t>
        </is>
      </c>
      <c r="B23" s="4" t="inlineStr">
        <is>
          <t>€</t>
        </is>
      </c>
      <c r="C23" s="20">
        <f>'Modèle Prudent'!AL66</f>
        <v/>
      </c>
      <c r="D23" s="20">
        <f>'Modèle Central'!AL66</f>
        <v/>
      </c>
      <c r="E23" s="20">
        <f>'Modèle Ambitieux'!AL66</f>
        <v/>
      </c>
    </row>
    <row r="24">
      <c r="A24" s="9" t="inlineStr">
        <is>
          <t>Coût variable par abonné à M36</t>
        </is>
      </c>
      <c r="B24" s="4" t="inlineStr">
        <is>
          <t>€</t>
        </is>
      </c>
      <c r="C24" s="21">
        <f>'Modèle Prudent'!AL68</f>
        <v/>
      </c>
      <c r="D24" s="21">
        <f>'Modèle Central'!AL68</f>
        <v/>
      </c>
      <c r="E24" s="21">
        <f>'Modèle Ambitieux'!AL68</f>
        <v/>
      </c>
    </row>
    <row r="25">
      <c r="A25" s="9" t="inlineStr">
        <is>
          <t>Marge variable à M36</t>
        </is>
      </c>
      <c r="B25" s="4" t="inlineStr">
        <is>
          <t>%</t>
        </is>
      </c>
      <c r="C25" s="42">
        <f>'Modèle Prudent'!AL70</f>
        <v/>
      </c>
      <c r="D25" s="42">
        <f>'Modèle Central'!AL70</f>
        <v/>
      </c>
      <c r="E25" s="42">
        <f>'Modèle Ambitieux'!AL70</f>
        <v/>
      </c>
    </row>
    <row r="26">
      <c r="A26" s="9" t="inlineStr">
        <is>
          <t>Payback du CAC à M36</t>
        </is>
      </c>
      <c r="B26" s="4" t="inlineStr">
        <is>
          <t>mois</t>
        </is>
      </c>
      <c r="C26" s="43">
        <f>'Modèle Prudent'!AL72</f>
        <v/>
      </c>
      <c r="D26" s="43">
        <f>'Modèle Central'!AL72</f>
        <v/>
      </c>
      <c r="E26" s="43">
        <f>'Modèle Ambitieux'!AL72</f>
        <v/>
      </c>
    </row>
    <row r="27">
      <c r="A27" s="9" t="inlineStr">
        <is>
          <t>LTV / CAC à M36</t>
        </is>
      </c>
      <c r="B27" s="4" t="inlineStr">
        <is>
          <t>x</t>
        </is>
      </c>
      <c r="C27" s="44">
        <f>'Modèle Prudent'!AL74</f>
        <v/>
      </c>
      <c r="D27" s="44">
        <f>'Modèle Central'!AL74</f>
        <v/>
      </c>
      <c r="E27" s="44">
        <f>'Modèle Ambitieux'!AL74</f>
        <v/>
      </c>
    </row>
    <row r="28">
      <c r="A28" s="9" t="inlineStr">
        <is>
          <t>Dépenses d'acquisition cumulées (36 mois)</t>
        </is>
      </c>
      <c r="B28" s="4" t="inlineStr">
        <is>
          <t>€</t>
        </is>
      </c>
      <c r="C28" s="20">
        <f>SUM('Modèle Prudent'!C39:AL39)</f>
        <v/>
      </c>
      <c r="D28" s="20">
        <f>SUM('Modèle Central'!C39:AL39)</f>
        <v/>
      </c>
      <c r="E28" s="20">
        <f>SUM('Modèle Ambitieux'!C39:AL39)</f>
        <v/>
      </c>
    </row>
    <row r="29">
      <c r="A29" s="9" t="inlineStr">
        <is>
          <t>Coûts fixes cumulés (36 mois)</t>
        </is>
      </c>
      <c r="B29" s="4" t="inlineStr">
        <is>
          <t>€</t>
        </is>
      </c>
      <c r="C29" s="20">
        <f>SUM('Modèle Prudent'!C51:AL51)</f>
        <v/>
      </c>
      <c r="D29" s="20">
        <f>SUM('Modèle Central'!C51:AL51)</f>
        <v/>
      </c>
      <c r="E29" s="20">
        <f>SUM('Modèle Ambitieux'!C51:AL51)</f>
        <v/>
      </c>
    </row>
    <row r="31">
      <c r="A31" s="4" t="inlineStr">
        <is>
          <t>Lecture : le besoin de financement est le montant à réunir avant le lancement pour ne jamais passer sous la réserve cible, si les hypothèses du scénario se réalisent. Aucun financement n'est acquis.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10" max="10"/>
  </cols>
  <sheetData>
    <row r="1">
      <c r="A1" s="1" t="inlineStr">
        <is>
          <t>Sensibilité du scénario Central (tornade)</t>
        </is>
      </c>
    </row>
    <row r="2">
      <c r="A2" s="4" t="inlineStr">
        <is>
          <t>Chaque cas est un onglet S01 à S10 : copie vivante du modèle Central avec un seul choc. Les écarts se recalculent.</t>
        </is>
      </c>
    </row>
    <row r="4">
      <c r="A4" s="45" t="inlineStr">
        <is>
          <t>Cas</t>
        </is>
      </c>
      <c r="B4" s="45" t="inlineStr">
        <is>
          <t>Choc</t>
        </is>
      </c>
      <c r="C4" s="45" t="inlineStr">
        <is>
          <t>Point bas hors financement</t>
        </is>
      </c>
      <c r="D4" s="45" t="inlineStr">
        <is>
          <t>Écart vs Central</t>
        </is>
      </c>
      <c r="E4" s="45" t="inlineStr">
        <is>
          <t>Besoin de financement</t>
        </is>
      </c>
      <c r="F4" s="45" t="inlineStr">
        <is>
          <t>Trésorerie fin A3 hors financement</t>
        </is>
      </c>
      <c r="G4" s="45" t="inlineStr">
        <is>
          <t>1er mois EBITDA &gt; 0</t>
        </is>
      </c>
      <c r="H4" s="45" t="inlineStr">
        <is>
          <t>Abonnés fin A3</t>
        </is>
      </c>
      <c r="J4" s="28" t="inlineStr">
        <is>
          <t>Écart de trésorerie fin A3 vs Central</t>
        </is>
      </c>
    </row>
    <row r="5">
      <c r="A5" s="2" t="inlineStr">
        <is>
          <t>Central (base)</t>
        </is>
      </c>
      <c r="B5" s="4" t="inlineStr">
        <is>
          <t>aucun</t>
        </is>
      </c>
      <c r="C5" s="26">
        <f>MIN('Modèle Central'!C62:AL62)</f>
        <v/>
      </c>
      <c r="D5" s="26" t="n">
        <v>0</v>
      </c>
      <c r="E5" s="26">
        <f>MAX(0,-MIN('Modèle Central'!C62:AL62))+Hypothèses!$D$53</f>
        <v/>
      </c>
      <c r="F5" s="26">
        <f>'Modèle Central'!AL62</f>
        <v/>
      </c>
      <c r="G5" s="46">
        <f>IFERROR(MATCH(1,'Modèle Central'!C53:AL53,0),"non atteint")</f>
        <v/>
      </c>
      <c r="H5" s="46">
        <f>'Modèle Central'!AL18</f>
        <v/>
      </c>
    </row>
    <row r="6">
      <c r="A6" s="9" t="inlineStr">
        <is>
          <t>Churn 5 %</t>
        </is>
      </c>
      <c r="B6" s="4" t="inlineStr">
        <is>
          <t>churn × 1,67 (3 % → 5 %)</t>
        </is>
      </c>
      <c r="C6" s="20">
        <f>MIN('S01'!C62:AL62)</f>
        <v/>
      </c>
      <c r="D6" s="20">
        <f>C6-$C$5</f>
        <v/>
      </c>
      <c r="E6" s="20">
        <f>MAX(0,-MIN('S01'!C62:AL62))+Hypothèses!$D$53</f>
        <v/>
      </c>
      <c r="F6" s="20">
        <f>'S01'!AL62</f>
        <v/>
      </c>
      <c r="G6" s="22">
        <f>IFERROR(MATCH(1,'S01'!C53:AL53,0),"non atteint")</f>
        <v/>
      </c>
      <c r="H6" s="22">
        <f>'S01'!AL18</f>
        <v/>
      </c>
      <c r="J6" s="15">
        <f>F6-$F$5</f>
        <v/>
      </c>
    </row>
    <row r="7">
      <c r="A7" s="9" t="inlineStr">
        <is>
          <t>Churn 2 %</t>
        </is>
      </c>
      <c r="B7" s="4" t="inlineStr">
        <is>
          <t>churn × 0,67 (3 % → 2 %)</t>
        </is>
      </c>
      <c r="C7" s="20">
        <f>MIN('S02'!C62:AL62)</f>
        <v/>
      </c>
      <c r="D7" s="20">
        <f>C7-$C$5</f>
        <v/>
      </c>
      <c r="E7" s="20">
        <f>MAX(0,-MIN('S02'!C62:AL62))+Hypothèses!$D$53</f>
        <v/>
      </c>
      <c r="F7" s="20">
        <f>'S02'!AL62</f>
        <v/>
      </c>
      <c r="G7" s="22">
        <f>IFERROR(MATCH(1,'S02'!C53:AL53,0),"non atteint")</f>
        <v/>
      </c>
      <c r="H7" s="22">
        <f>'S02'!AL18</f>
        <v/>
      </c>
      <c r="J7" s="15">
        <f>F7-$F$5</f>
        <v/>
      </c>
    </row>
    <row r="8">
      <c r="A8" s="9" t="inlineStr">
        <is>
          <t>CAC 240 €</t>
        </is>
      </c>
      <c r="B8" s="4" t="inlineStr">
        <is>
          <t>CAC × 1,6</t>
        </is>
      </c>
      <c r="C8" s="20">
        <f>MIN('S03'!C62:AL62)</f>
        <v/>
      </c>
      <c r="D8" s="20">
        <f>C8-$C$5</f>
        <v/>
      </c>
      <c r="E8" s="20">
        <f>MAX(0,-MIN('S03'!C62:AL62))+Hypothèses!$D$53</f>
        <v/>
      </c>
      <c r="F8" s="20">
        <f>'S03'!AL62</f>
        <v/>
      </c>
      <c r="G8" s="22">
        <f>IFERROR(MATCH(1,'S03'!C53:AL53,0),"non atteint")</f>
        <v/>
      </c>
      <c r="H8" s="22">
        <f>'S03'!AL18</f>
        <v/>
      </c>
      <c r="J8" s="15">
        <f>F8-$F$5</f>
        <v/>
      </c>
    </row>
    <row r="9">
      <c r="A9" s="9" t="inlineStr">
        <is>
          <t>CAC 105 €</t>
        </is>
      </c>
      <c r="B9" s="4" t="inlineStr">
        <is>
          <t>CAC × 0,7</t>
        </is>
      </c>
      <c r="C9" s="20">
        <f>MIN('S04'!C62:AL62)</f>
        <v/>
      </c>
      <c r="D9" s="20">
        <f>C9-$C$5</f>
        <v/>
      </c>
      <c r="E9" s="20">
        <f>MAX(0,-MIN('S04'!C62:AL62))+Hypothèses!$D$53</f>
        <v/>
      </c>
      <c r="F9" s="20">
        <f>'S04'!AL62</f>
        <v/>
      </c>
      <c r="G9" s="22">
        <f>IFERROR(MATCH(1,'S04'!C53:AL53,0),"non atteint")</f>
        <v/>
      </c>
      <c r="H9" s="22">
        <f>'S04'!AL18</f>
        <v/>
      </c>
      <c r="J9" s="15">
        <f>F9-$F$5</f>
        <v/>
      </c>
    </row>
    <row r="10">
      <c r="A10" s="9" t="inlineStr">
        <is>
          <t>Coût IA +67 %</t>
        </is>
      </c>
      <c r="B10" s="4" t="inlineStr">
        <is>
          <t>coût par mission × 1,67 (0,18 → 0,30 €)</t>
        </is>
      </c>
      <c r="C10" s="20">
        <f>MIN('S05'!C62:AL62)</f>
        <v/>
      </c>
      <c r="D10" s="20">
        <f>C10-$C$5</f>
        <v/>
      </c>
      <c r="E10" s="20">
        <f>MAX(0,-MIN('S05'!C62:AL62))+Hypothèses!$D$53</f>
        <v/>
      </c>
      <c r="F10" s="20">
        <f>'S05'!AL62</f>
        <v/>
      </c>
      <c r="G10" s="22">
        <f>IFERROR(MATCH(1,'S05'!C53:AL53,0),"non atteint")</f>
        <v/>
      </c>
      <c r="H10" s="22">
        <f>'S05'!AL18</f>
        <v/>
      </c>
      <c r="J10" s="15">
        <f>F10-$F$5</f>
        <v/>
      </c>
    </row>
    <row r="11">
      <c r="A11" s="9" t="inlineStr">
        <is>
          <t>Coût IA −33 %</t>
        </is>
      </c>
      <c r="B11" s="4" t="inlineStr">
        <is>
          <t>coût par mission × 0,67 (0,18 → 0,12 €)</t>
        </is>
      </c>
      <c r="C11" s="20">
        <f>MIN('S06'!C62:AL62)</f>
        <v/>
      </c>
      <c r="D11" s="20">
        <f>C11-$C$5</f>
        <v/>
      </c>
      <c r="E11" s="20">
        <f>MAX(0,-MIN('S06'!C62:AL62))+Hypothèses!$D$53</f>
        <v/>
      </c>
      <c r="F11" s="20">
        <f>'S06'!AL62</f>
        <v/>
      </c>
      <c r="G11" s="22">
        <f>IFERROR(MATCH(1,'S06'!C53:AL53,0),"non atteint")</f>
        <v/>
      </c>
      <c r="H11" s="22">
        <f>'S06'!AL18</f>
        <v/>
      </c>
      <c r="J11" s="15">
        <f>F11-$F$5</f>
        <v/>
      </c>
    </row>
    <row r="12">
      <c r="A12" s="9" t="inlineStr">
        <is>
          <t>Prix −20 %</t>
        </is>
      </c>
      <c r="B12" s="4" t="inlineStr">
        <is>
          <t>prix × 0,8 (Premium 79 → 63 €)</t>
        </is>
      </c>
      <c r="C12" s="20">
        <f>MIN('S07'!C62:AL62)</f>
        <v/>
      </c>
      <c r="D12" s="20">
        <f>C12-$C$5</f>
        <v/>
      </c>
      <c r="E12" s="20">
        <f>MAX(0,-MIN('S07'!C62:AL62))+Hypothèses!$D$53</f>
        <v/>
      </c>
      <c r="F12" s="20">
        <f>'S07'!AL62</f>
        <v/>
      </c>
      <c r="G12" s="22">
        <f>IFERROR(MATCH(1,'S07'!C53:AL53,0),"non atteint")</f>
        <v/>
      </c>
      <c r="H12" s="22">
        <f>'S07'!AL18</f>
        <v/>
      </c>
      <c r="J12" s="15">
        <f>F12-$F$5</f>
        <v/>
      </c>
    </row>
    <row r="13">
      <c r="A13" s="9" t="inlineStr">
        <is>
          <t>Prix +20 %</t>
        </is>
      </c>
      <c r="B13" s="4" t="inlineStr">
        <is>
          <t>prix × 1,2 (Premium 79 → 95 €)</t>
        </is>
      </c>
      <c r="C13" s="20">
        <f>MIN('S08'!C62:AL62)</f>
        <v/>
      </c>
      <c r="D13" s="20">
        <f>C13-$C$5</f>
        <v/>
      </c>
      <c r="E13" s="20">
        <f>MAX(0,-MIN('S08'!C62:AL62))+Hypothèses!$D$53</f>
        <v/>
      </c>
      <c r="F13" s="20">
        <f>'S08'!AL62</f>
        <v/>
      </c>
      <c r="G13" s="22">
        <f>IFERROR(MATCH(1,'S08'!C53:AL53,0),"non atteint")</f>
        <v/>
      </c>
      <c r="H13" s="22">
        <f>'S08'!AL18</f>
        <v/>
      </c>
      <c r="J13" s="15">
        <f>F13-$F$5</f>
        <v/>
      </c>
    </row>
    <row r="14">
      <c r="A14" s="9" t="inlineStr">
        <is>
          <t>Lancement +3 mois</t>
        </is>
      </c>
      <c r="B14" s="4" t="inlineStr">
        <is>
          <t>retard de lancement de 3 mois</t>
        </is>
      </c>
      <c r="C14" s="20">
        <f>MIN('S09'!C62:AL62)</f>
        <v/>
      </c>
      <c r="D14" s="20">
        <f>C14-$C$5</f>
        <v/>
      </c>
      <c r="E14" s="20">
        <f>MAX(0,-MIN('S09'!C62:AL62))+Hypothèses!$D$53</f>
        <v/>
      </c>
      <c r="F14" s="20">
        <f>'S09'!AL62</f>
        <v/>
      </c>
      <c r="G14" s="22">
        <f>IFERROR(MATCH(1,'S09'!C53:AL53,0),"non atteint")</f>
        <v/>
      </c>
      <c r="H14" s="22">
        <f>'S09'!AL18</f>
        <v/>
      </c>
      <c r="J14" s="15">
        <f>F14-$F$5</f>
        <v/>
      </c>
    </row>
    <row r="15">
      <c r="A15" s="9" t="inlineStr">
        <is>
          <t>Coûts fixes +30 %</t>
        </is>
      </c>
      <c r="B15" s="4" t="inlineStr">
        <is>
          <t>coûts fixes × 1,3</t>
        </is>
      </c>
      <c r="C15" s="20">
        <f>MIN('S10'!C62:AL62)</f>
        <v/>
      </c>
      <c r="D15" s="20">
        <f>C15-$C$5</f>
        <v/>
      </c>
      <c r="E15" s="20">
        <f>MAX(0,-MIN('S10'!C62:AL62))+Hypothèses!$D$53</f>
        <v/>
      </c>
      <c r="F15" s="20">
        <f>'S10'!AL62</f>
        <v/>
      </c>
      <c r="G15" s="22">
        <f>IFERROR(MATCH(1,'S10'!C53:AL53,0),"non atteint")</f>
        <v/>
      </c>
      <c r="H15" s="22">
        <f>'S10'!AL18</f>
        <v/>
      </c>
      <c r="J15" s="15">
        <f>F15-$F$5</f>
        <v/>
      </c>
    </row>
    <row r="16">
      <c r="A16" s="9" t="inlineStr">
        <is>
          <t>Churn 8 % (type app store)</t>
        </is>
      </c>
      <c r="B16" s="4" t="inlineStr">
        <is>
          <t>churn × 2,67 (3 % → 8 %)</t>
        </is>
      </c>
      <c r="C16" s="20">
        <f>MIN('S11'!C62:AL62)</f>
        <v/>
      </c>
      <c r="D16" s="20">
        <f>C16-$C$5</f>
        <v/>
      </c>
      <c r="E16" s="20">
        <f>MAX(0,-MIN('S11'!C62:AL62))+Hypothèses!$D$53</f>
        <v/>
      </c>
      <c r="F16" s="20">
        <f>'S11'!AL62</f>
        <v/>
      </c>
      <c r="G16" s="22">
        <f>IFERROR(MATCH(1,'S11'!C53:AL53,0),"non atteint")</f>
        <v/>
      </c>
      <c r="H16" s="22">
        <f>'S11'!AL18</f>
        <v/>
      </c>
      <c r="J16" s="15">
        <f>F16-$F$5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30" customWidth="1" min="3" max="3"/>
    <col width="30" customWidth="1" min="4" max="4"/>
    <col width="11" customWidth="1" min="5" max="5"/>
    <col width="10" customWidth="1" min="6" max="6"/>
    <col width="14" customWidth="1" min="7" max="7"/>
    <col width="24" customWidth="1" min="8" max="8"/>
    <col width="30" customWidth="1" min="9" max="9"/>
    <col width="30" customWidth="1" min="10" max="10"/>
    <col width="12" customWidth="1" min="11" max="11"/>
  </cols>
  <sheetData>
    <row r="1">
      <c r="A1" s="1" t="inlineStr">
        <is>
          <t>Architecture de KPI</t>
        </is>
      </c>
    </row>
    <row r="2">
      <c r="A2" s="4" t="inlineStr">
        <is>
          <t>Sept indicateurs au niveau Board, huit au niveau équipe. Seuils fixés avant de voir les données ; chaque métrique est appariée à une contre-métrique.</t>
        </is>
      </c>
    </row>
    <row r="4">
      <c r="A4" s="45" t="inlineStr">
        <is>
          <t>Niveau</t>
        </is>
      </c>
      <c r="B4" s="45" t="inlineStr">
        <is>
          <t>Indicateur</t>
        </is>
      </c>
      <c r="C4" s="45" t="inlineStr">
        <is>
          <t>Formule</t>
        </is>
      </c>
      <c r="D4" s="45" t="inlineStr">
        <is>
          <t>Décision qu'il change</t>
        </is>
      </c>
      <c r="E4" s="45" t="inlineStr">
        <is>
          <t>Propriétaire</t>
        </is>
      </c>
      <c r="F4" s="45" t="inlineStr">
        <is>
          <t>Avance / retard</t>
        </is>
      </c>
      <c r="G4" s="45" t="inlineStr">
        <is>
          <t>Vert</t>
        </is>
      </c>
      <c r="H4" s="45" t="inlineStr">
        <is>
          <t>Ambre (action)</t>
        </is>
      </c>
      <c r="I4" s="45" t="inlineStr">
        <is>
          <t>Rouge (action)</t>
        </is>
      </c>
      <c r="J4" s="45" t="inlineStr">
        <is>
          <t>Contre-métrique</t>
        </is>
      </c>
      <c r="K4" s="45" t="inlineStr">
        <is>
          <t>Cadence</t>
        </is>
      </c>
    </row>
    <row r="5">
      <c r="A5" s="47" t="inlineStr">
        <is>
          <t>Board</t>
        </is>
      </c>
      <c r="B5" s="3" t="inlineStr">
        <is>
          <t>Abonnés actifs payants vs trajectoire</t>
        </is>
      </c>
      <c r="C5" s="3" t="inlineStr">
        <is>
          <t>Actifs fin de mois / cible du scénario</t>
        </is>
      </c>
      <c r="D5" s="3" t="inlineStr">
        <is>
          <t>Poursuivre, ralentir ou arrêter l'acquisition</t>
        </is>
      </c>
      <c r="E5" s="3" t="inlineStr">
        <is>
          <t>Malik</t>
        </is>
      </c>
      <c r="F5" s="3" t="inlineStr">
        <is>
          <t>Retard</t>
        </is>
      </c>
      <c r="G5" s="3" t="inlineStr">
        <is>
          <t>≥ 100 % de la cible</t>
        </is>
      </c>
      <c r="H5" s="3" t="inlineStr">
        <is>
          <t>80 à 100 % : revue des canaux</t>
        </is>
      </c>
      <c r="I5" s="3" t="inlineStr">
        <is>
          <t>&lt; 80 % deux mois de suite : gel des dépenses d'acquisition</t>
        </is>
      </c>
      <c r="J5" s="3" t="inlineStr">
        <is>
          <t>Churn logo mensuel</t>
        </is>
      </c>
      <c r="K5" s="3" t="inlineStr">
        <is>
          <t>Mensuelle</t>
        </is>
      </c>
    </row>
    <row r="6">
      <c r="A6" s="47" t="inlineStr">
        <is>
          <t>Board</t>
        </is>
      </c>
      <c r="B6" s="3" t="inlineStr">
        <is>
          <t>Rétention J30 des cohortes payantes</t>
        </is>
      </c>
      <c r="C6" s="3" t="inlineStr">
        <is>
          <t>Actifs à J30 / cohorte initiale</t>
        </is>
      </c>
      <c r="D6" s="3" t="inlineStr">
        <is>
          <t>Lancer ou non la montée en charge</t>
        </is>
      </c>
      <c r="E6" s="3" t="inlineStr">
        <is>
          <t>Steve</t>
        </is>
      </c>
      <c r="F6" s="3" t="inlineStr">
        <is>
          <t>Retard</t>
        </is>
      </c>
      <c r="G6" s="3" t="inlineStr">
        <is>
          <t>≥ 70 %</t>
        </is>
      </c>
      <c r="H6" s="3" t="inlineStr">
        <is>
          <t>60 à 70 % : entretiens de résiliation</t>
        </is>
      </c>
      <c r="I6" s="3" t="inlineStr">
        <is>
          <t>&lt; 60 % : pas de montée en charge, retour produit</t>
        </is>
      </c>
      <c r="J6" s="3" t="inlineStr">
        <is>
          <t>Activation J7</t>
        </is>
      </c>
      <c r="K6" s="3" t="inlineStr">
        <is>
          <t>Mensuelle</t>
        </is>
      </c>
    </row>
    <row r="7">
      <c r="A7" s="47" t="inlineStr">
        <is>
          <t>Board</t>
        </is>
      </c>
      <c r="B7" s="3" t="inlineStr">
        <is>
          <t>Fiabilité des missions</t>
        </is>
      </c>
      <c r="C7" s="3" t="inlineStr">
        <is>
          <t>Missions réussies sans correction / missions lancées</t>
        </is>
      </c>
      <c r="D7" s="3" t="inlineStr">
        <is>
          <t>Élargir ou restreindre le périmètre des missions</t>
        </is>
      </c>
      <c r="E7" s="3" t="inlineStr">
        <is>
          <t>Isaac</t>
        </is>
      </c>
      <c r="F7" s="3" t="inlineStr">
        <is>
          <t>Avance</t>
        </is>
      </c>
      <c r="G7" s="3" t="inlineStr">
        <is>
          <t>≥ 80 %</t>
        </is>
      </c>
      <c r="H7" s="3" t="inlineStr">
        <is>
          <t>70 à 80 % : gel des nouvelles missions</t>
        </is>
      </c>
      <c r="I7" s="3" t="inlineStr">
        <is>
          <t>&lt; 70 % : retrait de la mission la moins fiable</t>
        </is>
      </c>
      <c r="J7" s="3" t="inlineStr">
        <is>
          <t>Taux de missions corrigées par l'utilisateur</t>
        </is>
      </c>
      <c r="K7" s="3" t="inlineStr">
        <is>
          <t>Hebdomadaire</t>
        </is>
      </c>
    </row>
    <row r="8">
      <c r="A8" s="47" t="inlineStr">
        <is>
          <t>Board</t>
        </is>
      </c>
      <c r="B8" s="3" t="inlineStr">
        <is>
          <t>Incidents critiques (action sans autorisation, fuite de données, confusion de profils)</t>
        </is>
      </c>
      <c r="C8" s="3" t="inlineStr">
        <is>
          <t>Nombre confirmé</t>
        </is>
      </c>
      <c r="D8" s="3" t="inlineStr">
        <is>
          <t>Arrêt du pilote</t>
        </is>
      </c>
      <c r="E8" s="3" t="inlineStr">
        <is>
          <t>Tiffany</t>
        </is>
      </c>
      <c r="F8" s="3" t="inlineStr">
        <is>
          <t>Avance</t>
        </is>
      </c>
      <c r="G8" s="3" t="inlineStr">
        <is>
          <t>0</t>
        </is>
      </c>
      <c r="H8" s="3" t="inlineStr">
        <is>
          <t>1 mineur : analyse sous 48 h</t>
        </is>
      </c>
      <c r="I8" s="3" t="inlineStr">
        <is>
          <t>1 critique : arrêt du parcours, revue avant reprise</t>
        </is>
      </c>
      <c r="J8" s="3" t="inlineStr">
        <is>
          <t>Volume d'actions exécutées (éviter la fiabilité par inactivité)</t>
        </is>
      </c>
      <c r="K8" s="3" t="inlineStr">
        <is>
          <t>Continue</t>
        </is>
      </c>
    </row>
    <row r="9">
      <c r="A9" s="47" t="inlineStr">
        <is>
          <t>Board</t>
        </is>
      </c>
      <c r="B9" s="3" t="inlineStr">
        <is>
          <t>Coût variable par abonné</t>
        </is>
      </c>
      <c r="C9" s="3" t="inlineStr">
        <is>
          <t>Coûts variables HT / abonnés actifs</t>
        </is>
      </c>
      <c r="D9" s="3" t="inlineStr">
        <is>
          <t>Prix, routage des modèles, limites d'usage</t>
        </is>
      </c>
      <c r="E9" s="3" t="inlineStr">
        <is>
          <t>Sébastien</t>
        </is>
      </c>
      <c r="F9" s="3" t="inlineStr">
        <is>
          <t>Retard</t>
        </is>
      </c>
      <c r="G9" s="3" t="inlineStr">
        <is>
          <t>≤ 18 € HT</t>
        </is>
      </c>
      <c r="H9" s="3" t="inlineStr">
        <is>
          <t>18 à 24 € : revue du routage IA</t>
        </is>
      </c>
      <c r="I9" s="3" t="inlineStr">
        <is>
          <t>&gt; 24 € : limites d'usage ou hausse de prix</t>
        </is>
      </c>
      <c r="J9" s="3" t="inlineStr">
        <is>
          <t>Missions par abonné (ne pas réduire l'usage pour réduire le coût)</t>
        </is>
      </c>
      <c r="K9" s="3" t="inlineStr">
        <is>
          <t>Mensuelle</t>
        </is>
      </c>
    </row>
    <row r="10">
      <c r="A10" s="47" t="inlineStr">
        <is>
          <t>Board</t>
        </is>
      </c>
      <c r="B10" s="3" t="inlineStr">
        <is>
          <t>Payback du CAC</t>
        </is>
      </c>
      <c r="C10" s="3" t="inlineStr">
        <is>
          <t>CAC effectif / contribution mensuelle par abonné</t>
        </is>
      </c>
      <c r="D10" s="3" t="inlineStr">
        <is>
          <t>Budget d'acquisition du mois suivant</t>
        </is>
      </c>
      <c r="E10" s="3" t="inlineStr">
        <is>
          <t>Sébastien</t>
        </is>
      </c>
      <c r="F10" s="3" t="inlineStr">
        <is>
          <t>Retard</t>
        </is>
      </c>
      <c r="G10" s="3" t="inlineStr">
        <is>
          <t>≤ 6 mois</t>
        </is>
      </c>
      <c r="H10" s="3" t="inlineStr">
        <is>
          <t>6 à 9 mois : réallocation entre canaux</t>
        </is>
      </c>
      <c r="I10" s="3" t="inlineStr">
        <is>
          <t>&gt; 9 mois : arrêt du canal concerné</t>
        </is>
      </c>
      <c r="J10" s="3" t="inlineStr">
        <is>
          <t>Qualité des leads (rétention J30 par canal)</t>
        </is>
      </c>
      <c r="K10" s="3" t="inlineStr">
        <is>
          <t>Mensuelle</t>
        </is>
      </c>
    </row>
    <row r="11">
      <c r="A11" s="47" t="inlineStr">
        <is>
          <t>Board</t>
        </is>
      </c>
      <c r="B11" s="3" t="inlineStr">
        <is>
          <t>Marge variable</t>
        </is>
      </c>
      <c r="C11" s="3" t="inlineStr">
        <is>
          <t>(CA HT − coûts variables − frais − impayés) / CA HT</t>
        </is>
      </c>
      <c r="D11" s="3" t="inlineStr">
        <is>
          <t>Soutenabilité du prix</t>
        </is>
      </c>
      <c r="E11" s="3" t="inlineStr">
        <is>
          <t>Sébastien</t>
        </is>
      </c>
      <c r="F11" s="3" t="inlineStr">
        <is>
          <t>Retard</t>
        </is>
      </c>
      <c r="G11" s="3" t="inlineStr">
        <is>
          <t>≥ 65 %</t>
        </is>
      </c>
      <c r="H11" s="3" t="inlineStr">
        <is>
          <t>55 à 65 %</t>
        </is>
      </c>
      <c r="I11" s="3" t="inlineStr">
        <is>
          <t>&lt; 55 % : revue prix et périmètre</t>
        </is>
      </c>
      <c r="J11" s="3" t="inlineStr">
        <is>
          <t>ARPA (ne pas gonfler la marge par un mix artificiel)</t>
        </is>
      </c>
      <c r="K11" s="3" t="inlineStr">
        <is>
          <t>Mensuelle</t>
        </is>
      </c>
    </row>
    <row r="12">
      <c r="A12" s="47" t="inlineStr">
        <is>
          <t>Équipe</t>
        </is>
      </c>
      <c r="B12" s="3" t="inlineStr">
        <is>
          <t>Activation J7</t>
        </is>
      </c>
      <c r="C12" s="3" t="inlineStr">
        <is>
          <t>Nouveaux clients avec ≥ 1 mission utile / nouveaux clients</t>
        </is>
      </c>
      <c r="D12" s="3" t="inlineStr">
        <is>
          <t>Onboarding</t>
        </is>
      </c>
      <c r="E12" s="3" t="inlineStr">
        <is>
          <t>Steve</t>
        </is>
      </c>
      <c r="F12" s="3" t="inlineStr">
        <is>
          <t>Avance</t>
        </is>
      </c>
      <c r="G12" s="3" t="inlineStr">
        <is>
          <t>≥ 70 %</t>
        </is>
      </c>
      <c r="H12" s="3" t="inlineStr">
        <is>
          <t>50 à 70 %</t>
        </is>
      </c>
      <c r="I12" s="3" t="inlineStr">
        <is>
          <t>&lt; 50 %</t>
        </is>
      </c>
      <c r="J12" s="3" t="inlineStr">
        <is>
          <t>Temps jusqu'à la première mission</t>
        </is>
      </c>
      <c r="K12" s="3" t="inlineStr">
        <is>
          <t>Hebdomadaire</t>
        </is>
      </c>
    </row>
    <row r="13">
      <c r="A13" s="47" t="inlineStr">
        <is>
          <t>Équipe</t>
        </is>
      </c>
      <c r="B13" s="3" t="inlineStr">
        <is>
          <t>Conversion essai → payant</t>
        </is>
      </c>
      <c r="C13" s="3" t="inlineStr">
        <is>
          <t>Payants / essais de la cohorte</t>
        </is>
      </c>
      <c r="D13" s="3" t="inlineStr">
        <is>
          <t>Parcours de souscription</t>
        </is>
      </c>
      <c r="E13" s="3" t="inlineStr">
        <is>
          <t>Steve</t>
        </is>
      </c>
      <c r="F13" s="3" t="inlineStr">
        <is>
          <t>Retard</t>
        </is>
      </c>
      <c r="G13" s="3" t="inlineStr">
        <is>
          <t>≥ 20 %</t>
        </is>
      </c>
      <c r="H13" s="3" t="inlineStr">
        <is>
          <t>10 à 20 %</t>
        </is>
      </c>
      <c r="I13" s="3" t="inlineStr">
        <is>
          <t>&lt; 10 %</t>
        </is>
      </c>
      <c r="J13" s="3" t="inlineStr">
        <is>
          <t>Qualité des essais (activation)</t>
        </is>
      </c>
      <c r="K13" s="3" t="inlineStr">
        <is>
          <t>Hebdomadaire</t>
        </is>
      </c>
    </row>
    <row r="14">
      <c r="A14" s="47" t="inlineStr">
        <is>
          <t>Équipe</t>
        </is>
      </c>
      <c r="B14" s="3" t="inlineStr">
        <is>
          <t>Churn logo mensuel</t>
        </is>
      </c>
      <c r="C14" s="3" t="inlineStr">
        <is>
          <t>Résiliations / actifs début de mois</t>
        </is>
      </c>
      <c r="D14" s="3" t="inlineStr">
        <is>
          <t>Rétention</t>
        </is>
      </c>
      <c r="E14" s="3" t="inlineStr">
        <is>
          <t>Steve</t>
        </is>
      </c>
      <c r="F14" s="3" t="inlineStr">
        <is>
          <t>Retard</t>
        </is>
      </c>
      <c r="G14" s="3" t="inlineStr">
        <is>
          <t>≤ 3 %</t>
        </is>
      </c>
      <c r="H14" s="3" t="inlineStr">
        <is>
          <t>3 à 5 %</t>
        </is>
      </c>
      <c r="I14" s="3" t="inlineStr">
        <is>
          <t>&gt; 5 %</t>
        </is>
      </c>
      <c r="J14" s="3" t="inlineStr">
        <is>
          <t>Motifs de résiliation (produit vs prix)</t>
        </is>
      </c>
      <c r="K14" s="3" t="inlineStr">
        <is>
          <t>Mensuelle</t>
        </is>
      </c>
    </row>
    <row r="15">
      <c r="A15" s="47" t="inlineStr">
        <is>
          <t>Équipe</t>
        </is>
      </c>
      <c r="B15" s="3" t="inlineStr">
        <is>
          <t>Coût par mission et taux d'échec</t>
        </is>
      </c>
      <c r="C15" s="3" t="inlineStr">
        <is>
          <t>Coût API / missions ; échecs / missions</t>
        </is>
      </c>
      <c r="D15" s="3" t="inlineStr">
        <is>
          <t>Choix des modèles</t>
        </is>
      </c>
      <c r="E15" s="3" t="inlineStr">
        <is>
          <t>Isaac</t>
        </is>
      </c>
      <c r="F15" s="3" t="inlineStr">
        <is>
          <t>Avance</t>
        </is>
      </c>
      <c r="G15" s="3" t="inlineStr">
        <is>
          <t>≤ 0,18 € ; ≤ 10 %</t>
        </is>
      </c>
      <c r="H15" s="3" t="inlineStr">
        <is>
          <t>0,18 à 0,30 € ; 10 à 20 %</t>
        </is>
      </c>
      <c r="I15" s="3" t="inlineStr">
        <is>
          <t>&gt; 0,30 € ; &gt; 20 %</t>
        </is>
      </c>
      <c r="J15" s="3" t="inlineStr">
        <is>
          <t>Fiabilité (ne pas dégrader la qualité pour le coût)</t>
        </is>
      </c>
      <c r="K15" s="3" t="inlineStr">
        <is>
          <t>Hebdomadaire</t>
        </is>
      </c>
    </row>
    <row r="16">
      <c r="A16" s="47" t="inlineStr">
        <is>
          <t>Équipe</t>
        </is>
      </c>
      <c r="B16" s="3" t="inlineStr">
        <is>
          <t>Temps gagné déclaré par semaine</t>
        </is>
      </c>
      <c r="C16" s="3" t="inlineStr">
        <is>
          <t>Enquête mensuelle, heures</t>
        </is>
      </c>
      <c r="D16" s="3" t="inlineStr">
        <is>
          <t>Argumentaire et prix</t>
        </is>
      </c>
      <c r="E16" s="3" t="inlineStr">
        <is>
          <t>Alice</t>
        </is>
      </c>
      <c r="F16" s="3" t="inlineStr">
        <is>
          <t>Retard</t>
        </is>
      </c>
      <c r="G16" s="3" t="inlineStr">
        <is>
          <t>≥ 2 h</t>
        </is>
      </c>
      <c r="H16" s="3" t="inlineStr">
        <is>
          <t>1 à 2 h</t>
        </is>
      </c>
      <c r="I16" s="3" t="inlineStr">
        <is>
          <t>&lt; 1 h</t>
        </is>
      </c>
      <c r="J16" s="3" t="inlineStr">
        <is>
          <t>Usage réel (missions / semaine)</t>
        </is>
      </c>
      <c r="K16" s="3" t="inlineStr">
        <is>
          <t>Mensuelle</t>
        </is>
      </c>
    </row>
    <row r="17">
      <c r="A17" s="47" t="inlineStr">
        <is>
          <t>Équipe</t>
        </is>
      </c>
      <c r="B17" s="3" t="inlineStr">
        <is>
          <t>Suggestions proactives acceptées</t>
        </is>
      </c>
      <c r="C17" s="3" t="inlineStr">
        <is>
          <t>Validées / proposées</t>
        </is>
      </c>
      <c r="D17" s="3" t="inlineStr">
        <is>
          <t>Réglage de la proactivité</t>
        </is>
      </c>
      <c r="E17" s="3" t="inlineStr">
        <is>
          <t>Steve</t>
        </is>
      </c>
      <c r="F17" s="3" t="inlineStr">
        <is>
          <t>Avance</t>
        </is>
      </c>
      <c r="G17" s="3" t="inlineStr">
        <is>
          <t>≥ 50 %</t>
        </is>
      </c>
      <c r="H17" s="3" t="inlineStr">
        <is>
          <t>30 à 50 %</t>
        </is>
      </c>
      <c r="I17" s="3" t="inlineStr">
        <is>
          <t>&lt; 30 % : réduire les suggestions</t>
        </is>
      </c>
      <c r="J17" s="3" t="inlineStr">
        <is>
          <t>Suggestions ignorées (bruit)</t>
        </is>
      </c>
      <c r="K17" s="3" t="inlineStr">
        <is>
          <t>Hebdomadaire</t>
        </is>
      </c>
    </row>
    <row r="18">
      <c r="A18" s="47" t="inlineStr">
        <is>
          <t>Équipe</t>
        </is>
      </c>
      <c r="B18" s="3" t="inlineStr">
        <is>
          <t>CAC par canal et persona</t>
        </is>
      </c>
      <c r="C18" s="3" t="inlineStr">
        <is>
          <t>Dépenses attribuées / nouveaux payants attribués</t>
        </is>
      </c>
      <c r="D18" s="3" t="inlineStr">
        <is>
          <t>Allocation du budget</t>
        </is>
      </c>
      <c r="E18" s="3" t="inlineStr">
        <is>
          <t>Alice</t>
        </is>
      </c>
      <c r="F18" s="3" t="inlineStr">
        <is>
          <t>Retard</t>
        </is>
      </c>
      <c r="G18" s="3" t="inlineStr">
        <is>
          <t>≤ 150 €</t>
        </is>
      </c>
      <c r="H18" s="3" t="inlineStr">
        <is>
          <t>150 à 240 €</t>
        </is>
      </c>
      <c r="I18" s="3" t="inlineStr">
        <is>
          <t>&gt; 240 € : arrêt du canal</t>
        </is>
      </c>
      <c r="J18" s="3" t="inlineStr">
        <is>
          <t>Rétention J30 par canal</t>
        </is>
      </c>
      <c r="K18" s="3" t="inlineStr">
        <is>
          <t>Mensuelle</t>
        </is>
      </c>
    </row>
    <row r="19">
      <c r="A19" s="47" t="inlineStr">
        <is>
          <t>Équipe</t>
        </is>
      </c>
      <c r="B19" s="3" t="inlineStr">
        <is>
          <t>Délai de réponse support</t>
        </is>
      </c>
      <c r="C19" s="3" t="inlineStr">
        <is>
          <t>Médiane, heures ouvrées</t>
        </is>
      </c>
      <c r="D19" s="3" t="inlineStr">
        <is>
          <t>Dimensionnement du support</t>
        </is>
      </c>
      <c r="E19" s="3" t="inlineStr">
        <is>
          <t>Steve</t>
        </is>
      </c>
      <c r="F19" s="3" t="inlineStr">
        <is>
          <t>Avance</t>
        </is>
      </c>
      <c r="G19" s="3" t="inlineStr">
        <is>
          <t>≤ 4 h</t>
        </is>
      </c>
      <c r="H19" s="3" t="inlineStr">
        <is>
          <t>4 à 24 h</t>
        </is>
      </c>
      <c r="I19" s="3" t="inlineStr">
        <is>
          <t>&gt; 24 h</t>
        </is>
      </c>
      <c r="J19" s="3" t="inlineStr">
        <is>
          <t>Taux de résolution au premier contact</t>
        </is>
      </c>
      <c r="K19" s="3" t="inlineStr">
        <is>
          <t>Hebdomadaire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40" customWidth="1" min="4" max="4"/>
    <col width="16" customWidth="1" min="5" max="5"/>
    <col width="60" customWidth="1" min="6" max="6"/>
    <col width="11" customWidth="1" min="7" max="7"/>
  </cols>
  <sheetData>
    <row r="1">
      <c r="A1" s="1" t="inlineStr">
        <is>
          <t>Plan de financement par jalons (hypothèses, aucune aide ni levée acquise)</t>
        </is>
      </c>
    </row>
    <row r="2">
      <c r="A2" s="4" t="inlineStr">
        <is>
          <t>Reprend la stratégie Finance V1 (2 FINANCE/FINANCEMENT). Les montants alimentent les tranches de l'onglet Hypothèses quand « Inclure le financement » = 1.</t>
        </is>
      </c>
    </row>
    <row r="4">
      <c r="A4" s="45" t="inlineStr">
        <is>
          <t>Phase</t>
        </is>
      </c>
      <c r="B4" s="45" t="inlineStr">
        <is>
          <t>Fenêtre</t>
        </is>
      </c>
      <c r="C4" s="45" t="inlineStr">
        <is>
          <t>Objectif</t>
        </is>
      </c>
      <c r="D4" s="45" t="inlineStr">
        <is>
          <t>Source envisagée</t>
        </is>
      </c>
      <c r="E4" s="45" t="inlineStr">
        <is>
          <t>Montant (hypothèse)</t>
        </is>
      </c>
      <c r="F4" s="45" t="inlineStr">
        <is>
          <t>Conditions et vérifications</t>
        </is>
      </c>
      <c r="G4" s="45" t="inlineStr">
        <is>
          <t>Statut</t>
        </is>
      </c>
    </row>
    <row r="5">
      <c r="A5" s="3" t="inlineStr">
        <is>
          <t>Phase 0, validation</t>
        </is>
      </c>
      <c r="B5" s="3" t="inlineStr">
        <is>
          <t>M1 à M3</t>
        </is>
      </c>
      <c r="C5" s="3" t="inlineStr">
        <is>
          <t>Entretiens, prototype des missions 1 et 5, test de prix</t>
        </is>
      </c>
      <c r="D5" s="3" t="inlineStr">
        <is>
          <t>Apports des fondateurs</t>
        </is>
      </c>
      <c r="E5" s="48" t="n">
        <v>15000</v>
      </c>
      <c r="F5" s="3" t="inlineStr">
        <is>
          <t>Pas de société nécessaire. Dépenses non éligibles aux aides si engagées avant création : vérifier avant tout paiement.</t>
        </is>
      </c>
      <c r="G5" s="3" t="inlineStr">
        <is>
          <t>Hypothèse</t>
        </is>
      </c>
    </row>
    <row r="6">
      <c r="A6" s="3" t="inlineStr">
        <is>
          <t>Phase 1, création et MVP</t>
        </is>
      </c>
      <c r="B6" s="3" t="inlineStr">
        <is>
          <t>Au lancement (M7 central)</t>
        </is>
      </c>
      <c r="C6" s="3" t="inlineStr">
        <is>
          <t>Société, MVP, pilote, 30 premiers abonnés</t>
        </is>
      </c>
      <c r="D6" s="3" t="inlineStr">
        <is>
          <t>Prêts d'honneur (Initiative, Réseau Entreprendre), Bourse French Tech (Bpifrance), business angels, incubateur HEC</t>
        </is>
      </c>
      <c r="E6" s="48" t="n">
        <v>150000</v>
      </c>
      <c r="F6" s="3" t="inlineStr">
        <is>
          <t>Éligibilité, calendrier d'instruction et montants à vérifier auprès de chaque dispositif ; les prêts d'honneur sont personnels aux fondateurs.</t>
        </is>
      </c>
      <c r="G6" s="3" t="inlineStr">
        <is>
          <t>Hypothèse</t>
        </is>
      </c>
    </row>
    <row r="7">
      <c r="A7" s="3" t="inlineStr">
        <is>
          <t>Phase 2, croissance</t>
        </is>
      </c>
      <c r="B7" s="3" t="inlineStr">
        <is>
          <t>M13 (central)</t>
        </is>
      </c>
      <c r="C7" s="3" t="inlineStr">
        <is>
          <t>Acquisition, embauches 1 et 2, Family</t>
        </is>
      </c>
      <c r="D7" s="3" t="inlineStr">
        <is>
          <t>Amorçage (business angels, fonds d'amorçage), prêt bancaire adossé</t>
        </is>
      </c>
      <c r="E7" s="48" t="n">
        <v>300000</v>
      </c>
      <c r="F7" s="3" t="inlineStr">
        <is>
          <t>Conditionné à : rétention J30 ≥ 70 %, payback ≤ 6 mois, coût variable ≤ 18 €, zéro incident critique.</t>
        </is>
      </c>
      <c r="G7" s="3" t="inlineStr">
        <is>
          <t>Hypothèse</t>
        </is>
      </c>
    </row>
    <row r="9">
      <c r="D9" s="2" t="inlineStr">
        <is>
          <t>Total des tranches</t>
        </is>
      </c>
      <c r="E9" s="40">
        <f>SUM(E5:E7)</f>
        <v/>
      </c>
    </row>
    <row r="11">
      <c r="A11" s="2" t="inlineStr">
        <is>
          <t>Comparaison avec le besoin calculé (onglet Synthèse, scénario Central) :</t>
        </is>
      </c>
    </row>
    <row r="12">
      <c r="A12" t="inlineStr">
        <is>
          <t>Besoin de financement Central</t>
        </is>
      </c>
      <c r="E12" s="20">
        <f>Synthèse!D8</f>
        <v/>
      </c>
    </row>
    <row r="13">
      <c r="A13" t="inlineStr">
        <is>
          <t>Couverture du besoin par les tranches (x)</t>
        </is>
      </c>
      <c r="E13" s="30">
        <f>IF(E12&gt;0,E9/E12,0)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4DDD2"/>
    <outlinePr summaryBelow="1" summaryRight="1"/>
    <pageSetUpPr/>
  </sheetPr>
  <dimension ref="A1:AP7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40" max="40"/>
    <col width="13" customWidth="1" min="41" max="41"/>
    <col width="13" customWidth="1" min="42" max="42"/>
  </cols>
  <sheetData>
    <row r="1">
      <c r="A1" s="1" t="inlineStr">
        <is>
          <t>Sensibilité S01 : Churn 5 % (copie du Central)</t>
        </is>
      </c>
    </row>
    <row r="2">
      <c r="A2" s="4" t="inlineStr">
        <is>
          <t>Flux en € HT sauf mention TTC. Formules vivantes ; ne saisir que dans l'onglet Hypothèses et la ligne de chocs ci-dessous.</t>
        </is>
      </c>
    </row>
    <row r="3">
      <c r="A3" s="2" t="inlineStr">
        <is>
          <t>Chocs de sensibilité (1 = aucun ; retard en mois)</t>
        </is>
      </c>
      <c r="C3" s="33" t="inlineStr">
        <is>
          <t>Prix ×</t>
        </is>
      </c>
      <c r="D3" s="33" t="inlineStr">
        <is>
          <t>Churn ×</t>
        </is>
      </c>
      <c r="E3" s="33" t="inlineStr">
        <is>
          <t>CAC ×</t>
        </is>
      </c>
      <c r="F3" s="33" t="inlineStr">
        <is>
          <t>Coût IA ×</t>
        </is>
      </c>
      <c r="G3" s="33" t="inlineStr">
        <is>
          <t>Coûts fixes ×</t>
        </is>
      </c>
      <c r="H3" s="33" t="inlineStr">
        <is>
          <t>Retard lancement (mois)</t>
        </is>
      </c>
    </row>
    <row r="4">
      <c r="C4" s="34" t="n">
        <v>1</v>
      </c>
      <c r="D4" s="34" t="n">
        <v>1.6667</v>
      </c>
      <c r="E4" s="34" t="n">
        <v>1</v>
      </c>
      <c r="F4" s="34" t="n">
        <v>1</v>
      </c>
      <c r="G4" s="34" t="n">
        <v>1</v>
      </c>
      <c r="H4" s="35" t="n">
        <v>0</v>
      </c>
    </row>
    <row r="5">
      <c r="A5" s="2" t="inlineStr">
        <is>
          <t>Mois de lancement effectif</t>
        </is>
      </c>
      <c r="B5" s="22">
        <f>Hypothèses!$D$10+$H$4</f>
        <v/>
      </c>
    </row>
    <row r="6">
      <c r="A6" s="28" t="inlineStr">
        <is>
          <t>Ligne</t>
        </is>
      </c>
      <c r="B6" s="28" t="inlineStr">
        <is>
          <t>Unité</t>
        </is>
      </c>
      <c r="C6" s="36" t="inlineStr">
        <is>
          <t>M1</t>
        </is>
      </c>
      <c r="D6" s="36" t="inlineStr">
        <is>
          <t>M2</t>
        </is>
      </c>
      <c r="E6" s="36" t="inlineStr">
        <is>
          <t>M3</t>
        </is>
      </c>
      <c r="F6" s="36" t="inlineStr">
        <is>
          <t>M4</t>
        </is>
      </c>
      <c r="G6" s="36" t="inlineStr">
        <is>
          <t>M5</t>
        </is>
      </c>
      <c r="H6" s="36" t="inlineStr">
        <is>
          <t>M6</t>
        </is>
      </c>
      <c r="I6" s="36" t="inlineStr">
        <is>
          <t>M7</t>
        </is>
      </c>
      <c r="J6" s="36" t="inlineStr">
        <is>
          <t>M8</t>
        </is>
      </c>
      <c r="K6" s="36" t="inlineStr">
        <is>
          <t>M9</t>
        </is>
      </c>
      <c r="L6" s="36" t="inlineStr">
        <is>
          <t>M10</t>
        </is>
      </c>
      <c r="M6" s="36" t="inlineStr">
        <is>
          <t>M11</t>
        </is>
      </c>
      <c r="N6" s="36" t="inlineStr">
        <is>
          <t>M12</t>
        </is>
      </c>
      <c r="O6" s="36" t="inlineStr">
        <is>
          <t>M13</t>
        </is>
      </c>
      <c r="P6" s="36" t="inlineStr">
        <is>
          <t>M14</t>
        </is>
      </c>
      <c r="Q6" s="36" t="inlineStr">
        <is>
          <t>M15</t>
        </is>
      </c>
      <c r="R6" s="36" t="inlineStr">
        <is>
          <t>M16</t>
        </is>
      </c>
      <c r="S6" s="36" t="inlineStr">
        <is>
          <t>M17</t>
        </is>
      </c>
      <c r="T6" s="36" t="inlineStr">
        <is>
          <t>M18</t>
        </is>
      </c>
      <c r="U6" s="36" t="inlineStr">
        <is>
          <t>M19</t>
        </is>
      </c>
      <c r="V6" s="36" t="inlineStr">
        <is>
          <t>M20</t>
        </is>
      </c>
      <c r="W6" s="36" t="inlineStr">
        <is>
          <t>M21</t>
        </is>
      </c>
      <c r="X6" s="36" t="inlineStr">
        <is>
          <t>M22</t>
        </is>
      </c>
      <c r="Y6" s="36" t="inlineStr">
        <is>
          <t>M23</t>
        </is>
      </c>
      <c r="Z6" s="36" t="inlineStr">
        <is>
          <t>M24</t>
        </is>
      </c>
      <c r="AA6" s="36" t="inlineStr">
        <is>
          <t>M25</t>
        </is>
      </c>
      <c r="AB6" s="36" t="inlineStr">
        <is>
          <t>M26</t>
        </is>
      </c>
      <c r="AC6" s="36" t="inlineStr">
        <is>
          <t>M27</t>
        </is>
      </c>
      <c r="AD6" s="36" t="inlineStr">
        <is>
          <t>M28</t>
        </is>
      </c>
      <c r="AE6" s="36" t="inlineStr">
        <is>
          <t>M29</t>
        </is>
      </c>
      <c r="AF6" s="36" t="inlineStr">
        <is>
          <t>M30</t>
        </is>
      </c>
      <c r="AG6" s="36" t="inlineStr">
        <is>
          <t>M31</t>
        </is>
      </c>
      <c r="AH6" s="36" t="inlineStr">
        <is>
          <t>M32</t>
        </is>
      </c>
      <c r="AI6" s="36" t="inlineStr">
        <is>
          <t>M33</t>
        </is>
      </c>
      <c r="AJ6" s="36" t="inlineStr">
        <is>
          <t>M34</t>
        </is>
      </c>
      <c r="AK6" s="36" t="inlineStr">
        <is>
          <t>M35</t>
        </is>
      </c>
      <c r="AL6" s="36" t="inlineStr">
        <is>
          <t>M36</t>
        </is>
      </c>
      <c r="AN6" s="37" t="inlineStr">
        <is>
          <t>Année 1</t>
        </is>
      </c>
      <c r="AO6" s="37" t="inlineStr">
        <is>
          <t>Année 2</t>
        </is>
      </c>
      <c r="AP6" s="37" t="inlineStr">
        <is>
          <t>Année 3</t>
        </is>
      </c>
    </row>
    <row r="7">
      <c r="A7" s="9" t="inlineStr">
        <is>
          <t>Mois</t>
        </is>
      </c>
      <c r="B7" s="4" t="inlineStr">
        <is>
          <t>n°</t>
        </is>
      </c>
      <c r="C7" s="13" t="n">
        <v>1</v>
      </c>
      <c r="D7" s="13" t="n">
        <v>2</v>
      </c>
      <c r="E7" s="13" t="n">
        <v>3</v>
      </c>
      <c r="F7" s="13" t="n">
        <v>4</v>
      </c>
      <c r="G7" s="13" t="n">
        <v>5</v>
      </c>
      <c r="H7" s="13" t="n">
        <v>6</v>
      </c>
      <c r="I7" s="13" t="n">
        <v>7</v>
      </c>
      <c r="J7" s="13" t="n">
        <v>8</v>
      </c>
      <c r="K7" s="13" t="n">
        <v>9</v>
      </c>
      <c r="L7" s="13" t="n">
        <v>10</v>
      </c>
      <c r="M7" s="13" t="n">
        <v>11</v>
      </c>
      <c r="N7" s="13" t="n">
        <v>12</v>
      </c>
      <c r="O7" s="13" t="n">
        <v>13</v>
      </c>
      <c r="P7" s="13" t="n">
        <v>14</v>
      </c>
      <c r="Q7" s="13" t="n">
        <v>15</v>
      </c>
      <c r="R7" s="13" t="n">
        <v>16</v>
      </c>
      <c r="S7" s="13" t="n">
        <v>17</v>
      </c>
      <c r="T7" s="13" t="n">
        <v>18</v>
      </c>
      <c r="U7" s="13" t="n">
        <v>19</v>
      </c>
      <c r="V7" s="13" t="n">
        <v>20</v>
      </c>
      <c r="W7" s="13" t="n">
        <v>21</v>
      </c>
      <c r="X7" s="13" t="n">
        <v>22</v>
      </c>
      <c r="Y7" s="13" t="n">
        <v>23</v>
      </c>
      <c r="Z7" s="13" t="n">
        <v>24</v>
      </c>
      <c r="AA7" s="13" t="n">
        <v>25</v>
      </c>
      <c r="AB7" s="13" t="n">
        <v>26</v>
      </c>
      <c r="AC7" s="13" t="n">
        <v>27</v>
      </c>
      <c r="AD7" s="13" t="n">
        <v>28</v>
      </c>
      <c r="AE7" s="13" t="n">
        <v>29</v>
      </c>
      <c r="AF7" s="13" t="n">
        <v>30</v>
      </c>
      <c r="AG7" s="13" t="n">
        <v>31</v>
      </c>
      <c r="AH7" s="13" t="n">
        <v>32</v>
      </c>
      <c r="AI7" s="13" t="n">
        <v>33</v>
      </c>
      <c r="AJ7" s="13" t="n">
        <v>34</v>
      </c>
      <c r="AK7" s="13" t="n">
        <v>35</v>
      </c>
      <c r="AL7" s="13" t="n">
        <v>36</v>
      </c>
    </row>
    <row r="8">
      <c r="A8" s="9" t="inlineStr">
        <is>
          <t>Date</t>
        </is>
      </c>
      <c r="B8" s="4" t="inlineStr"/>
      <c r="C8" s="11">
        <f>EDATE(Hypothèses!$D$7,C7-1)</f>
        <v/>
      </c>
      <c r="D8" s="11">
        <f>EDATE(Hypothèses!$D$7,D7-1)</f>
        <v/>
      </c>
      <c r="E8" s="11">
        <f>EDATE(Hypothèses!$D$7,E7-1)</f>
        <v/>
      </c>
      <c r="F8" s="11">
        <f>EDATE(Hypothèses!$D$7,F7-1)</f>
        <v/>
      </c>
      <c r="G8" s="11">
        <f>EDATE(Hypothèses!$D$7,G7-1)</f>
        <v/>
      </c>
      <c r="H8" s="11">
        <f>EDATE(Hypothèses!$D$7,H7-1)</f>
        <v/>
      </c>
      <c r="I8" s="11">
        <f>EDATE(Hypothèses!$D$7,I7-1)</f>
        <v/>
      </c>
      <c r="J8" s="11">
        <f>EDATE(Hypothèses!$D$7,J7-1)</f>
        <v/>
      </c>
      <c r="K8" s="11">
        <f>EDATE(Hypothèses!$D$7,K7-1)</f>
        <v/>
      </c>
      <c r="L8" s="11">
        <f>EDATE(Hypothèses!$D$7,L7-1)</f>
        <v/>
      </c>
      <c r="M8" s="11">
        <f>EDATE(Hypothèses!$D$7,M7-1)</f>
        <v/>
      </c>
      <c r="N8" s="11">
        <f>EDATE(Hypothèses!$D$7,N7-1)</f>
        <v/>
      </c>
      <c r="O8" s="11">
        <f>EDATE(Hypothèses!$D$7,O7-1)</f>
        <v/>
      </c>
      <c r="P8" s="11">
        <f>EDATE(Hypothèses!$D$7,P7-1)</f>
        <v/>
      </c>
      <c r="Q8" s="11">
        <f>EDATE(Hypothèses!$D$7,Q7-1)</f>
        <v/>
      </c>
      <c r="R8" s="11">
        <f>EDATE(Hypothèses!$D$7,R7-1)</f>
        <v/>
      </c>
      <c r="S8" s="11">
        <f>EDATE(Hypothèses!$D$7,S7-1)</f>
        <v/>
      </c>
      <c r="T8" s="11">
        <f>EDATE(Hypothèses!$D$7,T7-1)</f>
        <v/>
      </c>
      <c r="U8" s="11">
        <f>EDATE(Hypothèses!$D$7,U7-1)</f>
        <v/>
      </c>
      <c r="V8" s="11">
        <f>EDATE(Hypothèses!$D$7,V7-1)</f>
        <v/>
      </c>
      <c r="W8" s="11">
        <f>EDATE(Hypothèses!$D$7,W7-1)</f>
        <v/>
      </c>
      <c r="X8" s="11">
        <f>EDATE(Hypothèses!$D$7,X7-1)</f>
        <v/>
      </c>
      <c r="Y8" s="11">
        <f>EDATE(Hypothèses!$D$7,Y7-1)</f>
        <v/>
      </c>
      <c r="Z8" s="11">
        <f>EDATE(Hypothèses!$D$7,Z7-1)</f>
        <v/>
      </c>
      <c r="AA8" s="11">
        <f>EDATE(Hypothèses!$D$7,AA7-1)</f>
        <v/>
      </c>
      <c r="AB8" s="11">
        <f>EDATE(Hypothèses!$D$7,AB7-1)</f>
        <v/>
      </c>
      <c r="AC8" s="11">
        <f>EDATE(Hypothèses!$D$7,AC7-1)</f>
        <v/>
      </c>
      <c r="AD8" s="11">
        <f>EDATE(Hypothèses!$D$7,AD7-1)</f>
        <v/>
      </c>
      <c r="AE8" s="11">
        <f>EDATE(Hypothèses!$D$7,AE7-1)</f>
        <v/>
      </c>
      <c r="AF8" s="11">
        <f>EDATE(Hypothèses!$D$7,AF7-1)</f>
        <v/>
      </c>
      <c r="AG8" s="11">
        <f>EDATE(Hypothèses!$D$7,AG7-1)</f>
        <v/>
      </c>
      <c r="AH8" s="11">
        <f>EDATE(Hypothèses!$D$7,AH7-1)</f>
        <v/>
      </c>
      <c r="AI8" s="11">
        <f>EDATE(Hypothèses!$D$7,AI7-1)</f>
        <v/>
      </c>
      <c r="AJ8" s="11">
        <f>EDATE(Hypothèses!$D$7,AJ7-1)</f>
        <v/>
      </c>
      <c r="AK8" s="11">
        <f>EDATE(Hypothèses!$D$7,AK7-1)</f>
        <v/>
      </c>
      <c r="AL8" s="11">
        <f>EDATE(Hypothèses!$D$7,AL7-1)</f>
        <v/>
      </c>
    </row>
    <row r="9">
      <c r="A9" s="9" t="inlineStr">
        <is>
          <t>Lancé ? (1 = oui)</t>
        </is>
      </c>
      <c r="B9" s="4" t="inlineStr">
        <is>
          <t>0/1</t>
        </is>
      </c>
      <c r="C9" s="13">
        <f>IF(C7&gt;=$B$5,1,0)</f>
        <v/>
      </c>
      <c r="D9" s="13">
        <f>IF(D7&gt;=$B$5,1,0)</f>
        <v/>
      </c>
      <c r="E9" s="13">
        <f>IF(E7&gt;=$B$5,1,0)</f>
        <v/>
      </c>
      <c r="F9" s="13">
        <f>IF(F7&gt;=$B$5,1,0)</f>
        <v/>
      </c>
      <c r="G9" s="13">
        <f>IF(G7&gt;=$B$5,1,0)</f>
        <v/>
      </c>
      <c r="H9" s="13">
        <f>IF(H7&gt;=$B$5,1,0)</f>
        <v/>
      </c>
      <c r="I9" s="13">
        <f>IF(I7&gt;=$B$5,1,0)</f>
        <v/>
      </c>
      <c r="J9" s="13">
        <f>IF(J7&gt;=$B$5,1,0)</f>
        <v/>
      </c>
      <c r="K9" s="13">
        <f>IF(K7&gt;=$B$5,1,0)</f>
        <v/>
      </c>
      <c r="L9" s="13">
        <f>IF(L7&gt;=$B$5,1,0)</f>
        <v/>
      </c>
      <c r="M9" s="13">
        <f>IF(M7&gt;=$B$5,1,0)</f>
        <v/>
      </c>
      <c r="N9" s="13">
        <f>IF(N7&gt;=$B$5,1,0)</f>
        <v/>
      </c>
      <c r="O9" s="13">
        <f>IF(O7&gt;=$B$5,1,0)</f>
        <v/>
      </c>
      <c r="P9" s="13">
        <f>IF(P7&gt;=$B$5,1,0)</f>
        <v/>
      </c>
      <c r="Q9" s="13">
        <f>IF(Q7&gt;=$B$5,1,0)</f>
        <v/>
      </c>
      <c r="R9" s="13">
        <f>IF(R7&gt;=$B$5,1,0)</f>
        <v/>
      </c>
      <c r="S9" s="13">
        <f>IF(S7&gt;=$B$5,1,0)</f>
        <v/>
      </c>
      <c r="T9" s="13">
        <f>IF(T7&gt;=$B$5,1,0)</f>
        <v/>
      </c>
      <c r="U9" s="13">
        <f>IF(U7&gt;=$B$5,1,0)</f>
        <v/>
      </c>
      <c r="V9" s="13">
        <f>IF(V7&gt;=$B$5,1,0)</f>
        <v/>
      </c>
      <c r="W9" s="13">
        <f>IF(W7&gt;=$B$5,1,0)</f>
        <v/>
      </c>
      <c r="X9" s="13">
        <f>IF(X7&gt;=$B$5,1,0)</f>
        <v/>
      </c>
      <c r="Y9" s="13">
        <f>IF(Y7&gt;=$B$5,1,0)</f>
        <v/>
      </c>
      <c r="Z9" s="13">
        <f>IF(Z7&gt;=$B$5,1,0)</f>
        <v/>
      </c>
      <c r="AA9" s="13">
        <f>IF(AA7&gt;=$B$5,1,0)</f>
        <v/>
      </c>
      <c r="AB9" s="13">
        <f>IF(AB7&gt;=$B$5,1,0)</f>
        <v/>
      </c>
      <c r="AC9" s="13">
        <f>IF(AC7&gt;=$B$5,1,0)</f>
        <v/>
      </c>
      <c r="AD9" s="13">
        <f>IF(AD7&gt;=$B$5,1,0)</f>
        <v/>
      </c>
      <c r="AE9" s="13">
        <f>IF(AE7&gt;=$B$5,1,0)</f>
        <v/>
      </c>
      <c r="AF9" s="13">
        <f>IF(AF7&gt;=$B$5,1,0)</f>
        <v/>
      </c>
      <c r="AG9" s="13">
        <f>IF(AG7&gt;=$B$5,1,0)</f>
        <v/>
      </c>
      <c r="AH9" s="13">
        <f>IF(AH7&gt;=$B$5,1,0)</f>
        <v/>
      </c>
      <c r="AI9" s="13">
        <f>IF(AI7&gt;=$B$5,1,0)</f>
        <v/>
      </c>
      <c r="AJ9" s="13">
        <f>IF(AJ7&gt;=$B$5,1,0)</f>
        <v/>
      </c>
      <c r="AK9" s="13">
        <f>IF(AK7&gt;=$B$5,1,0)</f>
        <v/>
      </c>
      <c r="AL9" s="13">
        <f>IF(AL7&gt;=$B$5,1,0)</f>
        <v/>
      </c>
    </row>
    <row r="10">
      <c r="A10" s="9" t="inlineStr">
        <is>
          <t>Pilote en cours ? (1 = oui)</t>
        </is>
      </c>
      <c r="B10" s="4" t="inlineStr">
        <is>
          <t>0/1</t>
        </is>
      </c>
      <c r="C10" s="13">
        <f>IF(AND(C7&gt;=Hypothèses!$D$8,C7&lt;$B$5),1,0)</f>
        <v/>
      </c>
      <c r="D10" s="13">
        <f>IF(AND(D7&gt;=Hypothèses!$D$8,D7&lt;$B$5),1,0)</f>
        <v/>
      </c>
      <c r="E10" s="13">
        <f>IF(AND(E7&gt;=Hypothèses!$D$8,E7&lt;$B$5),1,0)</f>
        <v/>
      </c>
      <c r="F10" s="13">
        <f>IF(AND(F7&gt;=Hypothèses!$D$8,F7&lt;$B$5),1,0)</f>
        <v/>
      </c>
      <c r="G10" s="13">
        <f>IF(AND(G7&gt;=Hypothèses!$D$8,G7&lt;$B$5),1,0)</f>
        <v/>
      </c>
      <c r="H10" s="13">
        <f>IF(AND(H7&gt;=Hypothèses!$D$8,H7&lt;$B$5),1,0)</f>
        <v/>
      </c>
      <c r="I10" s="13">
        <f>IF(AND(I7&gt;=Hypothèses!$D$8,I7&lt;$B$5),1,0)</f>
        <v/>
      </c>
      <c r="J10" s="13">
        <f>IF(AND(J7&gt;=Hypothèses!$D$8,J7&lt;$B$5),1,0)</f>
        <v/>
      </c>
      <c r="K10" s="13">
        <f>IF(AND(K7&gt;=Hypothèses!$D$8,K7&lt;$B$5),1,0)</f>
        <v/>
      </c>
      <c r="L10" s="13">
        <f>IF(AND(L7&gt;=Hypothèses!$D$8,L7&lt;$B$5),1,0)</f>
        <v/>
      </c>
      <c r="M10" s="13">
        <f>IF(AND(M7&gt;=Hypothèses!$D$8,M7&lt;$B$5),1,0)</f>
        <v/>
      </c>
      <c r="N10" s="13">
        <f>IF(AND(N7&gt;=Hypothèses!$D$8,N7&lt;$B$5),1,0)</f>
        <v/>
      </c>
      <c r="O10" s="13">
        <f>IF(AND(O7&gt;=Hypothèses!$D$8,O7&lt;$B$5),1,0)</f>
        <v/>
      </c>
      <c r="P10" s="13">
        <f>IF(AND(P7&gt;=Hypothèses!$D$8,P7&lt;$B$5),1,0)</f>
        <v/>
      </c>
      <c r="Q10" s="13">
        <f>IF(AND(Q7&gt;=Hypothèses!$D$8,Q7&lt;$B$5),1,0)</f>
        <v/>
      </c>
      <c r="R10" s="13">
        <f>IF(AND(R7&gt;=Hypothèses!$D$8,R7&lt;$B$5),1,0)</f>
        <v/>
      </c>
      <c r="S10" s="13">
        <f>IF(AND(S7&gt;=Hypothèses!$D$8,S7&lt;$B$5),1,0)</f>
        <v/>
      </c>
      <c r="T10" s="13">
        <f>IF(AND(T7&gt;=Hypothèses!$D$8,T7&lt;$B$5),1,0)</f>
        <v/>
      </c>
      <c r="U10" s="13">
        <f>IF(AND(U7&gt;=Hypothèses!$D$8,U7&lt;$B$5),1,0)</f>
        <v/>
      </c>
      <c r="V10" s="13">
        <f>IF(AND(V7&gt;=Hypothèses!$D$8,V7&lt;$B$5),1,0)</f>
        <v/>
      </c>
      <c r="W10" s="13">
        <f>IF(AND(W7&gt;=Hypothèses!$D$8,W7&lt;$B$5),1,0)</f>
        <v/>
      </c>
      <c r="X10" s="13">
        <f>IF(AND(X7&gt;=Hypothèses!$D$8,X7&lt;$B$5),1,0)</f>
        <v/>
      </c>
      <c r="Y10" s="13">
        <f>IF(AND(Y7&gt;=Hypothèses!$D$8,Y7&lt;$B$5),1,0)</f>
        <v/>
      </c>
      <c r="Z10" s="13">
        <f>IF(AND(Z7&gt;=Hypothèses!$D$8,Z7&lt;$B$5),1,0)</f>
        <v/>
      </c>
      <c r="AA10" s="13">
        <f>IF(AND(AA7&gt;=Hypothèses!$D$8,AA7&lt;$B$5),1,0)</f>
        <v/>
      </c>
      <c r="AB10" s="13">
        <f>IF(AND(AB7&gt;=Hypothèses!$D$8,AB7&lt;$B$5),1,0)</f>
        <v/>
      </c>
      <c r="AC10" s="13">
        <f>IF(AND(AC7&gt;=Hypothèses!$D$8,AC7&lt;$B$5),1,0)</f>
        <v/>
      </c>
      <c r="AD10" s="13">
        <f>IF(AND(AD7&gt;=Hypothèses!$D$8,AD7&lt;$B$5),1,0)</f>
        <v/>
      </c>
      <c r="AE10" s="13">
        <f>IF(AND(AE7&gt;=Hypothèses!$D$8,AE7&lt;$B$5),1,0)</f>
        <v/>
      </c>
      <c r="AF10" s="13">
        <f>IF(AND(AF7&gt;=Hypothèses!$D$8,AF7&lt;$B$5),1,0)</f>
        <v/>
      </c>
      <c r="AG10" s="13">
        <f>IF(AND(AG7&gt;=Hypothèses!$D$8,AG7&lt;$B$5),1,0)</f>
        <v/>
      </c>
      <c r="AH10" s="13">
        <f>IF(AND(AH7&gt;=Hypothèses!$D$8,AH7&lt;$B$5),1,0)</f>
        <v/>
      </c>
      <c r="AI10" s="13">
        <f>IF(AND(AI7&gt;=Hypothèses!$D$8,AI7&lt;$B$5),1,0)</f>
        <v/>
      </c>
      <c r="AJ10" s="13">
        <f>IF(AND(AJ7&gt;=Hypothèses!$D$8,AJ7&lt;$B$5),1,0)</f>
        <v/>
      </c>
      <c r="AK10" s="13">
        <f>IF(AND(AK7&gt;=Hypothèses!$D$8,AK7&lt;$B$5),1,0)</f>
        <v/>
      </c>
      <c r="AL10" s="13">
        <f>IF(AND(AL7&gt;=Hypothèses!$D$8,AL7&lt;$B$5),1,0)</f>
        <v/>
      </c>
    </row>
    <row r="11">
      <c r="A11" s="9" t="inlineStr">
        <is>
          <t>Budget d'acquisition du mois</t>
        </is>
      </c>
      <c r="B11" s="4" t="inlineStr">
        <is>
          <t>€ HT</t>
        </is>
      </c>
      <c r="C11" s="15">
        <f>IF(C9=1,IF(C7&lt;=12,Hypothèses!$D$20,IF(C7&lt;=24,Hypothèses!$D$21,Hypothèses!$D$22)),0)</f>
        <v/>
      </c>
      <c r="D11" s="15">
        <f>IF(D9=1,IF(D7&lt;=12,Hypothèses!$D$20,IF(D7&lt;=24,Hypothèses!$D$21,Hypothèses!$D$22)),0)</f>
        <v/>
      </c>
      <c r="E11" s="15">
        <f>IF(E9=1,IF(E7&lt;=12,Hypothèses!$D$20,IF(E7&lt;=24,Hypothèses!$D$21,Hypothèses!$D$22)),0)</f>
        <v/>
      </c>
      <c r="F11" s="15">
        <f>IF(F9=1,IF(F7&lt;=12,Hypothèses!$D$20,IF(F7&lt;=24,Hypothèses!$D$21,Hypothèses!$D$22)),0)</f>
        <v/>
      </c>
      <c r="G11" s="15">
        <f>IF(G9=1,IF(G7&lt;=12,Hypothèses!$D$20,IF(G7&lt;=24,Hypothèses!$D$21,Hypothèses!$D$22)),0)</f>
        <v/>
      </c>
      <c r="H11" s="15">
        <f>IF(H9=1,IF(H7&lt;=12,Hypothèses!$D$20,IF(H7&lt;=24,Hypothèses!$D$21,Hypothèses!$D$22)),0)</f>
        <v/>
      </c>
      <c r="I11" s="15">
        <f>IF(I9=1,IF(I7&lt;=12,Hypothèses!$D$20,IF(I7&lt;=24,Hypothèses!$D$21,Hypothèses!$D$22)),0)</f>
        <v/>
      </c>
      <c r="J11" s="15">
        <f>IF(J9=1,IF(J7&lt;=12,Hypothèses!$D$20,IF(J7&lt;=24,Hypothèses!$D$21,Hypothèses!$D$22)),0)</f>
        <v/>
      </c>
      <c r="K11" s="15">
        <f>IF(K9=1,IF(K7&lt;=12,Hypothèses!$D$20,IF(K7&lt;=24,Hypothèses!$D$21,Hypothèses!$D$22)),0)</f>
        <v/>
      </c>
      <c r="L11" s="15">
        <f>IF(L9=1,IF(L7&lt;=12,Hypothèses!$D$20,IF(L7&lt;=24,Hypothèses!$D$21,Hypothèses!$D$22)),0)</f>
        <v/>
      </c>
      <c r="M11" s="15">
        <f>IF(M9=1,IF(M7&lt;=12,Hypothèses!$D$20,IF(M7&lt;=24,Hypothèses!$D$21,Hypothèses!$D$22)),0)</f>
        <v/>
      </c>
      <c r="N11" s="15">
        <f>IF(N9=1,IF(N7&lt;=12,Hypothèses!$D$20,IF(N7&lt;=24,Hypothèses!$D$21,Hypothèses!$D$22)),0)</f>
        <v/>
      </c>
      <c r="O11" s="15">
        <f>IF(O9=1,IF(O7&lt;=12,Hypothèses!$D$20,IF(O7&lt;=24,Hypothèses!$D$21,Hypothèses!$D$22)),0)</f>
        <v/>
      </c>
      <c r="P11" s="15">
        <f>IF(P9=1,IF(P7&lt;=12,Hypothèses!$D$20,IF(P7&lt;=24,Hypothèses!$D$21,Hypothèses!$D$22)),0)</f>
        <v/>
      </c>
      <c r="Q11" s="15">
        <f>IF(Q9=1,IF(Q7&lt;=12,Hypothèses!$D$20,IF(Q7&lt;=24,Hypothèses!$D$21,Hypothèses!$D$22)),0)</f>
        <v/>
      </c>
      <c r="R11" s="15">
        <f>IF(R9=1,IF(R7&lt;=12,Hypothèses!$D$20,IF(R7&lt;=24,Hypothèses!$D$21,Hypothèses!$D$22)),0)</f>
        <v/>
      </c>
      <c r="S11" s="15">
        <f>IF(S9=1,IF(S7&lt;=12,Hypothèses!$D$20,IF(S7&lt;=24,Hypothèses!$D$21,Hypothèses!$D$22)),0)</f>
        <v/>
      </c>
      <c r="T11" s="15">
        <f>IF(T9=1,IF(T7&lt;=12,Hypothèses!$D$20,IF(T7&lt;=24,Hypothèses!$D$21,Hypothèses!$D$22)),0)</f>
        <v/>
      </c>
      <c r="U11" s="15">
        <f>IF(U9=1,IF(U7&lt;=12,Hypothèses!$D$20,IF(U7&lt;=24,Hypothèses!$D$21,Hypothèses!$D$22)),0)</f>
        <v/>
      </c>
      <c r="V11" s="15">
        <f>IF(V9=1,IF(V7&lt;=12,Hypothèses!$D$20,IF(V7&lt;=24,Hypothèses!$D$21,Hypothèses!$D$22)),0)</f>
        <v/>
      </c>
      <c r="W11" s="15">
        <f>IF(W9=1,IF(W7&lt;=12,Hypothèses!$D$20,IF(W7&lt;=24,Hypothèses!$D$21,Hypothèses!$D$22)),0)</f>
        <v/>
      </c>
      <c r="X11" s="15">
        <f>IF(X9=1,IF(X7&lt;=12,Hypothèses!$D$20,IF(X7&lt;=24,Hypothèses!$D$21,Hypothèses!$D$22)),0)</f>
        <v/>
      </c>
      <c r="Y11" s="15">
        <f>IF(Y9=1,IF(Y7&lt;=12,Hypothèses!$D$20,IF(Y7&lt;=24,Hypothèses!$D$21,Hypothèses!$D$22)),0)</f>
        <v/>
      </c>
      <c r="Z11" s="15">
        <f>IF(Z9=1,IF(Z7&lt;=12,Hypothèses!$D$20,IF(Z7&lt;=24,Hypothèses!$D$21,Hypothèses!$D$22)),0)</f>
        <v/>
      </c>
      <c r="AA11" s="15">
        <f>IF(AA9=1,IF(AA7&lt;=12,Hypothèses!$D$20,IF(AA7&lt;=24,Hypothèses!$D$21,Hypothèses!$D$22)),0)</f>
        <v/>
      </c>
      <c r="AB11" s="15">
        <f>IF(AB9=1,IF(AB7&lt;=12,Hypothèses!$D$20,IF(AB7&lt;=24,Hypothèses!$D$21,Hypothèses!$D$22)),0)</f>
        <v/>
      </c>
      <c r="AC11" s="15">
        <f>IF(AC9=1,IF(AC7&lt;=12,Hypothèses!$D$20,IF(AC7&lt;=24,Hypothèses!$D$21,Hypothèses!$D$22)),0)</f>
        <v/>
      </c>
      <c r="AD11" s="15">
        <f>IF(AD9=1,IF(AD7&lt;=12,Hypothèses!$D$20,IF(AD7&lt;=24,Hypothèses!$D$21,Hypothèses!$D$22)),0)</f>
        <v/>
      </c>
      <c r="AE11" s="15">
        <f>IF(AE9=1,IF(AE7&lt;=12,Hypothèses!$D$20,IF(AE7&lt;=24,Hypothèses!$D$21,Hypothèses!$D$22)),0)</f>
        <v/>
      </c>
      <c r="AF11" s="15">
        <f>IF(AF9=1,IF(AF7&lt;=12,Hypothèses!$D$20,IF(AF7&lt;=24,Hypothèses!$D$21,Hypothèses!$D$22)),0)</f>
        <v/>
      </c>
      <c r="AG11" s="15">
        <f>IF(AG9=1,IF(AG7&lt;=12,Hypothèses!$D$20,IF(AG7&lt;=24,Hypothèses!$D$21,Hypothèses!$D$22)),0)</f>
        <v/>
      </c>
      <c r="AH11" s="15">
        <f>IF(AH9=1,IF(AH7&lt;=12,Hypothèses!$D$20,IF(AH7&lt;=24,Hypothèses!$D$21,Hypothèses!$D$22)),0)</f>
        <v/>
      </c>
      <c r="AI11" s="15">
        <f>IF(AI9=1,IF(AI7&lt;=12,Hypothèses!$D$20,IF(AI7&lt;=24,Hypothèses!$D$21,Hypothèses!$D$22)),0)</f>
        <v/>
      </c>
      <c r="AJ11" s="15">
        <f>IF(AJ9=1,IF(AJ7&lt;=12,Hypothèses!$D$20,IF(AJ7&lt;=24,Hypothèses!$D$21,Hypothèses!$D$22)),0)</f>
        <v/>
      </c>
      <c r="AK11" s="15">
        <f>IF(AK9=1,IF(AK7&lt;=12,Hypothèses!$D$20,IF(AK7&lt;=24,Hypothèses!$D$21,Hypothèses!$D$22)),0)</f>
        <v/>
      </c>
      <c r="AL11" s="15">
        <f>IF(AL9=1,IF(AL7&lt;=12,Hypothèses!$D$20,IF(AL7&lt;=24,Hypothèses!$D$21,Hypothèses!$D$22)),0)</f>
        <v/>
      </c>
      <c r="AN11" s="15">
        <f>SUM(C11:N11)</f>
        <v/>
      </c>
      <c r="AO11" s="15">
        <f>SUM(O11:Z11)</f>
        <v/>
      </c>
      <c r="AP11" s="15">
        <f>SUM(AA11:AL11)</f>
        <v/>
      </c>
    </row>
    <row r="12">
      <c r="A12" s="8" t="inlineStr">
        <is>
          <t>Abonnés</t>
        </is>
      </c>
    </row>
    <row r="13">
      <c r="A13" s="9" t="inlineStr">
        <is>
          <t>Abonnés en début de mois</t>
        </is>
      </c>
      <c r="B13" s="4" t="inlineStr">
        <is>
          <t>abonnés</t>
        </is>
      </c>
      <c r="C13" s="38">
        <f>0</f>
        <v/>
      </c>
      <c r="D13" s="38">
        <f>C18</f>
        <v/>
      </c>
      <c r="E13" s="38">
        <f>D18</f>
        <v/>
      </c>
      <c r="F13" s="38">
        <f>E18</f>
        <v/>
      </c>
      <c r="G13" s="38">
        <f>F18</f>
        <v/>
      </c>
      <c r="H13" s="38">
        <f>G18</f>
        <v/>
      </c>
      <c r="I13" s="38">
        <f>H18</f>
        <v/>
      </c>
      <c r="J13" s="38">
        <f>I18</f>
        <v/>
      </c>
      <c r="K13" s="38">
        <f>J18</f>
        <v/>
      </c>
      <c r="L13" s="38">
        <f>K18</f>
        <v/>
      </c>
      <c r="M13" s="38">
        <f>L18</f>
        <v/>
      </c>
      <c r="N13" s="38">
        <f>M18</f>
        <v/>
      </c>
      <c r="O13" s="38">
        <f>N18</f>
        <v/>
      </c>
      <c r="P13" s="38">
        <f>O18</f>
        <v/>
      </c>
      <c r="Q13" s="38">
        <f>P18</f>
        <v/>
      </c>
      <c r="R13" s="38">
        <f>Q18</f>
        <v/>
      </c>
      <c r="S13" s="38">
        <f>R18</f>
        <v/>
      </c>
      <c r="T13" s="38">
        <f>S18</f>
        <v/>
      </c>
      <c r="U13" s="38">
        <f>T18</f>
        <v/>
      </c>
      <c r="V13" s="38">
        <f>U18</f>
        <v/>
      </c>
      <c r="W13" s="38">
        <f>V18</f>
        <v/>
      </c>
      <c r="X13" s="38">
        <f>W18</f>
        <v/>
      </c>
      <c r="Y13" s="38">
        <f>X18</f>
        <v/>
      </c>
      <c r="Z13" s="38">
        <f>Y18</f>
        <v/>
      </c>
      <c r="AA13" s="38">
        <f>Z18</f>
        <v/>
      </c>
      <c r="AB13" s="38">
        <f>AA18</f>
        <v/>
      </c>
      <c r="AC13" s="38">
        <f>AB18</f>
        <v/>
      </c>
      <c r="AD13" s="38">
        <f>AC18</f>
        <v/>
      </c>
      <c r="AE13" s="38">
        <f>AD18</f>
        <v/>
      </c>
      <c r="AF13" s="38">
        <f>AE18</f>
        <v/>
      </c>
      <c r="AG13" s="38">
        <f>AF18</f>
        <v/>
      </c>
      <c r="AH13" s="38">
        <f>AG18</f>
        <v/>
      </c>
      <c r="AI13" s="38">
        <f>AH18</f>
        <v/>
      </c>
      <c r="AJ13" s="38">
        <f>AI18</f>
        <v/>
      </c>
      <c r="AK13" s="38">
        <f>AJ18</f>
        <v/>
      </c>
      <c r="AL13" s="38">
        <f>AK18</f>
        <v/>
      </c>
    </row>
    <row r="14">
      <c r="A14" s="9" t="inlineStr">
        <is>
          <t>Nouveaux abonnés par acquisition payante</t>
        </is>
      </c>
      <c r="B14" s="4" t="inlineStr">
        <is>
          <t>abonnés</t>
        </is>
      </c>
      <c r="C14" s="38">
        <f>C11/(Hypothèses!$D$23*$E$4)</f>
        <v/>
      </c>
      <c r="D14" s="38">
        <f>D11/(Hypothèses!$D$23*$E$4)</f>
        <v/>
      </c>
      <c r="E14" s="38">
        <f>E11/(Hypothèses!$D$23*$E$4)</f>
        <v/>
      </c>
      <c r="F14" s="38">
        <f>F11/(Hypothèses!$D$23*$E$4)</f>
        <v/>
      </c>
      <c r="G14" s="38">
        <f>G11/(Hypothèses!$D$23*$E$4)</f>
        <v/>
      </c>
      <c r="H14" s="38">
        <f>H11/(Hypothèses!$D$23*$E$4)</f>
        <v/>
      </c>
      <c r="I14" s="38">
        <f>I11/(Hypothèses!$D$23*$E$4)</f>
        <v/>
      </c>
      <c r="J14" s="38">
        <f>J11/(Hypothèses!$D$23*$E$4)</f>
        <v/>
      </c>
      <c r="K14" s="38">
        <f>K11/(Hypothèses!$D$23*$E$4)</f>
        <v/>
      </c>
      <c r="L14" s="38">
        <f>L11/(Hypothèses!$D$23*$E$4)</f>
        <v/>
      </c>
      <c r="M14" s="38">
        <f>M11/(Hypothèses!$D$23*$E$4)</f>
        <v/>
      </c>
      <c r="N14" s="38">
        <f>N11/(Hypothèses!$D$23*$E$4)</f>
        <v/>
      </c>
      <c r="O14" s="38">
        <f>O11/(Hypothèses!$D$23*$E$4)</f>
        <v/>
      </c>
      <c r="P14" s="38">
        <f>P11/(Hypothèses!$D$23*$E$4)</f>
        <v/>
      </c>
      <c r="Q14" s="38">
        <f>Q11/(Hypothèses!$D$23*$E$4)</f>
        <v/>
      </c>
      <c r="R14" s="38">
        <f>R11/(Hypothèses!$D$23*$E$4)</f>
        <v/>
      </c>
      <c r="S14" s="38">
        <f>S11/(Hypothèses!$D$23*$E$4)</f>
        <v/>
      </c>
      <c r="T14" s="38">
        <f>T11/(Hypothèses!$D$23*$E$4)</f>
        <v/>
      </c>
      <c r="U14" s="38">
        <f>U11/(Hypothèses!$D$23*$E$4)</f>
        <v/>
      </c>
      <c r="V14" s="38">
        <f>V11/(Hypothèses!$D$23*$E$4)</f>
        <v/>
      </c>
      <c r="W14" s="38">
        <f>W11/(Hypothèses!$D$23*$E$4)</f>
        <v/>
      </c>
      <c r="X14" s="38">
        <f>X11/(Hypothèses!$D$23*$E$4)</f>
        <v/>
      </c>
      <c r="Y14" s="38">
        <f>Y11/(Hypothèses!$D$23*$E$4)</f>
        <v/>
      </c>
      <c r="Z14" s="38">
        <f>Z11/(Hypothèses!$D$23*$E$4)</f>
        <v/>
      </c>
      <c r="AA14" s="38">
        <f>AA11/(Hypothèses!$D$23*$E$4)</f>
        <v/>
      </c>
      <c r="AB14" s="38">
        <f>AB11/(Hypothèses!$D$23*$E$4)</f>
        <v/>
      </c>
      <c r="AC14" s="38">
        <f>AC11/(Hypothèses!$D$23*$E$4)</f>
        <v/>
      </c>
      <c r="AD14" s="38">
        <f>AD11/(Hypothèses!$D$23*$E$4)</f>
        <v/>
      </c>
      <c r="AE14" s="38">
        <f>AE11/(Hypothèses!$D$23*$E$4)</f>
        <v/>
      </c>
      <c r="AF14" s="38">
        <f>AF11/(Hypothèses!$D$23*$E$4)</f>
        <v/>
      </c>
      <c r="AG14" s="38">
        <f>AG11/(Hypothèses!$D$23*$E$4)</f>
        <v/>
      </c>
      <c r="AH14" s="38">
        <f>AH11/(Hypothèses!$D$23*$E$4)</f>
        <v/>
      </c>
      <c r="AI14" s="38">
        <f>AI11/(Hypothèses!$D$23*$E$4)</f>
        <v/>
      </c>
      <c r="AJ14" s="38">
        <f>AJ11/(Hypothèses!$D$23*$E$4)</f>
        <v/>
      </c>
      <c r="AK14" s="38">
        <f>AK11/(Hypothèses!$D$23*$E$4)</f>
        <v/>
      </c>
      <c r="AL14" s="38">
        <f>AL11/(Hypothèses!$D$23*$E$4)</f>
        <v/>
      </c>
      <c r="AN14" s="38">
        <f>SUM(C14:N14)</f>
        <v/>
      </c>
      <c r="AO14" s="38">
        <f>SUM(O14:Z14)</f>
        <v/>
      </c>
      <c r="AP14" s="38">
        <f>SUM(AA14:AL14)</f>
        <v/>
      </c>
    </row>
    <row r="15">
      <c r="A15" s="9" t="inlineStr">
        <is>
          <t>Nouveaux abonnés pilote</t>
        </is>
      </c>
      <c r="B15" s="4" t="inlineStr">
        <is>
          <t>abonnés</t>
        </is>
      </c>
      <c r="C15" s="38">
        <f>IF(C7=Hypothèses!$D$8,Hypothèses!$D$9,0)</f>
        <v/>
      </c>
      <c r="D15" s="38">
        <f>IF(D7=Hypothèses!$D$8,Hypothèses!$D$9,0)</f>
        <v/>
      </c>
      <c r="E15" s="38">
        <f>IF(E7=Hypothèses!$D$8,Hypothèses!$D$9,0)</f>
        <v/>
      </c>
      <c r="F15" s="38">
        <f>IF(F7=Hypothèses!$D$8,Hypothèses!$D$9,0)</f>
        <v/>
      </c>
      <c r="G15" s="38">
        <f>IF(G7=Hypothèses!$D$8,Hypothèses!$D$9,0)</f>
        <v/>
      </c>
      <c r="H15" s="38">
        <f>IF(H7=Hypothèses!$D$8,Hypothèses!$D$9,0)</f>
        <v/>
      </c>
      <c r="I15" s="38">
        <f>IF(I7=Hypothèses!$D$8,Hypothèses!$D$9,0)</f>
        <v/>
      </c>
      <c r="J15" s="38">
        <f>IF(J7=Hypothèses!$D$8,Hypothèses!$D$9,0)</f>
        <v/>
      </c>
      <c r="K15" s="38">
        <f>IF(K7=Hypothèses!$D$8,Hypothèses!$D$9,0)</f>
        <v/>
      </c>
      <c r="L15" s="38">
        <f>IF(L7=Hypothèses!$D$8,Hypothèses!$D$9,0)</f>
        <v/>
      </c>
      <c r="M15" s="38">
        <f>IF(M7=Hypothèses!$D$8,Hypothèses!$D$9,0)</f>
        <v/>
      </c>
      <c r="N15" s="38">
        <f>IF(N7=Hypothèses!$D$8,Hypothèses!$D$9,0)</f>
        <v/>
      </c>
      <c r="O15" s="38">
        <f>IF(O7=Hypothèses!$D$8,Hypothèses!$D$9,0)</f>
        <v/>
      </c>
      <c r="P15" s="38">
        <f>IF(P7=Hypothèses!$D$8,Hypothèses!$D$9,0)</f>
        <v/>
      </c>
      <c r="Q15" s="38">
        <f>IF(Q7=Hypothèses!$D$8,Hypothèses!$D$9,0)</f>
        <v/>
      </c>
      <c r="R15" s="38">
        <f>IF(R7=Hypothèses!$D$8,Hypothèses!$D$9,0)</f>
        <v/>
      </c>
      <c r="S15" s="38">
        <f>IF(S7=Hypothèses!$D$8,Hypothèses!$D$9,0)</f>
        <v/>
      </c>
      <c r="T15" s="38">
        <f>IF(T7=Hypothèses!$D$8,Hypothèses!$D$9,0)</f>
        <v/>
      </c>
      <c r="U15" s="38">
        <f>IF(U7=Hypothèses!$D$8,Hypothèses!$D$9,0)</f>
        <v/>
      </c>
      <c r="V15" s="38">
        <f>IF(V7=Hypothèses!$D$8,Hypothèses!$D$9,0)</f>
        <v/>
      </c>
      <c r="W15" s="38">
        <f>IF(W7=Hypothèses!$D$8,Hypothèses!$D$9,0)</f>
        <v/>
      </c>
      <c r="X15" s="38">
        <f>IF(X7=Hypothèses!$D$8,Hypothèses!$D$9,0)</f>
        <v/>
      </c>
      <c r="Y15" s="38">
        <f>IF(Y7=Hypothèses!$D$8,Hypothèses!$D$9,0)</f>
        <v/>
      </c>
      <c r="Z15" s="38">
        <f>IF(Z7=Hypothèses!$D$8,Hypothèses!$D$9,0)</f>
        <v/>
      </c>
      <c r="AA15" s="38">
        <f>IF(AA7=Hypothèses!$D$8,Hypothèses!$D$9,0)</f>
        <v/>
      </c>
      <c r="AB15" s="38">
        <f>IF(AB7=Hypothèses!$D$8,Hypothèses!$D$9,0)</f>
        <v/>
      </c>
      <c r="AC15" s="38">
        <f>IF(AC7=Hypothèses!$D$8,Hypothèses!$D$9,0)</f>
        <v/>
      </c>
      <c r="AD15" s="38">
        <f>IF(AD7=Hypothèses!$D$8,Hypothèses!$D$9,0)</f>
        <v/>
      </c>
      <c r="AE15" s="38">
        <f>IF(AE7=Hypothèses!$D$8,Hypothèses!$D$9,0)</f>
        <v/>
      </c>
      <c r="AF15" s="38">
        <f>IF(AF7=Hypothèses!$D$8,Hypothèses!$D$9,0)</f>
        <v/>
      </c>
      <c r="AG15" s="38">
        <f>IF(AG7=Hypothèses!$D$8,Hypothèses!$D$9,0)</f>
        <v/>
      </c>
      <c r="AH15" s="38">
        <f>IF(AH7=Hypothèses!$D$8,Hypothèses!$D$9,0)</f>
        <v/>
      </c>
      <c r="AI15" s="38">
        <f>IF(AI7=Hypothèses!$D$8,Hypothèses!$D$9,0)</f>
        <v/>
      </c>
      <c r="AJ15" s="38">
        <f>IF(AJ7=Hypothèses!$D$8,Hypothèses!$D$9,0)</f>
        <v/>
      </c>
      <c r="AK15" s="38">
        <f>IF(AK7=Hypothèses!$D$8,Hypothèses!$D$9,0)</f>
        <v/>
      </c>
      <c r="AL15" s="38">
        <f>IF(AL7=Hypothèses!$D$8,Hypothèses!$D$9,0)</f>
        <v/>
      </c>
      <c r="AN15" s="38">
        <f>SUM(C15:N15)</f>
        <v/>
      </c>
      <c r="AO15" s="38">
        <f>SUM(O15:Z15)</f>
        <v/>
      </c>
      <c r="AP15" s="38">
        <f>SUM(AA15:AL15)</f>
        <v/>
      </c>
    </row>
    <row r="16">
      <c r="A16" s="9" t="inlineStr">
        <is>
          <t>Nouveaux abonnés organiques (parrainage)</t>
        </is>
      </c>
      <c r="B16" s="4" t="inlineStr">
        <is>
          <t>abonnés</t>
        </is>
      </c>
      <c r="C16" s="38">
        <f>C9*C13*Hypothèses!$D$24</f>
        <v/>
      </c>
      <c r="D16" s="38">
        <f>D9*D13*Hypothèses!$D$24</f>
        <v/>
      </c>
      <c r="E16" s="38">
        <f>E9*E13*Hypothèses!$D$24</f>
        <v/>
      </c>
      <c r="F16" s="38">
        <f>F9*F13*Hypothèses!$D$24</f>
        <v/>
      </c>
      <c r="G16" s="38">
        <f>G9*G13*Hypothèses!$D$24</f>
        <v/>
      </c>
      <c r="H16" s="38">
        <f>H9*H13*Hypothèses!$D$24</f>
        <v/>
      </c>
      <c r="I16" s="38">
        <f>I9*I13*Hypothèses!$D$24</f>
        <v/>
      </c>
      <c r="J16" s="38">
        <f>J9*J13*Hypothèses!$D$24</f>
        <v/>
      </c>
      <c r="K16" s="38">
        <f>K9*K13*Hypothèses!$D$24</f>
        <v/>
      </c>
      <c r="L16" s="38">
        <f>L9*L13*Hypothèses!$D$24</f>
        <v/>
      </c>
      <c r="M16" s="38">
        <f>M9*M13*Hypothèses!$D$24</f>
        <v/>
      </c>
      <c r="N16" s="38">
        <f>N9*N13*Hypothèses!$D$24</f>
        <v/>
      </c>
      <c r="O16" s="38">
        <f>O9*O13*Hypothèses!$D$24</f>
        <v/>
      </c>
      <c r="P16" s="38">
        <f>P9*P13*Hypothèses!$D$24</f>
        <v/>
      </c>
      <c r="Q16" s="38">
        <f>Q9*Q13*Hypothèses!$D$24</f>
        <v/>
      </c>
      <c r="R16" s="38">
        <f>R9*R13*Hypothèses!$D$24</f>
        <v/>
      </c>
      <c r="S16" s="38">
        <f>S9*S13*Hypothèses!$D$24</f>
        <v/>
      </c>
      <c r="T16" s="38">
        <f>T9*T13*Hypothèses!$D$24</f>
        <v/>
      </c>
      <c r="U16" s="38">
        <f>U9*U13*Hypothèses!$D$24</f>
        <v/>
      </c>
      <c r="V16" s="38">
        <f>V9*V13*Hypothèses!$D$24</f>
        <v/>
      </c>
      <c r="W16" s="38">
        <f>W9*W13*Hypothèses!$D$24</f>
        <v/>
      </c>
      <c r="X16" s="38">
        <f>X9*X13*Hypothèses!$D$24</f>
        <v/>
      </c>
      <c r="Y16" s="38">
        <f>Y9*Y13*Hypothèses!$D$24</f>
        <v/>
      </c>
      <c r="Z16" s="38">
        <f>Z9*Z13*Hypothèses!$D$24</f>
        <v/>
      </c>
      <c r="AA16" s="38">
        <f>AA9*AA13*Hypothèses!$D$24</f>
        <v/>
      </c>
      <c r="AB16" s="38">
        <f>AB9*AB13*Hypothèses!$D$24</f>
        <v/>
      </c>
      <c r="AC16" s="38">
        <f>AC9*AC13*Hypothèses!$D$24</f>
        <v/>
      </c>
      <c r="AD16" s="38">
        <f>AD9*AD13*Hypothèses!$D$24</f>
        <v/>
      </c>
      <c r="AE16" s="38">
        <f>AE9*AE13*Hypothèses!$D$24</f>
        <v/>
      </c>
      <c r="AF16" s="38">
        <f>AF9*AF13*Hypothèses!$D$24</f>
        <v/>
      </c>
      <c r="AG16" s="38">
        <f>AG9*AG13*Hypothèses!$D$24</f>
        <v/>
      </c>
      <c r="AH16" s="38">
        <f>AH9*AH13*Hypothèses!$D$24</f>
        <v/>
      </c>
      <c r="AI16" s="38">
        <f>AI9*AI13*Hypothèses!$D$24</f>
        <v/>
      </c>
      <c r="AJ16" s="38">
        <f>AJ9*AJ13*Hypothèses!$D$24</f>
        <v/>
      </c>
      <c r="AK16" s="38">
        <f>AK9*AK13*Hypothèses!$D$24</f>
        <v/>
      </c>
      <c r="AL16" s="38">
        <f>AL9*AL13*Hypothèses!$D$24</f>
        <v/>
      </c>
      <c r="AN16" s="38">
        <f>SUM(C16:N16)</f>
        <v/>
      </c>
      <c r="AO16" s="38">
        <f>SUM(O16:Z16)</f>
        <v/>
      </c>
      <c r="AP16" s="38">
        <f>SUM(AA16:AL16)</f>
        <v/>
      </c>
    </row>
    <row r="17">
      <c r="A17" s="9" t="inlineStr">
        <is>
          <t>Résiliations</t>
        </is>
      </c>
      <c r="B17" s="4" t="inlineStr">
        <is>
          <t>abonnés</t>
        </is>
      </c>
      <c r="C17" s="38">
        <f>C13*Hypothèses!$D$26*$D$4</f>
        <v/>
      </c>
      <c r="D17" s="38">
        <f>D13*Hypothèses!$D$26*$D$4</f>
        <v/>
      </c>
      <c r="E17" s="38">
        <f>E13*Hypothèses!$D$26*$D$4</f>
        <v/>
      </c>
      <c r="F17" s="38">
        <f>F13*Hypothèses!$D$26*$D$4</f>
        <v/>
      </c>
      <c r="G17" s="38">
        <f>G13*Hypothèses!$D$26*$D$4</f>
        <v/>
      </c>
      <c r="H17" s="38">
        <f>H13*Hypothèses!$D$26*$D$4</f>
        <v/>
      </c>
      <c r="I17" s="38">
        <f>I13*Hypothèses!$D$26*$D$4</f>
        <v/>
      </c>
      <c r="J17" s="38">
        <f>J13*Hypothèses!$D$26*$D$4</f>
        <v/>
      </c>
      <c r="K17" s="38">
        <f>K13*Hypothèses!$D$26*$D$4</f>
        <v/>
      </c>
      <c r="L17" s="38">
        <f>L13*Hypothèses!$D$26*$D$4</f>
        <v/>
      </c>
      <c r="M17" s="38">
        <f>M13*Hypothèses!$D$26*$D$4</f>
        <v/>
      </c>
      <c r="N17" s="38">
        <f>N13*Hypothèses!$D$26*$D$4</f>
        <v/>
      </c>
      <c r="O17" s="38">
        <f>O13*Hypothèses!$D$26*$D$4</f>
        <v/>
      </c>
      <c r="P17" s="38">
        <f>P13*Hypothèses!$D$26*$D$4</f>
        <v/>
      </c>
      <c r="Q17" s="38">
        <f>Q13*Hypothèses!$D$26*$D$4</f>
        <v/>
      </c>
      <c r="R17" s="38">
        <f>R13*Hypothèses!$D$26*$D$4</f>
        <v/>
      </c>
      <c r="S17" s="38">
        <f>S13*Hypothèses!$D$26*$D$4</f>
        <v/>
      </c>
      <c r="T17" s="38">
        <f>T13*Hypothèses!$D$26*$D$4</f>
        <v/>
      </c>
      <c r="U17" s="38">
        <f>U13*Hypothèses!$D$26*$D$4</f>
        <v/>
      </c>
      <c r="V17" s="38">
        <f>V13*Hypothèses!$D$26*$D$4</f>
        <v/>
      </c>
      <c r="W17" s="38">
        <f>W13*Hypothèses!$D$26*$D$4</f>
        <v/>
      </c>
      <c r="X17" s="38">
        <f>X13*Hypothèses!$D$26*$D$4</f>
        <v/>
      </c>
      <c r="Y17" s="38">
        <f>Y13*Hypothèses!$D$26*$D$4</f>
        <v/>
      </c>
      <c r="Z17" s="38">
        <f>Z13*Hypothèses!$D$26*$D$4</f>
        <v/>
      </c>
      <c r="AA17" s="38">
        <f>AA13*Hypothèses!$D$26*$D$4</f>
        <v/>
      </c>
      <c r="AB17" s="38">
        <f>AB13*Hypothèses!$D$26*$D$4</f>
        <v/>
      </c>
      <c r="AC17" s="38">
        <f>AC13*Hypothèses!$D$26*$D$4</f>
        <v/>
      </c>
      <c r="AD17" s="38">
        <f>AD13*Hypothèses!$D$26*$D$4</f>
        <v/>
      </c>
      <c r="AE17" s="38">
        <f>AE13*Hypothèses!$D$26*$D$4</f>
        <v/>
      </c>
      <c r="AF17" s="38">
        <f>AF13*Hypothèses!$D$26*$D$4</f>
        <v/>
      </c>
      <c r="AG17" s="38">
        <f>AG13*Hypothèses!$D$26*$D$4</f>
        <v/>
      </c>
      <c r="AH17" s="38">
        <f>AH13*Hypothèses!$D$26*$D$4</f>
        <v/>
      </c>
      <c r="AI17" s="38">
        <f>AI13*Hypothèses!$D$26*$D$4</f>
        <v/>
      </c>
      <c r="AJ17" s="38">
        <f>AJ13*Hypothèses!$D$26*$D$4</f>
        <v/>
      </c>
      <c r="AK17" s="38">
        <f>AK13*Hypothèses!$D$26*$D$4</f>
        <v/>
      </c>
      <c r="AL17" s="38">
        <f>AL13*Hypothèses!$D$26*$D$4</f>
        <v/>
      </c>
      <c r="AN17" s="38">
        <f>SUM(C17:N17)</f>
        <v/>
      </c>
      <c r="AO17" s="38">
        <f>SUM(O17:Z17)</f>
        <v/>
      </c>
      <c r="AP17" s="38">
        <f>SUM(AA17:AL17)</f>
        <v/>
      </c>
    </row>
    <row r="18">
      <c r="A18" s="2" t="inlineStr">
        <is>
          <t>Abonnés en fin de mois</t>
        </is>
      </c>
      <c r="B18" s="4" t="inlineStr">
        <is>
          <t>abonnés</t>
        </is>
      </c>
      <c r="C18" s="39">
        <f>C13+C14+C15+C16-C17</f>
        <v/>
      </c>
      <c r="D18" s="39">
        <f>D13+D14+D15+D16-D17</f>
        <v/>
      </c>
      <c r="E18" s="39">
        <f>E13+E14+E15+E16-E17</f>
        <v/>
      </c>
      <c r="F18" s="39">
        <f>F13+F14+F15+F16-F17</f>
        <v/>
      </c>
      <c r="G18" s="39">
        <f>G13+G14+G15+G16-G17</f>
        <v/>
      </c>
      <c r="H18" s="39">
        <f>H13+H14+H15+H16-H17</f>
        <v/>
      </c>
      <c r="I18" s="39">
        <f>I13+I14+I15+I16-I17</f>
        <v/>
      </c>
      <c r="J18" s="39">
        <f>J13+J14+J15+J16-J17</f>
        <v/>
      </c>
      <c r="K18" s="39">
        <f>K13+K14+K15+K16-K17</f>
        <v/>
      </c>
      <c r="L18" s="39">
        <f>L13+L14+L15+L16-L17</f>
        <v/>
      </c>
      <c r="M18" s="39">
        <f>M13+M14+M15+M16-M17</f>
        <v/>
      </c>
      <c r="N18" s="39">
        <f>N13+N14+N15+N16-N17</f>
        <v/>
      </c>
      <c r="O18" s="39">
        <f>O13+O14+O15+O16-O17</f>
        <v/>
      </c>
      <c r="P18" s="39">
        <f>P13+P14+P15+P16-P17</f>
        <v/>
      </c>
      <c r="Q18" s="39">
        <f>Q13+Q14+Q15+Q16-Q17</f>
        <v/>
      </c>
      <c r="R18" s="39">
        <f>R13+R14+R15+R16-R17</f>
        <v/>
      </c>
      <c r="S18" s="39">
        <f>S13+S14+S15+S16-S17</f>
        <v/>
      </c>
      <c r="T18" s="39">
        <f>T13+T14+T15+T16-T17</f>
        <v/>
      </c>
      <c r="U18" s="39">
        <f>U13+U14+U15+U16-U17</f>
        <v/>
      </c>
      <c r="V18" s="39">
        <f>V13+V14+V15+V16-V17</f>
        <v/>
      </c>
      <c r="W18" s="39">
        <f>W13+W14+W15+W16-W17</f>
        <v/>
      </c>
      <c r="X18" s="39">
        <f>X13+X14+X15+X16-X17</f>
        <v/>
      </c>
      <c r="Y18" s="39">
        <f>Y13+Y14+Y15+Y16-Y17</f>
        <v/>
      </c>
      <c r="Z18" s="39">
        <f>Z13+Z14+Z15+Z16-Z17</f>
        <v/>
      </c>
      <c r="AA18" s="39">
        <f>AA13+AA14+AA15+AA16-AA17</f>
        <v/>
      </c>
      <c r="AB18" s="39">
        <f>AB13+AB14+AB15+AB16-AB17</f>
        <v/>
      </c>
      <c r="AC18" s="39">
        <f>AC13+AC14+AC15+AC16-AC17</f>
        <v/>
      </c>
      <c r="AD18" s="39">
        <f>AD13+AD14+AD15+AD16-AD17</f>
        <v/>
      </c>
      <c r="AE18" s="39">
        <f>AE13+AE14+AE15+AE16-AE17</f>
        <v/>
      </c>
      <c r="AF18" s="39">
        <f>AF13+AF14+AF15+AF16-AF17</f>
        <v/>
      </c>
      <c r="AG18" s="39">
        <f>AG13+AG14+AG15+AG16-AG17</f>
        <v/>
      </c>
      <c r="AH18" s="39">
        <f>AH13+AH14+AH15+AH16-AH17</f>
        <v/>
      </c>
      <c r="AI18" s="39">
        <f>AI13+AI14+AI15+AI16-AI17</f>
        <v/>
      </c>
      <c r="AJ18" s="39">
        <f>AJ13+AJ14+AJ15+AJ16-AJ17</f>
        <v/>
      </c>
      <c r="AK18" s="39">
        <f>AK13+AK14+AK15+AK16-AK17</f>
        <v/>
      </c>
      <c r="AL18" s="39">
        <f>AL13+AL14+AL15+AL16-AL17</f>
        <v/>
      </c>
      <c r="AN18" s="39">
        <f>N18</f>
        <v/>
      </c>
      <c r="AO18" s="39">
        <f>Z18</f>
        <v/>
      </c>
      <c r="AP18" s="39">
        <f>AL18</f>
        <v/>
      </c>
    </row>
    <row r="19">
      <c r="A19" s="9" t="inlineStr">
        <is>
          <t>dont Personal</t>
        </is>
      </c>
      <c r="B19" s="4" t="inlineStr">
        <is>
          <t>abonnés</t>
        </is>
      </c>
      <c r="C19" s="38">
        <f>C18*Hypothèses!$D$16</f>
        <v/>
      </c>
      <c r="D19" s="38">
        <f>D18*Hypothèses!$D$16</f>
        <v/>
      </c>
      <c r="E19" s="38">
        <f>E18*Hypothèses!$D$16</f>
        <v/>
      </c>
      <c r="F19" s="38">
        <f>F18*Hypothèses!$D$16</f>
        <v/>
      </c>
      <c r="G19" s="38">
        <f>G18*Hypothèses!$D$16</f>
        <v/>
      </c>
      <c r="H19" s="38">
        <f>H18*Hypothèses!$D$16</f>
        <v/>
      </c>
      <c r="I19" s="38">
        <f>I18*Hypothèses!$D$16</f>
        <v/>
      </c>
      <c r="J19" s="38">
        <f>J18*Hypothèses!$D$16</f>
        <v/>
      </c>
      <c r="K19" s="38">
        <f>K18*Hypothèses!$D$16</f>
        <v/>
      </c>
      <c r="L19" s="38">
        <f>L18*Hypothèses!$D$16</f>
        <v/>
      </c>
      <c r="M19" s="38">
        <f>M18*Hypothèses!$D$16</f>
        <v/>
      </c>
      <c r="N19" s="38">
        <f>N18*Hypothèses!$D$16</f>
        <v/>
      </c>
      <c r="O19" s="38">
        <f>O18*Hypothèses!$D$16</f>
        <v/>
      </c>
      <c r="P19" s="38">
        <f>P18*Hypothèses!$D$16</f>
        <v/>
      </c>
      <c r="Q19" s="38">
        <f>Q18*Hypothèses!$D$16</f>
        <v/>
      </c>
      <c r="R19" s="38">
        <f>R18*Hypothèses!$D$16</f>
        <v/>
      </c>
      <c r="S19" s="38">
        <f>S18*Hypothèses!$D$16</f>
        <v/>
      </c>
      <c r="T19" s="38">
        <f>T18*Hypothèses!$D$16</f>
        <v/>
      </c>
      <c r="U19" s="38">
        <f>U18*Hypothèses!$D$16</f>
        <v/>
      </c>
      <c r="V19" s="38">
        <f>V18*Hypothèses!$D$16</f>
        <v/>
      </c>
      <c r="W19" s="38">
        <f>W18*Hypothèses!$D$16</f>
        <v/>
      </c>
      <c r="X19" s="38">
        <f>X18*Hypothèses!$D$16</f>
        <v/>
      </c>
      <c r="Y19" s="38">
        <f>Y18*Hypothèses!$D$16</f>
        <v/>
      </c>
      <c r="Z19" s="38">
        <f>Z18*Hypothèses!$D$16</f>
        <v/>
      </c>
      <c r="AA19" s="38">
        <f>AA18*Hypothèses!$D$16</f>
        <v/>
      </c>
      <c r="AB19" s="38">
        <f>AB18*Hypothèses!$D$16</f>
        <v/>
      </c>
      <c r="AC19" s="38">
        <f>AC18*Hypothèses!$D$16</f>
        <v/>
      </c>
      <c r="AD19" s="38">
        <f>AD18*Hypothèses!$D$16</f>
        <v/>
      </c>
      <c r="AE19" s="38">
        <f>AE18*Hypothèses!$D$16</f>
        <v/>
      </c>
      <c r="AF19" s="38">
        <f>AF18*Hypothèses!$D$16</f>
        <v/>
      </c>
      <c r="AG19" s="38">
        <f>AG18*Hypothèses!$D$16</f>
        <v/>
      </c>
      <c r="AH19" s="38">
        <f>AH18*Hypothèses!$D$16</f>
        <v/>
      </c>
      <c r="AI19" s="38">
        <f>AI18*Hypothèses!$D$16</f>
        <v/>
      </c>
      <c r="AJ19" s="38">
        <f>AJ18*Hypothèses!$D$16</f>
        <v/>
      </c>
      <c r="AK19" s="38">
        <f>AK18*Hypothèses!$D$16</f>
        <v/>
      </c>
      <c r="AL19" s="38">
        <f>AL18*Hypothèses!$D$16</f>
        <v/>
      </c>
      <c r="AN19" s="38">
        <f>N19</f>
        <v/>
      </c>
      <c r="AO19" s="38">
        <f>Z19</f>
        <v/>
      </c>
      <c r="AP19" s="38">
        <f>AL19</f>
        <v/>
      </c>
    </row>
    <row r="20">
      <c r="A20" s="9" t="inlineStr">
        <is>
          <t>dont Premium</t>
        </is>
      </c>
      <c r="B20" s="4" t="inlineStr">
        <is>
          <t>abonnés</t>
        </is>
      </c>
      <c r="C20" s="38">
        <f>C18*Hypothèses!$D$17</f>
        <v/>
      </c>
      <c r="D20" s="38">
        <f>D18*Hypothèses!$D$17</f>
        <v/>
      </c>
      <c r="E20" s="38">
        <f>E18*Hypothèses!$D$17</f>
        <v/>
      </c>
      <c r="F20" s="38">
        <f>F18*Hypothèses!$D$17</f>
        <v/>
      </c>
      <c r="G20" s="38">
        <f>G18*Hypothèses!$D$17</f>
        <v/>
      </c>
      <c r="H20" s="38">
        <f>H18*Hypothèses!$D$17</f>
        <v/>
      </c>
      <c r="I20" s="38">
        <f>I18*Hypothèses!$D$17</f>
        <v/>
      </c>
      <c r="J20" s="38">
        <f>J18*Hypothèses!$D$17</f>
        <v/>
      </c>
      <c r="K20" s="38">
        <f>K18*Hypothèses!$D$17</f>
        <v/>
      </c>
      <c r="L20" s="38">
        <f>L18*Hypothèses!$D$17</f>
        <v/>
      </c>
      <c r="M20" s="38">
        <f>M18*Hypothèses!$D$17</f>
        <v/>
      </c>
      <c r="N20" s="38">
        <f>N18*Hypothèses!$D$17</f>
        <v/>
      </c>
      <c r="O20" s="38">
        <f>O18*Hypothèses!$D$17</f>
        <v/>
      </c>
      <c r="P20" s="38">
        <f>P18*Hypothèses!$D$17</f>
        <v/>
      </c>
      <c r="Q20" s="38">
        <f>Q18*Hypothèses!$D$17</f>
        <v/>
      </c>
      <c r="R20" s="38">
        <f>R18*Hypothèses!$D$17</f>
        <v/>
      </c>
      <c r="S20" s="38">
        <f>S18*Hypothèses!$D$17</f>
        <v/>
      </c>
      <c r="T20" s="38">
        <f>T18*Hypothèses!$D$17</f>
        <v/>
      </c>
      <c r="U20" s="38">
        <f>U18*Hypothèses!$D$17</f>
        <v/>
      </c>
      <c r="V20" s="38">
        <f>V18*Hypothèses!$D$17</f>
        <v/>
      </c>
      <c r="W20" s="38">
        <f>W18*Hypothèses!$D$17</f>
        <v/>
      </c>
      <c r="X20" s="38">
        <f>X18*Hypothèses!$D$17</f>
        <v/>
      </c>
      <c r="Y20" s="38">
        <f>Y18*Hypothèses!$D$17</f>
        <v/>
      </c>
      <c r="Z20" s="38">
        <f>Z18*Hypothèses!$D$17</f>
        <v/>
      </c>
      <c r="AA20" s="38">
        <f>AA18*Hypothèses!$D$17</f>
        <v/>
      </c>
      <c r="AB20" s="38">
        <f>AB18*Hypothèses!$D$17</f>
        <v/>
      </c>
      <c r="AC20" s="38">
        <f>AC18*Hypothèses!$D$17</f>
        <v/>
      </c>
      <c r="AD20" s="38">
        <f>AD18*Hypothèses!$D$17</f>
        <v/>
      </c>
      <c r="AE20" s="38">
        <f>AE18*Hypothèses!$D$17</f>
        <v/>
      </c>
      <c r="AF20" s="38">
        <f>AF18*Hypothèses!$D$17</f>
        <v/>
      </c>
      <c r="AG20" s="38">
        <f>AG18*Hypothèses!$D$17</f>
        <v/>
      </c>
      <c r="AH20" s="38">
        <f>AH18*Hypothèses!$D$17</f>
        <v/>
      </c>
      <c r="AI20" s="38">
        <f>AI18*Hypothèses!$D$17</f>
        <v/>
      </c>
      <c r="AJ20" s="38">
        <f>AJ18*Hypothèses!$D$17</f>
        <v/>
      </c>
      <c r="AK20" s="38">
        <f>AK18*Hypothèses!$D$17</f>
        <v/>
      </c>
      <c r="AL20" s="38">
        <f>AL18*Hypothèses!$D$17</f>
        <v/>
      </c>
      <c r="AN20" s="38">
        <f>N20</f>
        <v/>
      </c>
      <c r="AO20" s="38">
        <f>Z20</f>
        <v/>
      </c>
      <c r="AP20" s="38">
        <f>AL20</f>
        <v/>
      </c>
    </row>
    <row r="21">
      <c r="A21" s="9" t="inlineStr">
        <is>
          <t>dont Family</t>
        </is>
      </c>
      <c r="B21" s="4" t="inlineStr">
        <is>
          <t>abonnés</t>
        </is>
      </c>
      <c r="C21" s="38">
        <f>C18*Hypothèses!$D$18</f>
        <v/>
      </c>
      <c r="D21" s="38">
        <f>D18*Hypothèses!$D$18</f>
        <v/>
      </c>
      <c r="E21" s="38">
        <f>E18*Hypothèses!$D$18</f>
        <v/>
      </c>
      <c r="F21" s="38">
        <f>F18*Hypothèses!$D$18</f>
        <v/>
      </c>
      <c r="G21" s="38">
        <f>G18*Hypothèses!$D$18</f>
        <v/>
      </c>
      <c r="H21" s="38">
        <f>H18*Hypothèses!$D$18</f>
        <v/>
      </c>
      <c r="I21" s="38">
        <f>I18*Hypothèses!$D$18</f>
        <v/>
      </c>
      <c r="J21" s="38">
        <f>J18*Hypothèses!$D$18</f>
        <v/>
      </c>
      <c r="K21" s="38">
        <f>K18*Hypothèses!$D$18</f>
        <v/>
      </c>
      <c r="L21" s="38">
        <f>L18*Hypothèses!$D$18</f>
        <v/>
      </c>
      <c r="M21" s="38">
        <f>M18*Hypothèses!$D$18</f>
        <v/>
      </c>
      <c r="N21" s="38">
        <f>N18*Hypothèses!$D$18</f>
        <v/>
      </c>
      <c r="O21" s="38">
        <f>O18*Hypothèses!$D$18</f>
        <v/>
      </c>
      <c r="P21" s="38">
        <f>P18*Hypothèses!$D$18</f>
        <v/>
      </c>
      <c r="Q21" s="38">
        <f>Q18*Hypothèses!$D$18</f>
        <v/>
      </c>
      <c r="R21" s="38">
        <f>R18*Hypothèses!$D$18</f>
        <v/>
      </c>
      <c r="S21" s="38">
        <f>S18*Hypothèses!$D$18</f>
        <v/>
      </c>
      <c r="T21" s="38">
        <f>T18*Hypothèses!$D$18</f>
        <v/>
      </c>
      <c r="U21" s="38">
        <f>U18*Hypothèses!$D$18</f>
        <v/>
      </c>
      <c r="V21" s="38">
        <f>V18*Hypothèses!$D$18</f>
        <v/>
      </c>
      <c r="W21" s="38">
        <f>W18*Hypothèses!$D$18</f>
        <v/>
      </c>
      <c r="X21" s="38">
        <f>X18*Hypothèses!$D$18</f>
        <v/>
      </c>
      <c r="Y21" s="38">
        <f>Y18*Hypothèses!$D$18</f>
        <v/>
      </c>
      <c r="Z21" s="38">
        <f>Z18*Hypothèses!$D$18</f>
        <v/>
      </c>
      <c r="AA21" s="38">
        <f>AA18*Hypothèses!$D$18</f>
        <v/>
      </c>
      <c r="AB21" s="38">
        <f>AB18*Hypothèses!$D$18</f>
        <v/>
      </c>
      <c r="AC21" s="38">
        <f>AC18*Hypothèses!$D$18</f>
        <v/>
      </c>
      <c r="AD21" s="38">
        <f>AD18*Hypothèses!$D$18</f>
        <v/>
      </c>
      <c r="AE21" s="38">
        <f>AE18*Hypothèses!$D$18</f>
        <v/>
      </c>
      <c r="AF21" s="38">
        <f>AF18*Hypothèses!$D$18</f>
        <v/>
      </c>
      <c r="AG21" s="38">
        <f>AG18*Hypothèses!$D$18</f>
        <v/>
      </c>
      <c r="AH21" s="38">
        <f>AH18*Hypothèses!$D$18</f>
        <v/>
      </c>
      <c r="AI21" s="38">
        <f>AI18*Hypothèses!$D$18</f>
        <v/>
      </c>
      <c r="AJ21" s="38">
        <f>AJ18*Hypothèses!$D$18</f>
        <v/>
      </c>
      <c r="AK21" s="38">
        <f>AK18*Hypothèses!$D$18</f>
        <v/>
      </c>
      <c r="AL21" s="38">
        <f>AL18*Hypothèses!$D$18</f>
        <v/>
      </c>
      <c r="AN21" s="38">
        <f>N21</f>
        <v/>
      </c>
      <c r="AO21" s="38">
        <f>Z21</f>
        <v/>
      </c>
      <c r="AP21" s="38">
        <f>AL21</f>
        <v/>
      </c>
    </row>
    <row r="22">
      <c r="A22" s="8" t="inlineStr">
        <is>
          <t>Revenus</t>
        </is>
      </c>
    </row>
    <row r="23">
      <c r="A23" s="9" t="inlineStr">
        <is>
          <t>Facturation Personal TTC</t>
        </is>
      </c>
      <c r="B23" s="4" t="inlineStr">
        <is>
          <t>€ TTC</t>
        </is>
      </c>
      <c r="C23" s="15">
        <f>C19*Hypothèses!$D$12*$C$4</f>
        <v/>
      </c>
      <c r="D23" s="15">
        <f>D19*Hypothèses!$D$12*$C$4</f>
        <v/>
      </c>
      <c r="E23" s="15">
        <f>E19*Hypothèses!$D$12*$C$4</f>
        <v/>
      </c>
      <c r="F23" s="15">
        <f>F19*Hypothèses!$D$12*$C$4</f>
        <v/>
      </c>
      <c r="G23" s="15">
        <f>G19*Hypothèses!$D$12*$C$4</f>
        <v/>
      </c>
      <c r="H23" s="15">
        <f>H19*Hypothèses!$D$12*$C$4</f>
        <v/>
      </c>
      <c r="I23" s="15">
        <f>I19*Hypothèses!$D$12*$C$4</f>
        <v/>
      </c>
      <c r="J23" s="15">
        <f>J19*Hypothèses!$D$12*$C$4</f>
        <v/>
      </c>
      <c r="K23" s="15">
        <f>K19*Hypothèses!$D$12*$C$4</f>
        <v/>
      </c>
      <c r="L23" s="15">
        <f>L19*Hypothèses!$D$12*$C$4</f>
        <v/>
      </c>
      <c r="M23" s="15">
        <f>M19*Hypothèses!$D$12*$C$4</f>
        <v/>
      </c>
      <c r="N23" s="15">
        <f>N19*Hypothèses!$D$12*$C$4</f>
        <v/>
      </c>
      <c r="O23" s="15">
        <f>O19*Hypothèses!$D$12*$C$4</f>
        <v/>
      </c>
      <c r="P23" s="15">
        <f>P19*Hypothèses!$D$12*$C$4</f>
        <v/>
      </c>
      <c r="Q23" s="15">
        <f>Q19*Hypothèses!$D$12*$C$4</f>
        <v/>
      </c>
      <c r="R23" s="15">
        <f>R19*Hypothèses!$D$12*$C$4</f>
        <v/>
      </c>
      <c r="S23" s="15">
        <f>S19*Hypothèses!$D$12*$C$4</f>
        <v/>
      </c>
      <c r="T23" s="15">
        <f>T19*Hypothèses!$D$12*$C$4</f>
        <v/>
      </c>
      <c r="U23" s="15">
        <f>U19*Hypothèses!$D$12*$C$4</f>
        <v/>
      </c>
      <c r="V23" s="15">
        <f>V19*Hypothèses!$D$12*$C$4</f>
        <v/>
      </c>
      <c r="W23" s="15">
        <f>W19*Hypothèses!$D$12*$C$4</f>
        <v/>
      </c>
      <c r="X23" s="15">
        <f>X19*Hypothèses!$D$12*$C$4</f>
        <v/>
      </c>
      <c r="Y23" s="15">
        <f>Y19*Hypothèses!$D$12*$C$4</f>
        <v/>
      </c>
      <c r="Z23" s="15">
        <f>Z19*Hypothèses!$D$12*$C$4</f>
        <v/>
      </c>
      <c r="AA23" s="15">
        <f>AA19*Hypothèses!$D$12*$C$4</f>
        <v/>
      </c>
      <c r="AB23" s="15">
        <f>AB19*Hypothèses!$D$12*$C$4</f>
        <v/>
      </c>
      <c r="AC23" s="15">
        <f>AC19*Hypothèses!$D$12*$C$4</f>
        <v/>
      </c>
      <c r="AD23" s="15">
        <f>AD19*Hypothèses!$D$12*$C$4</f>
        <v/>
      </c>
      <c r="AE23" s="15">
        <f>AE19*Hypothèses!$D$12*$C$4</f>
        <v/>
      </c>
      <c r="AF23" s="15">
        <f>AF19*Hypothèses!$D$12*$C$4</f>
        <v/>
      </c>
      <c r="AG23" s="15">
        <f>AG19*Hypothèses!$D$12*$C$4</f>
        <v/>
      </c>
      <c r="AH23" s="15">
        <f>AH19*Hypothèses!$D$12*$C$4</f>
        <v/>
      </c>
      <c r="AI23" s="15">
        <f>AI19*Hypothèses!$D$12*$C$4</f>
        <v/>
      </c>
      <c r="AJ23" s="15">
        <f>AJ19*Hypothèses!$D$12*$C$4</f>
        <v/>
      </c>
      <c r="AK23" s="15">
        <f>AK19*Hypothèses!$D$12*$C$4</f>
        <v/>
      </c>
      <c r="AL23" s="15">
        <f>AL19*Hypothèses!$D$12*$C$4</f>
        <v/>
      </c>
      <c r="AN23" s="15">
        <f>SUM(C23:N23)</f>
        <v/>
      </c>
      <c r="AO23" s="15">
        <f>SUM(O23:Z23)</f>
        <v/>
      </c>
      <c r="AP23" s="15">
        <f>SUM(AA23:AL23)</f>
        <v/>
      </c>
    </row>
    <row r="24">
      <c r="A24" s="9" t="inlineStr">
        <is>
          <t>Facturation Premium TTC</t>
        </is>
      </c>
      <c r="B24" s="4" t="inlineStr">
        <is>
          <t>€ TTC</t>
        </is>
      </c>
      <c r="C24" s="15">
        <f>C20*Hypothèses!$D$13*$C$4</f>
        <v/>
      </c>
      <c r="D24" s="15">
        <f>D20*Hypothèses!$D$13*$C$4</f>
        <v/>
      </c>
      <c r="E24" s="15">
        <f>E20*Hypothèses!$D$13*$C$4</f>
        <v/>
      </c>
      <c r="F24" s="15">
        <f>F20*Hypothèses!$D$13*$C$4</f>
        <v/>
      </c>
      <c r="G24" s="15">
        <f>G20*Hypothèses!$D$13*$C$4</f>
        <v/>
      </c>
      <c r="H24" s="15">
        <f>H20*Hypothèses!$D$13*$C$4</f>
        <v/>
      </c>
      <c r="I24" s="15">
        <f>I20*Hypothèses!$D$13*$C$4</f>
        <v/>
      </c>
      <c r="J24" s="15">
        <f>J20*Hypothèses!$D$13*$C$4</f>
        <v/>
      </c>
      <c r="K24" s="15">
        <f>K20*Hypothèses!$D$13*$C$4</f>
        <v/>
      </c>
      <c r="L24" s="15">
        <f>L20*Hypothèses!$D$13*$C$4</f>
        <v/>
      </c>
      <c r="M24" s="15">
        <f>M20*Hypothèses!$D$13*$C$4</f>
        <v/>
      </c>
      <c r="N24" s="15">
        <f>N20*Hypothèses!$D$13*$C$4</f>
        <v/>
      </c>
      <c r="O24" s="15">
        <f>O20*Hypothèses!$D$13*$C$4</f>
        <v/>
      </c>
      <c r="P24" s="15">
        <f>P20*Hypothèses!$D$13*$C$4</f>
        <v/>
      </c>
      <c r="Q24" s="15">
        <f>Q20*Hypothèses!$D$13*$C$4</f>
        <v/>
      </c>
      <c r="R24" s="15">
        <f>R20*Hypothèses!$D$13*$C$4</f>
        <v/>
      </c>
      <c r="S24" s="15">
        <f>S20*Hypothèses!$D$13*$C$4</f>
        <v/>
      </c>
      <c r="T24" s="15">
        <f>T20*Hypothèses!$D$13*$C$4</f>
        <v/>
      </c>
      <c r="U24" s="15">
        <f>U20*Hypothèses!$D$13*$C$4</f>
        <v/>
      </c>
      <c r="V24" s="15">
        <f>V20*Hypothèses!$D$13*$C$4</f>
        <v/>
      </c>
      <c r="W24" s="15">
        <f>W20*Hypothèses!$D$13*$C$4</f>
        <v/>
      </c>
      <c r="X24" s="15">
        <f>X20*Hypothèses!$D$13*$C$4</f>
        <v/>
      </c>
      <c r="Y24" s="15">
        <f>Y20*Hypothèses!$D$13*$C$4</f>
        <v/>
      </c>
      <c r="Z24" s="15">
        <f>Z20*Hypothèses!$D$13*$C$4</f>
        <v/>
      </c>
      <c r="AA24" s="15">
        <f>AA20*Hypothèses!$D$13*$C$4</f>
        <v/>
      </c>
      <c r="AB24" s="15">
        <f>AB20*Hypothèses!$D$13*$C$4</f>
        <v/>
      </c>
      <c r="AC24" s="15">
        <f>AC20*Hypothèses!$D$13*$C$4</f>
        <v/>
      </c>
      <c r="AD24" s="15">
        <f>AD20*Hypothèses!$D$13*$C$4</f>
        <v/>
      </c>
      <c r="AE24" s="15">
        <f>AE20*Hypothèses!$D$13*$C$4</f>
        <v/>
      </c>
      <c r="AF24" s="15">
        <f>AF20*Hypothèses!$D$13*$C$4</f>
        <v/>
      </c>
      <c r="AG24" s="15">
        <f>AG20*Hypothèses!$D$13*$C$4</f>
        <v/>
      </c>
      <c r="AH24" s="15">
        <f>AH20*Hypothèses!$D$13*$C$4</f>
        <v/>
      </c>
      <c r="AI24" s="15">
        <f>AI20*Hypothèses!$D$13*$C$4</f>
        <v/>
      </c>
      <c r="AJ24" s="15">
        <f>AJ20*Hypothèses!$D$13*$C$4</f>
        <v/>
      </c>
      <c r="AK24" s="15">
        <f>AK20*Hypothèses!$D$13*$C$4</f>
        <v/>
      </c>
      <c r="AL24" s="15">
        <f>AL20*Hypothèses!$D$13*$C$4</f>
        <v/>
      </c>
      <c r="AN24" s="15">
        <f>SUM(C24:N24)</f>
        <v/>
      </c>
      <c r="AO24" s="15">
        <f>SUM(O24:Z24)</f>
        <v/>
      </c>
      <c r="AP24" s="15">
        <f>SUM(AA24:AL24)</f>
        <v/>
      </c>
    </row>
    <row r="25">
      <c r="A25" s="9" t="inlineStr">
        <is>
          <t>Facturation Family TTC</t>
        </is>
      </c>
      <c r="B25" s="4" t="inlineStr">
        <is>
          <t>€ TTC</t>
        </is>
      </c>
      <c r="C25" s="15">
        <f>C21*Hypothèses!$D$14*$C$4</f>
        <v/>
      </c>
      <c r="D25" s="15">
        <f>D21*Hypothèses!$D$14*$C$4</f>
        <v/>
      </c>
      <c r="E25" s="15">
        <f>E21*Hypothèses!$D$14*$C$4</f>
        <v/>
      </c>
      <c r="F25" s="15">
        <f>F21*Hypothèses!$D$14*$C$4</f>
        <v/>
      </c>
      <c r="G25" s="15">
        <f>G21*Hypothèses!$D$14*$C$4</f>
        <v/>
      </c>
      <c r="H25" s="15">
        <f>H21*Hypothèses!$D$14*$C$4</f>
        <v/>
      </c>
      <c r="I25" s="15">
        <f>I21*Hypothèses!$D$14*$C$4</f>
        <v/>
      </c>
      <c r="J25" s="15">
        <f>J21*Hypothèses!$D$14*$C$4</f>
        <v/>
      </c>
      <c r="K25" s="15">
        <f>K21*Hypothèses!$D$14*$C$4</f>
        <v/>
      </c>
      <c r="L25" s="15">
        <f>L21*Hypothèses!$D$14*$C$4</f>
        <v/>
      </c>
      <c r="M25" s="15">
        <f>M21*Hypothèses!$D$14*$C$4</f>
        <v/>
      </c>
      <c r="N25" s="15">
        <f>N21*Hypothèses!$D$14*$C$4</f>
        <v/>
      </c>
      <c r="O25" s="15">
        <f>O21*Hypothèses!$D$14*$C$4</f>
        <v/>
      </c>
      <c r="P25" s="15">
        <f>P21*Hypothèses!$D$14*$C$4</f>
        <v/>
      </c>
      <c r="Q25" s="15">
        <f>Q21*Hypothèses!$D$14*$C$4</f>
        <v/>
      </c>
      <c r="R25" s="15">
        <f>R21*Hypothèses!$D$14*$C$4</f>
        <v/>
      </c>
      <c r="S25" s="15">
        <f>S21*Hypothèses!$D$14*$C$4</f>
        <v/>
      </c>
      <c r="T25" s="15">
        <f>T21*Hypothèses!$D$14*$C$4</f>
        <v/>
      </c>
      <c r="U25" s="15">
        <f>U21*Hypothèses!$D$14*$C$4</f>
        <v/>
      </c>
      <c r="V25" s="15">
        <f>V21*Hypothèses!$D$14*$C$4</f>
        <v/>
      </c>
      <c r="W25" s="15">
        <f>W21*Hypothèses!$D$14*$C$4</f>
        <v/>
      </c>
      <c r="X25" s="15">
        <f>X21*Hypothèses!$D$14*$C$4</f>
        <v/>
      </c>
      <c r="Y25" s="15">
        <f>Y21*Hypothèses!$D$14*$C$4</f>
        <v/>
      </c>
      <c r="Z25" s="15">
        <f>Z21*Hypothèses!$D$14*$C$4</f>
        <v/>
      </c>
      <c r="AA25" s="15">
        <f>AA21*Hypothèses!$D$14*$C$4</f>
        <v/>
      </c>
      <c r="AB25" s="15">
        <f>AB21*Hypothèses!$D$14*$C$4</f>
        <v/>
      </c>
      <c r="AC25" s="15">
        <f>AC21*Hypothèses!$D$14*$C$4</f>
        <v/>
      </c>
      <c r="AD25" s="15">
        <f>AD21*Hypothèses!$D$14*$C$4</f>
        <v/>
      </c>
      <c r="AE25" s="15">
        <f>AE21*Hypothèses!$D$14*$C$4</f>
        <v/>
      </c>
      <c r="AF25" s="15">
        <f>AF21*Hypothèses!$D$14*$C$4</f>
        <v/>
      </c>
      <c r="AG25" s="15">
        <f>AG21*Hypothèses!$D$14*$C$4</f>
        <v/>
      </c>
      <c r="AH25" s="15">
        <f>AH21*Hypothèses!$D$14*$C$4</f>
        <v/>
      </c>
      <c r="AI25" s="15">
        <f>AI21*Hypothèses!$D$14*$C$4</f>
        <v/>
      </c>
      <c r="AJ25" s="15">
        <f>AJ21*Hypothèses!$D$14*$C$4</f>
        <v/>
      </c>
      <c r="AK25" s="15">
        <f>AK21*Hypothèses!$D$14*$C$4</f>
        <v/>
      </c>
      <c r="AL25" s="15">
        <f>AL21*Hypothèses!$D$14*$C$4</f>
        <v/>
      </c>
      <c r="AN25" s="15">
        <f>SUM(C25:N25)</f>
        <v/>
      </c>
      <c r="AO25" s="15">
        <f>SUM(O25:Z25)</f>
        <v/>
      </c>
      <c r="AP25" s="15">
        <f>SUM(AA25:AL25)</f>
        <v/>
      </c>
    </row>
    <row r="26">
      <c r="A26" s="2" t="inlineStr">
        <is>
          <t>Facturation totale TTC (MRR TTC)</t>
        </is>
      </c>
      <c r="B26" s="4" t="inlineStr">
        <is>
          <t>€ TTC</t>
        </is>
      </c>
      <c r="C26" s="40">
        <f>C23+C24+C25</f>
        <v/>
      </c>
      <c r="D26" s="40">
        <f>D23+D24+D25</f>
        <v/>
      </c>
      <c r="E26" s="40">
        <f>E23+E24+E25</f>
        <v/>
      </c>
      <c r="F26" s="40">
        <f>F23+F24+F25</f>
        <v/>
      </c>
      <c r="G26" s="40">
        <f>G23+G24+G25</f>
        <v/>
      </c>
      <c r="H26" s="40">
        <f>H23+H24+H25</f>
        <v/>
      </c>
      <c r="I26" s="40">
        <f>I23+I24+I25</f>
        <v/>
      </c>
      <c r="J26" s="40">
        <f>J23+J24+J25</f>
        <v/>
      </c>
      <c r="K26" s="40">
        <f>K23+K24+K25</f>
        <v/>
      </c>
      <c r="L26" s="40">
        <f>L23+L24+L25</f>
        <v/>
      </c>
      <c r="M26" s="40">
        <f>M23+M24+M25</f>
        <v/>
      </c>
      <c r="N26" s="40">
        <f>N23+N24+N25</f>
        <v/>
      </c>
      <c r="O26" s="40">
        <f>O23+O24+O25</f>
        <v/>
      </c>
      <c r="P26" s="40">
        <f>P23+P24+P25</f>
        <v/>
      </c>
      <c r="Q26" s="40">
        <f>Q23+Q24+Q25</f>
        <v/>
      </c>
      <c r="R26" s="40">
        <f>R23+R24+R25</f>
        <v/>
      </c>
      <c r="S26" s="40">
        <f>S23+S24+S25</f>
        <v/>
      </c>
      <c r="T26" s="40">
        <f>T23+T24+T25</f>
        <v/>
      </c>
      <c r="U26" s="40">
        <f>U23+U24+U25</f>
        <v/>
      </c>
      <c r="V26" s="40">
        <f>V23+V24+V25</f>
        <v/>
      </c>
      <c r="W26" s="40">
        <f>W23+W24+W25</f>
        <v/>
      </c>
      <c r="X26" s="40">
        <f>X23+X24+X25</f>
        <v/>
      </c>
      <c r="Y26" s="40">
        <f>Y23+Y24+Y25</f>
        <v/>
      </c>
      <c r="Z26" s="40">
        <f>Z23+Z24+Z25</f>
        <v/>
      </c>
      <c r="AA26" s="40">
        <f>AA23+AA24+AA25</f>
        <v/>
      </c>
      <c r="AB26" s="40">
        <f>AB23+AB24+AB25</f>
        <v/>
      </c>
      <c r="AC26" s="40">
        <f>AC23+AC24+AC25</f>
        <v/>
      </c>
      <c r="AD26" s="40">
        <f>AD23+AD24+AD25</f>
        <v/>
      </c>
      <c r="AE26" s="40">
        <f>AE23+AE24+AE25</f>
        <v/>
      </c>
      <c r="AF26" s="40">
        <f>AF23+AF24+AF25</f>
        <v/>
      </c>
      <c r="AG26" s="40">
        <f>AG23+AG24+AG25</f>
        <v/>
      </c>
      <c r="AH26" s="40">
        <f>AH23+AH24+AH25</f>
        <v/>
      </c>
      <c r="AI26" s="40">
        <f>AI23+AI24+AI25</f>
        <v/>
      </c>
      <c r="AJ26" s="40">
        <f>AJ23+AJ24+AJ25</f>
        <v/>
      </c>
      <c r="AK26" s="40">
        <f>AK23+AK24+AK25</f>
        <v/>
      </c>
      <c r="AL26" s="40">
        <f>AL23+AL24+AL25</f>
        <v/>
      </c>
      <c r="AN26" s="40">
        <f>SUM(C26:N26)</f>
        <v/>
      </c>
      <c r="AO26" s="40">
        <f>SUM(O26:Z26)</f>
        <v/>
      </c>
      <c r="AP26" s="40">
        <f>SUM(AA26:AL26)</f>
        <v/>
      </c>
    </row>
    <row r="27">
      <c r="A27" s="9" t="inlineStr">
        <is>
          <t>TVA collectée</t>
        </is>
      </c>
      <c r="B27" s="4" t="inlineStr">
        <is>
          <t>€</t>
        </is>
      </c>
      <c r="C27" s="15">
        <f>C26*Hypothèses!$D$15/(1+Hypothèses!$D$15)</f>
        <v/>
      </c>
      <c r="D27" s="15">
        <f>D26*Hypothèses!$D$15/(1+Hypothèses!$D$15)</f>
        <v/>
      </c>
      <c r="E27" s="15">
        <f>E26*Hypothèses!$D$15/(1+Hypothèses!$D$15)</f>
        <v/>
      </c>
      <c r="F27" s="15">
        <f>F26*Hypothèses!$D$15/(1+Hypothèses!$D$15)</f>
        <v/>
      </c>
      <c r="G27" s="15">
        <f>G26*Hypothèses!$D$15/(1+Hypothèses!$D$15)</f>
        <v/>
      </c>
      <c r="H27" s="15">
        <f>H26*Hypothèses!$D$15/(1+Hypothèses!$D$15)</f>
        <v/>
      </c>
      <c r="I27" s="15">
        <f>I26*Hypothèses!$D$15/(1+Hypothèses!$D$15)</f>
        <v/>
      </c>
      <c r="J27" s="15">
        <f>J26*Hypothèses!$D$15/(1+Hypothèses!$D$15)</f>
        <v/>
      </c>
      <c r="K27" s="15">
        <f>K26*Hypothèses!$D$15/(1+Hypothèses!$D$15)</f>
        <v/>
      </c>
      <c r="L27" s="15">
        <f>L26*Hypothèses!$D$15/(1+Hypothèses!$D$15)</f>
        <v/>
      </c>
      <c r="M27" s="15">
        <f>M26*Hypothèses!$D$15/(1+Hypothèses!$D$15)</f>
        <v/>
      </c>
      <c r="N27" s="15">
        <f>N26*Hypothèses!$D$15/(1+Hypothèses!$D$15)</f>
        <v/>
      </c>
      <c r="O27" s="15">
        <f>O26*Hypothèses!$D$15/(1+Hypothèses!$D$15)</f>
        <v/>
      </c>
      <c r="P27" s="15">
        <f>P26*Hypothèses!$D$15/(1+Hypothèses!$D$15)</f>
        <v/>
      </c>
      <c r="Q27" s="15">
        <f>Q26*Hypothèses!$D$15/(1+Hypothèses!$D$15)</f>
        <v/>
      </c>
      <c r="R27" s="15">
        <f>R26*Hypothèses!$D$15/(1+Hypothèses!$D$15)</f>
        <v/>
      </c>
      <c r="S27" s="15">
        <f>S26*Hypothèses!$D$15/(1+Hypothèses!$D$15)</f>
        <v/>
      </c>
      <c r="T27" s="15">
        <f>T26*Hypothèses!$D$15/(1+Hypothèses!$D$15)</f>
        <v/>
      </c>
      <c r="U27" s="15">
        <f>U26*Hypothèses!$D$15/(1+Hypothèses!$D$15)</f>
        <v/>
      </c>
      <c r="V27" s="15">
        <f>V26*Hypothèses!$D$15/(1+Hypothèses!$D$15)</f>
        <v/>
      </c>
      <c r="W27" s="15">
        <f>W26*Hypothèses!$D$15/(1+Hypothèses!$D$15)</f>
        <v/>
      </c>
      <c r="X27" s="15">
        <f>X26*Hypothèses!$D$15/(1+Hypothèses!$D$15)</f>
        <v/>
      </c>
      <c r="Y27" s="15">
        <f>Y26*Hypothèses!$D$15/(1+Hypothèses!$D$15)</f>
        <v/>
      </c>
      <c r="Z27" s="15">
        <f>Z26*Hypothèses!$D$15/(1+Hypothèses!$D$15)</f>
        <v/>
      </c>
      <c r="AA27" s="15">
        <f>AA26*Hypothèses!$D$15/(1+Hypothèses!$D$15)</f>
        <v/>
      </c>
      <c r="AB27" s="15">
        <f>AB26*Hypothèses!$D$15/(1+Hypothèses!$D$15)</f>
        <v/>
      </c>
      <c r="AC27" s="15">
        <f>AC26*Hypothèses!$D$15/(1+Hypothèses!$D$15)</f>
        <v/>
      </c>
      <c r="AD27" s="15">
        <f>AD26*Hypothèses!$D$15/(1+Hypothèses!$D$15)</f>
        <v/>
      </c>
      <c r="AE27" s="15">
        <f>AE26*Hypothèses!$D$15/(1+Hypothèses!$D$15)</f>
        <v/>
      </c>
      <c r="AF27" s="15">
        <f>AF26*Hypothèses!$D$15/(1+Hypothèses!$D$15)</f>
        <v/>
      </c>
      <c r="AG27" s="15">
        <f>AG26*Hypothèses!$D$15/(1+Hypothèses!$D$15)</f>
        <v/>
      </c>
      <c r="AH27" s="15">
        <f>AH26*Hypothèses!$D$15/(1+Hypothèses!$D$15)</f>
        <v/>
      </c>
      <c r="AI27" s="15">
        <f>AI26*Hypothèses!$D$15/(1+Hypothèses!$D$15)</f>
        <v/>
      </c>
      <c r="AJ27" s="15">
        <f>AJ26*Hypothèses!$D$15/(1+Hypothèses!$D$15)</f>
        <v/>
      </c>
      <c r="AK27" s="15">
        <f>AK26*Hypothèses!$D$15/(1+Hypothèses!$D$15)</f>
        <v/>
      </c>
      <c r="AL27" s="15">
        <f>AL26*Hypothèses!$D$15/(1+Hypothèses!$D$15)</f>
        <v/>
      </c>
      <c r="AN27" s="15">
        <f>SUM(C27:N27)</f>
        <v/>
      </c>
      <c r="AO27" s="15">
        <f>SUM(O27:Z27)</f>
        <v/>
      </c>
      <c r="AP27" s="15">
        <f>SUM(AA27:AL27)</f>
        <v/>
      </c>
    </row>
    <row r="28">
      <c r="A28" s="2" t="inlineStr">
        <is>
          <t>Chiffre d'affaires HT</t>
        </is>
      </c>
      <c r="B28" s="4" t="inlineStr">
        <is>
          <t>€ HT</t>
        </is>
      </c>
      <c r="C28" s="40">
        <f>C26-C27</f>
        <v/>
      </c>
      <c r="D28" s="40">
        <f>D26-D27</f>
        <v/>
      </c>
      <c r="E28" s="40">
        <f>E26-E27</f>
        <v/>
      </c>
      <c r="F28" s="40">
        <f>F26-F27</f>
        <v/>
      </c>
      <c r="G28" s="40">
        <f>G26-G27</f>
        <v/>
      </c>
      <c r="H28" s="40">
        <f>H26-H27</f>
        <v/>
      </c>
      <c r="I28" s="40">
        <f>I26-I27</f>
        <v/>
      </c>
      <c r="J28" s="40">
        <f>J26-J27</f>
        <v/>
      </c>
      <c r="K28" s="40">
        <f>K26-K27</f>
        <v/>
      </c>
      <c r="L28" s="40">
        <f>L26-L27</f>
        <v/>
      </c>
      <c r="M28" s="40">
        <f>M26-M27</f>
        <v/>
      </c>
      <c r="N28" s="40">
        <f>N26-N27</f>
        <v/>
      </c>
      <c r="O28" s="40">
        <f>O26-O27</f>
        <v/>
      </c>
      <c r="P28" s="40">
        <f>P26-P27</f>
        <v/>
      </c>
      <c r="Q28" s="40">
        <f>Q26-Q27</f>
        <v/>
      </c>
      <c r="R28" s="40">
        <f>R26-R27</f>
        <v/>
      </c>
      <c r="S28" s="40">
        <f>S26-S27</f>
        <v/>
      </c>
      <c r="T28" s="40">
        <f>T26-T27</f>
        <v/>
      </c>
      <c r="U28" s="40">
        <f>U26-U27</f>
        <v/>
      </c>
      <c r="V28" s="40">
        <f>V26-V27</f>
        <v/>
      </c>
      <c r="W28" s="40">
        <f>W26-W27</f>
        <v/>
      </c>
      <c r="X28" s="40">
        <f>X26-X27</f>
        <v/>
      </c>
      <c r="Y28" s="40">
        <f>Y26-Y27</f>
        <v/>
      </c>
      <c r="Z28" s="40">
        <f>Z26-Z27</f>
        <v/>
      </c>
      <c r="AA28" s="40">
        <f>AA26-AA27</f>
        <v/>
      </c>
      <c r="AB28" s="40">
        <f>AB26-AB27</f>
        <v/>
      </c>
      <c r="AC28" s="40">
        <f>AC26-AC27</f>
        <v/>
      </c>
      <c r="AD28" s="40">
        <f>AD26-AD27</f>
        <v/>
      </c>
      <c r="AE28" s="40">
        <f>AE26-AE27</f>
        <v/>
      </c>
      <c r="AF28" s="40">
        <f>AF26-AF27</f>
        <v/>
      </c>
      <c r="AG28" s="40">
        <f>AG26-AG27</f>
        <v/>
      </c>
      <c r="AH28" s="40">
        <f>AH26-AH27</f>
        <v/>
      </c>
      <c r="AI28" s="40">
        <f>AI26-AI27</f>
        <v/>
      </c>
      <c r="AJ28" s="40">
        <f>AJ26-AJ27</f>
        <v/>
      </c>
      <c r="AK28" s="40">
        <f>AK26-AK27</f>
        <v/>
      </c>
      <c r="AL28" s="40">
        <f>AL26-AL27</f>
        <v/>
      </c>
      <c r="AN28" s="40">
        <f>SUM(C28:N28)</f>
        <v/>
      </c>
      <c r="AO28" s="40">
        <f>SUM(O28:Z28)</f>
        <v/>
      </c>
      <c r="AP28" s="40">
        <f>SUM(AA28:AL28)</f>
        <v/>
      </c>
    </row>
    <row r="29">
      <c r="A29" s="9" t="inlineStr">
        <is>
          <t>Impayés (TTC)</t>
        </is>
      </c>
      <c r="B29" s="4" t="inlineStr">
        <is>
          <t>€ TTC</t>
        </is>
      </c>
      <c r="C29" s="15">
        <f>C26*Hypothèses!$D$27</f>
        <v/>
      </c>
      <c r="D29" s="15">
        <f>D26*Hypothèses!$D$27</f>
        <v/>
      </c>
      <c r="E29" s="15">
        <f>E26*Hypothèses!$D$27</f>
        <v/>
      </c>
      <c r="F29" s="15">
        <f>F26*Hypothèses!$D$27</f>
        <v/>
      </c>
      <c r="G29" s="15">
        <f>G26*Hypothèses!$D$27</f>
        <v/>
      </c>
      <c r="H29" s="15">
        <f>H26*Hypothèses!$D$27</f>
        <v/>
      </c>
      <c r="I29" s="15">
        <f>I26*Hypothèses!$D$27</f>
        <v/>
      </c>
      <c r="J29" s="15">
        <f>J26*Hypothèses!$D$27</f>
        <v/>
      </c>
      <c r="K29" s="15">
        <f>K26*Hypothèses!$D$27</f>
        <v/>
      </c>
      <c r="L29" s="15">
        <f>L26*Hypothèses!$D$27</f>
        <v/>
      </c>
      <c r="M29" s="15">
        <f>M26*Hypothèses!$D$27</f>
        <v/>
      </c>
      <c r="N29" s="15">
        <f>N26*Hypothèses!$D$27</f>
        <v/>
      </c>
      <c r="O29" s="15">
        <f>O26*Hypothèses!$D$27</f>
        <v/>
      </c>
      <c r="P29" s="15">
        <f>P26*Hypothèses!$D$27</f>
        <v/>
      </c>
      <c r="Q29" s="15">
        <f>Q26*Hypothèses!$D$27</f>
        <v/>
      </c>
      <c r="R29" s="15">
        <f>R26*Hypothèses!$D$27</f>
        <v/>
      </c>
      <c r="S29" s="15">
        <f>S26*Hypothèses!$D$27</f>
        <v/>
      </c>
      <c r="T29" s="15">
        <f>T26*Hypothèses!$D$27</f>
        <v/>
      </c>
      <c r="U29" s="15">
        <f>U26*Hypothèses!$D$27</f>
        <v/>
      </c>
      <c r="V29" s="15">
        <f>V26*Hypothèses!$D$27</f>
        <v/>
      </c>
      <c r="W29" s="15">
        <f>W26*Hypothèses!$D$27</f>
        <v/>
      </c>
      <c r="X29" s="15">
        <f>X26*Hypothèses!$D$27</f>
        <v/>
      </c>
      <c r="Y29" s="15">
        <f>Y26*Hypothèses!$D$27</f>
        <v/>
      </c>
      <c r="Z29" s="15">
        <f>Z26*Hypothèses!$D$27</f>
        <v/>
      </c>
      <c r="AA29" s="15">
        <f>AA26*Hypothèses!$D$27</f>
        <v/>
      </c>
      <c r="AB29" s="15">
        <f>AB26*Hypothèses!$D$27</f>
        <v/>
      </c>
      <c r="AC29" s="15">
        <f>AC26*Hypothèses!$D$27</f>
        <v/>
      </c>
      <c r="AD29" s="15">
        <f>AD26*Hypothèses!$D$27</f>
        <v/>
      </c>
      <c r="AE29" s="15">
        <f>AE26*Hypothèses!$D$27</f>
        <v/>
      </c>
      <c r="AF29" s="15">
        <f>AF26*Hypothèses!$D$27</f>
        <v/>
      </c>
      <c r="AG29" s="15">
        <f>AG26*Hypothèses!$D$27</f>
        <v/>
      </c>
      <c r="AH29" s="15">
        <f>AH26*Hypothèses!$D$27</f>
        <v/>
      </c>
      <c r="AI29" s="15">
        <f>AI26*Hypothèses!$D$27</f>
        <v/>
      </c>
      <c r="AJ29" s="15">
        <f>AJ26*Hypothèses!$D$27</f>
        <v/>
      </c>
      <c r="AK29" s="15">
        <f>AK26*Hypothèses!$D$27</f>
        <v/>
      </c>
      <c r="AL29" s="15">
        <f>AL26*Hypothèses!$D$27</f>
        <v/>
      </c>
      <c r="AN29" s="15">
        <f>SUM(C29:N29)</f>
        <v/>
      </c>
      <c r="AO29" s="15">
        <f>SUM(O29:Z29)</f>
        <v/>
      </c>
      <c r="AP29" s="15">
        <f>SUM(AA29:AL29)</f>
        <v/>
      </c>
    </row>
    <row r="30">
      <c r="A30" s="9" t="inlineStr">
        <is>
          <t>Frais de paiement</t>
        </is>
      </c>
      <c r="B30" s="4" t="inlineStr">
        <is>
          <t>€</t>
        </is>
      </c>
      <c r="C30" s="15">
        <f>(C26-C29)*Hypothèses!$D$28+C18*Hypothèses!$D$29</f>
        <v/>
      </c>
      <c r="D30" s="15">
        <f>(D26-D29)*Hypothèses!$D$28+D18*Hypothèses!$D$29</f>
        <v/>
      </c>
      <c r="E30" s="15">
        <f>(E26-E29)*Hypothèses!$D$28+E18*Hypothèses!$D$29</f>
        <v/>
      </c>
      <c r="F30" s="15">
        <f>(F26-F29)*Hypothèses!$D$28+F18*Hypothèses!$D$29</f>
        <v/>
      </c>
      <c r="G30" s="15">
        <f>(G26-G29)*Hypothèses!$D$28+G18*Hypothèses!$D$29</f>
        <v/>
      </c>
      <c r="H30" s="15">
        <f>(H26-H29)*Hypothèses!$D$28+H18*Hypothèses!$D$29</f>
        <v/>
      </c>
      <c r="I30" s="15">
        <f>(I26-I29)*Hypothèses!$D$28+I18*Hypothèses!$D$29</f>
        <v/>
      </c>
      <c r="J30" s="15">
        <f>(J26-J29)*Hypothèses!$D$28+J18*Hypothèses!$D$29</f>
        <v/>
      </c>
      <c r="K30" s="15">
        <f>(K26-K29)*Hypothèses!$D$28+K18*Hypothèses!$D$29</f>
        <v/>
      </c>
      <c r="L30" s="15">
        <f>(L26-L29)*Hypothèses!$D$28+L18*Hypothèses!$D$29</f>
        <v/>
      </c>
      <c r="M30" s="15">
        <f>(M26-M29)*Hypothèses!$D$28+M18*Hypothèses!$D$29</f>
        <v/>
      </c>
      <c r="N30" s="15">
        <f>(N26-N29)*Hypothèses!$D$28+N18*Hypothèses!$D$29</f>
        <v/>
      </c>
      <c r="O30" s="15">
        <f>(O26-O29)*Hypothèses!$D$28+O18*Hypothèses!$D$29</f>
        <v/>
      </c>
      <c r="P30" s="15">
        <f>(P26-P29)*Hypothèses!$D$28+P18*Hypothèses!$D$29</f>
        <v/>
      </c>
      <c r="Q30" s="15">
        <f>(Q26-Q29)*Hypothèses!$D$28+Q18*Hypothèses!$D$29</f>
        <v/>
      </c>
      <c r="R30" s="15">
        <f>(R26-R29)*Hypothèses!$D$28+R18*Hypothèses!$D$29</f>
        <v/>
      </c>
      <c r="S30" s="15">
        <f>(S26-S29)*Hypothèses!$D$28+S18*Hypothèses!$D$29</f>
        <v/>
      </c>
      <c r="T30" s="15">
        <f>(T26-T29)*Hypothèses!$D$28+T18*Hypothèses!$D$29</f>
        <v/>
      </c>
      <c r="U30" s="15">
        <f>(U26-U29)*Hypothèses!$D$28+U18*Hypothèses!$D$29</f>
        <v/>
      </c>
      <c r="V30" s="15">
        <f>(V26-V29)*Hypothèses!$D$28+V18*Hypothèses!$D$29</f>
        <v/>
      </c>
      <c r="W30" s="15">
        <f>(W26-W29)*Hypothèses!$D$28+W18*Hypothèses!$D$29</f>
        <v/>
      </c>
      <c r="X30" s="15">
        <f>(X26-X29)*Hypothèses!$D$28+X18*Hypothèses!$D$29</f>
        <v/>
      </c>
      <c r="Y30" s="15">
        <f>(Y26-Y29)*Hypothèses!$D$28+Y18*Hypothèses!$D$29</f>
        <v/>
      </c>
      <c r="Z30" s="15">
        <f>(Z26-Z29)*Hypothèses!$D$28+Z18*Hypothèses!$D$29</f>
        <v/>
      </c>
      <c r="AA30" s="15">
        <f>(AA26-AA29)*Hypothèses!$D$28+AA18*Hypothèses!$D$29</f>
        <v/>
      </c>
      <c r="AB30" s="15">
        <f>(AB26-AB29)*Hypothèses!$D$28+AB18*Hypothèses!$D$29</f>
        <v/>
      </c>
      <c r="AC30" s="15">
        <f>(AC26-AC29)*Hypothèses!$D$28+AC18*Hypothèses!$D$29</f>
        <v/>
      </c>
      <c r="AD30" s="15">
        <f>(AD26-AD29)*Hypothèses!$D$28+AD18*Hypothèses!$D$29</f>
        <v/>
      </c>
      <c r="AE30" s="15">
        <f>(AE26-AE29)*Hypothèses!$D$28+AE18*Hypothèses!$D$29</f>
        <v/>
      </c>
      <c r="AF30" s="15">
        <f>(AF26-AF29)*Hypothèses!$D$28+AF18*Hypothèses!$D$29</f>
        <v/>
      </c>
      <c r="AG30" s="15">
        <f>(AG26-AG29)*Hypothèses!$D$28+AG18*Hypothèses!$D$29</f>
        <v/>
      </c>
      <c r="AH30" s="15">
        <f>(AH26-AH29)*Hypothèses!$D$28+AH18*Hypothèses!$D$29</f>
        <v/>
      </c>
      <c r="AI30" s="15">
        <f>(AI26-AI29)*Hypothèses!$D$28+AI18*Hypothèses!$D$29</f>
        <v/>
      </c>
      <c r="AJ30" s="15">
        <f>(AJ26-AJ29)*Hypothèses!$D$28+AJ18*Hypothèses!$D$29</f>
        <v/>
      </c>
      <c r="AK30" s="15">
        <f>(AK26-AK29)*Hypothèses!$D$28+AK18*Hypothèses!$D$29</f>
        <v/>
      </c>
      <c r="AL30" s="15">
        <f>(AL26-AL29)*Hypothèses!$D$28+AL18*Hypothèses!$D$29</f>
        <v/>
      </c>
      <c r="AN30" s="15">
        <f>SUM(C30:N30)</f>
        <v/>
      </c>
      <c r="AO30" s="15">
        <f>SUM(O30:Z30)</f>
        <v/>
      </c>
      <c r="AP30" s="15">
        <f>SUM(AA30:AL30)</f>
        <v/>
      </c>
    </row>
    <row r="31">
      <c r="A31" s="2" t="inlineStr">
        <is>
          <t>Encaissements nets TTC</t>
        </is>
      </c>
      <c r="B31" s="4" t="inlineStr">
        <is>
          <t>€ TTC</t>
        </is>
      </c>
      <c r="C31" s="40">
        <f>C26-C29-C30</f>
        <v/>
      </c>
      <c r="D31" s="40">
        <f>D26-D29-D30</f>
        <v/>
      </c>
      <c r="E31" s="40">
        <f>E26-E29-E30</f>
        <v/>
      </c>
      <c r="F31" s="40">
        <f>F26-F29-F30</f>
        <v/>
      </c>
      <c r="G31" s="40">
        <f>G26-G29-G30</f>
        <v/>
      </c>
      <c r="H31" s="40">
        <f>H26-H29-H30</f>
        <v/>
      </c>
      <c r="I31" s="40">
        <f>I26-I29-I30</f>
        <v/>
      </c>
      <c r="J31" s="40">
        <f>J26-J29-J30</f>
        <v/>
      </c>
      <c r="K31" s="40">
        <f>K26-K29-K30</f>
        <v/>
      </c>
      <c r="L31" s="40">
        <f>L26-L29-L30</f>
        <v/>
      </c>
      <c r="M31" s="40">
        <f>M26-M29-M30</f>
        <v/>
      </c>
      <c r="N31" s="40">
        <f>N26-N29-N30</f>
        <v/>
      </c>
      <c r="O31" s="40">
        <f>O26-O29-O30</f>
        <v/>
      </c>
      <c r="P31" s="40">
        <f>P26-P29-P30</f>
        <v/>
      </c>
      <c r="Q31" s="40">
        <f>Q26-Q29-Q30</f>
        <v/>
      </c>
      <c r="R31" s="40">
        <f>R26-R29-R30</f>
        <v/>
      </c>
      <c r="S31" s="40">
        <f>S26-S29-S30</f>
        <v/>
      </c>
      <c r="T31" s="40">
        <f>T26-T29-T30</f>
        <v/>
      </c>
      <c r="U31" s="40">
        <f>U26-U29-U30</f>
        <v/>
      </c>
      <c r="V31" s="40">
        <f>V26-V29-V30</f>
        <v/>
      </c>
      <c r="W31" s="40">
        <f>W26-W29-W30</f>
        <v/>
      </c>
      <c r="X31" s="40">
        <f>X26-X29-X30</f>
        <v/>
      </c>
      <c r="Y31" s="40">
        <f>Y26-Y29-Y30</f>
        <v/>
      </c>
      <c r="Z31" s="40">
        <f>Z26-Z29-Z30</f>
        <v/>
      </c>
      <c r="AA31" s="40">
        <f>AA26-AA29-AA30</f>
        <v/>
      </c>
      <c r="AB31" s="40">
        <f>AB26-AB29-AB30</f>
        <v/>
      </c>
      <c r="AC31" s="40">
        <f>AC26-AC29-AC30</f>
        <v/>
      </c>
      <c r="AD31" s="40">
        <f>AD26-AD29-AD30</f>
        <v/>
      </c>
      <c r="AE31" s="40">
        <f>AE26-AE29-AE30</f>
        <v/>
      </c>
      <c r="AF31" s="40">
        <f>AF26-AF29-AF30</f>
        <v/>
      </c>
      <c r="AG31" s="40">
        <f>AG26-AG29-AG30</f>
        <v/>
      </c>
      <c r="AH31" s="40">
        <f>AH26-AH29-AH30</f>
        <v/>
      </c>
      <c r="AI31" s="40">
        <f>AI26-AI29-AI30</f>
        <v/>
      </c>
      <c r="AJ31" s="40">
        <f>AJ26-AJ29-AJ30</f>
        <v/>
      </c>
      <c r="AK31" s="40">
        <f>AK26-AK29-AK30</f>
        <v/>
      </c>
      <c r="AL31" s="40">
        <f>AL26-AL29-AL30</f>
        <v/>
      </c>
      <c r="AN31" s="40">
        <f>SUM(C31:N31)</f>
        <v/>
      </c>
      <c r="AO31" s="40">
        <f>SUM(O31:Z31)</f>
        <v/>
      </c>
      <c r="AP31" s="40">
        <f>SUM(AA31:AL31)</f>
        <v/>
      </c>
    </row>
    <row r="32">
      <c r="A32" s="8" t="inlineStr">
        <is>
          <t>Coûts variables</t>
        </is>
      </c>
    </row>
    <row r="33">
      <c r="A33" s="9" t="inlineStr">
        <is>
          <t>Coût IA et outils (missions × coût par mission)</t>
        </is>
      </c>
      <c r="B33" s="4" t="inlineStr">
        <is>
          <t>€ HT</t>
        </is>
      </c>
      <c r="C33" s="15">
        <f>(C19*Hypothèses!$D$31+C20*Hypothèses!$D$32+C21*Hypothèses!$D$33)*Hypothèses!$D$34*$F$4</f>
        <v/>
      </c>
      <c r="D33" s="15">
        <f>(D19*Hypothèses!$D$31+D20*Hypothèses!$D$32+D21*Hypothèses!$D$33)*Hypothèses!$D$34*$F$4</f>
        <v/>
      </c>
      <c r="E33" s="15">
        <f>(E19*Hypothèses!$D$31+E20*Hypothèses!$D$32+E21*Hypothèses!$D$33)*Hypothèses!$D$34*$F$4</f>
        <v/>
      </c>
      <c r="F33" s="15">
        <f>(F19*Hypothèses!$D$31+F20*Hypothèses!$D$32+F21*Hypothèses!$D$33)*Hypothèses!$D$34*$F$4</f>
        <v/>
      </c>
      <c r="G33" s="15">
        <f>(G19*Hypothèses!$D$31+G20*Hypothèses!$D$32+G21*Hypothèses!$D$33)*Hypothèses!$D$34*$F$4</f>
        <v/>
      </c>
      <c r="H33" s="15">
        <f>(H19*Hypothèses!$D$31+H20*Hypothèses!$D$32+H21*Hypothèses!$D$33)*Hypothèses!$D$34*$F$4</f>
        <v/>
      </c>
      <c r="I33" s="15">
        <f>(I19*Hypothèses!$D$31+I20*Hypothèses!$D$32+I21*Hypothèses!$D$33)*Hypothèses!$D$34*$F$4</f>
        <v/>
      </c>
      <c r="J33" s="15">
        <f>(J19*Hypothèses!$D$31+J20*Hypothèses!$D$32+J21*Hypothèses!$D$33)*Hypothèses!$D$34*$F$4</f>
        <v/>
      </c>
      <c r="K33" s="15">
        <f>(K19*Hypothèses!$D$31+K20*Hypothèses!$D$32+K21*Hypothèses!$D$33)*Hypothèses!$D$34*$F$4</f>
        <v/>
      </c>
      <c r="L33" s="15">
        <f>(L19*Hypothèses!$D$31+L20*Hypothèses!$D$32+L21*Hypothèses!$D$33)*Hypothèses!$D$34*$F$4</f>
        <v/>
      </c>
      <c r="M33" s="15">
        <f>(M19*Hypothèses!$D$31+M20*Hypothèses!$D$32+M21*Hypothèses!$D$33)*Hypothèses!$D$34*$F$4</f>
        <v/>
      </c>
      <c r="N33" s="15">
        <f>(N19*Hypothèses!$D$31+N20*Hypothèses!$D$32+N21*Hypothèses!$D$33)*Hypothèses!$D$34*$F$4</f>
        <v/>
      </c>
      <c r="O33" s="15">
        <f>(O19*Hypothèses!$D$31+O20*Hypothèses!$D$32+O21*Hypothèses!$D$33)*Hypothèses!$D$34*$F$4</f>
        <v/>
      </c>
      <c r="P33" s="15">
        <f>(P19*Hypothèses!$D$31+P20*Hypothèses!$D$32+P21*Hypothèses!$D$33)*Hypothèses!$D$34*$F$4</f>
        <v/>
      </c>
      <c r="Q33" s="15">
        <f>(Q19*Hypothèses!$D$31+Q20*Hypothèses!$D$32+Q21*Hypothèses!$D$33)*Hypothèses!$D$34*$F$4</f>
        <v/>
      </c>
      <c r="R33" s="15">
        <f>(R19*Hypothèses!$D$31+R20*Hypothèses!$D$32+R21*Hypothèses!$D$33)*Hypothèses!$D$34*$F$4</f>
        <v/>
      </c>
      <c r="S33" s="15">
        <f>(S19*Hypothèses!$D$31+S20*Hypothèses!$D$32+S21*Hypothèses!$D$33)*Hypothèses!$D$34*$F$4</f>
        <v/>
      </c>
      <c r="T33" s="15">
        <f>(T19*Hypothèses!$D$31+T20*Hypothèses!$D$32+T21*Hypothèses!$D$33)*Hypothèses!$D$34*$F$4</f>
        <v/>
      </c>
      <c r="U33" s="15">
        <f>(U19*Hypothèses!$D$31+U20*Hypothèses!$D$32+U21*Hypothèses!$D$33)*Hypothèses!$D$34*$F$4</f>
        <v/>
      </c>
      <c r="V33" s="15">
        <f>(V19*Hypothèses!$D$31+V20*Hypothèses!$D$32+V21*Hypothèses!$D$33)*Hypothèses!$D$34*$F$4</f>
        <v/>
      </c>
      <c r="W33" s="15">
        <f>(W19*Hypothèses!$D$31+W20*Hypothèses!$D$32+W21*Hypothèses!$D$33)*Hypothèses!$D$34*$F$4</f>
        <v/>
      </c>
      <c r="X33" s="15">
        <f>(X19*Hypothèses!$D$31+X20*Hypothèses!$D$32+X21*Hypothèses!$D$33)*Hypothèses!$D$34*$F$4</f>
        <v/>
      </c>
      <c r="Y33" s="15">
        <f>(Y19*Hypothèses!$D$31+Y20*Hypothèses!$D$32+Y21*Hypothèses!$D$33)*Hypothèses!$D$34*$F$4</f>
        <v/>
      </c>
      <c r="Z33" s="15">
        <f>(Z19*Hypothèses!$D$31+Z20*Hypothèses!$D$32+Z21*Hypothèses!$D$33)*Hypothèses!$D$34*$F$4</f>
        <v/>
      </c>
      <c r="AA33" s="15">
        <f>(AA19*Hypothèses!$D$31+AA20*Hypothèses!$D$32+AA21*Hypothèses!$D$33)*Hypothèses!$D$34*$F$4</f>
        <v/>
      </c>
      <c r="AB33" s="15">
        <f>(AB19*Hypothèses!$D$31+AB20*Hypothèses!$D$32+AB21*Hypothèses!$D$33)*Hypothèses!$D$34*$F$4</f>
        <v/>
      </c>
      <c r="AC33" s="15">
        <f>(AC19*Hypothèses!$D$31+AC20*Hypothèses!$D$32+AC21*Hypothèses!$D$33)*Hypothèses!$D$34*$F$4</f>
        <v/>
      </c>
      <c r="AD33" s="15">
        <f>(AD19*Hypothèses!$D$31+AD20*Hypothèses!$D$32+AD21*Hypothèses!$D$33)*Hypothèses!$D$34*$F$4</f>
        <v/>
      </c>
      <c r="AE33" s="15">
        <f>(AE19*Hypothèses!$D$31+AE20*Hypothèses!$D$32+AE21*Hypothèses!$D$33)*Hypothèses!$D$34*$F$4</f>
        <v/>
      </c>
      <c r="AF33" s="15">
        <f>(AF19*Hypothèses!$D$31+AF20*Hypothèses!$D$32+AF21*Hypothèses!$D$33)*Hypothèses!$D$34*$F$4</f>
        <v/>
      </c>
      <c r="AG33" s="15">
        <f>(AG19*Hypothèses!$D$31+AG20*Hypothèses!$D$32+AG21*Hypothèses!$D$33)*Hypothèses!$D$34*$F$4</f>
        <v/>
      </c>
      <c r="AH33" s="15">
        <f>(AH19*Hypothèses!$D$31+AH20*Hypothèses!$D$32+AH21*Hypothèses!$D$33)*Hypothèses!$D$34*$F$4</f>
        <v/>
      </c>
      <c r="AI33" s="15">
        <f>(AI19*Hypothèses!$D$31+AI20*Hypothèses!$D$32+AI21*Hypothèses!$D$33)*Hypothèses!$D$34*$F$4</f>
        <v/>
      </c>
      <c r="AJ33" s="15">
        <f>(AJ19*Hypothèses!$D$31+AJ20*Hypothèses!$D$32+AJ21*Hypothèses!$D$33)*Hypothèses!$D$34*$F$4</f>
        <v/>
      </c>
      <c r="AK33" s="15">
        <f>(AK19*Hypothèses!$D$31+AK20*Hypothèses!$D$32+AK21*Hypothèses!$D$33)*Hypothèses!$D$34*$F$4</f>
        <v/>
      </c>
      <c r="AL33" s="15">
        <f>(AL19*Hypothèses!$D$31+AL20*Hypothèses!$D$32+AL21*Hypothèses!$D$33)*Hypothèses!$D$34*$F$4</f>
        <v/>
      </c>
      <c r="AN33" s="15">
        <f>SUM(C33:N33)</f>
        <v/>
      </c>
      <c r="AO33" s="15">
        <f>SUM(O33:Z33)</f>
        <v/>
      </c>
      <c r="AP33" s="15">
        <f>SUM(AA33:AL33)</f>
        <v/>
      </c>
    </row>
    <row r="34">
      <c r="A34" s="9" t="inlineStr">
        <is>
          <t>Hébergement, stockage, connecteurs</t>
        </is>
      </c>
      <c r="B34" s="4" t="inlineStr">
        <is>
          <t>€ HT</t>
        </is>
      </c>
      <c r="C34" s="15">
        <f>C18*Hypothèses!$D$35</f>
        <v/>
      </c>
      <c r="D34" s="15">
        <f>D18*Hypothèses!$D$35</f>
        <v/>
      </c>
      <c r="E34" s="15">
        <f>E18*Hypothèses!$D$35</f>
        <v/>
      </c>
      <c r="F34" s="15">
        <f>F18*Hypothèses!$D$35</f>
        <v/>
      </c>
      <c r="G34" s="15">
        <f>G18*Hypothèses!$D$35</f>
        <v/>
      </c>
      <c r="H34" s="15">
        <f>H18*Hypothèses!$D$35</f>
        <v/>
      </c>
      <c r="I34" s="15">
        <f>I18*Hypothèses!$D$35</f>
        <v/>
      </c>
      <c r="J34" s="15">
        <f>J18*Hypothèses!$D$35</f>
        <v/>
      </c>
      <c r="K34" s="15">
        <f>K18*Hypothèses!$D$35</f>
        <v/>
      </c>
      <c r="L34" s="15">
        <f>L18*Hypothèses!$D$35</f>
        <v/>
      </c>
      <c r="M34" s="15">
        <f>M18*Hypothèses!$D$35</f>
        <v/>
      </c>
      <c r="N34" s="15">
        <f>N18*Hypothèses!$D$35</f>
        <v/>
      </c>
      <c r="O34" s="15">
        <f>O18*Hypothèses!$D$35</f>
        <v/>
      </c>
      <c r="P34" s="15">
        <f>P18*Hypothèses!$D$35</f>
        <v/>
      </c>
      <c r="Q34" s="15">
        <f>Q18*Hypothèses!$D$35</f>
        <v/>
      </c>
      <c r="R34" s="15">
        <f>R18*Hypothèses!$D$35</f>
        <v/>
      </c>
      <c r="S34" s="15">
        <f>S18*Hypothèses!$D$35</f>
        <v/>
      </c>
      <c r="T34" s="15">
        <f>T18*Hypothèses!$D$35</f>
        <v/>
      </c>
      <c r="U34" s="15">
        <f>U18*Hypothèses!$D$35</f>
        <v/>
      </c>
      <c r="V34" s="15">
        <f>V18*Hypothèses!$D$35</f>
        <v/>
      </c>
      <c r="W34" s="15">
        <f>W18*Hypothèses!$D$35</f>
        <v/>
      </c>
      <c r="X34" s="15">
        <f>X18*Hypothèses!$D$35</f>
        <v/>
      </c>
      <c r="Y34" s="15">
        <f>Y18*Hypothèses!$D$35</f>
        <v/>
      </c>
      <c r="Z34" s="15">
        <f>Z18*Hypothèses!$D$35</f>
        <v/>
      </c>
      <c r="AA34" s="15">
        <f>AA18*Hypothèses!$D$35</f>
        <v/>
      </c>
      <c r="AB34" s="15">
        <f>AB18*Hypothèses!$D$35</f>
        <v/>
      </c>
      <c r="AC34" s="15">
        <f>AC18*Hypothèses!$D$35</f>
        <v/>
      </c>
      <c r="AD34" s="15">
        <f>AD18*Hypothèses!$D$35</f>
        <v/>
      </c>
      <c r="AE34" s="15">
        <f>AE18*Hypothèses!$D$35</f>
        <v/>
      </c>
      <c r="AF34" s="15">
        <f>AF18*Hypothèses!$D$35</f>
        <v/>
      </c>
      <c r="AG34" s="15">
        <f>AG18*Hypothèses!$D$35</f>
        <v/>
      </c>
      <c r="AH34" s="15">
        <f>AH18*Hypothèses!$D$35</f>
        <v/>
      </c>
      <c r="AI34" s="15">
        <f>AI18*Hypothèses!$D$35</f>
        <v/>
      </c>
      <c r="AJ34" s="15">
        <f>AJ18*Hypothèses!$D$35</f>
        <v/>
      </c>
      <c r="AK34" s="15">
        <f>AK18*Hypothèses!$D$35</f>
        <v/>
      </c>
      <c r="AL34" s="15">
        <f>AL18*Hypothèses!$D$35</f>
        <v/>
      </c>
      <c r="AN34" s="15">
        <f>SUM(C34:N34)</f>
        <v/>
      </c>
      <c r="AO34" s="15">
        <f>SUM(O34:Z34)</f>
        <v/>
      </c>
      <c r="AP34" s="15">
        <f>SUM(AA34:AL34)</f>
        <v/>
      </c>
    </row>
    <row r="35">
      <c r="A35" s="9" t="inlineStr">
        <is>
          <t>Support humain</t>
        </is>
      </c>
      <c r="B35" s="4" t="inlineStr">
        <is>
          <t>€ HT</t>
        </is>
      </c>
      <c r="C35" s="15">
        <f>C18*Hypothèses!$D$36</f>
        <v/>
      </c>
      <c r="D35" s="15">
        <f>D18*Hypothèses!$D$36</f>
        <v/>
      </c>
      <c r="E35" s="15">
        <f>E18*Hypothèses!$D$36</f>
        <v/>
      </c>
      <c r="F35" s="15">
        <f>F18*Hypothèses!$D$36</f>
        <v/>
      </c>
      <c r="G35" s="15">
        <f>G18*Hypothèses!$D$36</f>
        <v/>
      </c>
      <c r="H35" s="15">
        <f>H18*Hypothèses!$D$36</f>
        <v/>
      </c>
      <c r="I35" s="15">
        <f>I18*Hypothèses!$D$36</f>
        <v/>
      </c>
      <c r="J35" s="15">
        <f>J18*Hypothèses!$D$36</f>
        <v/>
      </c>
      <c r="K35" s="15">
        <f>K18*Hypothèses!$D$36</f>
        <v/>
      </c>
      <c r="L35" s="15">
        <f>L18*Hypothèses!$D$36</f>
        <v/>
      </c>
      <c r="M35" s="15">
        <f>M18*Hypothèses!$D$36</f>
        <v/>
      </c>
      <c r="N35" s="15">
        <f>N18*Hypothèses!$D$36</f>
        <v/>
      </c>
      <c r="O35" s="15">
        <f>O18*Hypothèses!$D$36</f>
        <v/>
      </c>
      <c r="P35" s="15">
        <f>P18*Hypothèses!$D$36</f>
        <v/>
      </c>
      <c r="Q35" s="15">
        <f>Q18*Hypothèses!$D$36</f>
        <v/>
      </c>
      <c r="R35" s="15">
        <f>R18*Hypothèses!$D$36</f>
        <v/>
      </c>
      <c r="S35" s="15">
        <f>S18*Hypothèses!$D$36</f>
        <v/>
      </c>
      <c r="T35" s="15">
        <f>T18*Hypothèses!$D$36</f>
        <v/>
      </c>
      <c r="U35" s="15">
        <f>U18*Hypothèses!$D$36</f>
        <v/>
      </c>
      <c r="V35" s="15">
        <f>V18*Hypothèses!$D$36</f>
        <v/>
      </c>
      <c r="W35" s="15">
        <f>W18*Hypothèses!$D$36</f>
        <v/>
      </c>
      <c r="X35" s="15">
        <f>X18*Hypothèses!$D$36</f>
        <v/>
      </c>
      <c r="Y35" s="15">
        <f>Y18*Hypothèses!$D$36</f>
        <v/>
      </c>
      <c r="Z35" s="15">
        <f>Z18*Hypothèses!$D$36</f>
        <v/>
      </c>
      <c r="AA35" s="15">
        <f>AA18*Hypothèses!$D$36</f>
        <v/>
      </c>
      <c r="AB35" s="15">
        <f>AB18*Hypothèses!$D$36</f>
        <v/>
      </c>
      <c r="AC35" s="15">
        <f>AC18*Hypothèses!$D$36</f>
        <v/>
      </c>
      <c r="AD35" s="15">
        <f>AD18*Hypothèses!$D$36</f>
        <v/>
      </c>
      <c r="AE35" s="15">
        <f>AE18*Hypothèses!$D$36</f>
        <v/>
      </c>
      <c r="AF35" s="15">
        <f>AF18*Hypothèses!$D$36</f>
        <v/>
      </c>
      <c r="AG35" s="15">
        <f>AG18*Hypothèses!$D$36</f>
        <v/>
      </c>
      <c r="AH35" s="15">
        <f>AH18*Hypothèses!$D$36</f>
        <v/>
      </c>
      <c r="AI35" s="15">
        <f>AI18*Hypothèses!$D$36</f>
        <v/>
      </c>
      <c r="AJ35" s="15">
        <f>AJ18*Hypothèses!$D$36</f>
        <v/>
      </c>
      <c r="AK35" s="15">
        <f>AK18*Hypothèses!$D$36</f>
        <v/>
      </c>
      <c r="AL35" s="15">
        <f>AL18*Hypothèses!$D$36</f>
        <v/>
      </c>
      <c r="AN35" s="15">
        <f>SUM(C35:N35)</f>
        <v/>
      </c>
      <c r="AO35" s="15">
        <f>SUM(O35:Z35)</f>
        <v/>
      </c>
      <c r="AP35" s="15">
        <f>SUM(AA35:AL35)</f>
        <v/>
      </c>
    </row>
    <row r="36">
      <c r="A36" s="2" t="inlineStr">
        <is>
          <t>Total coûts variables</t>
        </is>
      </c>
      <c r="B36" s="4" t="inlineStr">
        <is>
          <t>€ HT</t>
        </is>
      </c>
      <c r="C36" s="40">
        <f>C33+C34+C35</f>
        <v/>
      </c>
      <c r="D36" s="40">
        <f>D33+D34+D35</f>
        <v/>
      </c>
      <c r="E36" s="40">
        <f>E33+E34+E35</f>
        <v/>
      </c>
      <c r="F36" s="40">
        <f>F33+F34+F35</f>
        <v/>
      </c>
      <c r="G36" s="40">
        <f>G33+G34+G35</f>
        <v/>
      </c>
      <c r="H36" s="40">
        <f>H33+H34+H35</f>
        <v/>
      </c>
      <c r="I36" s="40">
        <f>I33+I34+I35</f>
        <v/>
      </c>
      <c r="J36" s="40">
        <f>J33+J34+J35</f>
        <v/>
      </c>
      <c r="K36" s="40">
        <f>K33+K34+K35</f>
        <v/>
      </c>
      <c r="L36" s="40">
        <f>L33+L34+L35</f>
        <v/>
      </c>
      <c r="M36" s="40">
        <f>M33+M34+M35</f>
        <v/>
      </c>
      <c r="N36" s="40">
        <f>N33+N34+N35</f>
        <v/>
      </c>
      <c r="O36" s="40">
        <f>O33+O34+O35</f>
        <v/>
      </c>
      <c r="P36" s="40">
        <f>P33+P34+P35</f>
        <v/>
      </c>
      <c r="Q36" s="40">
        <f>Q33+Q34+Q35</f>
        <v/>
      </c>
      <c r="R36" s="40">
        <f>R33+R34+R35</f>
        <v/>
      </c>
      <c r="S36" s="40">
        <f>S33+S34+S35</f>
        <v/>
      </c>
      <c r="T36" s="40">
        <f>T33+T34+T35</f>
        <v/>
      </c>
      <c r="U36" s="40">
        <f>U33+U34+U35</f>
        <v/>
      </c>
      <c r="V36" s="40">
        <f>V33+V34+V35</f>
        <v/>
      </c>
      <c r="W36" s="40">
        <f>W33+W34+W35</f>
        <v/>
      </c>
      <c r="X36" s="40">
        <f>X33+X34+X35</f>
        <v/>
      </c>
      <c r="Y36" s="40">
        <f>Y33+Y34+Y35</f>
        <v/>
      </c>
      <c r="Z36" s="40">
        <f>Z33+Z34+Z35</f>
        <v/>
      </c>
      <c r="AA36" s="40">
        <f>AA33+AA34+AA35</f>
        <v/>
      </c>
      <c r="AB36" s="40">
        <f>AB33+AB34+AB35</f>
        <v/>
      </c>
      <c r="AC36" s="40">
        <f>AC33+AC34+AC35</f>
        <v/>
      </c>
      <c r="AD36" s="40">
        <f>AD33+AD34+AD35</f>
        <v/>
      </c>
      <c r="AE36" s="40">
        <f>AE33+AE34+AE35</f>
        <v/>
      </c>
      <c r="AF36" s="40">
        <f>AF33+AF34+AF35</f>
        <v/>
      </c>
      <c r="AG36" s="40">
        <f>AG33+AG34+AG35</f>
        <v/>
      </c>
      <c r="AH36" s="40">
        <f>AH33+AH34+AH35</f>
        <v/>
      </c>
      <c r="AI36" s="40">
        <f>AI33+AI34+AI35</f>
        <v/>
      </c>
      <c r="AJ36" s="40">
        <f>AJ33+AJ34+AJ35</f>
        <v/>
      </c>
      <c r="AK36" s="40">
        <f>AK33+AK34+AK35</f>
        <v/>
      </c>
      <c r="AL36" s="40">
        <f>AL33+AL34+AL35</f>
        <v/>
      </c>
      <c r="AN36" s="40">
        <f>SUM(C36:N36)</f>
        <v/>
      </c>
      <c r="AO36" s="40">
        <f>SUM(O36:Z36)</f>
        <v/>
      </c>
      <c r="AP36" s="40">
        <f>SUM(AA36:AL36)</f>
        <v/>
      </c>
    </row>
    <row r="37">
      <c r="A37" s="2" t="inlineStr">
        <is>
          <t>Marge sur coûts variables (CA HT − variables − frais − impayés HT)</t>
        </is>
      </c>
      <c r="B37" s="4" t="inlineStr">
        <is>
          <t>€ HT</t>
        </is>
      </c>
      <c r="C37" s="40">
        <f>C28-C36-C30-C29/(1+Hypothèses!$D$15)</f>
        <v/>
      </c>
      <c r="D37" s="40">
        <f>D28-D36-D30-D29/(1+Hypothèses!$D$15)</f>
        <v/>
      </c>
      <c r="E37" s="40">
        <f>E28-E36-E30-E29/(1+Hypothèses!$D$15)</f>
        <v/>
      </c>
      <c r="F37" s="40">
        <f>F28-F36-F30-F29/(1+Hypothèses!$D$15)</f>
        <v/>
      </c>
      <c r="G37" s="40">
        <f>G28-G36-G30-G29/(1+Hypothèses!$D$15)</f>
        <v/>
      </c>
      <c r="H37" s="40">
        <f>H28-H36-H30-H29/(1+Hypothèses!$D$15)</f>
        <v/>
      </c>
      <c r="I37" s="40">
        <f>I28-I36-I30-I29/(1+Hypothèses!$D$15)</f>
        <v/>
      </c>
      <c r="J37" s="40">
        <f>J28-J36-J30-J29/(1+Hypothèses!$D$15)</f>
        <v/>
      </c>
      <c r="K37" s="40">
        <f>K28-K36-K30-K29/(1+Hypothèses!$D$15)</f>
        <v/>
      </c>
      <c r="L37" s="40">
        <f>L28-L36-L30-L29/(1+Hypothèses!$D$15)</f>
        <v/>
      </c>
      <c r="M37" s="40">
        <f>M28-M36-M30-M29/(1+Hypothèses!$D$15)</f>
        <v/>
      </c>
      <c r="N37" s="40">
        <f>N28-N36-N30-N29/(1+Hypothèses!$D$15)</f>
        <v/>
      </c>
      <c r="O37" s="40">
        <f>O28-O36-O30-O29/(1+Hypothèses!$D$15)</f>
        <v/>
      </c>
      <c r="P37" s="40">
        <f>P28-P36-P30-P29/(1+Hypothèses!$D$15)</f>
        <v/>
      </c>
      <c r="Q37" s="40">
        <f>Q28-Q36-Q30-Q29/(1+Hypothèses!$D$15)</f>
        <v/>
      </c>
      <c r="R37" s="40">
        <f>R28-R36-R30-R29/(1+Hypothèses!$D$15)</f>
        <v/>
      </c>
      <c r="S37" s="40">
        <f>S28-S36-S30-S29/(1+Hypothèses!$D$15)</f>
        <v/>
      </c>
      <c r="T37" s="40">
        <f>T28-T36-T30-T29/(1+Hypothèses!$D$15)</f>
        <v/>
      </c>
      <c r="U37" s="40">
        <f>U28-U36-U30-U29/(1+Hypothèses!$D$15)</f>
        <v/>
      </c>
      <c r="V37" s="40">
        <f>V28-V36-V30-V29/(1+Hypothèses!$D$15)</f>
        <v/>
      </c>
      <c r="W37" s="40">
        <f>W28-W36-W30-W29/(1+Hypothèses!$D$15)</f>
        <v/>
      </c>
      <c r="X37" s="40">
        <f>X28-X36-X30-X29/(1+Hypothèses!$D$15)</f>
        <v/>
      </c>
      <c r="Y37" s="40">
        <f>Y28-Y36-Y30-Y29/(1+Hypothèses!$D$15)</f>
        <v/>
      </c>
      <c r="Z37" s="40">
        <f>Z28-Z36-Z30-Z29/(1+Hypothèses!$D$15)</f>
        <v/>
      </c>
      <c r="AA37" s="40">
        <f>AA28-AA36-AA30-AA29/(1+Hypothèses!$D$15)</f>
        <v/>
      </c>
      <c r="AB37" s="40">
        <f>AB28-AB36-AB30-AB29/(1+Hypothèses!$D$15)</f>
        <v/>
      </c>
      <c r="AC37" s="40">
        <f>AC28-AC36-AC30-AC29/(1+Hypothèses!$D$15)</f>
        <v/>
      </c>
      <c r="AD37" s="40">
        <f>AD28-AD36-AD30-AD29/(1+Hypothèses!$D$15)</f>
        <v/>
      </c>
      <c r="AE37" s="40">
        <f>AE28-AE36-AE30-AE29/(1+Hypothèses!$D$15)</f>
        <v/>
      </c>
      <c r="AF37" s="40">
        <f>AF28-AF36-AF30-AF29/(1+Hypothèses!$D$15)</f>
        <v/>
      </c>
      <c r="AG37" s="40">
        <f>AG28-AG36-AG30-AG29/(1+Hypothèses!$D$15)</f>
        <v/>
      </c>
      <c r="AH37" s="40">
        <f>AH28-AH36-AH30-AH29/(1+Hypothèses!$D$15)</f>
        <v/>
      </c>
      <c r="AI37" s="40">
        <f>AI28-AI36-AI30-AI29/(1+Hypothèses!$D$15)</f>
        <v/>
      </c>
      <c r="AJ37" s="40">
        <f>AJ28-AJ36-AJ30-AJ29/(1+Hypothèses!$D$15)</f>
        <v/>
      </c>
      <c r="AK37" s="40">
        <f>AK28-AK36-AK30-AK29/(1+Hypothèses!$D$15)</f>
        <v/>
      </c>
      <c r="AL37" s="40">
        <f>AL28-AL36-AL30-AL29/(1+Hypothèses!$D$15)</f>
        <v/>
      </c>
      <c r="AN37" s="40">
        <f>SUM(C37:N37)</f>
        <v/>
      </c>
      <c r="AO37" s="40">
        <f>SUM(O37:Z37)</f>
        <v/>
      </c>
      <c r="AP37" s="40">
        <f>SUM(AA37:AL37)</f>
        <v/>
      </c>
    </row>
    <row r="38">
      <c r="A38" s="8" t="inlineStr">
        <is>
          <t>Acquisition et coûts fixes</t>
        </is>
      </c>
    </row>
    <row r="39">
      <c r="A39" s="9" t="inlineStr">
        <is>
          <t>Dépenses d'acquisition</t>
        </is>
      </c>
      <c r="B39" s="4" t="inlineStr">
        <is>
          <t>€ HT</t>
        </is>
      </c>
      <c r="C39" s="15">
        <f>C11</f>
        <v/>
      </c>
      <c r="D39" s="15">
        <f>D11</f>
        <v/>
      </c>
      <c r="E39" s="15">
        <f>E11</f>
        <v/>
      </c>
      <c r="F39" s="15">
        <f>F11</f>
        <v/>
      </c>
      <c r="G39" s="15">
        <f>G11</f>
        <v/>
      </c>
      <c r="H39" s="15">
        <f>H11</f>
        <v/>
      </c>
      <c r="I39" s="15">
        <f>I11</f>
        <v/>
      </c>
      <c r="J39" s="15">
        <f>J11</f>
        <v/>
      </c>
      <c r="K39" s="15">
        <f>K11</f>
        <v/>
      </c>
      <c r="L39" s="15">
        <f>L11</f>
        <v/>
      </c>
      <c r="M39" s="15">
        <f>M11</f>
        <v/>
      </c>
      <c r="N39" s="15">
        <f>N11</f>
        <v/>
      </c>
      <c r="O39" s="15">
        <f>O11</f>
        <v/>
      </c>
      <c r="P39" s="15">
        <f>P11</f>
        <v/>
      </c>
      <c r="Q39" s="15">
        <f>Q11</f>
        <v/>
      </c>
      <c r="R39" s="15">
        <f>R11</f>
        <v/>
      </c>
      <c r="S39" s="15">
        <f>S11</f>
        <v/>
      </c>
      <c r="T39" s="15">
        <f>T11</f>
        <v/>
      </c>
      <c r="U39" s="15">
        <f>U11</f>
        <v/>
      </c>
      <c r="V39" s="15">
        <f>V11</f>
        <v/>
      </c>
      <c r="W39" s="15">
        <f>W11</f>
        <v/>
      </c>
      <c r="X39" s="15">
        <f>X11</f>
        <v/>
      </c>
      <c r="Y39" s="15">
        <f>Y11</f>
        <v/>
      </c>
      <c r="Z39" s="15">
        <f>Z11</f>
        <v/>
      </c>
      <c r="AA39" s="15">
        <f>AA11</f>
        <v/>
      </c>
      <c r="AB39" s="15">
        <f>AB11</f>
        <v/>
      </c>
      <c r="AC39" s="15">
        <f>AC11</f>
        <v/>
      </c>
      <c r="AD39" s="15">
        <f>AD11</f>
        <v/>
      </c>
      <c r="AE39" s="15">
        <f>AE11</f>
        <v/>
      </c>
      <c r="AF39" s="15">
        <f>AF11</f>
        <v/>
      </c>
      <c r="AG39" s="15">
        <f>AG11</f>
        <v/>
      </c>
      <c r="AH39" s="15">
        <f>AH11</f>
        <v/>
      </c>
      <c r="AI39" s="15">
        <f>AI11</f>
        <v/>
      </c>
      <c r="AJ39" s="15">
        <f>AJ11</f>
        <v/>
      </c>
      <c r="AK39" s="15">
        <f>AK11</f>
        <v/>
      </c>
      <c r="AL39" s="15">
        <f>AL11</f>
        <v/>
      </c>
      <c r="AN39" s="15">
        <f>SUM(C39:N39)</f>
        <v/>
      </c>
      <c r="AO39" s="15">
        <f>SUM(O39:Z39)</f>
        <v/>
      </c>
      <c r="AP39" s="15">
        <f>SUM(AA39:AL39)</f>
        <v/>
      </c>
    </row>
    <row r="40">
      <c r="A40" s="9" t="inlineStr">
        <is>
          <t>Rémunération des fondateurs</t>
        </is>
      </c>
      <c r="B40" s="4" t="inlineStr">
        <is>
          <t>€ HT</t>
        </is>
      </c>
      <c r="C40" s="15">
        <f>IF(C7&gt;=Hypothèses!$D$39,Hypothèses!$D$38*Hypothèses!$D$40,0)*$G$4</f>
        <v/>
      </c>
      <c r="D40" s="15">
        <f>IF(D7&gt;=Hypothèses!$D$39,Hypothèses!$D$38*Hypothèses!$D$40,0)*$G$4</f>
        <v/>
      </c>
      <c r="E40" s="15">
        <f>IF(E7&gt;=Hypothèses!$D$39,Hypothèses!$D$38*Hypothèses!$D$40,0)*$G$4</f>
        <v/>
      </c>
      <c r="F40" s="15">
        <f>IF(F7&gt;=Hypothèses!$D$39,Hypothèses!$D$38*Hypothèses!$D$40,0)*$G$4</f>
        <v/>
      </c>
      <c r="G40" s="15">
        <f>IF(G7&gt;=Hypothèses!$D$39,Hypothèses!$D$38*Hypothèses!$D$40,0)*$G$4</f>
        <v/>
      </c>
      <c r="H40" s="15">
        <f>IF(H7&gt;=Hypothèses!$D$39,Hypothèses!$D$38*Hypothèses!$D$40,0)*$G$4</f>
        <v/>
      </c>
      <c r="I40" s="15">
        <f>IF(I7&gt;=Hypothèses!$D$39,Hypothèses!$D$38*Hypothèses!$D$40,0)*$G$4</f>
        <v/>
      </c>
      <c r="J40" s="15">
        <f>IF(J7&gt;=Hypothèses!$D$39,Hypothèses!$D$38*Hypothèses!$D$40,0)*$G$4</f>
        <v/>
      </c>
      <c r="K40" s="15">
        <f>IF(K7&gt;=Hypothèses!$D$39,Hypothèses!$D$38*Hypothèses!$D$40,0)*$G$4</f>
        <v/>
      </c>
      <c r="L40" s="15">
        <f>IF(L7&gt;=Hypothèses!$D$39,Hypothèses!$D$38*Hypothèses!$D$40,0)*$G$4</f>
        <v/>
      </c>
      <c r="M40" s="15">
        <f>IF(M7&gt;=Hypothèses!$D$39,Hypothèses!$D$38*Hypothèses!$D$40,0)*$G$4</f>
        <v/>
      </c>
      <c r="N40" s="15">
        <f>IF(N7&gt;=Hypothèses!$D$39,Hypothèses!$D$38*Hypothèses!$D$40,0)*$G$4</f>
        <v/>
      </c>
      <c r="O40" s="15">
        <f>IF(O7&gt;=Hypothèses!$D$39,Hypothèses!$D$38*Hypothèses!$D$40,0)*$G$4</f>
        <v/>
      </c>
      <c r="P40" s="15">
        <f>IF(P7&gt;=Hypothèses!$D$39,Hypothèses!$D$38*Hypothèses!$D$40,0)*$G$4</f>
        <v/>
      </c>
      <c r="Q40" s="15">
        <f>IF(Q7&gt;=Hypothèses!$D$39,Hypothèses!$D$38*Hypothèses!$D$40,0)*$G$4</f>
        <v/>
      </c>
      <c r="R40" s="15">
        <f>IF(R7&gt;=Hypothèses!$D$39,Hypothèses!$D$38*Hypothèses!$D$40,0)*$G$4</f>
        <v/>
      </c>
      <c r="S40" s="15">
        <f>IF(S7&gt;=Hypothèses!$D$39,Hypothèses!$D$38*Hypothèses!$D$40,0)*$G$4</f>
        <v/>
      </c>
      <c r="T40" s="15">
        <f>IF(T7&gt;=Hypothèses!$D$39,Hypothèses!$D$38*Hypothèses!$D$40,0)*$G$4</f>
        <v/>
      </c>
      <c r="U40" s="15">
        <f>IF(U7&gt;=Hypothèses!$D$39,Hypothèses!$D$38*Hypothèses!$D$40,0)*$G$4</f>
        <v/>
      </c>
      <c r="V40" s="15">
        <f>IF(V7&gt;=Hypothèses!$D$39,Hypothèses!$D$38*Hypothèses!$D$40,0)*$G$4</f>
        <v/>
      </c>
      <c r="W40" s="15">
        <f>IF(W7&gt;=Hypothèses!$D$39,Hypothèses!$D$38*Hypothèses!$D$40,0)*$G$4</f>
        <v/>
      </c>
      <c r="X40" s="15">
        <f>IF(X7&gt;=Hypothèses!$D$39,Hypothèses!$D$38*Hypothèses!$D$40,0)*$G$4</f>
        <v/>
      </c>
      <c r="Y40" s="15">
        <f>IF(Y7&gt;=Hypothèses!$D$39,Hypothèses!$D$38*Hypothèses!$D$40,0)*$G$4</f>
        <v/>
      </c>
      <c r="Z40" s="15">
        <f>IF(Z7&gt;=Hypothèses!$D$39,Hypothèses!$D$38*Hypothèses!$D$40,0)*$G$4</f>
        <v/>
      </c>
      <c r="AA40" s="15">
        <f>IF(AA7&gt;=Hypothèses!$D$39,Hypothèses!$D$38*Hypothèses!$D$40,0)*$G$4</f>
        <v/>
      </c>
      <c r="AB40" s="15">
        <f>IF(AB7&gt;=Hypothèses!$D$39,Hypothèses!$D$38*Hypothèses!$D$40,0)*$G$4</f>
        <v/>
      </c>
      <c r="AC40" s="15">
        <f>IF(AC7&gt;=Hypothèses!$D$39,Hypothèses!$D$38*Hypothèses!$D$40,0)*$G$4</f>
        <v/>
      </c>
      <c r="AD40" s="15">
        <f>IF(AD7&gt;=Hypothèses!$D$39,Hypothèses!$D$38*Hypothèses!$D$40,0)*$G$4</f>
        <v/>
      </c>
      <c r="AE40" s="15">
        <f>IF(AE7&gt;=Hypothèses!$D$39,Hypothèses!$D$38*Hypothèses!$D$40,0)*$G$4</f>
        <v/>
      </c>
      <c r="AF40" s="15">
        <f>IF(AF7&gt;=Hypothèses!$D$39,Hypothèses!$D$38*Hypothèses!$D$40,0)*$G$4</f>
        <v/>
      </c>
      <c r="AG40" s="15">
        <f>IF(AG7&gt;=Hypothèses!$D$39,Hypothèses!$D$38*Hypothèses!$D$40,0)*$G$4</f>
        <v/>
      </c>
      <c r="AH40" s="15">
        <f>IF(AH7&gt;=Hypothèses!$D$39,Hypothèses!$D$38*Hypothèses!$D$40,0)*$G$4</f>
        <v/>
      </c>
      <c r="AI40" s="15">
        <f>IF(AI7&gt;=Hypothèses!$D$39,Hypothèses!$D$38*Hypothèses!$D$40,0)*$G$4</f>
        <v/>
      </c>
      <c r="AJ40" s="15">
        <f>IF(AJ7&gt;=Hypothèses!$D$39,Hypothèses!$D$38*Hypothèses!$D$40,0)*$G$4</f>
        <v/>
      </c>
      <c r="AK40" s="15">
        <f>IF(AK7&gt;=Hypothèses!$D$39,Hypothèses!$D$38*Hypothèses!$D$40,0)*$G$4</f>
        <v/>
      </c>
      <c r="AL40" s="15">
        <f>IF(AL7&gt;=Hypothèses!$D$39,Hypothèses!$D$38*Hypothèses!$D$40,0)*$G$4</f>
        <v/>
      </c>
      <c r="AN40" s="15">
        <f>SUM(C40:N40)</f>
        <v/>
      </c>
      <c r="AO40" s="15">
        <f>SUM(O40:Z40)</f>
        <v/>
      </c>
      <c r="AP40" s="15">
        <f>SUM(AA40:AL40)</f>
        <v/>
      </c>
    </row>
    <row r="41">
      <c r="A41" s="9" t="inlineStr">
        <is>
          <t>Salarié 1 (growth / customer success)</t>
        </is>
      </c>
      <c r="B41" s="4" t="inlineStr">
        <is>
          <t>€ HT</t>
        </is>
      </c>
      <c r="C41" s="15">
        <f>IF(C7&gt;=Hypothèses!$D$41,Hypothèses!$D$42,0)*$G$4</f>
        <v/>
      </c>
      <c r="D41" s="15">
        <f>IF(D7&gt;=Hypothèses!$D$41,Hypothèses!$D$42,0)*$G$4</f>
        <v/>
      </c>
      <c r="E41" s="15">
        <f>IF(E7&gt;=Hypothèses!$D$41,Hypothèses!$D$42,0)*$G$4</f>
        <v/>
      </c>
      <c r="F41" s="15">
        <f>IF(F7&gt;=Hypothèses!$D$41,Hypothèses!$D$42,0)*$G$4</f>
        <v/>
      </c>
      <c r="G41" s="15">
        <f>IF(G7&gt;=Hypothèses!$D$41,Hypothèses!$D$42,0)*$G$4</f>
        <v/>
      </c>
      <c r="H41" s="15">
        <f>IF(H7&gt;=Hypothèses!$D$41,Hypothèses!$D$42,0)*$G$4</f>
        <v/>
      </c>
      <c r="I41" s="15">
        <f>IF(I7&gt;=Hypothèses!$D$41,Hypothèses!$D$42,0)*$G$4</f>
        <v/>
      </c>
      <c r="J41" s="15">
        <f>IF(J7&gt;=Hypothèses!$D$41,Hypothèses!$D$42,0)*$G$4</f>
        <v/>
      </c>
      <c r="K41" s="15">
        <f>IF(K7&gt;=Hypothèses!$D$41,Hypothèses!$D$42,0)*$G$4</f>
        <v/>
      </c>
      <c r="L41" s="15">
        <f>IF(L7&gt;=Hypothèses!$D$41,Hypothèses!$D$42,0)*$G$4</f>
        <v/>
      </c>
      <c r="M41" s="15">
        <f>IF(M7&gt;=Hypothèses!$D$41,Hypothèses!$D$42,0)*$G$4</f>
        <v/>
      </c>
      <c r="N41" s="15">
        <f>IF(N7&gt;=Hypothèses!$D$41,Hypothèses!$D$42,0)*$G$4</f>
        <v/>
      </c>
      <c r="O41" s="15">
        <f>IF(O7&gt;=Hypothèses!$D$41,Hypothèses!$D$42,0)*$G$4</f>
        <v/>
      </c>
      <c r="P41" s="15">
        <f>IF(P7&gt;=Hypothèses!$D$41,Hypothèses!$D$42,0)*$G$4</f>
        <v/>
      </c>
      <c r="Q41" s="15">
        <f>IF(Q7&gt;=Hypothèses!$D$41,Hypothèses!$D$42,0)*$G$4</f>
        <v/>
      </c>
      <c r="R41" s="15">
        <f>IF(R7&gt;=Hypothèses!$D$41,Hypothèses!$D$42,0)*$G$4</f>
        <v/>
      </c>
      <c r="S41" s="15">
        <f>IF(S7&gt;=Hypothèses!$D$41,Hypothèses!$D$42,0)*$G$4</f>
        <v/>
      </c>
      <c r="T41" s="15">
        <f>IF(T7&gt;=Hypothèses!$D$41,Hypothèses!$D$42,0)*$G$4</f>
        <v/>
      </c>
      <c r="U41" s="15">
        <f>IF(U7&gt;=Hypothèses!$D$41,Hypothèses!$D$42,0)*$G$4</f>
        <v/>
      </c>
      <c r="V41" s="15">
        <f>IF(V7&gt;=Hypothèses!$D$41,Hypothèses!$D$42,0)*$G$4</f>
        <v/>
      </c>
      <c r="W41" s="15">
        <f>IF(W7&gt;=Hypothèses!$D$41,Hypothèses!$D$42,0)*$G$4</f>
        <v/>
      </c>
      <c r="X41" s="15">
        <f>IF(X7&gt;=Hypothèses!$D$41,Hypothèses!$D$42,0)*$G$4</f>
        <v/>
      </c>
      <c r="Y41" s="15">
        <f>IF(Y7&gt;=Hypothèses!$D$41,Hypothèses!$D$42,0)*$G$4</f>
        <v/>
      </c>
      <c r="Z41" s="15">
        <f>IF(Z7&gt;=Hypothèses!$D$41,Hypothèses!$D$42,0)*$G$4</f>
        <v/>
      </c>
      <c r="AA41" s="15">
        <f>IF(AA7&gt;=Hypothèses!$D$41,Hypothèses!$D$42,0)*$G$4</f>
        <v/>
      </c>
      <c r="AB41" s="15">
        <f>IF(AB7&gt;=Hypothèses!$D$41,Hypothèses!$D$42,0)*$G$4</f>
        <v/>
      </c>
      <c r="AC41" s="15">
        <f>IF(AC7&gt;=Hypothèses!$D$41,Hypothèses!$D$42,0)*$G$4</f>
        <v/>
      </c>
      <c r="AD41" s="15">
        <f>IF(AD7&gt;=Hypothèses!$D$41,Hypothèses!$D$42,0)*$G$4</f>
        <v/>
      </c>
      <c r="AE41" s="15">
        <f>IF(AE7&gt;=Hypothèses!$D$41,Hypothèses!$D$42,0)*$G$4</f>
        <v/>
      </c>
      <c r="AF41" s="15">
        <f>IF(AF7&gt;=Hypothèses!$D$41,Hypothèses!$D$42,0)*$G$4</f>
        <v/>
      </c>
      <c r="AG41" s="15">
        <f>IF(AG7&gt;=Hypothèses!$D$41,Hypothèses!$D$42,0)*$G$4</f>
        <v/>
      </c>
      <c r="AH41" s="15">
        <f>IF(AH7&gt;=Hypothèses!$D$41,Hypothèses!$D$42,0)*$G$4</f>
        <v/>
      </c>
      <c r="AI41" s="15">
        <f>IF(AI7&gt;=Hypothèses!$D$41,Hypothèses!$D$42,0)*$G$4</f>
        <v/>
      </c>
      <c r="AJ41" s="15">
        <f>IF(AJ7&gt;=Hypothèses!$D$41,Hypothèses!$D$42,0)*$G$4</f>
        <v/>
      </c>
      <c r="AK41" s="15">
        <f>IF(AK7&gt;=Hypothèses!$D$41,Hypothèses!$D$42,0)*$G$4</f>
        <v/>
      </c>
      <c r="AL41" s="15">
        <f>IF(AL7&gt;=Hypothèses!$D$41,Hypothèses!$D$42,0)*$G$4</f>
        <v/>
      </c>
      <c r="AN41" s="15">
        <f>SUM(C41:N41)</f>
        <v/>
      </c>
      <c r="AO41" s="15">
        <f>SUM(O41:Z41)</f>
        <v/>
      </c>
      <c r="AP41" s="15">
        <f>SUM(AA41:AL41)</f>
        <v/>
      </c>
    </row>
    <row r="42">
      <c r="A42" s="9" t="inlineStr">
        <is>
          <t>Salarié 2 (ingénieur)</t>
        </is>
      </c>
      <c r="B42" s="4" t="inlineStr">
        <is>
          <t>€ HT</t>
        </is>
      </c>
      <c r="C42" s="15">
        <f>IF(C7&gt;=Hypothèses!$D$43,Hypothèses!$D$44,0)*$G$4</f>
        <v/>
      </c>
      <c r="D42" s="15">
        <f>IF(D7&gt;=Hypothèses!$D$43,Hypothèses!$D$44,0)*$G$4</f>
        <v/>
      </c>
      <c r="E42" s="15">
        <f>IF(E7&gt;=Hypothèses!$D$43,Hypothèses!$D$44,0)*$G$4</f>
        <v/>
      </c>
      <c r="F42" s="15">
        <f>IF(F7&gt;=Hypothèses!$D$43,Hypothèses!$D$44,0)*$G$4</f>
        <v/>
      </c>
      <c r="G42" s="15">
        <f>IF(G7&gt;=Hypothèses!$D$43,Hypothèses!$D$44,0)*$G$4</f>
        <v/>
      </c>
      <c r="H42" s="15">
        <f>IF(H7&gt;=Hypothèses!$D$43,Hypothèses!$D$44,0)*$G$4</f>
        <v/>
      </c>
      <c r="I42" s="15">
        <f>IF(I7&gt;=Hypothèses!$D$43,Hypothèses!$D$44,0)*$G$4</f>
        <v/>
      </c>
      <c r="J42" s="15">
        <f>IF(J7&gt;=Hypothèses!$D$43,Hypothèses!$D$44,0)*$G$4</f>
        <v/>
      </c>
      <c r="K42" s="15">
        <f>IF(K7&gt;=Hypothèses!$D$43,Hypothèses!$D$44,0)*$G$4</f>
        <v/>
      </c>
      <c r="L42" s="15">
        <f>IF(L7&gt;=Hypothèses!$D$43,Hypothèses!$D$44,0)*$G$4</f>
        <v/>
      </c>
      <c r="M42" s="15">
        <f>IF(M7&gt;=Hypothèses!$D$43,Hypothèses!$D$44,0)*$G$4</f>
        <v/>
      </c>
      <c r="N42" s="15">
        <f>IF(N7&gt;=Hypothèses!$D$43,Hypothèses!$D$44,0)*$G$4</f>
        <v/>
      </c>
      <c r="O42" s="15">
        <f>IF(O7&gt;=Hypothèses!$D$43,Hypothèses!$D$44,0)*$G$4</f>
        <v/>
      </c>
      <c r="P42" s="15">
        <f>IF(P7&gt;=Hypothèses!$D$43,Hypothèses!$D$44,0)*$G$4</f>
        <v/>
      </c>
      <c r="Q42" s="15">
        <f>IF(Q7&gt;=Hypothèses!$D$43,Hypothèses!$D$44,0)*$G$4</f>
        <v/>
      </c>
      <c r="R42" s="15">
        <f>IF(R7&gt;=Hypothèses!$D$43,Hypothèses!$D$44,0)*$G$4</f>
        <v/>
      </c>
      <c r="S42" s="15">
        <f>IF(S7&gt;=Hypothèses!$D$43,Hypothèses!$D$44,0)*$G$4</f>
        <v/>
      </c>
      <c r="T42" s="15">
        <f>IF(T7&gt;=Hypothèses!$D$43,Hypothèses!$D$44,0)*$G$4</f>
        <v/>
      </c>
      <c r="U42" s="15">
        <f>IF(U7&gt;=Hypothèses!$D$43,Hypothèses!$D$44,0)*$G$4</f>
        <v/>
      </c>
      <c r="V42" s="15">
        <f>IF(V7&gt;=Hypothèses!$D$43,Hypothèses!$D$44,0)*$G$4</f>
        <v/>
      </c>
      <c r="W42" s="15">
        <f>IF(W7&gt;=Hypothèses!$D$43,Hypothèses!$D$44,0)*$G$4</f>
        <v/>
      </c>
      <c r="X42" s="15">
        <f>IF(X7&gt;=Hypothèses!$D$43,Hypothèses!$D$44,0)*$G$4</f>
        <v/>
      </c>
      <c r="Y42" s="15">
        <f>IF(Y7&gt;=Hypothèses!$D$43,Hypothèses!$D$44,0)*$G$4</f>
        <v/>
      </c>
      <c r="Z42" s="15">
        <f>IF(Z7&gt;=Hypothèses!$D$43,Hypothèses!$D$44,0)*$G$4</f>
        <v/>
      </c>
      <c r="AA42" s="15">
        <f>IF(AA7&gt;=Hypothèses!$D$43,Hypothèses!$D$44,0)*$G$4</f>
        <v/>
      </c>
      <c r="AB42" s="15">
        <f>IF(AB7&gt;=Hypothèses!$D$43,Hypothèses!$D$44,0)*$G$4</f>
        <v/>
      </c>
      <c r="AC42" s="15">
        <f>IF(AC7&gt;=Hypothèses!$D$43,Hypothèses!$D$44,0)*$G$4</f>
        <v/>
      </c>
      <c r="AD42" s="15">
        <f>IF(AD7&gt;=Hypothèses!$D$43,Hypothèses!$D$44,0)*$G$4</f>
        <v/>
      </c>
      <c r="AE42" s="15">
        <f>IF(AE7&gt;=Hypothèses!$D$43,Hypothèses!$D$44,0)*$G$4</f>
        <v/>
      </c>
      <c r="AF42" s="15">
        <f>IF(AF7&gt;=Hypothèses!$D$43,Hypothèses!$D$44,0)*$G$4</f>
        <v/>
      </c>
      <c r="AG42" s="15">
        <f>IF(AG7&gt;=Hypothèses!$D$43,Hypothèses!$D$44,0)*$G$4</f>
        <v/>
      </c>
      <c r="AH42" s="15">
        <f>IF(AH7&gt;=Hypothèses!$D$43,Hypothèses!$D$44,0)*$G$4</f>
        <v/>
      </c>
      <c r="AI42" s="15">
        <f>IF(AI7&gt;=Hypothèses!$D$43,Hypothèses!$D$44,0)*$G$4</f>
        <v/>
      </c>
      <c r="AJ42" s="15">
        <f>IF(AJ7&gt;=Hypothèses!$D$43,Hypothèses!$D$44,0)*$G$4</f>
        <v/>
      </c>
      <c r="AK42" s="15">
        <f>IF(AK7&gt;=Hypothèses!$D$43,Hypothèses!$D$44,0)*$G$4</f>
        <v/>
      </c>
      <c r="AL42" s="15">
        <f>IF(AL7&gt;=Hypothèses!$D$43,Hypothèses!$D$44,0)*$G$4</f>
        <v/>
      </c>
      <c r="AN42" s="15">
        <f>SUM(C42:N42)</f>
        <v/>
      </c>
      <c r="AO42" s="15">
        <f>SUM(O42:Z42)</f>
        <v/>
      </c>
      <c r="AP42" s="15">
        <f>SUM(AA42:AL42)</f>
        <v/>
      </c>
    </row>
    <row r="43">
      <c r="A43" s="9" t="inlineStr">
        <is>
          <t>Développement MVP externe (étalé jusqu'au lancement)</t>
        </is>
      </c>
      <c r="B43" s="4" t="inlineStr">
        <is>
          <t>€ HT</t>
        </is>
      </c>
      <c r="C43" s="15">
        <f>IF(C7&lt;$B$5,Hypothèses!$D$45/MAX(1,$B$5-1),0)</f>
        <v/>
      </c>
      <c r="D43" s="15">
        <f>IF(D7&lt;$B$5,Hypothèses!$D$45/MAX(1,$B$5-1),0)</f>
        <v/>
      </c>
      <c r="E43" s="15">
        <f>IF(E7&lt;$B$5,Hypothèses!$D$45/MAX(1,$B$5-1),0)</f>
        <v/>
      </c>
      <c r="F43" s="15">
        <f>IF(F7&lt;$B$5,Hypothèses!$D$45/MAX(1,$B$5-1),0)</f>
        <v/>
      </c>
      <c r="G43" s="15">
        <f>IF(G7&lt;$B$5,Hypothèses!$D$45/MAX(1,$B$5-1),0)</f>
        <v/>
      </c>
      <c r="H43" s="15">
        <f>IF(H7&lt;$B$5,Hypothèses!$D$45/MAX(1,$B$5-1),0)</f>
        <v/>
      </c>
      <c r="I43" s="15">
        <f>IF(I7&lt;$B$5,Hypothèses!$D$45/MAX(1,$B$5-1),0)</f>
        <v/>
      </c>
      <c r="J43" s="15">
        <f>IF(J7&lt;$B$5,Hypothèses!$D$45/MAX(1,$B$5-1),0)</f>
        <v/>
      </c>
      <c r="K43" s="15">
        <f>IF(K7&lt;$B$5,Hypothèses!$D$45/MAX(1,$B$5-1),0)</f>
        <v/>
      </c>
      <c r="L43" s="15">
        <f>IF(L7&lt;$B$5,Hypothèses!$D$45/MAX(1,$B$5-1),0)</f>
        <v/>
      </c>
      <c r="M43" s="15">
        <f>IF(M7&lt;$B$5,Hypothèses!$D$45/MAX(1,$B$5-1),0)</f>
        <v/>
      </c>
      <c r="N43" s="15">
        <f>IF(N7&lt;$B$5,Hypothèses!$D$45/MAX(1,$B$5-1),0)</f>
        <v/>
      </c>
      <c r="O43" s="15">
        <f>IF(O7&lt;$B$5,Hypothèses!$D$45/MAX(1,$B$5-1),0)</f>
        <v/>
      </c>
      <c r="P43" s="15">
        <f>IF(P7&lt;$B$5,Hypothèses!$D$45/MAX(1,$B$5-1),0)</f>
        <v/>
      </c>
      <c r="Q43" s="15">
        <f>IF(Q7&lt;$B$5,Hypothèses!$D$45/MAX(1,$B$5-1),0)</f>
        <v/>
      </c>
      <c r="R43" s="15">
        <f>IF(R7&lt;$B$5,Hypothèses!$D$45/MAX(1,$B$5-1),0)</f>
        <v/>
      </c>
      <c r="S43" s="15">
        <f>IF(S7&lt;$B$5,Hypothèses!$D$45/MAX(1,$B$5-1),0)</f>
        <v/>
      </c>
      <c r="T43" s="15">
        <f>IF(T7&lt;$B$5,Hypothèses!$D$45/MAX(1,$B$5-1),0)</f>
        <v/>
      </c>
      <c r="U43" s="15">
        <f>IF(U7&lt;$B$5,Hypothèses!$D$45/MAX(1,$B$5-1),0)</f>
        <v/>
      </c>
      <c r="V43" s="15">
        <f>IF(V7&lt;$B$5,Hypothèses!$D$45/MAX(1,$B$5-1),0)</f>
        <v/>
      </c>
      <c r="W43" s="15">
        <f>IF(W7&lt;$B$5,Hypothèses!$D$45/MAX(1,$B$5-1),0)</f>
        <v/>
      </c>
      <c r="X43" s="15">
        <f>IF(X7&lt;$B$5,Hypothèses!$D$45/MAX(1,$B$5-1),0)</f>
        <v/>
      </c>
      <c r="Y43" s="15">
        <f>IF(Y7&lt;$B$5,Hypothèses!$D$45/MAX(1,$B$5-1),0)</f>
        <v/>
      </c>
      <c r="Z43" s="15">
        <f>IF(Z7&lt;$B$5,Hypothèses!$D$45/MAX(1,$B$5-1),0)</f>
        <v/>
      </c>
      <c r="AA43" s="15">
        <f>IF(AA7&lt;$B$5,Hypothèses!$D$45/MAX(1,$B$5-1),0)</f>
        <v/>
      </c>
      <c r="AB43" s="15">
        <f>IF(AB7&lt;$B$5,Hypothèses!$D$45/MAX(1,$B$5-1),0)</f>
        <v/>
      </c>
      <c r="AC43" s="15">
        <f>IF(AC7&lt;$B$5,Hypothèses!$D$45/MAX(1,$B$5-1),0)</f>
        <v/>
      </c>
      <c r="AD43" s="15">
        <f>IF(AD7&lt;$B$5,Hypothèses!$D$45/MAX(1,$B$5-1),0)</f>
        <v/>
      </c>
      <c r="AE43" s="15">
        <f>IF(AE7&lt;$B$5,Hypothèses!$D$45/MAX(1,$B$5-1),0)</f>
        <v/>
      </c>
      <c r="AF43" s="15">
        <f>IF(AF7&lt;$B$5,Hypothèses!$D$45/MAX(1,$B$5-1),0)</f>
        <v/>
      </c>
      <c r="AG43" s="15">
        <f>IF(AG7&lt;$B$5,Hypothèses!$D$45/MAX(1,$B$5-1),0)</f>
        <v/>
      </c>
      <c r="AH43" s="15">
        <f>IF(AH7&lt;$B$5,Hypothèses!$D$45/MAX(1,$B$5-1),0)</f>
        <v/>
      </c>
      <c r="AI43" s="15">
        <f>IF(AI7&lt;$B$5,Hypothèses!$D$45/MAX(1,$B$5-1),0)</f>
        <v/>
      </c>
      <c r="AJ43" s="15">
        <f>IF(AJ7&lt;$B$5,Hypothèses!$D$45/MAX(1,$B$5-1),0)</f>
        <v/>
      </c>
      <c r="AK43" s="15">
        <f>IF(AK7&lt;$B$5,Hypothèses!$D$45/MAX(1,$B$5-1),0)</f>
        <v/>
      </c>
      <c r="AL43" s="15">
        <f>IF(AL7&lt;$B$5,Hypothèses!$D$45/MAX(1,$B$5-1),0)</f>
        <v/>
      </c>
      <c r="AN43" s="15">
        <f>SUM(C43:N43)</f>
        <v/>
      </c>
      <c r="AO43" s="15">
        <f>SUM(O43:Z43)</f>
        <v/>
      </c>
      <c r="AP43" s="15">
        <f>SUM(AA43:AL43)</f>
        <v/>
      </c>
    </row>
    <row r="44">
      <c r="A44" s="9" t="inlineStr">
        <is>
          <t>Outils et SaaS</t>
        </is>
      </c>
      <c r="B44" s="4" t="inlineStr">
        <is>
          <t>€ HT</t>
        </is>
      </c>
      <c r="C44" s="15">
        <f>Hypothèses!$D$46*$G$4</f>
        <v/>
      </c>
      <c r="D44" s="15">
        <f>Hypothèses!$D$46*$G$4</f>
        <v/>
      </c>
      <c r="E44" s="15">
        <f>Hypothèses!$D$46*$G$4</f>
        <v/>
      </c>
      <c r="F44" s="15">
        <f>Hypothèses!$D$46*$G$4</f>
        <v/>
      </c>
      <c r="G44" s="15">
        <f>Hypothèses!$D$46*$G$4</f>
        <v/>
      </c>
      <c r="H44" s="15">
        <f>Hypothèses!$D$46*$G$4</f>
        <v/>
      </c>
      <c r="I44" s="15">
        <f>Hypothèses!$D$46*$G$4</f>
        <v/>
      </c>
      <c r="J44" s="15">
        <f>Hypothèses!$D$46*$G$4</f>
        <v/>
      </c>
      <c r="K44" s="15">
        <f>Hypothèses!$D$46*$G$4</f>
        <v/>
      </c>
      <c r="L44" s="15">
        <f>Hypothèses!$D$46*$G$4</f>
        <v/>
      </c>
      <c r="M44" s="15">
        <f>Hypothèses!$D$46*$G$4</f>
        <v/>
      </c>
      <c r="N44" s="15">
        <f>Hypothèses!$D$46*$G$4</f>
        <v/>
      </c>
      <c r="O44" s="15">
        <f>Hypothèses!$D$46*$G$4</f>
        <v/>
      </c>
      <c r="P44" s="15">
        <f>Hypothèses!$D$46*$G$4</f>
        <v/>
      </c>
      <c r="Q44" s="15">
        <f>Hypothèses!$D$46*$G$4</f>
        <v/>
      </c>
      <c r="R44" s="15">
        <f>Hypothèses!$D$46*$G$4</f>
        <v/>
      </c>
      <c r="S44" s="15">
        <f>Hypothèses!$D$46*$G$4</f>
        <v/>
      </c>
      <c r="T44" s="15">
        <f>Hypothèses!$D$46*$G$4</f>
        <v/>
      </c>
      <c r="U44" s="15">
        <f>Hypothèses!$D$46*$G$4</f>
        <v/>
      </c>
      <c r="V44" s="15">
        <f>Hypothèses!$D$46*$G$4</f>
        <v/>
      </c>
      <c r="W44" s="15">
        <f>Hypothèses!$D$46*$G$4</f>
        <v/>
      </c>
      <c r="X44" s="15">
        <f>Hypothèses!$D$46*$G$4</f>
        <v/>
      </c>
      <c r="Y44" s="15">
        <f>Hypothèses!$D$46*$G$4</f>
        <v/>
      </c>
      <c r="Z44" s="15">
        <f>Hypothèses!$D$46*$G$4</f>
        <v/>
      </c>
      <c r="AA44" s="15">
        <f>Hypothèses!$D$46*$G$4</f>
        <v/>
      </c>
      <c r="AB44" s="15">
        <f>Hypothèses!$D$46*$G$4</f>
        <v/>
      </c>
      <c r="AC44" s="15">
        <f>Hypothèses!$D$46*$G$4</f>
        <v/>
      </c>
      <c r="AD44" s="15">
        <f>Hypothèses!$D$46*$G$4</f>
        <v/>
      </c>
      <c r="AE44" s="15">
        <f>Hypothèses!$D$46*$G$4</f>
        <v/>
      </c>
      <c r="AF44" s="15">
        <f>Hypothèses!$D$46*$G$4</f>
        <v/>
      </c>
      <c r="AG44" s="15">
        <f>Hypothèses!$D$46*$G$4</f>
        <v/>
      </c>
      <c r="AH44" s="15">
        <f>Hypothèses!$D$46*$G$4</f>
        <v/>
      </c>
      <c r="AI44" s="15">
        <f>Hypothèses!$D$46*$G$4</f>
        <v/>
      </c>
      <c r="AJ44" s="15">
        <f>Hypothèses!$D$46*$G$4</f>
        <v/>
      </c>
      <c r="AK44" s="15">
        <f>Hypothèses!$D$46*$G$4</f>
        <v/>
      </c>
      <c r="AL44" s="15">
        <f>Hypothèses!$D$46*$G$4</f>
        <v/>
      </c>
      <c r="AN44" s="15">
        <f>SUM(C44:N44)</f>
        <v/>
      </c>
      <c r="AO44" s="15">
        <f>SUM(O44:Z44)</f>
        <v/>
      </c>
      <c r="AP44" s="15">
        <f>SUM(AA44:AL44)</f>
        <v/>
      </c>
    </row>
    <row r="45">
      <c r="A45" s="9" t="inlineStr">
        <is>
          <t>Juridique et comptabilité</t>
        </is>
      </c>
      <c r="B45" s="4" t="inlineStr">
        <is>
          <t>€ HT</t>
        </is>
      </c>
      <c r="C45" s="15">
        <f>Hypothèses!$D$47*$G$4</f>
        <v/>
      </c>
      <c r="D45" s="15">
        <f>Hypothèses!$D$47*$G$4</f>
        <v/>
      </c>
      <c r="E45" s="15">
        <f>Hypothèses!$D$47*$G$4</f>
        <v/>
      </c>
      <c r="F45" s="15">
        <f>Hypothèses!$D$47*$G$4</f>
        <v/>
      </c>
      <c r="G45" s="15">
        <f>Hypothèses!$D$47*$G$4</f>
        <v/>
      </c>
      <c r="H45" s="15">
        <f>Hypothèses!$D$47*$G$4</f>
        <v/>
      </c>
      <c r="I45" s="15">
        <f>Hypothèses!$D$47*$G$4</f>
        <v/>
      </c>
      <c r="J45" s="15">
        <f>Hypothèses!$D$47*$G$4</f>
        <v/>
      </c>
      <c r="K45" s="15">
        <f>Hypothèses!$D$47*$G$4</f>
        <v/>
      </c>
      <c r="L45" s="15">
        <f>Hypothèses!$D$47*$G$4</f>
        <v/>
      </c>
      <c r="M45" s="15">
        <f>Hypothèses!$D$47*$G$4</f>
        <v/>
      </c>
      <c r="N45" s="15">
        <f>Hypothèses!$D$47*$G$4</f>
        <v/>
      </c>
      <c r="O45" s="15">
        <f>Hypothèses!$D$47*$G$4</f>
        <v/>
      </c>
      <c r="P45" s="15">
        <f>Hypothèses!$D$47*$G$4</f>
        <v/>
      </c>
      <c r="Q45" s="15">
        <f>Hypothèses!$D$47*$G$4</f>
        <v/>
      </c>
      <c r="R45" s="15">
        <f>Hypothèses!$D$47*$G$4</f>
        <v/>
      </c>
      <c r="S45" s="15">
        <f>Hypothèses!$D$47*$G$4</f>
        <v/>
      </c>
      <c r="T45" s="15">
        <f>Hypothèses!$D$47*$G$4</f>
        <v/>
      </c>
      <c r="U45" s="15">
        <f>Hypothèses!$D$47*$G$4</f>
        <v/>
      </c>
      <c r="V45" s="15">
        <f>Hypothèses!$D$47*$G$4</f>
        <v/>
      </c>
      <c r="W45" s="15">
        <f>Hypothèses!$D$47*$G$4</f>
        <v/>
      </c>
      <c r="X45" s="15">
        <f>Hypothèses!$D$47*$G$4</f>
        <v/>
      </c>
      <c r="Y45" s="15">
        <f>Hypothèses!$D$47*$G$4</f>
        <v/>
      </c>
      <c r="Z45" s="15">
        <f>Hypothèses!$D$47*$G$4</f>
        <v/>
      </c>
      <c r="AA45" s="15">
        <f>Hypothèses!$D$47*$G$4</f>
        <v/>
      </c>
      <c r="AB45" s="15">
        <f>Hypothèses!$D$47*$G$4</f>
        <v/>
      </c>
      <c r="AC45" s="15">
        <f>Hypothèses!$D$47*$G$4</f>
        <v/>
      </c>
      <c r="AD45" s="15">
        <f>Hypothèses!$D$47*$G$4</f>
        <v/>
      </c>
      <c r="AE45" s="15">
        <f>Hypothèses!$D$47*$G$4</f>
        <v/>
      </c>
      <c r="AF45" s="15">
        <f>Hypothèses!$D$47*$G$4</f>
        <v/>
      </c>
      <c r="AG45" s="15">
        <f>Hypothèses!$D$47*$G$4</f>
        <v/>
      </c>
      <c r="AH45" s="15">
        <f>Hypothèses!$D$47*$G$4</f>
        <v/>
      </c>
      <c r="AI45" s="15">
        <f>Hypothèses!$D$47*$G$4</f>
        <v/>
      </c>
      <c r="AJ45" s="15">
        <f>Hypothèses!$D$47*$G$4</f>
        <v/>
      </c>
      <c r="AK45" s="15">
        <f>Hypothèses!$D$47*$G$4</f>
        <v/>
      </c>
      <c r="AL45" s="15">
        <f>Hypothèses!$D$47*$G$4</f>
        <v/>
      </c>
      <c r="AN45" s="15">
        <f>SUM(C45:N45)</f>
        <v/>
      </c>
      <c r="AO45" s="15">
        <f>SUM(O45:Z45)</f>
        <v/>
      </c>
      <c r="AP45" s="15">
        <f>SUM(AA45:AL45)</f>
        <v/>
      </c>
    </row>
    <row r="46">
      <c r="A46" s="9" t="inlineStr">
        <is>
          <t>Assurance RC pro</t>
        </is>
      </c>
      <c r="B46" s="4" t="inlineStr">
        <is>
          <t>€</t>
        </is>
      </c>
      <c r="C46" s="15">
        <f>C9*Hypothèses!$D$48*$G$4</f>
        <v/>
      </c>
      <c r="D46" s="15">
        <f>D9*Hypothèses!$D$48*$G$4</f>
        <v/>
      </c>
      <c r="E46" s="15">
        <f>E9*Hypothèses!$D$48*$G$4</f>
        <v/>
      </c>
      <c r="F46" s="15">
        <f>F9*Hypothèses!$D$48*$G$4</f>
        <v/>
      </c>
      <c r="G46" s="15">
        <f>G9*Hypothèses!$D$48*$G$4</f>
        <v/>
      </c>
      <c r="H46" s="15">
        <f>H9*Hypothèses!$D$48*$G$4</f>
        <v/>
      </c>
      <c r="I46" s="15">
        <f>I9*Hypothèses!$D$48*$G$4</f>
        <v/>
      </c>
      <c r="J46" s="15">
        <f>J9*Hypothèses!$D$48*$G$4</f>
        <v/>
      </c>
      <c r="K46" s="15">
        <f>K9*Hypothèses!$D$48*$G$4</f>
        <v/>
      </c>
      <c r="L46" s="15">
        <f>L9*Hypothèses!$D$48*$G$4</f>
        <v/>
      </c>
      <c r="M46" s="15">
        <f>M9*Hypothèses!$D$48*$G$4</f>
        <v/>
      </c>
      <c r="N46" s="15">
        <f>N9*Hypothèses!$D$48*$G$4</f>
        <v/>
      </c>
      <c r="O46" s="15">
        <f>O9*Hypothèses!$D$48*$G$4</f>
        <v/>
      </c>
      <c r="P46" s="15">
        <f>P9*Hypothèses!$D$48*$G$4</f>
        <v/>
      </c>
      <c r="Q46" s="15">
        <f>Q9*Hypothèses!$D$48*$G$4</f>
        <v/>
      </c>
      <c r="R46" s="15">
        <f>R9*Hypothèses!$D$48*$G$4</f>
        <v/>
      </c>
      <c r="S46" s="15">
        <f>S9*Hypothèses!$D$48*$G$4</f>
        <v/>
      </c>
      <c r="T46" s="15">
        <f>T9*Hypothèses!$D$48*$G$4</f>
        <v/>
      </c>
      <c r="U46" s="15">
        <f>U9*Hypothèses!$D$48*$G$4</f>
        <v/>
      </c>
      <c r="V46" s="15">
        <f>V9*Hypothèses!$D$48*$G$4</f>
        <v/>
      </c>
      <c r="W46" s="15">
        <f>W9*Hypothèses!$D$48*$G$4</f>
        <v/>
      </c>
      <c r="X46" s="15">
        <f>X9*Hypothèses!$D$48*$G$4</f>
        <v/>
      </c>
      <c r="Y46" s="15">
        <f>Y9*Hypothèses!$D$48*$G$4</f>
        <v/>
      </c>
      <c r="Z46" s="15">
        <f>Z9*Hypothèses!$D$48*$G$4</f>
        <v/>
      </c>
      <c r="AA46" s="15">
        <f>AA9*Hypothèses!$D$48*$G$4</f>
        <v/>
      </c>
      <c r="AB46" s="15">
        <f>AB9*Hypothèses!$D$48*$G$4</f>
        <v/>
      </c>
      <c r="AC46" s="15">
        <f>AC9*Hypothèses!$D$48*$G$4</f>
        <v/>
      </c>
      <c r="AD46" s="15">
        <f>AD9*Hypothèses!$D$48*$G$4</f>
        <v/>
      </c>
      <c r="AE46" s="15">
        <f>AE9*Hypothèses!$D$48*$G$4</f>
        <v/>
      </c>
      <c r="AF46" s="15">
        <f>AF9*Hypothèses!$D$48*$G$4</f>
        <v/>
      </c>
      <c r="AG46" s="15">
        <f>AG9*Hypothèses!$D$48*$G$4</f>
        <v/>
      </c>
      <c r="AH46" s="15">
        <f>AH9*Hypothèses!$D$48*$G$4</f>
        <v/>
      </c>
      <c r="AI46" s="15">
        <f>AI9*Hypothèses!$D$48*$G$4</f>
        <v/>
      </c>
      <c r="AJ46" s="15">
        <f>AJ9*Hypothèses!$D$48*$G$4</f>
        <v/>
      </c>
      <c r="AK46" s="15">
        <f>AK9*Hypothèses!$D$48*$G$4</f>
        <v/>
      </c>
      <c r="AL46" s="15">
        <f>AL9*Hypothèses!$D$48*$G$4</f>
        <v/>
      </c>
      <c r="AN46" s="15">
        <f>SUM(C46:N46)</f>
        <v/>
      </c>
      <c r="AO46" s="15">
        <f>SUM(O46:Z46)</f>
        <v/>
      </c>
      <c r="AP46" s="15">
        <f>SUM(AA46:AL46)</f>
        <v/>
      </c>
    </row>
    <row r="47">
      <c r="A47" s="9" t="inlineStr">
        <is>
          <t>Marketing fixe</t>
        </is>
      </c>
      <c r="B47" s="4" t="inlineStr">
        <is>
          <t>€ HT</t>
        </is>
      </c>
      <c r="C47" s="15">
        <f>C9*Hypothèses!$D$49*$G$4</f>
        <v/>
      </c>
      <c r="D47" s="15">
        <f>D9*Hypothèses!$D$49*$G$4</f>
        <v/>
      </c>
      <c r="E47" s="15">
        <f>E9*Hypothèses!$D$49*$G$4</f>
        <v/>
      </c>
      <c r="F47" s="15">
        <f>F9*Hypothèses!$D$49*$G$4</f>
        <v/>
      </c>
      <c r="G47" s="15">
        <f>G9*Hypothèses!$D$49*$G$4</f>
        <v/>
      </c>
      <c r="H47" s="15">
        <f>H9*Hypothèses!$D$49*$G$4</f>
        <v/>
      </c>
      <c r="I47" s="15">
        <f>I9*Hypothèses!$D$49*$G$4</f>
        <v/>
      </c>
      <c r="J47" s="15">
        <f>J9*Hypothèses!$D$49*$G$4</f>
        <v/>
      </c>
      <c r="K47" s="15">
        <f>K9*Hypothèses!$D$49*$G$4</f>
        <v/>
      </c>
      <c r="L47" s="15">
        <f>L9*Hypothèses!$D$49*$G$4</f>
        <v/>
      </c>
      <c r="M47" s="15">
        <f>M9*Hypothèses!$D$49*$G$4</f>
        <v/>
      </c>
      <c r="N47" s="15">
        <f>N9*Hypothèses!$D$49*$G$4</f>
        <v/>
      </c>
      <c r="O47" s="15">
        <f>O9*Hypothèses!$D$49*$G$4</f>
        <v/>
      </c>
      <c r="P47" s="15">
        <f>P9*Hypothèses!$D$49*$G$4</f>
        <v/>
      </c>
      <c r="Q47" s="15">
        <f>Q9*Hypothèses!$D$49*$G$4</f>
        <v/>
      </c>
      <c r="R47" s="15">
        <f>R9*Hypothèses!$D$49*$G$4</f>
        <v/>
      </c>
      <c r="S47" s="15">
        <f>S9*Hypothèses!$D$49*$G$4</f>
        <v/>
      </c>
      <c r="T47" s="15">
        <f>T9*Hypothèses!$D$49*$G$4</f>
        <v/>
      </c>
      <c r="U47" s="15">
        <f>U9*Hypothèses!$D$49*$G$4</f>
        <v/>
      </c>
      <c r="V47" s="15">
        <f>V9*Hypothèses!$D$49*$G$4</f>
        <v/>
      </c>
      <c r="W47" s="15">
        <f>W9*Hypothèses!$D$49*$G$4</f>
        <v/>
      </c>
      <c r="X47" s="15">
        <f>X9*Hypothèses!$D$49*$G$4</f>
        <v/>
      </c>
      <c r="Y47" s="15">
        <f>Y9*Hypothèses!$D$49*$G$4</f>
        <v/>
      </c>
      <c r="Z47" s="15">
        <f>Z9*Hypothèses!$D$49*$G$4</f>
        <v/>
      </c>
      <c r="AA47" s="15">
        <f>AA9*Hypothèses!$D$49*$G$4</f>
        <v/>
      </c>
      <c r="AB47" s="15">
        <f>AB9*Hypothèses!$D$49*$G$4</f>
        <v/>
      </c>
      <c r="AC47" s="15">
        <f>AC9*Hypothèses!$D$49*$G$4</f>
        <v/>
      </c>
      <c r="AD47" s="15">
        <f>AD9*Hypothèses!$D$49*$G$4</f>
        <v/>
      </c>
      <c r="AE47" s="15">
        <f>AE9*Hypothèses!$D$49*$G$4</f>
        <v/>
      </c>
      <c r="AF47" s="15">
        <f>AF9*Hypothèses!$D$49*$G$4</f>
        <v/>
      </c>
      <c r="AG47" s="15">
        <f>AG9*Hypothèses!$D$49*$G$4</f>
        <v/>
      </c>
      <c r="AH47" s="15">
        <f>AH9*Hypothèses!$D$49*$G$4</f>
        <v/>
      </c>
      <c r="AI47" s="15">
        <f>AI9*Hypothèses!$D$49*$G$4</f>
        <v/>
      </c>
      <c r="AJ47" s="15">
        <f>AJ9*Hypothèses!$D$49*$G$4</f>
        <v/>
      </c>
      <c r="AK47" s="15">
        <f>AK9*Hypothèses!$D$49*$G$4</f>
        <v/>
      </c>
      <c r="AL47" s="15">
        <f>AL9*Hypothèses!$D$49*$G$4</f>
        <v/>
      </c>
      <c r="AN47" s="15">
        <f>SUM(C47:N47)</f>
        <v/>
      </c>
      <c r="AO47" s="15">
        <f>SUM(O47:Z47)</f>
        <v/>
      </c>
      <c r="AP47" s="15">
        <f>SUM(AA47:AL47)</f>
        <v/>
      </c>
    </row>
    <row r="48">
      <c r="A48" s="9" t="inlineStr">
        <is>
          <t>Frais généraux</t>
        </is>
      </c>
      <c r="B48" s="4" t="inlineStr">
        <is>
          <t>€ HT</t>
        </is>
      </c>
      <c r="C48" s="15">
        <f>Hypothèses!$D$50*$G$4</f>
        <v/>
      </c>
      <c r="D48" s="15">
        <f>Hypothèses!$D$50*$G$4</f>
        <v/>
      </c>
      <c r="E48" s="15">
        <f>Hypothèses!$D$50*$G$4</f>
        <v/>
      </c>
      <c r="F48" s="15">
        <f>Hypothèses!$D$50*$G$4</f>
        <v/>
      </c>
      <c r="G48" s="15">
        <f>Hypothèses!$D$50*$G$4</f>
        <v/>
      </c>
      <c r="H48" s="15">
        <f>Hypothèses!$D$50*$G$4</f>
        <v/>
      </c>
      <c r="I48" s="15">
        <f>Hypothèses!$D$50*$G$4</f>
        <v/>
      </c>
      <c r="J48" s="15">
        <f>Hypothèses!$D$50*$G$4</f>
        <v/>
      </c>
      <c r="K48" s="15">
        <f>Hypothèses!$D$50*$G$4</f>
        <v/>
      </c>
      <c r="L48" s="15">
        <f>Hypothèses!$D$50*$G$4</f>
        <v/>
      </c>
      <c r="M48" s="15">
        <f>Hypothèses!$D$50*$G$4</f>
        <v/>
      </c>
      <c r="N48" s="15">
        <f>Hypothèses!$D$50*$G$4</f>
        <v/>
      </c>
      <c r="O48" s="15">
        <f>Hypothèses!$D$50*$G$4</f>
        <v/>
      </c>
      <c r="P48" s="15">
        <f>Hypothèses!$D$50*$G$4</f>
        <v/>
      </c>
      <c r="Q48" s="15">
        <f>Hypothèses!$D$50*$G$4</f>
        <v/>
      </c>
      <c r="R48" s="15">
        <f>Hypothèses!$D$50*$G$4</f>
        <v/>
      </c>
      <c r="S48" s="15">
        <f>Hypothèses!$D$50*$G$4</f>
        <v/>
      </c>
      <c r="T48" s="15">
        <f>Hypothèses!$D$50*$G$4</f>
        <v/>
      </c>
      <c r="U48" s="15">
        <f>Hypothèses!$D$50*$G$4</f>
        <v/>
      </c>
      <c r="V48" s="15">
        <f>Hypothèses!$D$50*$G$4</f>
        <v/>
      </c>
      <c r="W48" s="15">
        <f>Hypothèses!$D$50*$G$4</f>
        <v/>
      </c>
      <c r="X48" s="15">
        <f>Hypothèses!$D$50*$G$4</f>
        <v/>
      </c>
      <c r="Y48" s="15">
        <f>Hypothèses!$D$50*$G$4</f>
        <v/>
      </c>
      <c r="Z48" s="15">
        <f>Hypothèses!$D$50*$G$4</f>
        <v/>
      </c>
      <c r="AA48" s="15">
        <f>Hypothèses!$D$50*$G$4</f>
        <v/>
      </c>
      <c r="AB48" s="15">
        <f>Hypothèses!$D$50*$G$4</f>
        <v/>
      </c>
      <c r="AC48" s="15">
        <f>Hypothèses!$D$50*$G$4</f>
        <v/>
      </c>
      <c r="AD48" s="15">
        <f>Hypothèses!$D$50*$G$4</f>
        <v/>
      </c>
      <c r="AE48" s="15">
        <f>Hypothèses!$D$50*$G$4</f>
        <v/>
      </c>
      <c r="AF48" s="15">
        <f>Hypothèses!$D$50*$G$4</f>
        <v/>
      </c>
      <c r="AG48" s="15">
        <f>Hypothèses!$D$50*$G$4</f>
        <v/>
      </c>
      <c r="AH48" s="15">
        <f>Hypothèses!$D$50*$G$4</f>
        <v/>
      </c>
      <c r="AI48" s="15">
        <f>Hypothèses!$D$50*$G$4</f>
        <v/>
      </c>
      <c r="AJ48" s="15">
        <f>Hypothèses!$D$50*$G$4</f>
        <v/>
      </c>
      <c r="AK48" s="15">
        <f>Hypothèses!$D$50*$G$4</f>
        <v/>
      </c>
      <c r="AL48" s="15">
        <f>Hypothèses!$D$50*$G$4</f>
        <v/>
      </c>
      <c r="AN48" s="15">
        <f>SUM(C48:N48)</f>
        <v/>
      </c>
      <c r="AO48" s="15">
        <f>SUM(O48:Z48)</f>
        <v/>
      </c>
      <c r="AP48" s="15">
        <f>SUM(AA48:AL48)</f>
        <v/>
      </c>
    </row>
    <row r="49">
      <c r="A49" s="9" t="inlineStr">
        <is>
          <t>Audit de sécurité (annuel, à partir du lancement)</t>
        </is>
      </c>
      <c r="B49" s="4" t="inlineStr">
        <is>
          <t>€ HT</t>
        </is>
      </c>
      <c r="C49" s="15">
        <f>IF(AND(C9=1,MOD(C7-$B$5,12)=0),Hypothèses!$D$51,0)*$G$4</f>
        <v/>
      </c>
      <c r="D49" s="15">
        <f>IF(AND(D9=1,MOD(D7-$B$5,12)=0),Hypothèses!$D$51,0)*$G$4</f>
        <v/>
      </c>
      <c r="E49" s="15">
        <f>IF(AND(E9=1,MOD(E7-$B$5,12)=0),Hypothèses!$D$51,0)*$G$4</f>
        <v/>
      </c>
      <c r="F49" s="15">
        <f>IF(AND(F9=1,MOD(F7-$B$5,12)=0),Hypothèses!$D$51,0)*$G$4</f>
        <v/>
      </c>
      <c r="G49" s="15">
        <f>IF(AND(G9=1,MOD(G7-$B$5,12)=0),Hypothèses!$D$51,0)*$G$4</f>
        <v/>
      </c>
      <c r="H49" s="15">
        <f>IF(AND(H9=1,MOD(H7-$B$5,12)=0),Hypothèses!$D$51,0)*$G$4</f>
        <v/>
      </c>
      <c r="I49" s="15">
        <f>IF(AND(I9=1,MOD(I7-$B$5,12)=0),Hypothèses!$D$51,0)*$G$4</f>
        <v/>
      </c>
      <c r="J49" s="15">
        <f>IF(AND(J9=1,MOD(J7-$B$5,12)=0),Hypothèses!$D$51,0)*$G$4</f>
        <v/>
      </c>
      <c r="K49" s="15">
        <f>IF(AND(K9=1,MOD(K7-$B$5,12)=0),Hypothèses!$D$51,0)*$G$4</f>
        <v/>
      </c>
      <c r="L49" s="15">
        <f>IF(AND(L9=1,MOD(L7-$B$5,12)=0),Hypothèses!$D$51,0)*$G$4</f>
        <v/>
      </c>
      <c r="M49" s="15">
        <f>IF(AND(M9=1,MOD(M7-$B$5,12)=0),Hypothèses!$D$51,0)*$G$4</f>
        <v/>
      </c>
      <c r="N49" s="15">
        <f>IF(AND(N9=1,MOD(N7-$B$5,12)=0),Hypothèses!$D$51,0)*$G$4</f>
        <v/>
      </c>
      <c r="O49" s="15">
        <f>IF(AND(O9=1,MOD(O7-$B$5,12)=0),Hypothèses!$D$51,0)*$G$4</f>
        <v/>
      </c>
      <c r="P49" s="15">
        <f>IF(AND(P9=1,MOD(P7-$B$5,12)=0),Hypothèses!$D$51,0)*$G$4</f>
        <v/>
      </c>
      <c r="Q49" s="15">
        <f>IF(AND(Q9=1,MOD(Q7-$B$5,12)=0),Hypothèses!$D$51,0)*$G$4</f>
        <v/>
      </c>
      <c r="R49" s="15">
        <f>IF(AND(R9=1,MOD(R7-$B$5,12)=0),Hypothèses!$D$51,0)*$G$4</f>
        <v/>
      </c>
      <c r="S49" s="15">
        <f>IF(AND(S9=1,MOD(S7-$B$5,12)=0),Hypothèses!$D$51,0)*$G$4</f>
        <v/>
      </c>
      <c r="T49" s="15">
        <f>IF(AND(T9=1,MOD(T7-$B$5,12)=0),Hypothèses!$D$51,0)*$G$4</f>
        <v/>
      </c>
      <c r="U49" s="15">
        <f>IF(AND(U9=1,MOD(U7-$B$5,12)=0),Hypothèses!$D$51,0)*$G$4</f>
        <v/>
      </c>
      <c r="V49" s="15">
        <f>IF(AND(V9=1,MOD(V7-$B$5,12)=0),Hypothèses!$D$51,0)*$G$4</f>
        <v/>
      </c>
      <c r="W49" s="15">
        <f>IF(AND(W9=1,MOD(W7-$B$5,12)=0),Hypothèses!$D$51,0)*$G$4</f>
        <v/>
      </c>
      <c r="X49" s="15">
        <f>IF(AND(X9=1,MOD(X7-$B$5,12)=0),Hypothèses!$D$51,0)*$G$4</f>
        <v/>
      </c>
      <c r="Y49" s="15">
        <f>IF(AND(Y9=1,MOD(Y7-$B$5,12)=0),Hypothèses!$D$51,0)*$G$4</f>
        <v/>
      </c>
      <c r="Z49" s="15">
        <f>IF(AND(Z9=1,MOD(Z7-$B$5,12)=0),Hypothèses!$D$51,0)*$G$4</f>
        <v/>
      </c>
      <c r="AA49" s="15">
        <f>IF(AND(AA9=1,MOD(AA7-$B$5,12)=0),Hypothèses!$D$51,0)*$G$4</f>
        <v/>
      </c>
      <c r="AB49" s="15">
        <f>IF(AND(AB9=1,MOD(AB7-$B$5,12)=0),Hypothèses!$D$51,0)*$G$4</f>
        <v/>
      </c>
      <c r="AC49" s="15">
        <f>IF(AND(AC9=1,MOD(AC7-$B$5,12)=0),Hypothèses!$D$51,0)*$G$4</f>
        <v/>
      </c>
      <c r="AD49" s="15">
        <f>IF(AND(AD9=1,MOD(AD7-$B$5,12)=0),Hypothèses!$D$51,0)*$G$4</f>
        <v/>
      </c>
      <c r="AE49" s="15">
        <f>IF(AND(AE9=1,MOD(AE7-$B$5,12)=0),Hypothèses!$D$51,0)*$G$4</f>
        <v/>
      </c>
      <c r="AF49" s="15">
        <f>IF(AND(AF9=1,MOD(AF7-$B$5,12)=0),Hypothèses!$D$51,0)*$G$4</f>
        <v/>
      </c>
      <c r="AG49" s="15">
        <f>IF(AND(AG9=1,MOD(AG7-$B$5,12)=0),Hypothèses!$D$51,0)*$G$4</f>
        <v/>
      </c>
      <c r="AH49" s="15">
        <f>IF(AND(AH9=1,MOD(AH7-$B$5,12)=0),Hypothèses!$D$51,0)*$G$4</f>
        <v/>
      </c>
      <c r="AI49" s="15">
        <f>IF(AND(AI9=1,MOD(AI7-$B$5,12)=0),Hypothèses!$D$51,0)*$G$4</f>
        <v/>
      </c>
      <c r="AJ49" s="15">
        <f>IF(AND(AJ9=1,MOD(AJ7-$B$5,12)=0),Hypothèses!$D$51,0)*$G$4</f>
        <v/>
      </c>
      <c r="AK49" s="15">
        <f>IF(AND(AK9=1,MOD(AK7-$B$5,12)=0),Hypothèses!$D$51,0)*$G$4</f>
        <v/>
      </c>
      <c r="AL49" s="15">
        <f>IF(AND(AL9=1,MOD(AL7-$B$5,12)=0),Hypothèses!$D$51,0)*$G$4</f>
        <v/>
      </c>
      <c r="AN49" s="15">
        <f>SUM(C49:N49)</f>
        <v/>
      </c>
      <c r="AO49" s="15">
        <f>SUM(O49:Z49)</f>
        <v/>
      </c>
      <c r="AP49" s="15">
        <f>SUM(AA49:AL49)</f>
        <v/>
      </c>
    </row>
    <row r="50">
      <c r="A50" s="9" t="inlineStr">
        <is>
          <t>Frais de constitution</t>
        </is>
      </c>
      <c r="B50" s="4" t="inlineStr">
        <is>
          <t>€ HT</t>
        </is>
      </c>
      <c r="C50" s="15">
        <f>IF(C7=2,Hypothèses!$D$52,0)</f>
        <v/>
      </c>
      <c r="D50" s="15">
        <f>IF(D7=2,Hypothèses!$D$52,0)</f>
        <v/>
      </c>
      <c r="E50" s="15">
        <f>IF(E7=2,Hypothèses!$D$52,0)</f>
        <v/>
      </c>
      <c r="F50" s="15">
        <f>IF(F7=2,Hypothèses!$D$52,0)</f>
        <v/>
      </c>
      <c r="G50" s="15">
        <f>IF(G7=2,Hypothèses!$D$52,0)</f>
        <v/>
      </c>
      <c r="H50" s="15">
        <f>IF(H7=2,Hypothèses!$D$52,0)</f>
        <v/>
      </c>
      <c r="I50" s="15">
        <f>IF(I7=2,Hypothèses!$D$52,0)</f>
        <v/>
      </c>
      <c r="J50" s="15">
        <f>IF(J7=2,Hypothèses!$D$52,0)</f>
        <v/>
      </c>
      <c r="K50" s="15">
        <f>IF(K7=2,Hypothèses!$D$52,0)</f>
        <v/>
      </c>
      <c r="L50" s="15">
        <f>IF(L7=2,Hypothèses!$D$52,0)</f>
        <v/>
      </c>
      <c r="M50" s="15">
        <f>IF(M7=2,Hypothèses!$D$52,0)</f>
        <v/>
      </c>
      <c r="N50" s="15">
        <f>IF(N7=2,Hypothèses!$D$52,0)</f>
        <v/>
      </c>
      <c r="O50" s="15">
        <f>IF(O7=2,Hypothèses!$D$52,0)</f>
        <v/>
      </c>
      <c r="P50" s="15">
        <f>IF(P7=2,Hypothèses!$D$52,0)</f>
        <v/>
      </c>
      <c r="Q50" s="15">
        <f>IF(Q7=2,Hypothèses!$D$52,0)</f>
        <v/>
      </c>
      <c r="R50" s="15">
        <f>IF(R7=2,Hypothèses!$D$52,0)</f>
        <v/>
      </c>
      <c r="S50" s="15">
        <f>IF(S7=2,Hypothèses!$D$52,0)</f>
        <v/>
      </c>
      <c r="T50" s="15">
        <f>IF(T7=2,Hypothèses!$D$52,0)</f>
        <v/>
      </c>
      <c r="U50" s="15">
        <f>IF(U7=2,Hypothèses!$D$52,0)</f>
        <v/>
      </c>
      <c r="V50" s="15">
        <f>IF(V7=2,Hypothèses!$D$52,0)</f>
        <v/>
      </c>
      <c r="W50" s="15">
        <f>IF(W7=2,Hypothèses!$D$52,0)</f>
        <v/>
      </c>
      <c r="X50" s="15">
        <f>IF(X7=2,Hypothèses!$D$52,0)</f>
        <v/>
      </c>
      <c r="Y50" s="15">
        <f>IF(Y7=2,Hypothèses!$D$52,0)</f>
        <v/>
      </c>
      <c r="Z50" s="15">
        <f>IF(Z7=2,Hypothèses!$D$52,0)</f>
        <v/>
      </c>
      <c r="AA50" s="15">
        <f>IF(AA7=2,Hypothèses!$D$52,0)</f>
        <v/>
      </c>
      <c r="AB50" s="15">
        <f>IF(AB7=2,Hypothèses!$D$52,0)</f>
        <v/>
      </c>
      <c r="AC50" s="15">
        <f>IF(AC7=2,Hypothèses!$D$52,0)</f>
        <v/>
      </c>
      <c r="AD50" s="15">
        <f>IF(AD7=2,Hypothèses!$D$52,0)</f>
        <v/>
      </c>
      <c r="AE50" s="15">
        <f>IF(AE7=2,Hypothèses!$D$52,0)</f>
        <v/>
      </c>
      <c r="AF50" s="15">
        <f>IF(AF7=2,Hypothèses!$D$52,0)</f>
        <v/>
      </c>
      <c r="AG50" s="15">
        <f>IF(AG7=2,Hypothèses!$D$52,0)</f>
        <v/>
      </c>
      <c r="AH50" s="15">
        <f>IF(AH7=2,Hypothèses!$D$52,0)</f>
        <v/>
      </c>
      <c r="AI50" s="15">
        <f>IF(AI7=2,Hypothèses!$D$52,0)</f>
        <v/>
      </c>
      <c r="AJ50" s="15">
        <f>IF(AJ7=2,Hypothèses!$D$52,0)</f>
        <v/>
      </c>
      <c r="AK50" s="15">
        <f>IF(AK7=2,Hypothèses!$D$52,0)</f>
        <v/>
      </c>
      <c r="AL50" s="15">
        <f>IF(AL7=2,Hypothèses!$D$52,0)</f>
        <v/>
      </c>
      <c r="AN50" s="15">
        <f>SUM(C50:N50)</f>
        <v/>
      </c>
      <c r="AO50" s="15">
        <f>SUM(O50:Z50)</f>
        <v/>
      </c>
      <c r="AP50" s="15">
        <f>SUM(AA50:AL50)</f>
        <v/>
      </c>
    </row>
    <row r="51">
      <c r="A51" s="2" t="inlineStr">
        <is>
          <t>Total coûts fixes</t>
        </is>
      </c>
      <c r="B51" s="4" t="inlineStr">
        <is>
          <t>€ HT</t>
        </is>
      </c>
      <c r="C51" s="40">
        <f>SUM(C40:C50)</f>
        <v/>
      </c>
      <c r="D51" s="40">
        <f>SUM(D40:D50)</f>
        <v/>
      </c>
      <c r="E51" s="40">
        <f>SUM(E40:E50)</f>
        <v/>
      </c>
      <c r="F51" s="40">
        <f>SUM(F40:F50)</f>
        <v/>
      </c>
      <c r="G51" s="40">
        <f>SUM(G40:G50)</f>
        <v/>
      </c>
      <c r="H51" s="40">
        <f>SUM(H40:H50)</f>
        <v/>
      </c>
      <c r="I51" s="40">
        <f>SUM(I40:I50)</f>
        <v/>
      </c>
      <c r="J51" s="40">
        <f>SUM(J40:J50)</f>
        <v/>
      </c>
      <c r="K51" s="40">
        <f>SUM(K40:K50)</f>
        <v/>
      </c>
      <c r="L51" s="40">
        <f>SUM(L40:L50)</f>
        <v/>
      </c>
      <c r="M51" s="40">
        <f>SUM(M40:M50)</f>
        <v/>
      </c>
      <c r="N51" s="40">
        <f>SUM(N40:N50)</f>
        <v/>
      </c>
      <c r="O51" s="40">
        <f>SUM(O40:O50)</f>
        <v/>
      </c>
      <c r="P51" s="40">
        <f>SUM(P40:P50)</f>
        <v/>
      </c>
      <c r="Q51" s="40">
        <f>SUM(Q40:Q50)</f>
        <v/>
      </c>
      <c r="R51" s="40">
        <f>SUM(R40:R50)</f>
        <v/>
      </c>
      <c r="S51" s="40">
        <f>SUM(S40:S50)</f>
        <v/>
      </c>
      <c r="T51" s="40">
        <f>SUM(T40:T50)</f>
        <v/>
      </c>
      <c r="U51" s="40">
        <f>SUM(U40:U50)</f>
        <v/>
      </c>
      <c r="V51" s="40">
        <f>SUM(V40:V50)</f>
        <v/>
      </c>
      <c r="W51" s="40">
        <f>SUM(W40:W50)</f>
        <v/>
      </c>
      <c r="X51" s="40">
        <f>SUM(X40:X50)</f>
        <v/>
      </c>
      <c r="Y51" s="40">
        <f>SUM(Y40:Y50)</f>
        <v/>
      </c>
      <c r="Z51" s="40">
        <f>SUM(Z40:Z50)</f>
        <v/>
      </c>
      <c r="AA51" s="40">
        <f>SUM(AA40:AA50)</f>
        <v/>
      </c>
      <c r="AB51" s="40">
        <f>SUM(AB40:AB50)</f>
        <v/>
      </c>
      <c r="AC51" s="40">
        <f>SUM(AC40:AC50)</f>
        <v/>
      </c>
      <c r="AD51" s="40">
        <f>SUM(AD40:AD50)</f>
        <v/>
      </c>
      <c r="AE51" s="40">
        <f>SUM(AE40:AE50)</f>
        <v/>
      </c>
      <c r="AF51" s="40">
        <f>SUM(AF40:AF50)</f>
        <v/>
      </c>
      <c r="AG51" s="40">
        <f>SUM(AG40:AG50)</f>
        <v/>
      </c>
      <c r="AH51" s="40">
        <f>SUM(AH40:AH50)</f>
        <v/>
      </c>
      <c r="AI51" s="40">
        <f>SUM(AI40:AI50)</f>
        <v/>
      </c>
      <c r="AJ51" s="40">
        <f>SUM(AJ40:AJ50)</f>
        <v/>
      </c>
      <c r="AK51" s="40">
        <f>SUM(AK40:AK50)</f>
        <v/>
      </c>
      <c r="AL51" s="40">
        <f>SUM(AL40:AL50)</f>
        <v/>
      </c>
      <c r="AN51" s="40">
        <f>SUM(C51:N51)</f>
        <v/>
      </c>
      <c r="AO51" s="40">
        <f>SUM(O51:Z51)</f>
        <v/>
      </c>
      <c r="AP51" s="40">
        <f>SUM(AA51:AL51)</f>
        <v/>
      </c>
    </row>
    <row r="52">
      <c r="A52" s="2" t="inlineStr">
        <is>
          <t>EBITDA (marge variable − acquisition − fixes)</t>
        </is>
      </c>
      <c r="B52" s="4" t="inlineStr">
        <is>
          <t>€ HT</t>
        </is>
      </c>
      <c r="C52" s="40">
        <f>C37-C39-C51</f>
        <v/>
      </c>
      <c r="D52" s="40">
        <f>D37-D39-D51</f>
        <v/>
      </c>
      <c r="E52" s="40">
        <f>E37-E39-E51</f>
        <v/>
      </c>
      <c r="F52" s="40">
        <f>F37-F39-F51</f>
        <v/>
      </c>
      <c r="G52" s="40">
        <f>G37-G39-G51</f>
        <v/>
      </c>
      <c r="H52" s="40">
        <f>H37-H39-H51</f>
        <v/>
      </c>
      <c r="I52" s="40">
        <f>I37-I39-I51</f>
        <v/>
      </c>
      <c r="J52" s="40">
        <f>J37-J39-J51</f>
        <v/>
      </c>
      <c r="K52" s="40">
        <f>K37-K39-K51</f>
        <v/>
      </c>
      <c r="L52" s="40">
        <f>L37-L39-L51</f>
        <v/>
      </c>
      <c r="M52" s="40">
        <f>M37-M39-M51</f>
        <v/>
      </c>
      <c r="N52" s="40">
        <f>N37-N39-N51</f>
        <v/>
      </c>
      <c r="O52" s="40">
        <f>O37-O39-O51</f>
        <v/>
      </c>
      <c r="P52" s="40">
        <f>P37-P39-P51</f>
        <v/>
      </c>
      <c r="Q52" s="40">
        <f>Q37-Q39-Q51</f>
        <v/>
      </c>
      <c r="R52" s="40">
        <f>R37-R39-R51</f>
        <v/>
      </c>
      <c r="S52" s="40">
        <f>S37-S39-S51</f>
        <v/>
      </c>
      <c r="T52" s="40">
        <f>T37-T39-T51</f>
        <v/>
      </c>
      <c r="U52" s="40">
        <f>U37-U39-U51</f>
        <v/>
      </c>
      <c r="V52" s="40">
        <f>V37-V39-V51</f>
        <v/>
      </c>
      <c r="W52" s="40">
        <f>W37-W39-W51</f>
        <v/>
      </c>
      <c r="X52" s="40">
        <f>X37-X39-X51</f>
        <v/>
      </c>
      <c r="Y52" s="40">
        <f>Y37-Y39-Y51</f>
        <v/>
      </c>
      <c r="Z52" s="40">
        <f>Z37-Z39-Z51</f>
        <v/>
      </c>
      <c r="AA52" s="40">
        <f>AA37-AA39-AA51</f>
        <v/>
      </c>
      <c r="AB52" s="40">
        <f>AB37-AB39-AB51</f>
        <v/>
      </c>
      <c r="AC52" s="40">
        <f>AC37-AC39-AC51</f>
        <v/>
      </c>
      <c r="AD52" s="40">
        <f>AD37-AD39-AD51</f>
        <v/>
      </c>
      <c r="AE52" s="40">
        <f>AE37-AE39-AE51</f>
        <v/>
      </c>
      <c r="AF52" s="40">
        <f>AF37-AF39-AF51</f>
        <v/>
      </c>
      <c r="AG52" s="40">
        <f>AG37-AG39-AG51</f>
        <v/>
      </c>
      <c r="AH52" s="40">
        <f>AH37-AH39-AH51</f>
        <v/>
      </c>
      <c r="AI52" s="40">
        <f>AI37-AI39-AI51</f>
        <v/>
      </c>
      <c r="AJ52" s="40">
        <f>AJ37-AJ39-AJ51</f>
        <v/>
      </c>
      <c r="AK52" s="40">
        <f>AK37-AK39-AK51</f>
        <v/>
      </c>
      <c r="AL52" s="40">
        <f>AL37-AL39-AL51</f>
        <v/>
      </c>
      <c r="AN52" s="40">
        <f>SUM(C52:N52)</f>
        <v/>
      </c>
      <c r="AO52" s="40">
        <f>SUM(O52:Z52)</f>
        <v/>
      </c>
      <c r="AP52" s="40">
        <f>SUM(AA52:AL52)</f>
        <v/>
      </c>
    </row>
    <row r="53">
      <c r="A53" s="9" t="inlineStr">
        <is>
          <t>EBITDA positif ? (1 = oui)</t>
        </is>
      </c>
      <c r="B53" s="4" t="inlineStr">
        <is>
          <t>0/1</t>
        </is>
      </c>
      <c r="C53" s="13">
        <f>IF(C52&gt;0,1,0)</f>
        <v/>
      </c>
      <c r="D53" s="13">
        <f>IF(D52&gt;0,1,0)</f>
        <v/>
      </c>
      <c r="E53" s="13">
        <f>IF(E52&gt;0,1,0)</f>
        <v/>
      </c>
      <c r="F53" s="13">
        <f>IF(F52&gt;0,1,0)</f>
        <v/>
      </c>
      <c r="G53" s="13">
        <f>IF(G52&gt;0,1,0)</f>
        <v/>
      </c>
      <c r="H53" s="13">
        <f>IF(H52&gt;0,1,0)</f>
        <v/>
      </c>
      <c r="I53" s="13">
        <f>IF(I52&gt;0,1,0)</f>
        <v/>
      </c>
      <c r="J53" s="13">
        <f>IF(J52&gt;0,1,0)</f>
        <v/>
      </c>
      <c r="K53" s="13">
        <f>IF(K52&gt;0,1,0)</f>
        <v/>
      </c>
      <c r="L53" s="13">
        <f>IF(L52&gt;0,1,0)</f>
        <v/>
      </c>
      <c r="M53" s="13">
        <f>IF(M52&gt;0,1,0)</f>
        <v/>
      </c>
      <c r="N53" s="13">
        <f>IF(N52&gt;0,1,0)</f>
        <v/>
      </c>
      <c r="O53" s="13">
        <f>IF(O52&gt;0,1,0)</f>
        <v/>
      </c>
      <c r="P53" s="13">
        <f>IF(P52&gt;0,1,0)</f>
        <v/>
      </c>
      <c r="Q53" s="13">
        <f>IF(Q52&gt;0,1,0)</f>
        <v/>
      </c>
      <c r="R53" s="13">
        <f>IF(R52&gt;0,1,0)</f>
        <v/>
      </c>
      <c r="S53" s="13">
        <f>IF(S52&gt;0,1,0)</f>
        <v/>
      </c>
      <c r="T53" s="13">
        <f>IF(T52&gt;0,1,0)</f>
        <v/>
      </c>
      <c r="U53" s="13">
        <f>IF(U52&gt;0,1,0)</f>
        <v/>
      </c>
      <c r="V53" s="13">
        <f>IF(V52&gt;0,1,0)</f>
        <v/>
      </c>
      <c r="W53" s="13">
        <f>IF(W52&gt;0,1,0)</f>
        <v/>
      </c>
      <c r="X53" s="13">
        <f>IF(X52&gt;0,1,0)</f>
        <v/>
      </c>
      <c r="Y53" s="13">
        <f>IF(Y52&gt;0,1,0)</f>
        <v/>
      </c>
      <c r="Z53" s="13">
        <f>IF(Z52&gt;0,1,0)</f>
        <v/>
      </c>
      <c r="AA53" s="13">
        <f>IF(AA52&gt;0,1,0)</f>
        <v/>
      </c>
      <c r="AB53" s="13">
        <f>IF(AB52&gt;0,1,0)</f>
        <v/>
      </c>
      <c r="AC53" s="13">
        <f>IF(AC52&gt;0,1,0)</f>
        <v/>
      </c>
      <c r="AD53" s="13">
        <f>IF(AD52&gt;0,1,0)</f>
        <v/>
      </c>
      <c r="AE53" s="13">
        <f>IF(AE52&gt;0,1,0)</f>
        <v/>
      </c>
      <c r="AF53" s="13">
        <f>IF(AF52&gt;0,1,0)</f>
        <v/>
      </c>
      <c r="AG53" s="13">
        <f>IF(AG52&gt;0,1,0)</f>
        <v/>
      </c>
      <c r="AH53" s="13">
        <f>IF(AH52&gt;0,1,0)</f>
        <v/>
      </c>
      <c r="AI53" s="13">
        <f>IF(AI52&gt;0,1,0)</f>
        <v/>
      </c>
      <c r="AJ53" s="13">
        <f>IF(AJ52&gt;0,1,0)</f>
        <v/>
      </c>
      <c r="AK53" s="13">
        <f>IF(AK52&gt;0,1,0)</f>
        <v/>
      </c>
      <c r="AL53" s="13">
        <f>IF(AL52&gt;0,1,0)</f>
        <v/>
      </c>
    </row>
    <row r="54">
      <c r="A54" s="8" t="inlineStr">
        <is>
          <t>Trésorerie</t>
        </is>
      </c>
    </row>
    <row r="55">
      <c r="A55" s="9" t="inlineStr">
        <is>
          <t>TVA collectée reversée (mois suivant)</t>
        </is>
      </c>
      <c r="B55" s="4" t="inlineStr">
        <is>
          <t>€</t>
        </is>
      </c>
      <c r="C55" s="15">
        <f>0</f>
        <v/>
      </c>
      <c r="D55" s="15">
        <f>C27</f>
        <v/>
      </c>
      <c r="E55" s="15">
        <f>D27</f>
        <v/>
      </c>
      <c r="F55" s="15">
        <f>E27</f>
        <v/>
      </c>
      <c r="G55" s="15">
        <f>F27</f>
        <v/>
      </c>
      <c r="H55" s="15">
        <f>G27</f>
        <v/>
      </c>
      <c r="I55" s="15">
        <f>H27</f>
        <v/>
      </c>
      <c r="J55" s="15">
        <f>I27</f>
        <v/>
      </c>
      <c r="K55" s="15">
        <f>J27</f>
        <v/>
      </c>
      <c r="L55" s="15">
        <f>K27</f>
        <v/>
      </c>
      <c r="M55" s="15">
        <f>L27</f>
        <v/>
      </c>
      <c r="N55" s="15">
        <f>M27</f>
        <v/>
      </c>
      <c r="O55" s="15">
        <f>N27</f>
        <v/>
      </c>
      <c r="P55" s="15">
        <f>O27</f>
        <v/>
      </c>
      <c r="Q55" s="15">
        <f>P27</f>
        <v/>
      </c>
      <c r="R55" s="15">
        <f>Q27</f>
        <v/>
      </c>
      <c r="S55" s="15">
        <f>R27</f>
        <v/>
      </c>
      <c r="T55" s="15">
        <f>S27</f>
        <v/>
      </c>
      <c r="U55" s="15">
        <f>T27</f>
        <v/>
      </c>
      <c r="V55" s="15">
        <f>U27</f>
        <v/>
      </c>
      <c r="W55" s="15">
        <f>V27</f>
        <v/>
      </c>
      <c r="X55" s="15">
        <f>W27</f>
        <v/>
      </c>
      <c r="Y55" s="15">
        <f>X27</f>
        <v/>
      </c>
      <c r="Z55" s="15">
        <f>Y27</f>
        <v/>
      </c>
      <c r="AA55" s="15">
        <f>Z27</f>
        <v/>
      </c>
      <c r="AB55" s="15">
        <f>AA27</f>
        <v/>
      </c>
      <c r="AC55" s="15">
        <f>AB27</f>
        <v/>
      </c>
      <c r="AD55" s="15">
        <f>AC27</f>
        <v/>
      </c>
      <c r="AE55" s="15">
        <f>AD27</f>
        <v/>
      </c>
      <c r="AF55" s="15">
        <f>AE27</f>
        <v/>
      </c>
      <c r="AG55" s="15">
        <f>AF27</f>
        <v/>
      </c>
      <c r="AH55" s="15">
        <f>AG27</f>
        <v/>
      </c>
      <c r="AI55" s="15">
        <f>AH27</f>
        <v/>
      </c>
      <c r="AJ55" s="15">
        <f>AI27</f>
        <v/>
      </c>
      <c r="AK55" s="15">
        <f>AJ27</f>
        <v/>
      </c>
      <c r="AL55" s="15">
        <f>AK27</f>
        <v/>
      </c>
      <c r="AN55" s="15">
        <f>SUM(C55:N55)</f>
        <v/>
      </c>
      <c r="AO55" s="15">
        <f>SUM(O55:Z55)</f>
        <v/>
      </c>
      <c r="AP55" s="15">
        <f>SUM(AA55:AL55)</f>
        <v/>
      </c>
    </row>
    <row r="56">
      <c r="A56" s="9" t="inlineStr">
        <is>
          <t>TVA déductible récupérée (mois suivant, coûts externes)</t>
        </is>
      </c>
      <c r="B56" s="4" t="inlineStr">
        <is>
          <t>€</t>
        </is>
      </c>
      <c r="C56" s="15">
        <f>0</f>
        <v/>
      </c>
      <c r="D56" s="15">
        <f>(C36+C39+C43+C44+C45+C47+C48+C49+C50)*Hypothèses!$D$15</f>
        <v/>
      </c>
      <c r="E56" s="15">
        <f>(D36+D39+D43+D44+D45+D47+D48+D49+D50)*Hypothèses!$D$15</f>
        <v/>
      </c>
      <c r="F56" s="15">
        <f>(E36+E39+E43+E44+E45+E47+E48+E49+E50)*Hypothèses!$D$15</f>
        <v/>
      </c>
      <c r="G56" s="15">
        <f>(F36+F39+F43+F44+F45+F47+F48+F49+F50)*Hypothèses!$D$15</f>
        <v/>
      </c>
      <c r="H56" s="15">
        <f>(G36+G39+G43+G44+G45+G47+G48+G49+G50)*Hypothèses!$D$15</f>
        <v/>
      </c>
      <c r="I56" s="15">
        <f>(H36+H39+H43+H44+H45+H47+H48+H49+H50)*Hypothèses!$D$15</f>
        <v/>
      </c>
      <c r="J56" s="15">
        <f>(I36+I39+I43+I44+I45+I47+I48+I49+I50)*Hypothèses!$D$15</f>
        <v/>
      </c>
      <c r="K56" s="15">
        <f>(J36+J39+J43+J44+J45+J47+J48+J49+J50)*Hypothèses!$D$15</f>
        <v/>
      </c>
      <c r="L56" s="15">
        <f>(K36+K39+K43+K44+K45+K47+K48+K49+K50)*Hypothèses!$D$15</f>
        <v/>
      </c>
      <c r="M56" s="15">
        <f>(L36+L39+L43+L44+L45+L47+L48+L49+L50)*Hypothèses!$D$15</f>
        <v/>
      </c>
      <c r="N56" s="15">
        <f>(M36+M39+M43+M44+M45+M47+M48+M49+M50)*Hypothèses!$D$15</f>
        <v/>
      </c>
      <c r="O56" s="15">
        <f>(N36+N39+N43+N44+N45+N47+N48+N49+N50)*Hypothèses!$D$15</f>
        <v/>
      </c>
      <c r="P56" s="15">
        <f>(O36+O39+O43+O44+O45+O47+O48+O49+O50)*Hypothèses!$D$15</f>
        <v/>
      </c>
      <c r="Q56" s="15">
        <f>(P36+P39+P43+P44+P45+P47+P48+P49+P50)*Hypothèses!$D$15</f>
        <v/>
      </c>
      <c r="R56" s="15">
        <f>(Q36+Q39+Q43+Q44+Q45+Q47+Q48+Q49+Q50)*Hypothèses!$D$15</f>
        <v/>
      </c>
      <c r="S56" s="15">
        <f>(R36+R39+R43+R44+R45+R47+R48+R49+R50)*Hypothèses!$D$15</f>
        <v/>
      </c>
      <c r="T56" s="15">
        <f>(S36+S39+S43+S44+S45+S47+S48+S49+S50)*Hypothèses!$D$15</f>
        <v/>
      </c>
      <c r="U56" s="15">
        <f>(T36+T39+T43+T44+T45+T47+T48+T49+T50)*Hypothèses!$D$15</f>
        <v/>
      </c>
      <c r="V56" s="15">
        <f>(U36+U39+U43+U44+U45+U47+U48+U49+U50)*Hypothèses!$D$15</f>
        <v/>
      </c>
      <c r="W56" s="15">
        <f>(V36+V39+V43+V44+V45+V47+V48+V49+V50)*Hypothèses!$D$15</f>
        <v/>
      </c>
      <c r="X56" s="15">
        <f>(W36+W39+W43+W44+W45+W47+W48+W49+W50)*Hypothèses!$D$15</f>
        <v/>
      </c>
      <c r="Y56" s="15">
        <f>(X36+X39+X43+X44+X45+X47+X48+X49+X50)*Hypothèses!$D$15</f>
        <v/>
      </c>
      <c r="Z56" s="15">
        <f>(Y36+Y39+Y43+Y44+Y45+Y47+Y48+Y49+Y50)*Hypothèses!$D$15</f>
        <v/>
      </c>
      <c r="AA56" s="15">
        <f>(Z36+Z39+Z43+Z44+Z45+Z47+Z48+Z49+Z50)*Hypothèses!$D$15</f>
        <v/>
      </c>
      <c r="AB56" s="15">
        <f>(AA36+AA39+AA43+AA44+AA45+AA47+AA48+AA49+AA50)*Hypothèses!$D$15</f>
        <v/>
      </c>
      <c r="AC56" s="15">
        <f>(AB36+AB39+AB43+AB44+AB45+AB47+AB48+AB49+AB50)*Hypothèses!$D$15</f>
        <v/>
      </c>
      <c r="AD56" s="15">
        <f>(AC36+AC39+AC43+AC44+AC45+AC47+AC48+AC49+AC50)*Hypothèses!$D$15</f>
        <v/>
      </c>
      <c r="AE56" s="15">
        <f>(AD36+AD39+AD43+AD44+AD45+AD47+AD48+AD49+AD50)*Hypothèses!$D$15</f>
        <v/>
      </c>
      <c r="AF56" s="15">
        <f>(AE36+AE39+AE43+AE44+AE45+AE47+AE48+AE49+AE50)*Hypothèses!$D$15</f>
        <v/>
      </c>
      <c r="AG56" s="15">
        <f>(AF36+AF39+AF43+AF44+AF45+AF47+AF48+AF49+AF50)*Hypothèses!$D$15</f>
        <v/>
      </c>
      <c r="AH56" s="15">
        <f>(AG36+AG39+AG43+AG44+AG45+AG47+AG48+AG49+AG50)*Hypothèses!$D$15</f>
        <v/>
      </c>
      <c r="AI56" s="15">
        <f>(AH36+AH39+AH43+AH44+AH45+AH47+AH48+AH49+AH50)*Hypothèses!$D$15</f>
        <v/>
      </c>
      <c r="AJ56" s="15">
        <f>(AI36+AI39+AI43+AI44+AI45+AI47+AI48+AI49+AI50)*Hypothèses!$D$15</f>
        <v/>
      </c>
      <c r="AK56" s="15">
        <f>(AJ36+AJ39+AJ43+AJ44+AJ45+AJ47+AJ48+AJ49+AJ50)*Hypothèses!$D$15</f>
        <v/>
      </c>
      <c r="AL56" s="15">
        <f>(AK36+AK39+AK43+AK44+AK45+AK47+AK48+AK49+AK50)*Hypothèses!$D$15</f>
        <v/>
      </c>
      <c r="AN56" s="15">
        <f>SUM(C56:N56)</f>
        <v/>
      </c>
      <c r="AO56" s="15">
        <f>SUM(O56:Z56)</f>
        <v/>
      </c>
      <c r="AP56" s="15">
        <f>SUM(AA56:AL56)</f>
        <v/>
      </c>
    </row>
    <row r="57">
      <c r="A57" s="9" t="inlineStr">
        <is>
          <t>Financement reçu</t>
        </is>
      </c>
      <c r="B57" s="4" t="inlineStr">
        <is>
          <t>€</t>
        </is>
      </c>
      <c r="C57" s="15">
        <f>Hypothèses!$D$56*(IF(C7=Hypothèses!$D$57,Hypothèses!$D$58,0)+IF(C7=Hypothèses!$D$59,Hypothèses!$D$60,0)+IF(C7=Hypothèses!$D$61,Hypothèses!$D$62,0))</f>
        <v/>
      </c>
      <c r="D57" s="15">
        <f>Hypothèses!$D$56*(IF(D7=Hypothèses!$D$57,Hypothèses!$D$58,0)+IF(D7=Hypothèses!$D$59,Hypothèses!$D$60,0)+IF(D7=Hypothèses!$D$61,Hypothèses!$D$62,0))</f>
        <v/>
      </c>
      <c r="E57" s="15">
        <f>Hypothèses!$D$56*(IF(E7=Hypothèses!$D$57,Hypothèses!$D$58,0)+IF(E7=Hypothèses!$D$59,Hypothèses!$D$60,0)+IF(E7=Hypothèses!$D$61,Hypothèses!$D$62,0))</f>
        <v/>
      </c>
      <c r="F57" s="15">
        <f>Hypothèses!$D$56*(IF(F7=Hypothèses!$D$57,Hypothèses!$D$58,0)+IF(F7=Hypothèses!$D$59,Hypothèses!$D$60,0)+IF(F7=Hypothèses!$D$61,Hypothèses!$D$62,0))</f>
        <v/>
      </c>
      <c r="G57" s="15">
        <f>Hypothèses!$D$56*(IF(G7=Hypothèses!$D$57,Hypothèses!$D$58,0)+IF(G7=Hypothèses!$D$59,Hypothèses!$D$60,0)+IF(G7=Hypothèses!$D$61,Hypothèses!$D$62,0))</f>
        <v/>
      </c>
      <c r="H57" s="15">
        <f>Hypothèses!$D$56*(IF(H7=Hypothèses!$D$57,Hypothèses!$D$58,0)+IF(H7=Hypothèses!$D$59,Hypothèses!$D$60,0)+IF(H7=Hypothèses!$D$61,Hypothèses!$D$62,0))</f>
        <v/>
      </c>
      <c r="I57" s="15">
        <f>Hypothèses!$D$56*(IF(I7=Hypothèses!$D$57,Hypothèses!$D$58,0)+IF(I7=Hypothèses!$D$59,Hypothèses!$D$60,0)+IF(I7=Hypothèses!$D$61,Hypothèses!$D$62,0))</f>
        <v/>
      </c>
      <c r="J57" s="15">
        <f>Hypothèses!$D$56*(IF(J7=Hypothèses!$D$57,Hypothèses!$D$58,0)+IF(J7=Hypothèses!$D$59,Hypothèses!$D$60,0)+IF(J7=Hypothèses!$D$61,Hypothèses!$D$62,0))</f>
        <v/>
      </c>
      <c r="K57" s="15">
        <f>Hypothèses!$D$56*(IF(K7=Hypothèses!$D$57,Hypothèses!$D$58,0)+IF(K7=Hypothèses!$D$59,Hypothèses!$D$60,0)+IF(K7=Hypothèses!$D$61,Hypothèses!$D$62,0))</f>
        <v/>
      </c>
      <c r="L57" s="15">
        <f>Hypothèses!$D$56*(IF(L7=Hypothèses!$D$57,Hypothèses!$D$58,0)+IF(L7=Hypothèses!$D$59,Hypothèses!$D$60,0)+IF(L7=Hypothèses!$D$61,Hypothèses!$D$62,0))</f>
        <v/>
      </c>
      <c r="M57" s="15">
        <f>Hypothèses!$D$56*(IF(M7=Hypothèses!$D$57,Hypothèses!$D$58,0)+IF(M7=Hypothèses!$D$59,Hypothèses!$D$60,0)+IF(M7=Hypothèses!$D$61,Hypothèses!$D$62,0))</f>
        <v/>
      </c>
      <c r="N57" s="15">
        <f>Hypothèses!$D$56*(IF(N7=Hypothèses!$D$57,Hypothèses!$D$58,0)+IF(N7=Hypothèses!$D$59,Hypothèses!$D$60,0)+IF(N7=Hypothèses!$D$61,Hypothèses!$D$62,0))</f>
        <v/>
      </c>
      <c r="O57" s="15">
        <f>Hypothèses!$D$56*(IF(O7=Hypothèses!$D$57,Hypothèses!$D$58,0)+IF(O7=Hypothèses!$D$59,Hypothèses!$D$60,0)+IF(O7=Hypothèses!$D$61,Hypothèses!$D$62,0))</f>
        <v/>
      </c>
      <c r="P57" s="15">
        <f>Hypothèses!$D$56*(IF(P7=Hypothèses!$D$57,Hypothèses!$D$58,0)+IF(P7=Hypothèses!$D$59,Hypothèses!$D$60,0)+IF(P7=Hypothèses!$D$61,Hypothèses!$D$62,0))</f>
        <v/>
      </c>
      <c r="Q57" s="15">
        <f>Hypothèses!$D$56*(IF(Q7=Hypothèses!$D$57,Hypothèses!$D$58,0)+IF(Q7=Hypothèses!$D$59,Hypothèses!$D$60,0)+IF(Q7=Hypothèses!$D$61,Hypothèses!$D$62,0))</f>
        <v/>
      </c>
      <c r="R57" s="15">
        <f>Hypothèses!$D$56*(IF(R7=Hypothèses!$D$57,Hypothèses!$D$58,0)+IF(R7=Hypothèses!$D$59,Hypothèses!$D$60,0)+IF(R7=Hypothèses!$D$61,Hypothèses!$D$62,0))</f>
        <v/>
      </c>
      <c r="S57" s="15">
        <f>Hypothèses!$D$56*(IF(S7=Hypothèses!$D$57,Hypothèses!$D$58,0)+IF(S7=Hypothèses!$D$59,Hypothèses!$D$60,0)+IF(S7=Hypothèses!$D$61,Hypothèses!$D$62,0))</f>
        <v/>
      </c>
      <c r="T57" s="15">
        <f>Hypothèses!$D$56*(IF(T7=Hypothèses!$D$57,Hypothèses!$D$58,0)+IF(T7=Hypothèses!$D$59,Hypothèses!$D$60,0)+IF(T7=Hypothèses!$D$61,Hypothèses!$D$62,0))</f>
        <v/>
      </c>
      <c r="U57" s="15">
        <f>Hypothèses!$D$56*(IF(U7=Hypothèses!$D$57,Hypothèses!$D$58,0)+IF(U7=Hypothèses!$D$59,Hypothèses!$D$60,0)+IF(U7=Hypothèses!$D$61,Hypothèses!$D$62,0))</f>
        <v/>
      </c>
      <c r="V57" s="15">
        <f>Hypothèses!$D$56*(IF(V7=Hypothèses!$D$57,Hypothèses!$D$58,0)+IF(V7=Hypothèses!$D$59,Hypothèses!$D$60,0)+IF(V7=Hypothèses!$D$61,Hypothèses!$D$62,0))</f>
        <v/>
      </c>
      <c r="W57" s="15">
        <f>Hypothèses!$D$56*(IF(W7=Hypothèses!$D$57,Hypothèses!$D$58,0)+IF(W7=Hypothèses!$D$59,Hypothèses!$D$60,0)+IF(W7=Hypothèses!$D$61,Hypothèses!$D$62,0))</f>
        <v/>
      </c>
      <c r="X57" s="15">
        <f>Hypothèses!$D$56*(IF(X7=Hypothèses!$D$57,Hypothèses!$D$58,0)+IF(X7=Hypothèses!$D$59,Hypothèses!$D$60,0)+IF(X7=Hypothèses!$D$61,Hypothèses!$D$62,0))</f>
        <v/>
      </c>
      <c r="Y57" s="15">
        <f>Hypothèses!$D$56*(IF(Y7=Hypothèses!$D$57,Hypothèses!$D$58,0)+IF(Y7=Hypothèses!$D$59,Hypothèses!$D$60,0)+IF(Y7=Hypothèses!$D$61,Hypothèses!$D$62,0))</f>
        <v/>
      </c>
      <c r="Z57" s="15">
        <f>Hypothèses!$D$56*(IF(Z7=Hypothèses!$D$57,Hypothèses!$D$58,0)+IF(Z7=Hypothèses!$D$59,Hypothèses!$D$60,0)+IF(Z7=Hypothèses!$D$61,Hypothèses!$D$62,0))</f>
        <v/>
      </c>
      <c r="AA57" s="15">
        <f>Hypothèses!$D$56*(IF(AA7=Hypothèses!$D$57,Hypothèses!$D$58,0)+IF(AA7=Hypothèses!$D$59,Hypothèses!$D$60,0)+IF(AA7=Hypothèses!$D$61,Hypothèses!$D$62,0))</f>
        <v/>
      </c>
      <c r="AB57" s="15">
        <f>Hypothèses!$D$56*(IF(AB7=Hypothèses!$D$57,Hypothèses!$D$58,0)+IF(AB7=Hypothèses!$D$59,Hypothèses!$D$60,0)+IF(AB7=Hypothèses!$D$61,Hypothèses!$D$62,0))</f>
        <v/>
      </c>
      <c r="AC57" s="15">
        <f>Hypothèses!$D$56*(IF(AC7=Hypothèses!$D$57,Hypothèses!$D$58,0)+IF(AC7=Hypothèses!$D$59,Hypothèses!$D$60,0)+IF(AC7=Hypothèses!$D$61,Hypothèses!$D$62,0))</f>
        <v/>
      </c>
      <c r="AD57" s="15">
        <f>Hypothèses!$D$56*(IF(AD7=Hypothèses!$D$57,Hypothèses!$D$58,0)+IF(AD7=Hypothèses!$D$59,Hypothèses!$D$60,0)+IF(AD7=Hypothèses!$D$61,Hypothèses!$D$62,0))</f>
        <v/>
      </c>
      <c r="AE57" s="15">
        <f>Hypothèses!$D$56*(IF(AE7=Hypothèses!$D$57,Hypothèses!$D$58,0)+IF(AE7=Hypothèses!$D$59,Hypothèses!$D$60,0)+IF(AE7=Hypothèses!$D$61,Hypothèses!$D$62,0))</f>
        <v/>
      </c>
      <c r="AF57" s="15">
        <f>Hypothèses!$D$56*(IF(AF7=Hypothèses!$D$57,Hypothèses!$D$58,0)+IF(AF7=Hypothèses!$D$59,Hypothèses!$D$60,0)+IF(AF7=Hypothèses!$D$61,Hypothèses!$D$62,0))</f>
        <v/>
      </c>
      <c r="AG57" s="15">
        <f>Hypothèses!$D$56*(IF(AG7=Hypothèses!$D$57,Hypothèses!$D$58,0)+IF(AG7=Hypothèses!$D$59,Hypothèses!$D$60,0)+IF(AG7=Hypothèses!$D$61,Hypothèses!$D$62,0))</f>
        <v/>
      </c>
      <c r="AH57" s="15">
        <f>Hypothèses!$D$56*(IF(AH7=Hypothèses!$D$57,Hypothèses!$D$58,0)+IF(AH7=Hypothèses!$D$59,Hypothèses!$D$60,0)+IF(AH7=Hypothèses!$D$61,Hypothèses!$D$62,0))</f>
        <v/>
      </c>
      <c r="AI57" s="15">
        <f>Hypothèses!$D$56*(IF(AI7=Hypothèses!$D$57,Hypothèses!$D$58,0)+IF(AI7=Hypothèses!$D$59,Hypothèses!$D$60,0)+IF(AI7=Hypothèses!$D$61,Hypothèses!$D$62,0))</f>
        <v/>
      </c>
      <c r="AJ57" s="15">
        <f>Hypothèses!$D$56*(IF(AJ7=Hypothèses!$D$57,Hypothèses!$D$58,0)+IF(AJ7=Hypothèses!$D$59,Hypothèses!$D$60,0)+IF(AJ7=Hypothèses!$D$61,Hypothèses!$D$62,0))</f>
        <v/>
      </c>
      <c r="AK57" s="15">
        <f>Hypothèses!$D$56*(IF(AK7=Hypothèses!$D$57,Hypothèses!$D$58,0)+IF(AK7=Hypothèses!$D$59,Hypothèses!$D$60,0)+IF(AK7=Hypothèses!$D$61,Hypothèses!$D$62,0))</f>
        <v/>
      </c>
      <c r="AL57" s="15">
        <f>Hypothèses!$D$56*(IF(AL7=Hypothèses!$D$57,Hypothèses!$D$58,0)+IF(AL7=Hypothèses!$D$59,Hypothèses!$D$60,0)+IF(AL7=Hypothèses!$D$61,Hypothèses!$D$62,0))</f>
        <v/>
      </c>
      <c r="AN57" s="15">
        <f>SUM(C57:N57)</f>
        <v/>
      </c>
      <c r="AO57" s="15">
        <f>SUM(O57:Z57)</f>
        <v/>
      </c>
      <c r="AP57" s="15">
        <f>SUM(AA57:AL57)</f>
        <v/>
      </c>
    </row>
    <row r="58">
      <c r="A58" s="9" t="inlineStr">
        <is>
          <t>Trésorerie d'ouverture</t>
        </is>
      </c>
      <c r="B58" s="4" t="inlineStr">
        <is>
          <t>€</t>
        </is>
      </c>
      <c r="C58" s="15">
        <f>Hypothèses!$D$54</f>
        <v/>
      </c>
      <c r="D58" s="15">
        <f>C60</f>
        <v/>
      </c>
      <c r="E58" s="15">
        <f>D60</f>
        <v/>
      </c>
      <c r="F58" s="15">
        <f>E60</f>
        <v/>
      </c>
      <c r="G58" s="15">
        <f>F60</f>
        <v/>
      </c>
      <c r="H58" s="15">
        <f>G60</f>
        <v/>
      </c>
      <c r="I58" s="15">
        <f>H60</f>
        <v/>
      </c>
      <c r="J58" s="15">
        <f>I60</f>
        <v/>
      </c>
      <c r="K58" s="15">
        <f>J60</f>
        <v/>
      </c>
      <c r="L58" s="15">
        <f>K60</f>
        <v/>
      </c>
      <c r="M58" s="15">
        <f>L60</f>
        <v/>
      </c>
      <c r="N58" s="15">
        <f>M60</f>
        <v/>
      </c>
      <c r="O58" s="15">
        <f>N60</f>
        <v/>
      </c>
      <c r="P58" s="15">
        <f>O60</f>
        <v/>
      </c>
      <c r="Q58" s="15">
        <f>P60</f>
        <v/>
      </c>
      <c r="R58" s="15">
        <f>Q60</f>
        <v/>
      </c>
      <c r="S58" s="15">
        <f>R60</f>
        <v/>
      </c>
      <c r="T58" s="15">
        <f>S60</f>
        <v/>
      </c>
      <c r="U58" s="15">
        <f>T60</f>
        <v/>
      </c>
      <c r="V58" s="15">
        <f>U60</f>
        <v/>
      </c>
      <c r="W58" s="15">
        <f>V60</f>
        <v/>
      </c>
      <c r="X58" s="15">
        <f>W60</f>
        <v/>
      </c>
      <c r="Y58" s="15">
        <f>X60</f>
        <v/>
      </c>
      <c r="Z58" s="15">
        <f>Y60</f>
        <v/>
      </c>
      <c r="AA58" s="15">
        <f>Z60</f>
        <v/>
      </c>
      <c r="AB58" s="15">
        <f>AA60</f>
        <v/>
      </c>
      <c r="AC58" s="15">
        <f>AB60</f>
        <v/>
      </c>
      <c r="AD58" s="15">
        <f>AC60</f>
        <v/>
      </c>
      <c r="AE58" s="15">
        <f>AD60</f>
        <v/>
      </c>
      <c r="AF58" s="15">
        <f>AE60</f>
        <v/>
      </c>
      <c r="AG58" s="15">
        <f>AF60</f>
        <v/>
      </c>
      <c r="AH58" s="15">
        <f>AG60</f>
        <v/>
      </c>
      <c r="AI58" s="15">
        <f>AH60</f>
        <v/>
      </c>
      <c r="AJ58" s="15">
        <f>AI60</f>
        <v/>
      </c>
      <c r="AK58" s="15">
        <f>AJ60</f>
        <v/>
      </c>
      <c r="AL58" s="15">
        <f>AK60</f>
        <v/>
      </c>
    </row>
    <row r="59">
      <c r="A59" s="9" t="inlineStr">
        <is>
          <t>Flux de trésorerie du mois</t>
        </is>
      </c>
      <c r="B59" s="4" t="inlineStr">
        <is>
          <t>€</t>
        </is>
      </c>
      <c r="C59" s="15">
        <f>C31-C36-C39-C51-C55+C56+C57</f>
        <v/>
      </c>
      <c r="D59" s="15">
        <f>D31-D36-D39-D51-D55+D56+D57</f>
        <v/>
      </c>
      <c r="E59" s="15">
        <f>E31-E36-E39-E51-E55+E56+E57</f>
        <v/>
      </c>
      <c r="F59" s="15">
        <f>F31-F36-F39-F51-F55+F56+F57</f>
        <v/>
      </c>
      <c r="G59" s="15">
        <f>G31-G36-G39-G51-G55+G56+G57</f>
        <v/>
      </c>
      <c r="H59" s="15">
        <f>H31-H36-H39-H51-H55+H56+H57</f>
        <v/>
      </c>
      <c r="I59" s="15">
        <f>I31-I36-I39-I51-I55+I56+I57</f>
        <v/>
      </c>
      <c r="J59" s="15">
        <f>J31-J36-J39-J51-J55+J56+J57</f>
        <v/>
      </c>
      <c r="K59" s="15">
        <f>K31-K36-K39-K51-K55+K56+K57</f>
        <v/>
      </c>
      <c r="L59" s="15">
        <f>L31-L36-L39-L51-L55+L56+L57</f>
        <v/>
      </c>
      <c r="M59" s="15">
        <f>M31-M36-M39-M51-M55+M56+M57</f>
        <v/>
      </c>
      <c r="N59" s="15">
        <f>N31-N36-N39-N51-N55+N56+N57</f>
        <v/>
      </c>
      <c r="O59" s="15">
        <f>O31-O36-O39-O51-O55+O56+O57</f>
        <v/>
      </c>
      <c r="P59" s="15">
        <f>P31-P36-P39-P51-P55+P56+P57</f>
        <v/>
      </c>
      <c r="Q59" s="15">
        <f>Q31-Q36-Q39-Q51-Q55+Q56+Q57</f>
        <v/>
      </c>
      <c r="R59" s="15">
        <f>R31-R36-R39-R51-R55+R56+R57</f>
        <v/>
      </c>
      <c r="S59" s="15">
        <f>S31-S36-S39-S51-S55+S56+S57</f>
        <v/>
      </c>
      <c r="T59" s="15">
        <f>T31-T36-T39-T51-T55+T56+T57</f>
        <v/>
      </c>
      <c r="U59" s="15">
        <f>U31-U36-U39-U51-U55+U56+U57</f>
        <v/>
      </c>
      <c r="V59" s="15">
        <f>V31-V36-V39-V51-V55+V56+V57</f>
        <v/>
      </c>
      <c r="W59" s="15">
        <f>W31-W36-W39-W51-W55+W56+W57</f>
        <v/>
      </c>
      <c r="X59" s="15">
        <f>X31-X36-X39-X51-X55+X56+X57</f>
        <v/>
      </c>
      <c r="Y59" s="15">
        <f>Y31-Y36-Y39-Y51-Y55+Y56+Y57</f>
        <v/>
      </c>
      <c r="Z59" s="15">
        <f>Z31-Z36-Z39-Z51-Z55+Z56+Z57</f>
        <v/>
      </c>
      <c r="AA59" s="15">
        <f>AA31-AA36-AA39-AA51-AA55+AA56+AA57</f>
        <v/>
      </c>
      <c r="AB59" s="15">
        <f>AB31-AB36-AB39-AB51-AB55+AB56+AB57</f>
        <v/>
      </c>
      <c r="AC59" s="15">
        <f>AC31-AC36-AC39-AC51-AC55+AC56+AC57</f>
        <v/>
      </c>
      <c r="AD59" s="15">
        <f>AD31-AD36-AD39-AD51-AD55+AD56+AD57</f>
        <v/>
      </c>
      <c r="AE59" s="15">
        <f>AE31-AE36-AE39-AE51-AE55+AE56+AE57</f>
        <v/>
      </c>
      <c r="AF59" s="15">
        <f>AF31-AF36-AF39-AF51-AF55+AF56+AF57</f>
        <v/>
      </c>
      <c r="AG59" s="15">
        <f>AG31-AG36-AG39-AG51-AG55+AG56+AG57</f>
        <v/>
      </c>
      <c r="AH59" s="15">
        <f>AH31-AH36-AH39-AH51-AH55+AH56+AH57</f>
        <v/>
      </c>
      <c r="AI59" s="15">
        <f>AI31-AI36-AI39-AI51-AI55+AI56+AI57</f>
        <v/>
      </c>
      <c r="AJ59" s="15">
        <f>AJ31-AJ36-AJ39-AJ51-AJ55+AJ56+AJ57</f>
        <v/>
      </c>
      <c r="AK59" s="15">
        <f>AK31-AK36-AK39-AK51-AK55+AK56+AK57</f>
        <v/>
      </c>
      <c r="AL59" s="15">
        <f>AL31-AL36-AL39-AL51-AL55+AL56+AL57</f>
        <v/>
      </c>
      <c r="AN59" s="15">
        <f>SUM(C59:N59)</f>
        <v/>
      </c>
      <c r="AO59" s="15">
        <f>SUM(O59:Z59)</f>
        <v/>
      </c>
      <c r="AP59" s="15">
        <f>SUM(AA59:AL59)</f>
        <v/>
      </c>
    </row>
    <row r="60">
      <c r="A60" s="2" t="inlineStr">
        <is>
          <t>Trésorerie de clôture</t>
        </is>
      </c>
      <c r="B60" s="4" t="inlineStr">
        <is>
          <t>€</t>
        </is>
      </c>
      <c r="C60" s="40">
        <f>C58+C59</f>
        <v/>
      </c>
      <c r="D60" s="40">
        <f>D58+D59</f>
        <v/>
      </c>
      <c r="E60" s="40">
        <f>E58+E59</f>
        <v/>
      </c>
      <c r="F60" s="40">
        <f>F58+F59</f>
        <v/>
      </c>
      <c r="G60" s="40">
        <f>G58+G59</f>
        <v/>
      </c>
      <c r="H60" s="40">
        <f>H58+H59</f>
        <v/>
      </c>
      <c r="I60" s="40">
        <f>I58+I59</f>
        <v/>
      </c>
      <c r="J60" s="40">
        <f>J58+J59</f>
        <v/>
      </c>
      <c r="K60" s="40">
        <f>K58+K59</f>
        <v/>
      </c>
      <c r="L60" s="40">
        <f>L58+L59</f>
        <v/>
      </c>
      <c r="M60" s="40">
        <f>M58+M59</f>
        <v/>
      </c>
      <c r="N60" s="40">
        <f>N58+N59</f>
        <v/>
      </c>
      <c r="O60" s="40">
        <f>O58+O59</f>
        <v/>
      </c>
      <c r="P60" s="40">
        <f>P58+P59</f>
        <v/>
      </c>
      <c r="Q60" s="40">
        <f>Q58+Q59</f>
        <v/>
      </c>
      <c r="R60" s="40">
        <f>R58+R59</f>
        <v/>
      </c>
      <c r="S60" s="40">
        <f>S58+S59</f>
        <v/>
      </c>
      <c r="T60" s="40">
        <f>T58+T59</f>
        <v/>
      </c>
      <c r="U60" s="40">
        <f>U58+U59</f>
        <v/>
      </c>
      <c r="V60" s="40">
        <f>V58+V59</f>
        <v/>
      </c>
      <c r="W60" s="40">
        <f>W58+W59</f>
        <v/>
      </c>
      <c r="X60" s="40">
        <f>X58+X59</f>
        <v/>
      </c>
      <c r="Y60" s="40">
        <f>Y58+Y59</f>
        <v/>
      </c>
      <c r="Z60" s="40">
        <f>Z58+Z59</f>
        <v/>
      </c>
      <c r="AA60" s="40">
        <f>AA58+AA59</f>
        <v/>
      </c>
      <c r="AB60" s="40">
        <f>AB58+AB59</f>
        <v/>
      </c>
      <c r="AC60" s="40">
        <f>AC58+AC59</f>
        <v/>
      </c>
      <c r="AD60" s="40">
        <f>AD58+AD59</f>
        <v/>
      </c>
      <c r="AE60" s="40">
        <f>AE58+AE59</f>
        <v/>
      </c>
      <c r="AF60" s="40">
        <f>AF58+AF59</f>
        <v/>
      </c>
      <c r="AG60" s="40">
        <f>AG58+AG59</f>
        <v/>
      </c>
      <c r="AH60" s="40">
        <f>AH58+AH59</f>
        <v/>
      </c>
      <c r="AI60" s="40">
        <f>AI58+AI59</f>
        <v/>
      </c>
      <c r="AJ60" s="40">
        <f>AJ58+AJ59</f>
        <v/>
      </c>
      <c r="AK60" s="40">
        <f>AK58+AK59</f>
        <v/>
      </c>
      <c r="AL60" s="40">
        <f>AL58+AL59</f>
        <v/>
      </c>
      <c r="AN60" s="40">
        <f>N60</f>
        <v/>
      </c>
      <c r="AO60" s="40">
        <f>Z60</f>
        <v/>
      </c>
      <c r="AP60" s="40">
        <f>AL60</f>
        <v/>
      </c>
    </row>
    <row r="61">
      <c r="A61" s="9" t="inlineStr">
        <is>
          <t>Financement cumulé</t>
        </is>
      </c>
      <c r="B61" s="4" t="inlineStr">
        <is>
          <t>€</t>
        </is>
      </c>
      <c r="C61" s="15">
        <f>0+C57</f>
        <v/>
      </c>
      <c r="D61" s="15">
        <f>C61+D57</f>
        <v/>
      </c>
      <c r="E61" s="15">
        <f>D61+E57</f>
        <v/>
      </c>
      <c r="F61" s="15">
        <f>E61+F57</f>
        <v/>
      </c>
      <c r="G61" s="15">
        <f>F61+G57</f>
        <v/>
      </c>
      <c r="H61" s="15">
        <f>G61+H57</f>
        <v/>
      </c>
      <c r="I61" s="15">
        <f>H61+I57</f>
        <v/>
      </c>
      <c r="J61" s="15">
        <f>I61+J57</f>
        <v/>
      </c>
      <c r="K61" s="15">
        <f>J61+K57</f>
        <v/>
      </c>
      <c r="L61" s="15">
        <f>K61+L57</f>
        <v/>
      </c>
      <c r="M61" s="15">
        <f>L61+M57</f>
        <v/>
      </c>
      <c r="N61" s="15">
        <f>M61+N57</f>
        <v/>
      </c>
      <c r="O61" s="15">
        <f>N61+O57</f>
        <v/>
      </c>
      <c r="P61" s="15">
        <f>O61+P57</f>
        <v/>
      </c>
      <c r="Q61" s="15">
        <f>P61+Q57</f>
        <v/>
      </c>
      <c r="R61" s="15">
        <f>Q61+R57</f>
        <v/>
      </c>
      <c r="S61" s="15">
        <f>R61+S57</f>
        <v/>
      </c>
      <c r="T61" s="15">
        <f>S61+T57</f>
        <v/>
      </c>
      <c r="U61" s="15">
        <f>T61+U57</f>
        <v/>
      </c>
      <c r="V61" s="15">
        <f>U61+V57</f>
        <v/>
      </c>
      <c r="W61" s="15">
        <f>V61+W57</f>
        <v/>
      </c>
      <c r="X61" s="15">
        <f>W61+X57</f>
        <v/>
      </c>
      <c r="Y61" s="15">
        <f>X61+Y57</f>
        <v/>
      </c>
      <c r="Z61" s="15">
        <f>Y61+Z57</f>
        <v/>
      </c>
      <c r="AA61" s="15">
        <f>Z61+AA57</f>
        <v/>
      </c>
      <c r="AB61" s="15">
        <f>AA61+AB57</f>
        <v/>
      </c>
      <c r="AC61" s="15">
        <f>AB61+AC57</f>
        <v/>
      </c>
      <c r="AD61" s="15">
        <f>AC61+AD57</f>
        <v/>
      </c>
      <c r="AE61" s="15">
        <f>AD61+AE57</f>
        <v/>
      </c>
      <c r="AF61" s="15">
        <f>AE61+AF57</f>
        <v/>
      </c>
      <c r="AG61" s="15">
        <f>AF61+AG57</f>
        <v/>
      </c>
      <c r="AH61" s="15">
        <f>AG61+AH57</f>
        <v/>
      </c>
      <c r="AI61" s="15">
        <f>AH61+AI57</f>
        <v/>
      </c>
      <c r="AJ61" s="15">
        <f>AI61+AJ57</f>
        <v/>
      </c>
      <c r="AK61" s="15">
        <f>AJ61+AK57</f>
        <v/>
      </c>
      <c r="AL61" s="15">
        <f>AK61+AL57</f>
        <v/>
      </c>
      <c r="AN61" s="15">
        <f>N61</f>
        <v/>
      </c>
      <c r="AO61" s="15">
        <f>Z61</f>
        <v/>
      </c>
      <c r="AP61" s="15">
        <f>AL61</f>
        <v/>
      </c>
    </row>
    <row r="62">
      <c r="A62" s="2" t="inlineStr">
        <is>
          <t>Trésorerie cumulée hors financement</t>
        </is>
      </c>
      <c r="B62" s="4" t="inlineStr">
        <is>
          <t>€</t>
        </is>
      </c>
      <c r="C62" s="40">
        <f>C60-C61</f>
        <v/>
      </c>
      <c r="D62" s="40">
        <f>D60-D61</f>
        <v/>
      </c>
      <c r="E62" s="40">
        <f>E60-E61</f>
        <v/>
      </c>
      <c r="F62" s="40">
        <f>F60-F61</f>
        <v/>
      </c>
      <c r="G62" s="40">
        <f>G60-G61</f>
        <v/>
      </c>
      <c r="H62" s="40">
        <f>H60-H61</f>
        <v/>
      </c>
      <c r="I62" s="40">
        <f>I60-I61</f>
        <v/>
      </c>
      <c r="J62" s="40">
        <f>J60-J61</f>
        <v/>
      </c>
      <c r="K62" s="40">
        <f>K60-K61</f>
        <v/>
      </c>
      <c r="L62" s="40">
        <f>L60-L61</f>
        <v/>
      </c>
      <c r="M62" s="40">
        <f>M60-M61</f>
        <v/>
      </c>
      <c r="N62" s="40">
        <f>N60-N61</f>
        <v/>
      </c>
      <c r="O62" s="40">
        <f>O60-O61</f>
        <v/>
      </c>
      <c r="P62" s="40">
        <f>P60-P61</f>
        <v/>
      </c>
      <c r="Q62" s="40">
        <f>Q60-Q61</f>
        <v/>
      </c>
      <c r="R62" s="40">
        <f>R60-R61</f>
        <v/>
      </c>
      <c r="S62" s="40">
        <f>S60-S61</f>
        <v/>
      </c>
      <c r="T62" s="40">
        <f>T60-T61</f>
        <v/>
      </c>
      <c r="U62" s="40">
        <f>U60-U61</f>
        <v/>
      </c>
      <c r="V62" s="40">
        <f>V60-V61</f>
        <v/>
      </c>
      <c r="W62" s="40">
        <f>W60-W61</f>
        <v/>
      </c>
      <c r="X62" s="40">
        <f>X60-X61</f>
        <v/>
      </c>
      <c r="Y62" s="40">
        <f>Y60-Y61</f>
        <v/>
      </c>
      <c r="Z62" s="40">
        <f>Z60-Z61</f>
        <v/>
      </c>
      <c r="AA62" s="40">
        <f>AA60-AA61</f>
        <v/>
      </c>
      <c r="AB62" s="40">
        <f>AB60-AB61</f>
        <v/>
      </c>
      <c r="AC62" s="40">
        <f>AC60-AC61</f>
        <v/>
      </c>
      <c r="AD62" s="40">
        <f>AD60-AD61</f>
        <v/>
      </c>
      <c r="AE62" s="40">
        <f>AE60-AE61</f>
        <v/>
      </c>
      <c r="AF62" s="40">
        <f>AF60-AF61</f>
        <v/>
      </c>
      <c r="AG62" s="40">
        <f>AG60-AG61</f>
        <v/>
      </c>
      <c r="AH62" s="40">
        <f>AH60-AH61</f>
        <v/>
      </c>
      <c r="AI62" s="40">
        <f>AI60-AI61</f>
        <v/>
      </c>
      <c r="AJ62" s="40">
        <f>AJ60-AJ61</f>
        <v/>
      </c>
      <c r="AK62" s="40">
        <f>AK60-AK61</f>
        <v/>
      </c>
      <c r="AL62" s="40">
        <f>AL60-AL61</f>
        <v/>
      </c>
      <c r="AN62" s="40">
        <f>N62</f>
        <v/>
      </c>
      <c r="AO62" s="40">
        <f>Z62</f>
        <v/>
      </c>
      <c r="AP62" s="40">
        <f>AL62</f>
        <v/>
      </c>
    </row>
    <row r="63">
      <c r="A63" s="9" t="inlineStr">
        <is>
          <t>Point bas glissant hors financement</t>
        </is>
      </c>
      <c r="B63" s="4" t="inlineStr">
        <is>
          <t>€</t>
        </is>
      </c>
      <c r="C63" s="15">
        <f>C62</f>
        <v/>
      </c>
      <c r="D63" s="15">
        <f>MIN(C63,D62)</f>
        <v/>
      </c>
      <c r="E63" s="15">
        <f>MIN(D63,E62)</f>
        <v/>
      </c>
      <c r="F63" s="15">
        <f>MIN(E63,F62)</f>
        <v/>
      </c>
      <c r="G63" s="15">
        <f>MIN(F63,G62)</f>
        <v/>
      </c>
      <c r="H63" s="15">
        <f>MIN(G63,H62)</f>
        <v/>
      </c>
      <c r="I63" s="15">
        <f>MIN(H63,I62)</f>
        <v/>
      </c>
      <c r="J63" s="15">
        <f>MIN(I63,J62)</f>
        <v/>
      </c>
      <c r="K63" s="15">
        <f>MIN(J63,K62)</f>
        <v/>
      </c>
      <c r="L63" s="15">
        <f>MIN(K63,L62)</f>
        <v/>
      </c>
      <c r="M63" s="15">
        <f>MIN(L63,M62)</f>
        <v/>
      </c>
      <c r="N63" s="15">
        <f>MIN(M63,N62)</f>
        <v/>
      </c>
      <c r="O63" s="15">
        <f>MIN(N63,O62)</f>
        <v/>
      </c>
      <c r="P63" s="15">
        <f>MIN(O63,P62)</f>
        <v/>
      </c>
      <c r="Q63" s="15">
        <f>MIN(P63,Q62)</f>
        <v/>
      </c>
      <c r="R63" s="15">
        <f>MIN(Q63,R62)</f>
        <v/>
      </c>
      <c r="S63" s="15">
        <f>MIN(R63,S62)</f>
        <v/>
      </c>
      <c r="T63" s="15">
        <f>MIN(S63,T62)</f>
        <v/>
      </c>
      <c r="U63" s="15">
        <f>MIN(T63,U62)</f>
        <v/>
      </c>
      <c r="V63" s="15">
        <f>MIN(U63,V62)</f>
        <v/>
      </c>
      <c r="W63" s="15">
        <f>MIN(V63,W62)</f>
        <v/>
      </c>
      <c r="X63" s="15">
        <f>MIN(W63,X62)</f>
        <v/>
      </c>
      <c r="Y63" s="15">
        <f>MIN(X63,Y62)</f>
        <v/>
      </c>
      <c r="Z63" s="15">
        <f>MIN(Y63,Z62)</f>
        <v/>
      </c>
      <c r="AA63" s="15">
        <f>MIN(Z63,AA62)</f>
        <v/>
      </c>
      <c r="AB63" s="15">
        <f>MIN(AA63,AB62)</f>
        <v/>
      </c>
      <c r="AC63" s="15">
        <f>MIN(AB63,AC62)</f>
        <v/>
      </c>
      <c r="AD63" s="15">
        <f>MIN(AC63,AD62)</f>
        <v/>
      </c>
      <c r="AE63" s="15">
        <f>MIN(AD63,AE62)</f>
        <v/>
      </c>
      <c r="AF63" s="15">
        <f>MIN(AE63,AF62)</f>
        <v/>
      </c>
      <c r="AG63" s="15">
        <f>MIN(AF63,AG62)</f>
        <v/>
      </c>
      <c r="AH63" s="15">
        <f>MIN(AG63,AH62)</f>
        <v/>
      </c>
      <c r="AI63" s="15">
        <f>MIN(AH63,AI62)</f>
        <v/>
      </c>
      <c r="AJ63" s="15">
        <f>MIN(AI63,AJ62)</f>
        <v/>
      </c>
      <c r="AK63" s="15">
        <f>MIN(AJ63,AK62)</f>
        <v/>
      </c>
      <c r="AL63" s="15">
        <f>MIN(AK63,AL62)</f>
        <v/>
      </c>
      <c r="AN63" s="15">
        <f>N63</f>
        <v/>
      </c>
      <c r="AO63" s="15">
        <f>Z63</f>
        <v/>
      </c>
      <c r="AP63" s="15">
        <f>AL63</f>
        <v/>
      </c>
    </row>
    <row r="64">
      <c r="A64" s="9" t="inlineStr">
        <is>
          <t>Trésorerie cumulée hors financement positive après lancement ? (1 = oui)</t>
        </is>
      </c>
      <c r="B64" s="4" t="inlineStr">
        <is>
          <t>0/1</t>
        </is>
      </c>
      <c r="C64" s="13">
        <f>IF(AND(C9=1,C62&gt;0),1,0)</f>
        <v/>
      </c>
      <c r="D64" s="13">
        <f>IF(AND(D9=1,D62&gt;0),1,0)</f>
        <v/>
      </c>
      <c r="E64" s="13">
        <f>IF(AND(E9=1,E62&gt;0),1,0)</f>
        <v/>
      </c>
      <c r="F64" s="13">
        <f>IF(AND(F9=1,F62&gt;0),1,0)</f>
        <v/>
      </c>
      <c r="G64" s="13">
        <f>IF(AND(G9=1,G62&gt;0),1,0)</f>
        <v/>
      </c>
      <c r="H64" s="13">
        <f>IF(AND(H9=1,H62&gt;0),1,0)</f>
        <v/>
      </c>
      <c r="I64" s="13">
        <f>IF(AND(I9=1,I62&gt;0),1,0)</f>
        <v/>
      </c>
      <c r="J64" s="13">
        <f>IF(AND(J9=1,J62&gt;0),1,0)</f>
        <v/>
      </c>
      <c r="K64" s="13">
        <f>IF(AND(K9=1,K62&gt;0),1,0)</f>
        <v/>
      </c>
      <c r="L64" s="13">
        <f>IF(AND(L9=1,L62&gt;0),1,0)</f>
        <v/>
      </c>
      <c r="M64" s="13">
        <f>IF(AND(M9=1,M62&gt;0),1,0)</f>
        <v/>
      </c>
      <c r="N64" s="13">
        <f>IF(AND(N9=1,N62&gt;0),1,0)</f>
        <v/>
      </c>
      <c r="O64" s="13">
        <f>IF(AND(O9=1,O62&gt;0),1,0)</f>
        <v/>
      </c>
      <c r="P64" s="13">
        <f>IF(AND(P9=1,P62&gt;0),1,0)</f>
        <v/>
      </c>
      <c r="Q64" s="13">
        <f>IF(AND(Q9=1,Q62&gt;0),1,0)</f>
        <v/>
      </c>
      <c r="R64" s="13">
        <f>IF(AND(R9=1,R62&gt;0),1,0)</f>
        <v/>
      </c>
      <c r="S64" s="13">
        <f>IF(AND(S9=1,S62&gt;0),1,0)</f>
        <v/>
      </c>
      <c r="T64" s="13">
        <f>IF(AND(T9=1,T62&gt;0),1,0)</f>
        <v/>
      </c>
      <c r="U64" s="13">
        <f>IF(AND(U9=1,U62&gt;0),1,0)</f>
        <v/>
      </c>
      <c r="V64" s="13">
        <f>IF(AND(V9=1,V62&gt;0),1,0)</f>
        <v/>
      </c>
      <c r="W64" s="13">
        <f>IF(AND(W9=1,W62&gt;0),1,0)</f>
        <v/>
      </c>
      <c r="X64" s="13">
        <f>IF(AND(X9=1,X62&gt;0),1,0)</f>
        <v/>
      </c>
      <c r="Y64" s="13">
        <f>IF(AND(Y9=1,Y62&gt;0),1,0)</f>
        <v/>
      </c>
      <c r="Z64" s="13">
        <f>IF(AND(Z9=1,Z62&gt;0),1,0)</f>
        <v/>
      </c>
      <c r="AA64" s="13">
        <f>IF(AND(AA9=1,AA62&gt;0),1,0)</f>
        <v/>
      </c>
      <c r="AB64" s="13">
        <f>IF(AND(AB9=1,AB62&gt;0),1,0)</f>
        <v/>
      </c>
      <c r="AC64" s="13">
        <f>IF(AND(AC9=1,AC62&gt;0),1,0)</f>
        <v/>
      </c>
      <c r="AD64" s="13">
        <f>IF(AND(AD9=1,AD62&gt;0),1,0)</f>
        <v/>
      </c>
      <c r="AE64" s="13">
        <f>IF(AND(AE9=1,AE62&gt;0),1,0)</f>
        <v/>
      </c>
      <c r="AF64" s="13">
        <f>IF(AND(AF9=1,AF62&gt;0),1,0)</f>
        <v/>
      </c>
      <c r="AG64" s="13">
        <f>IF(AND(AG9=1,AG62&gt;0),1,0)</f>
        <v/>
      </c>
      <c r="AH64" s="13">
        <f>IF(AND(AH9=1,AH62&gt;0),1,0)</f>
        <v/>
      </c>
      <c r="AI64" s="13">
        <f>IF(AND(AI9=1,AI62&gt;0),1,0)</f>
        <v/>
      </c>
      <c r="AJ64" s="13">
        <f>IF(AND(AJ9=1,AJ62&gt;0),1,0)</f>
        <v/>
      </c>
      <c r="AK64" s="13">
        <f>IF(AND(AK9=1,AK62&gt;0),1,0)</f>
        <v/>
      </c>
      <c r="AL64" s="13">
        <f>IF(AND(AL9=1,AL62&gt;0),1,0)</f>
        <v/>
      </c>
    </row>
    <row r="65">
      <c r="A65" s="8" t="inlineStr">
        <is>
          <t>Indicateurs</t>
        </is>
      </c>
    </row>
    <row r="66">
      <c r="A66" s="9" t="inlineStr">
        <is>
          <t>ARR HT instantané (CA HT × 12)</t>
        </is>
      </c>
      <c r="B66" s="4" t="inlineStr">
        <is>
          <t>€ HT</t>
        </is>
      </c>
      <c r="C66" s="15">
        <f>C28*12</f>
        <v/>
      </c>
      <c r="D66" s="15">
        <f>D28*12</f>
        <v/>
      </c>
      <c r="E66" s="15">
        <f>E28*12</f>
        <v/>
      </c>
      <c r="F66" s="15">
        <f>F28*12</f>
        <v/>
      </c>
      <c r="G66" s="15">
        <f>G28*12</f>
        <v/>
      </c>
      <c r="H66" s="15">
        <f>H28*12</f>
        <v/>
      </c>
      <c r="I66" s="15">
        <f>I28*12</f>
        <v/>
      </c>
      <c r="J66" s="15">
        <f>J28*12</f>
        <v/>
      </c>
      <c r="K66" s="15">
        <f>K28*12</f>
        <v/>
      </c>
      <c r="L66" s="15">
        <f>L28*12</f>
        <v/>
      </c>
      <c r="M66" s="15">
        <f>M28*12</f>
        <v/>
      </c>
      <c r="N66" s="15">
        <f>N28*12</f>
        <v/>
      </c>
      <c r="O66" s="15">
        <f>O28*12</f>
        <v/>
      </c>
      <c r="P66" s="15">
        <f>P28*12</f>
        <v/>
      </c>
      <c r="Q66" s="15">
        <f>Q28*12</f>
        <v/>
      </c>
      <c r="R66" s="15">
        <f>R28*12</f>
        <v/>
      </c>
      <c r="S66" s="15">
        <f>S28*12</f>
        <v/>
      </c>
      <c r="T66" s="15">
        <f>T28*12</f>
        <v/>
      </c>
      <c r="U66" s="15">
        <f>U28*12</f>
        <v/>
      </c>
      <c r="V66" s="15">
        <f>V28*12</f>
        <v/>
      </c>
      <c r="W66" s="15">
        <f>W28*12</f>
        <v/>
      </c>
      <c r="X66" s="15">
        <f>X28*12</f>
        <v/>
      </c>
      <c r="Y66" s="15">
        <f>Y28*12</f>
        <v/>
      </c>
      <c r="Z66" s="15">
        <f>Z28*12</f>
        <v/>
      </c>
      <c r="AA66" s="15">
        <f>AA28*12</f>
        <v/>
      </c>
      <c r="AB66" s="15">
        <f>AB28*12</f>
        <v/>
      </c>
      <c r="AC66" s="15">
        <f>AC28*12</f>
        <v/>
      </c>
      <c r="AD66" s="15">
        <f>AD28*12</f>
        <v/>
      </c>
      <c r="AE66" s="15">
        <f>AE28*12</f>
        <v/>
      </c>
      <c r="AF66" s="15">
        <f>AF28*12</f>
        <v/>
      </c>
      <c r="AG66" s="15">
        <f>AG28*12</f>
        <v/>
      </c>
      <c r="AH66" s="15">
        <f>AH28*12</f>
        <v/>
      </c>
      <c r="AI66" s="15">
        <f>AI28*12</f>
        <v/>
      </c>
      <c r="AJ66" s="15">
        <f>AJ28*12</f>
        <v/>
      </c>
      <c r="AK66" s="15">
        <f>AK28*12</f>
        <v/>
      </c>
      <c r="AL66" s="15">
        <f>AL28*12</f>
        <v/>
      </c>
      <c r="AN66" s="15">
        <f>N66</f>
        <v/>
      </c>
      <c r="AO66" s="15">
        <f>Z66</f>
        <v/>
      </c>
      <c r="AP66" s="15">
        <f>AL66</f>
        <v/>
      </c>
    </row>
    <row r="67">
      <c r="A67" s="9" t="inlineStr">
        <is>
          <t>ARPA HT (CA HT / abonnés)</t>
        </is>
      </c>
      <c r="B67" s="4" t="inlineStr">
        <is>
          <t>€ HT</t>
        </is>
      </c>
      <c r="C67" s="19">
        <f>IF(C18&gt;0,C28/C18,0)</f>
        <v/>
      </c>
      <c r="D67" s="19">
        <f>IF(D18&gt;0,D28/D18,0)</f>
        <v/>
      </c>
      <c r="E67" s="19">
        <f>IF(E18&gt;0,E28/E18,0)</f>
        <v/>
      </c>
      <c r="F67" s="19">
        <f>IF(F18&gt;0,F28/F18,0)</f>
        <v/>
      </c>
      <c r="G67" s="19">
        <f>IF(G18&gt;0,G28/G18,0)</f>
        <v/>
      </c>
      <c r="H67" s="19">
        <f>IF(H18&gt;0,H28/H18,0)</f>
        <v/>
      </c>
      <c r="I67" s="19">
        <f>IF(I18&gt;0,I28/I18,0)</f>
        <v/>
      </c>
      <c r="J67" s="19">
        <f>IF(J18&gt;0,J28/J18,0)</f>
        <v/>
      </c>
      <c r="K67" s="19">
        <f>IF(K18&gt;0,K28/K18,0)</f>
        <v/>
      </c>
      <c r="L67" s="19">
        <f>IF(L18&gt;0,L28/L18,0)</f>
        <v/>
      </c>
      <c r="M67" s="19">
        <f>IF(M18&gt;0,M28/M18,0)</f>
        <v/>
      </c>
      <c r="N67" s="19">
        <f>IF(N18&gt;0,N28/N18,0)</f>
        <v/>
      </c>
      <c r="O67" s="19">
        <f>IF(O18&gt;0,O28/O18,0)</f>
        <v/>
      </c>
      <c r="P67" s="19">
        <f>IF(P18&gt;0,P28/P18,0)</f>
        <v/>
      </c>
      <c r="Q67" s="19">
        <f>IF(Q18&gt;0,Q28/Q18,0)</f>
        <v/>
      </c>
      <c r="R67" s="19">
        <f>IF(R18&gt;0,R28/R18,0)</f>
        <v/>
      </c>
      <c r="S67" s="19">
        <f>IF(S18&gt;0,S28/S18,0)</f>
        <v/>
      </c>
      <c r="T67" s="19">
        <f>IF(T18&gt;0,T28/T18,0)</f>
        <v/>
      </c>
      <c r="U67" s="19">
        <f>IF(U18&gt;0,U28/U18,0)</f>
        <v/>
      </c>
      <c r="V67" s="19">
        <f>IF(V18&gt;0,V28/V18,0)</f>
        <v/>
      </c>
      <c r="W67" s="19">
        <f>IF(W18&gt;0,W28/W18,0)</f>
        <v/>
      </c>
      <c r="X67" s="19">
        <f>IF(X18&gt;0,X28/X18,0)</f>
        <v/>
      </c>
      <c r="Y67" s="19">
        <f>IF(Y18&gt;0,Y28/Y18,0)</f>
        <v/>
      </c>
      <c r="Z67" s="19">
        <f>IF(Z18&gt;0,Z28/Z18,0)</f>
        <v/>
      </c>
      <c r="AA67" s="19">
        <f>IF(AA18&gt;0,AA28/AA18,0)</f>
        <v/>
      </c>
      <c r="AB67" s="19">
        <f>IF(AB18&gt;0,AB28/AB18,0)</f>
        <v/>
      </c>
      <c r="AC67" s="19">
        <f>IF(AC18&gt;0,AC28/AC18,0)</f>
        <v/>
      </c>
      <c r="AD67" s="19">
        <f>IF(AD18&gt;0,AD28/AD18,0)</f>
        <v/>
      </c>
      <c r="AE67" s="19">
        <f>IF(AE18&gt;0,AE28/AE18,0)</f>
        <v/>
      </c>
      <c r="AF67" s="19">
        <f>IF(AF18&gt;0,AF28/AF18,0)</f>
        <v/>
      </c>
      <c r="AG67" s="19">
        <f>IF(AG18&gt;0,AG28/AG18,0)</f>
        <v/>
      </c>
      <c r="AH67" s="19">
        <f>IF(AH18&gt;0,AH28/AH18,0)</f>
        <v/>
      </c>
      <c r="AI67" s="19">
        <f>IF(AI18&gt;0,AI28/AI18,0)</f>
        <v/>
      </c>
      <c r="AJ67" s="19">
        <f>IF(AJ18&gt;0,AJ28/AJ18,0)</f>
        <v/>
      </c>
      <c r="AK67" s="19">
        <f>IF(AK18&gt;0,AK28/AK18,0)</f>
        <v/>
      </c>
      <c r="AL67" s="19">
        <f>IF(AL18&gt;0,AL28/AL18,0)</f>
        <v/>
      </c>
      <c r="AN67" s="19">
        <f>N67</f>
        <v/>
      </c>
      <c r="AO67" s="19">
        <f>Z67</f>
        <v/>
      </c>
      <c r="AP67" s="19">
        <f>AL67</f>
        <v/>
      </c>
    </row>
    <row r="68">
      <c r="A68" s="9" t="inlineStr">
        <is>
          <t>Coût variable par abonné</t>
        </is>
      </c>
      <c r="B68" s="4" t="inlineStr">
        <is>
          <t>€ HT</t>
        </is>
      </c>
      <c r="C68" s="19">
        <f>IF(C18&gt;0,C36/C18,0)</f>
        <v/>
      </c>
      <c r="D68" s="19">
        <f>IF(D18&gt;0,D36/D18,0)</f>
        <v/>
      </c>
      <c r="E68" s="19">
        <f>IF(E18&gt;0,E36/E18,0)</f>
        <v/>
      </c>
      <c r="F68" s="19">
        <f>IF(F18&gt;0,F36/F18,0)</f>
        <v/>
      </c>
      <c r="G68" s="19">
        <f>IF(G18&gt;0,G36/G18,0)</f>
        <v/>
      </c>
      <c r="H68" s="19">
        <f>IF(H18&gt;0,H36/H18,0)</f>
        <v/>
      </c>
      <c r="I68" s="19">
        <f>IF(I18&gt;0,I36/I18,0)</f>
        <v/>
      </c>
      <c r="J68" s="19">
        <f>IF(J18&gt;0,J36/J18,0)</f>
        <v/>
      </c>
      <c r="K68" s="19">
        <f>IF(K18&gt;0,K36/K18,0)</f>
        <v/>
      </c>
      <c r="L68" s="19">
        <f>IF(L18&gt;0,L36/L18,0)</f>
        <v/>
      </c>
      <c r="M68" s="19">
        <f>IF(M18&gt;0,M36/M18,0)</f>
        <v/>
      </c>
      <c r="N68" s="19">
        <f>IF(N18&gt;0,N36/N18,0)</f>
        <v/>
      </c>
      <c r="O68" s="19">
        <f>IF(O18&gt;0,O36/O18,0)</f>
        <v/>
      </c>
      <c r="P68" s="19">
        <f>IF(P18&gt;0,P36/P18,0)</f>
        <v/>
      </c>
      <c r="Q68" s="19">
        <f>IF(Q18&gt;0,Q36/Q18,0)</f>
        <v/>
      </c>
      <c r="R68" s="19">
        <f>IF(R18&gt;0,R36/R18,0)</f>
        <v/>
      </c>
      <c r="S68" s="19">
        <f>IF(S18&gt;0,S36/S18,0)</f>
        <v/>
      </c>
      <c r="T68" s="19">
        <f>IF(T18&gt;0,T36/T18,0)</f>
        <v/>
      </c>
      <c r="U68" s="19">
        <f>IF(U18&gt;0,U36/U18,0)</f>
        <v/>
      </c>
      <c r="V68" s="19">
        <f>IF(V18&gt;0,V36/V18,0)</f>
        <v/>
      </c>
      <c r="W68" s="19">
        <f>IF(W18&gt;0,W36/W18,0)</f>
        <v/>
      </c>
      <c r="X68" s="19">
        <f>IF(X18&gt;0,X36/X18,0)</f>
        <v/>
      </c>
      <c r="Y68" s="19">
        <f>IF(Y18&gt;0,Y36/Y18,0)</f>
        <v/>
      </c>
      <c r="Z68" s="19">
        <f>IF(Z18&gt;0,Z36/Z18,0)</f>
        <v/>
      </c>
      <c r="AA68" s="19">
        <f>IF(AA18&gt;0,AA36/AA18,0)</f>
        <v/>
      </c>
      <c r="AB68" s="19">
        <f>IF(AB18&gt;0,AB36/AB18,0)</f>
        <v/>
      </c>
      <c r="AC68" s="19">
        <f>IF(AC18&gt;0,AC36/AC18,0)</f>
        <v/>
      </c>
      <c r="AD68" s="19">
        <f>IF(AD18&gt;0,AD36/AD18,0)</f>
        <v/>
      </c>
      <c r="AE68" s="19">
        <f>IF(AE18&gt;0,AE36/AE18,0)</f>
        <v/>
      </c>
      <c r="AF68" s="19">
        <f>IF(AF18&gt;0,AF36/AF18,0)</f>
        <v/>
      </c>
      <c r="AG68" s="19">
        <f>IF(AG18&gt;0,AG36/AG18,0)</f>
        <v/>
      </c>
      <c r="AH68" s="19">
        <f>IF(AH18&gt;0,AH36/AH18,0)</f>
        <v/>
      </c>
      <c r="AI68" s="19">
        <f>IF(AI18&gt;0,AI36/AI18,0)</f>
        <v/>
      </c>
      <c r="AJ68" s="19">
        <f>IF(AJ18&gt;0,AJ36/AJ18,0)</f>
        <v/>
      </c>
      <c r="AK68" s="19">
        <f>IF(AK18&gt;0,AK36/AK18,0)</f>
        <v/>
      </c>
      <c r="AL68" s="19">
        <f>IF(AL18&gt;0,AL36/AL18,0)</f>
        <v/>
      </c>
      <c r="AN68" s="19">
        <f>N68</f>
        <v/>
      </c>
      <c r="AO68" s="19">
        <f>Z68</f>
        <v/>
      </c>
      <c r="AP68" s="19">
        <f>AL68</f>
        <v/>
      </c>
    </row>
    <row r="69">
      <c r="A69" s="9" t="inlineStr">
        <is>
          <t>Contribution par abonné</t>
        </is>
      </c>
      <c r="B69" s="4" t="inlineStr">
        <is>
          <t>€ HT</t>
        </is>
      </c>
      <c r="C69" s="19">
        <f>IF(C18&gt;0,C37/C18,0)</f>
        <v/>
      </c>
      <c r="D69" s="19">
        <f>IF(D18&gt;0,D37/D18,0)</f>
        <v/>
      </c>
      <c r="E69" s="19">
        <f>IF(E18&gt;0,E37/E18,0)</f>
        <v/>
      </c>
      <c r="F69" s="19">
        <f>IF(F18&gt;0,F37/F18,0)</f>
        <v/>
      </c>
      <c r="G69" s="19">
        <f>IF(G18&gt;0,G37/G18,0)</f>
        <v/>
      </c>
      <c r="H69" s="19">
        <f>IF(H18&gt;0,H37/H18,0)</f>
        <v/>
      </c>
      <c r="I69" s="19">
        <f>IF(I18&gt;0,I37/I18,0)</f>
        <v/>
      </c>
      <c r="J69" s="19">
        <f>IF(J18&gt;0,J37/J18,0)</f>
        <v/>
      </c>
      <c r="K69" s="19">
        <f>IF(K18&gt;0,K37/K18,0)</f>
        <v/>
      </c>
      <c r="L69" s="19">
        <f>IF(L18&gt;0,L37/L18,0)</f>
        <v/>
      </c>
      <c r="M69" s="19">
        <f>IF(M18&gt;0,M37/M18,0)</f>
        <v/>
      </c>
      <c r="N69" s="19">
        <f>IF(N18&gt;0,N37/N18,0)</f>
        <v/>
      </c>
      <c r="O69" s="19">
        <f>IF(O18&gt;0,O37/O18,0)</f>
        <v/>
      </c>
      <c r="P69" s="19">
        <f>IF(P18&gt;0,P37/P18,0)</f>
        <v/>
      </c>
      <c r="Q69" s="19">
        <f>IF(Q18&gt;0,Q37/Q18,0)</f>
        <v/>
      </c>
      <c r="R69" s="19">
        <f>IF(R18&gt;0,R37/R18,0)</f>
        <v/>
      </c>
      <c r="S69" s="19">
        <f>IF(S18&gt;0,S37/S18,0)</f>
        <v/>
      </c>
      <c r="T69" s="19">
        <f>IF(T18&gt;0,T37/T18,0)</f>
        <v/>
      </c>
      <c r="U69" s="19">
        <f>IF(U18&gt;0,U37/U18,0)</f>
        <v/>
      </c>
      <c r="V69" s="19">
        <f>IF(V18&gt;0,V37/V18,0)</f>
        <v/>
      </c>
      <c r="W69" s="19">
        <f>IF(W18&gt;0,W37/W18,0)</f>
        <v/>
      </c>
      <c r="X69" s="19">
        <f>IF(X18&gt;0,X37/X18,0)</f>
        <v/>
      </c>
      <c r="Y69" s="19">
        <f>IF(Y18&gt;0,Y37/Y18,0)</f>
        <v/>
      </c>
      <c r="Z69" s="19">
        <f>IF(Z18&gt;0,Z37/Z18,0)</f>
        <v/>
      </c>
      <c r="AA69" s="19">
        <f>IF(AA18&gt;0,AA37/AA18,0)</f>
        <v/>
      </c>
      <c r="AB69" s="19">
        <f>IF(AB18&gt;0,AB37/AB18,0)</f>
        <v/>
      </c>
      <c r="AC69" s="19">
        <f>IF(AC18&gt;0,AC37/AC18,0)</f>
        <v/>
      </c>
      <c r="AD69" s="19">
        <f>IF(AD18&gt;0,AD37/AD18,0)</f>
        <v/>
      </c>
      <c r="AE69" s="19">
        <f>IF(AE18&gt;0,AE37/AE18,0)</f>
        <v/>
      </c>
      <c r="AF69" s="19">
        <f>IF(AF18&gt;0,AF37/AF18,0)</f>
        <v/>
      </c>
      <c r="AG69" s="19">
        <f>IF(AG18&gt;0,AG37/AG18,0)</f>
        <v/>
      </c>
      <c r="AH69" s="19">
        <f>IF(AH18&gt;0,AH37/AH18,0)</f>
        <v/>
      </c>
      <c r="AI69" s="19">
        <f>IF(AI18&gt;0,AI37/AI18,0)</f>
        <v/>
      </c>
      <c r="AJ69" s="19">
        <f>IF(AJ18&gt;0,AJ37/AJ18,0)</f>
        <v/>
      </c>
      <c r="AK69" s="19">
        <f>IF(AK18&gt;0,AK37/AK18,0)</f>
        <v/>
      </c>
      <c r="AL69" s="19">
        <f>IF(AL18&gt;0,AL37/AL18,0)</f>
        <v/>
      </c>
      <c r="AN69" s="19">
        <f>N69</f>
        <v/>
      </c>
      <c r="AO69" s="19">
        <f>Z69</f>
        <v/>
      </c>
      <c r="AP69" s="19">
        <f>AL69</f>
        <v/>
      </c>
    </row>
    <row r="70">
      <c r="A70" s="9" t="inlineStr">
        <is>
          <t>Marge variable (% du CA HT)</t>
        </is>
      </c>
      <c r="B70" s="4" t="inlineStr">
        <is>
          <t>%</t>
        </is>
      </c>
      <c r="C70" s="17">
        <f>IF(C28&gt;0,C37/C28,0)</f>
        <v/>
      </c>
      <c r="D70" s="17">
        <f>IF(D28&gt;0,D37/D28,0)</f>
        <v/>
      </c>
      <c r="E70" s="17">
        <f>IF(E28&gt;0,E37/E28,0)</f>
        <v/>
      </c>
      <c r="F70" s="17">
        <f>IF(F28&gt;0,F37/F28,0)</f>
        <v/>
      </c>
      <c r="G70" s="17">
        <f>IF(G28&gt;0,G37/G28,0)</f>
        <v/>
      </c>
      <c r="H70" s="17">
        <f>IF(H28&gt;0,H37/H28,0)</f>
        <v/>
      </c>
      <c r="I70" s="17">
        <f>IF(I28&gt;0,I37/I28,0)</f>
        <v/>
      </c>
      <c r="J70" s="17">
        <f>IF(J28&gt;0,J37/J28,0)</f>
        <v/>
      </c>
      <c r="K70" s="17">
        <f>IF(K28&gt;0,K37/K28,0)</f>
        <v/>
      </c>
      <c r="L70" s="17">
        <f>IF(L28&gt;0,L37/L28,0)</f>
        <v/>
      </c>
      <c r="M70" s="17">
        <f>IF(M28&gt;0,M37/M28,0)</f>
        <v/>
      </c>
      <c r="N70" s="17">
        <f>IF(N28&gt;0,N37/N28,0)</f>
        <v/>
      </c>
      <c r="O70" s="17">
        <f>IF(O28&gt;0,O37/O28,0)</f>
        <v/>
      </c>
      <c r="P70" s="17">
        <f>IF(P28&gt;0,P37/P28,0)</f>
        <v/>
      </c>
      <c r="Q70" s="17">
        <f>IF(Q28&gt;0,Q37/Q28,0)</f>
        <v/>
      </c>
      <c r="R70" s="17">
        <f>IF(R28&gt;0,R37/R28,0)</f>
        <v/>
      </c>
      <c r="S70" s="17">
        <f>IF(S28&gt;0,S37/S28,0)</f>
        <v/>
      </c>
      <c r="T70" s="17">
        <f>IF(T28&gt;0,T37/T28,0)</f>
        <v/>
      </c>
      <c r="U70" s="17">
        <f>IF(U28&gt;0,U37/U28,0)</f>
        <v/>
      </c>
      <c r="V70" s="17">
        <f>IF(V28&gt;0,V37/V28,0)</f>
        <v/>
      </c>
      <c r="W70" s="17">
        <f>IF(W28&gt;0,W37/W28,0)</f>
        <v/>
      </c>
      <c r="X70" s="17">
        <f>IF(X28&gt;0,X37/X28,0)</f>
        <v/>
      </c>
      <c r="Y70" s="17">
        <f>IF(Y28&gt;0,Y37/Y28,0)</f>
        <v/>
      </c>
      <c r="Z70" s="17">
        <f>IF(Z28&gt;0,Z37/Z28,0)</f>
        <v/>
      </c>
      <c r="AA70" s="17">
        <f>IF(AA28&gt;0,AA37/AA28,0)</f>
        <v/>
      </c>
      <c r="AB70" s="17">
        <f>IF(AB28&gt;0,AB37/AB28,0)</f>
        <v/>
      </c>
      <c r="AC70" s="17">
        <f>IF(AC28&gt;0,AC37/AC28,0)</f>
        <v/>
      </c>
      <c r="AD70" s="17">
        <f>IF(AD28&gt;0,AD37/AD28,0)</f>
        <v/>
      </c>
      <c r="AE70" s="17">
        <f>IF(AE28&gt;0,AE37/AE28,0)</f>
        <v/>
      </c>
      <c r="AF70" s="17">
        <f>IF(AF28&gt;0,AF37/AF28,0)</f>
        <v/>
      </c>
      <c r="AG70" s="17">
        <f>IF(AG28&gt;0,AG37/AG28,0)</f>
        <v/>
      </c>
      <c r="AH70" s="17">
        <f>IF(AH28&gt;0,AH37/AH28,0)</f>
        <v/>
      </c>
      <c r="AI70" s="17">
        <f>IF(AI28&gt;0,AI37/AI28,0)</f>
        <v/>
      </c>
      <c r="AJ70" s="17">
        <f>IF(AJ28&gt;0,AJ37/AJ28,0)</f>
        <v/>
      </c>
      <c r="AK70" s="17">
        <f>IF(AK28&gt;0,AK37/AK28,0)</f>
        <v/>
      </c>
      <c r="AL70" s="17">
        <f>IF(AL28&gt;0,AL37/AL28,0)</f>
        <v/>
      </c>
      <c r="AN70" s="17">
        <f>N70</f>
        <v/>
      </c>
      <c r="AO70" s="17">
        <f>Z70</f>
        <v/>
      </c>
      <c r="AP70" s="17">
        <f>AL70</f>
        <v/>
      </c>
    </row>
    <row r="71">
      <c r="A71" s="9" t="inlineStr">
        <is>
          <t>CAC effectif</t>
        </is>
      </c>
      <c r="B71" s="4" t="inlineStr">
        <is>
          <t>€</t>
        </is>
      </c>
      <c r="C71" s="15">
        <f>IF(C14&gt;0,C39/C14,0)</f>
        <v/>
      </c>
      <c r="D71" s="15">
        <f>IF(D14&gt;0,D39/D14,0)</f>
        <v/>
      </c>
      <c r="E71" s="15">
        <f>IF(E14&gt;0,E39/E14,0)</f>
        <v/>
      </c>
      <c r="F71" s="15">
        <f>IF(F14&gt;0,F39/F14,0)</f>
        <v/>
      </c>
      <c r="G71" s="15">
        <f>IF(G14&gt;0,G39/G14,0)</f>
        <v/>
      </c>
      <c r="H71" s="15">
        <f>IF(H14&gt;0,H39/H14,0)</f>
        <v/>
      </c>
      <c r="I71" s="15">
        <f>IF(I14&gt;0,I39/I14,0)</f>
        <v/>
      </c>
      <c r="J71" s="15">
        <f>IF(J14&gt;0,J39/J14,0)</f>
        <v/>
      </c>
      <c r="K71" s="15">
        <f>IF(K14&gt;0,K39/K14,0)</f>
        <v/>
      </c>
      <c r="L71" s="15">
        <f>IF(L14&gt;0,L39/L14,0)</f>
        <v/>
      </c>
      <c r="M71" s="15">
        <f>IF(M14&gt;0,M39/M14,0)</f>
        <v/>
      </c>
      <c r="N71" s="15">
        <f>IF(N14&gt;0,N39/N14,0)</f>
        <v/>
      </c>
      <c r="O71" s="15">
        <f>IF(O14&gt;0,O39/O14,0)</f>
        <v/>
      </c>
      <c r="P71" s="15">
        <f>IF(P14&gt;0,P39/P14,0)</f>
        <v/>
      </c>
      <c r="Q71" s="15">
        <f>IF(Q14&gt;0,Q39/Q14,0)</f>
        <v/>
      </c>
      <c r="R71" s="15">
        <f>IF(R14&gt;0,R39/R14,0)</f>
        <v/>
      </c>
      <c r="S71" s="15">
        <f>IF(S14&gt;0,S39/S14,0)</f>
        <v/>
      </c>
      <c r="T71" s="15">
        <f>IF(T14&gt;0,T39/T14,0)</f>
        <v/>
      </c>
      <c r="U71" s="15">
        <f>IF(U14&gt;0,U39/U14,0)</f>
        <v/>
      </c>
      <c r="V71" s="15">
        <f>IF(V14&gt;0,V39/V14,0)</f>
        <v/>
      </c>
      <c r="W71" s="15">
        <f>IF(W14&gt;0,W39/W14,0)</f>
        <v/>
      </c>
      <c r="X71" s="15">
        <f>IF(X14&gt;0,X39/X14,0)</f>
        <v/>
      </c>
      <c r="Y71" s="15">
        <f>IF(Y14&gt;0,Y39/Y14,0)</f>
        <v/>
      </c>
      <c r="Z71" s="15">
        <f>IF(Z14&gt;0,Z39/Z14,0)</f>
        <v/>
      </c>
      <c r="AA71" s="15">
        <f>IF(AA14&gt;0,AA39/AA14,0)</f>
        <v/>
      </c>
      <c r="AB71" s="15">
        <f>IF(AB14&gt;0,AB39/AB14,0)</f>
        <v/>
      </c>
      <c r="AC71" s="15">
        <f>IF(AC14&gt;0,AC39/AC14,0)</f>
        <v/>
      </c>
      <c r="AD71" s="15">
        <f>IF(AD14&gt;0,AD39/AD14,0)</f>
        <v/>
      </c>
      <c r="AE71" s="15">
        <f>IF(AE14&gt;0,AE39/AE14,0)</f>
        <v/>
      </c>
      <c r="AF71" s="15">
        <f>IF(AF14&gt;0,AF39/AF14,0)</f>
        <v/>
      </c>
      <c r="AG71" s="15">
        <f>IF(AG14&gt;0,AG39/AG14,0)</f>
        <v/>
      </c>
      <c r="AH71" s="15">
        <f>IF(AH14&gt;0,AH39/AH14,0)</f>
        <v/>
      </c>
      <c r="AI71" s="15">
        <f>IF(AI14&gt;0,AI39/AI14,0)</f>
        <v/>
      </c>
      <c r="AJ71" s="15">
        <f>IF(AJ14&gt;0,AJ39/AJ14,0)</f>
        <v/>
      </c>
      <c r="AK71" s="15">
        <f>IF(AK14&gt;0,AK39/AK14,0)</f>
        <v/>
      </c>
      <c r="AL71" s="15">
        <f>IF(AL14&gt;0,AL39/AL14,0)</f>
        <v/>
      </c>
      <c r="AN71" s="15">
        <f>N71</f>
        <v/>
      </c>
      <c r="AO71" s="15">
        <f>Z71</f>
        <v/>
      </c>
      <c r="AP71" s="15">
        <f>AL71</f>
        <v/>
      </c>
    </row>
    <row r="72">
      <c r="A72" s="9" t="inlineStr">
        <is>
          <t>Payback du CAC (mois)</t>
        </is>
      </c>
      <c r="B72" s="4" t="inlineStr">
        <is>
          <t>mois</t>
        </is>
      </c>
      <c r="C72" s="38">
        <f>IF(C69&gt;0,Hypothèses!$D$23*$E$4/C69,0)</f>
        <v/>
      </c>
      <c r="D72" s="38">
        <f>IF(D69&gt;0,Hypothèses!$D$23*$E$4/D69,0)</f>
        <v/>
      </c>
      <c r="E72" s="38">
        <f>IF(E69&gt;0,Hypothèses!$D$23*$E$4/E69,0)</f>
        <v/>
      </c>
      <c r="F72" s="38">
        <f>IF(F69&gt;0,Hypothèses!$D$23*$E$4/F69,0)</f>
        <v/>
      </c>
      <c r="G72" s="38">
        <f>IF(G69&gt;0,Hypothèses!$D$23*$E$4/G69,0)</f>
        <v/>
      </c>
      <c r="H72" s="38">
        <f>IF(H69&gt;0,Hypothèses!$D$23*$E$4/H69,0)</f>
        <v/>
      </c>
      <c r="I72" s="38">
        <f>IF(I69&gt;0,Hypothèses!$D$23*$E$4/I69,0)</f>
        <v/>
      </c>
      <c r="J72" s="38">
        <f>IF(J69&gt;0,Hypothèses!$D$23*$E$4/J69,0)</f>
        <v/>
      </c>
      <c r="K72" s="38">
        <f>IF(K69&gt;0,Hypothèses!$D$23*$E$4/K69,0)</f>
        <v/>
      </c>
      <c r="L72" s="38">
        <f>IF(L69&gt;0,Hypothèses!$D$23*$E$4/L69,0)</f>
        <v/>
      </c>
      <c r="M72" s="38">
        <f>IF(M69&gt;0,Hypothèses!$D$23*$E$4/M69,0)</f>
        <v/>
      </c>
      <c r="N72" s="38">
        <f>IF(N69&gt;0,Hypothèses!$D$23*$E$4/N69,0)</f>
        <v/>
      </c>
      <c r="O72" s="38">
        <f>IF(O69&gt;0,Hypothèses!$D$23*$E$4/O69,0)</f>
        <v/>
      </c>
      <c r="P72" s="38">
        <f>IF(P69&gt;0,Hypothèses!$D$23*$E$4/P69,0)</f>
        <v/>
      </c>
      <c r="Q72" s="38">
        <f>IF(Q69&gt;0,Hypothèses!$D$23*$E$4/Q69,0)</f>
        <v/>
      </c>
      <c r="R72" s="38">
        <f>IF(R69&gt;0,Hypothèses!$D$23*$E$4/R69,0)</f>
        <v/>
      </c>
      <c r="S72" s="38">
        <f>IF(S69&gt;0,Hypothèses!$D$23*$E$4/S69,0)</f>
        <v/>
      </c>
      <c r="T72" s="38">
        <f>IF(T69&gt;0,Hypothèses!$D$23*$E$4/T69,0)</f>
        <v/>
      </c>
      <c r="U72" s="38">
        <f>IF(U69&gt;0,Hypothèses!$D$23*$E$4/U69,0)</f>
        <v/>
      </c>
      <c r="V72" s="38">
        <f>IF(V69&gt;0,Hypothèses!$D$23*$E$4/V69,0)</f>
        <v/>
      </c>
      <c r="W72" s="38">
        <f>IF(W69&gt;0,Hypothèses!$D$23*$E$4/W69,0)</f>
        <v/>
      </c>
      <c r="X72" s="38">
        <f>IF(X69&gt;0,Hypothèses!$D$23*$E$4/X69,0)</f>
        <v/>
      </c>
      <c r="Y72" s="38">
        <f>IF(Y69&gt;0,Hypothèses!$D$23*$E$4/Y69,0)</f>
        <v/>
      </c>
      <c r="Z72" s="38">
        <f>IF(Z69&gt;0,Hypothèses!$D$23*$E$4/Z69,0)</f>
        <v/>
      </c>
      <c r="AA72" s="38">
        <f>IF(AA69&gt;0,Hypothèses!$D$23*$E$4/AA69,0)</f>
        <v/>
      </c>
      <c r="AB72" s="38">
        <f>IF(AB69&gt;0,Hypothèses!$D$23*$E$4/AB69,0)</f>
        <v/>
      </c>
      <c r="AC72" s="38">
        <f>IF(AC69&gt;0,Hypothèses!$D$23*$E$4/AC69,0)</f>
        <v/>
      </c>
      <c r="AD72" s="38">
        <f>IF(AD69&gt;0,Hypothèses!$D$23*$E$4/AD69,0)</f>
        <v/>
      </c>
      <c r="AE72" s="38">
        <f>IF(AE69&gt;0,Hypothèses!$D$23*$E$4/AE69,0)</f>
        <v/>
      </c>
      <c r="AF72" s="38">
        <f>IF(AF69&gt;0,Hypothèses!$D$23*$E$4/AF69,0)</f>
        <v/>
      </c>
      <c r="AG72" s="38">
        <f>IF(AG69&gt;0,Hypothèses!$D$23*$E$4/AG69,0)</f>
        <v/>
      </c>
      <c r="AH72" s="38">
        <f>IF(AH69&gt;0,Hypothèses!$D$23*$E$4/AH69,0)</f>
        <v/>
      </c>
      <c r="AI72" s="38">
        <f>IF(AI69&gt;0,Hypothèses!$D$23*$E$4/AI69,0)</f>
        <v/>
      </c>
      <c r="AJ72" s="38">
        <f>IF(AJ69&gt;0,Hypothèses!$D$23*$E$4/AJ69,0)</f>
        <v/>
      </c>
      <c r="AK72" s="38">
        <f>IF(AK69&gt;0,Hypothèses!$D$23*$E$4/AK69,0)</f>
        <v/>
      </c>
      <c r="AL72" s="38">
        <f>IF(AL69&gt;0,Hypothèses!$D$23*$E$4/AL69,0)</f>
        <v/>
      </c>
      <c r="AN72" s="38">
        <f>N72</f>
        <v/>
      </c>
      <c r="AO72" s="38">
        <f>Z72</f>
        <v/>
      </c>
      <c r="AP72" s="38">
        <f>AL72</f>
        <v/>
      </c>
    </row>
    <row r="73">
      <c r="A73" s="9" t="inlineStr">
        <is>
          <t>LTV contributive simplifiée (contribution / churn)</t>
        </is>
      </c>
      <c r="B73" s="4" t="inlineStr">
        <is>
          <t>€ HT</t>
        </is>
      </c>
      <c r="C73" s="15">
        <f>IF(Hypothèses!$D$26*$D$4&gt;0,C69/(Hypothèses!$D$26*$D$4),0)</f>
        <v/>
      </c>
      <c r="D73" s="15">
        <f>IF(Hypothèses!$D$26*$D$4&gt;0,D69/(Hypothèses!$D$26*$D$4),0)</f>
        <v/>
      </c>
      <c r="E73" s="15">
        <f>IF(Hypothèses!$D$26*$D$4&gt;0,E69/(Hypothèses!$D$26*$D$4),0)</f>
        <v/>
      </c>
      <c r="F73" s="15">
        <f>IF(Hypothèses!$D$26*$D$4&gt;0,F69/(Hypothèses!$D$26*$D$4),0)</f>
        <v/>
      </c>
      <c r="G73" s="15">
        <f>IF(Hypothèses!$D$26*$D$4&gt;0,G69/(Hypothèses!$D$26*$D$4),0)</f>
        <v/>
      </c>
      <c r="H73" s="15">
        <f>IF(Hypothèses!$D$26*$D$4&gt;0,H69/(Hypothèses!$D$26*$D$4),0)</f>
        <v/>
      </c>
      <c r="I73" s="15">
        <f>IF(Hypothèses!$D$26*$D$4&gt;0,I69/(Hypothèses!$D$26*$D$4),0)</f>
        <v/>
      </c>
      <c r="J73" s="15">
        <f>IF(Hypothèses!$D$26*$D$4&gt;0,J69/(Hypothèses!$D$26*$D$4),0)</f>
        <v/>
      </c>
      <c r="K73" s="15">
        <f>IF(Hypothèses!$D$26*$D$4&gt;0,K69/(Hypothèses!$D$26*$D$4),0)</f>
        <v/>
      </c>
      <c r="L73" s="15">
        <f>IF(Hypothèses!$D$26*$D$4&gt;0,L69/(Hypothèses!$D$26*$D$4),0)</f>
        <v/>
      </c>
      <c r="M73" s="15">
        <f>IF(Hypothèses!$D$26*$D$4&gt;0,M69/(Hypothèses!$D$26*$D$4),0)</f>
        <v/>
      </c>
      <c r="N73" s="15">
        <f>IF(Hypothèses!$D$26*$D$4&gt;0,N69/(Hypothèses!$D$26*$D$4),0)</f>
        <v/>
      </c>
      <c r="O73" s="15">
        <f>IF(Hypothèses!$D$26*$D$4&gt;0,O69/(Hypothèses!$D$26*$D$4),0)</f>
        <v/>
      </c>
      <c r="P73" s="15">
        <f>IF(Hypothèses!$D$26*$D$4&gt;0,P69/(Hypothèses!$D$26*$D$4),0)</f>
        <v/>
      </c>
      <c r="Q73" s="15">
        <f>IF(Hypothèses!$D$26*$D$4&gt;0,Q69/(Hypothèses!$D$26*$D$4),0)</f>
        <v/>
      </c>
      <c r="R73" s="15">
        <f>IF(Hypothèses!$D$26*$D$4&gt;0,R69/(Hypothèses!$D$26*$D$4),0)</f>
        <v/>
      </c>
      <c r="S73" s="15">
        <f>IF(Hypothèses!$D$26*$D$4&gt;0,S69/(Hypothèses!$D$26*$D$4),0)</f>
        <v/>
      </c>
      <c r="T73" s="15">
        <f>IF(Hypothèses!$D$26*$D$4&gt;0,T69/(Hypothèses!$D$26*$D$4),0)</f>
        <v/>
      </c>
      <c r="U73" s="15">
        <f>IF(Hypothèses!$D$26*$D$4&gt;0,U69/(Hypothèses!$D$26*$D$4),0)</f>
        <v/>
      </c>
      <c r="V73" s="15">
        <f>IF(Hypothèses!$D$26*$D$4&gt;0,V69/(Hypothèses!$D$26*$D$4),0)</f>
        <v/>
      </c>
      <c r="W73" s="15">
        <f>IF(Hypothèses!$D$26*$D$4&gt;0,W69/(Hypothèses!$D$26*$D$4),0)</f>
        <v/>
      </c>
      <c r="X73" s="15">
        <f>IF(Hypothèses!$D$26*$D$4&gt;0,X69/(Hypothèses!$D$26*$D$4),0)</f>
        <v/>
      </c>
      <c r="Y73" s="15">
        <f>IF(Hypothèses!$D$26*$D$4&gt;0,Y69/(Hypothèses!$D$26*$D$4),0)</f>
        <v/>
      </c>
      <c r="Z73" s="15">
        <f>IF(Hypothèses!$D$26*$D$4&gt;0,Z69/(Hypothèses!$D$26*$D$4),0)</f>
        <v/>
      </c>
      <c r="AA73" s="15">
        <f>IF(Hypothèses!$D$26*$D$4&gt;0,AA69/(Hypothèses!$D$26*$D$4),0)</f>
        <v/>
      </c>
      <c r="AB73" s="15">
        <f>IF(Hypothèses!$D$26*$D$4&gt;0,AB69/(Hypothèses!$D$26*$D$4),0)</f>
        <v/>
      </c>
      <c r="AC73" s="15">
        <f>IF(Hypothèses!$D$26*$D$4&gt;0,AC69/(Hypothèses!$D$26*$D$4),0)</f>
        <v/>
      </c>
      <c r="AD73" s="15">
        <f>IF(Hypothèses!$D$26*$D$4&gt;0,AD69/(Hypothèses!$D$26*$D$4),0)</f>
        <v/>
      </c>
      <c r="AE73" s="15">
        <f>IF(Hypothèses!$D$26*$D$4&gt;0,AE69/(Hypothèses!$D$26*$D$4),0)</f>
        <v/>
      </c>
      <c r="AF73" s="15">
        <f>IF(Hypothèses!$D$26*$D$4&gt;0,AF69/(Hypothèses!$D$26*$D$4),0)</f>
        <v/>
      </c>
      <c r="AG73" s="15">
        <f>IF(Hypothèses!$D$26*$D$4&gt;0,AG69/(Hypothèses!$D$26*$D$4),0)</f>
        <v/>
      </c>
      <c r="AH73" s="15">
        <f>IF(Hypothèses!$D$26*$D$4&gt;0,AH69/(Hypothèses!$D$26*$D$4),0)</f>
        <v/>
      </c>
      <c r="AI73" s="15">
        <f>IF(Hypothèses!$D$26*$D$4&gt;0,AI69/(Hypothèses!$D$26*$D$4),0)</f>
        <v/>
      </c>
      <c r="AJ73" s="15">
        <f>IF(Hypothèses!$D$26*$D$4&gt;0,AJ69/(Hypothèses!$D$26*$D$4),0)</f>
        <v/>
      </c>
      <c r="AK73" s="15">
        <f>IF(Hypothèses!$D$26*$D$4&gt;0,AK69/(Hypothèses!$D$26*$D$4),0)</f>
        <v/>
      </c>
      <c r="AL73" s="15">
        <f>IF(Hypothèses!$D$26*$D$4&gt;0,AL69/(Hypothèses!$D$26*$D$4),0)</f>
        <v/>
      </c>
      <c r="AN73" s="15">
        <f>N73</f>
        <v/>
      </c>
      <c r="AO73" s="15">
        <f>Z73</f>
        <v/>
      </c>
      <c r="AP73" s="15">
        <f>AL73</f>
        <v/>
      </c>
    </row>
    <row r="74">
      <c r="A74" s="9" t="inlineStr">
        <is>
          <t>LTV / CAC</t>
        </is>
      </c>
      <c r="B74" s="4" t="inlineStr">
        <is>
          <t>x</t>
        </is>
      </c>
      <c r="C74" s="41">
        <f>IF(Hypothèses!$D$23*$E$4&gt;0,C73/(Hypothèses!$D$23*$E$4),0)</f>
        <v/>
      </c>
      <c r="D74" s="41">
        <f>IF(Hypothèses!$D$23*$E$4&gt;0,D73/(Hypothèses!$D$23*$E$4),0)</f>
        <v/>
      </c>
      <c r="E74" s="41">
        <f>IF(Hypothèses!$D$23*$E$4&gt;0,E73/(Hypothèses!$D$23*$E$4),0)</f>
        <v/>
      </c>
      <c r="F74" s="41">
        <f>IF(Hypothèses!$D$23*$E$4&gt;0,F73/(Hypothèses!$D$23*$E$4),0)</f>
        <v/>
      </c>
      <c r="G74" s="41">
        <f>IF(Hypothèses!$D$23*$E$4&gt;0,G73/(Hypothèses!$D$23*$E$4),0)</f>
        <v/>
      </c>
      <c r="H74" s="41">
        <f>IF(Hypothèses!$D$23*$E$4&gt;0,H73/(Hypothèses!$D$23*$E$4),0)</f>
        <v/>
      </c>
      <c r="I74" s="41">
        <f>IF(Hypothèses!$D$23*$E$4&gt;0,I73/(Hypothèses!$D$23*$E$4),0)</f>
        <v/>
      </c>
      <c r="J74" s="41">
        <f>IF(Hypothèses!$D$23*$E$4&gt;0,J73/(Hypothèses!$D$23*$E$4),0)</f>
        <v/>
      </c>
      <c r="K74" s="41">
        <f>IF(Hypothèses!$D$23*$E$4&gt;0,K73/(Hypothèses!$D$23*$E$4),0)</f>
        <v/>
      </c>
      <c r="L74" s="41">
        <f>IF(Hypothèses!$D$23*$E$4&gt;0,L73/(Hypothèses!$D$23*$E$4),0)</f>
        <v/>
      </c>
      <c r="M74" s="41">
        <f>IF(Hypothèses!$D$23*$E$4&gt;0,M73/(Hypothèses!$D$23*$E$4),0)</f>
        <v/>
      </c>
      <c r="N74" s="41">
        <f>IF(Hypothèses!$D$23*$E$4&gt;0,N73/(Hypothèses!$D$23*$E$4),0)</f>
        <v/>
      </c>
      <c r="O74" s="41">
        <f>IF(Hypothèses!$D$23*$E$4&gt;0,O73/(Hypothèses!$D$23*$E$4),0)</f>
        <v/>
      </c>
      <c r="P74" s="41">
        <f>IF(Hypothèses!$D$23*$E$4&gt;0,P73/(Hypothèses!$D$23*$E$4),0)</f>
        <v/>
      </c>
      <c r="Q74" s="41">
        <f>IF(Hypothèses!$D$23*$E$4&gt;0,Q73/(Hypothèses!$D$23*$E$4),0)</f>
        <v/>
      </c>
      <c r="R74" s="41">
        <f>IF(Hypothèses!$D$23*$E$4&gt;0,R73/(Hypothèses!$D$23*$E$4),0)</f>
        <v/>
      </c>
      <c r="S74" s="41">
        <f>IF(Hypothèses!$D$23*$E$4&gt;0,S73/(Hypothèses!$D$23*$E$4),0)</f>
        <v/>
      </c>
      <c r="T74" s="41">
        <f>IF(Hypothèses!$D$23*$E$4&gt;0,T73/(Hypothèses!$D$23*$E$4),0)</f>
        <v/>
      </c>
      <c r="U74" s="41">
        <f>IF(Hypothèses!$D$23*$E$4&gt;0,U73/(Hypothèses!$D$23*$E$4),0)</f>
        <v/>
      </c>
      <c r="V74" s="41">
        <f>IF(Hypothèses!$D$23*$E$4&gt;0,V73/(Hypothèses!$D$23*$E$4),0)</f>
        <v/>
      </c>
      <c r="W74" s="41">
        <f>IF(Hypothèses!$D$23*$E$4&gt;0,W73/(Hypothèses!$D$23*$E$4),0)</f>
        <v/>
      </c>
      <c r="X74" s="41">
        <f>IF(Hypothèses!$D$23*$E$4&gt;0,X73/(Hypothèses!$D$23*$E$4),0)</f>
        <v/>
      </c>
      <c r="Y74" s="41">
        <f>IF(Hypothèses!$D$23*$E$4&gt;0,Y73/(Hypothèses!$D$23*$E$4),0)</f>
        <v/>
      </c>
      <c r="Z74" s="41">
        <f>IF(Hypothèses!$D$23*$E$4&gt;0,Z73/(Hypothèses!$D$23*$E$4),0)</f>
        <v/>
      </c>
      <c r="AA74" s="41">
        <f>IF(Hypothèses!$D$23*$E$4&gt;0,AA73/(Hypothèses!$D$23*$E$4),0)</f>
        <v/>
      </c>
      <c r="AB74" s="41">
        <f>IF(Hypothèses!$D$23*$E$4&gt;0,AB73/(Hypothèses!$D$23*$E$4),0)</f>
        <v/>
      </c>
      <c r="AC74" s="41">
        <f>IF(Hypothèses!$D$23*$E$4&gt;0,AC73/(Hypothèses!$D$23*$E$4),0)</f>
        <v/>
      </c>
      <c r="AD74" s="41">
        <f>IF(Hypothèses!$D$23*$E$4&gt;0,AD73/(Hypothèses!$D$23*$E$4),0)</f>
        <v/>
      </c>
      <c r="AE74" s="41">
        <f>IF(Hypothèses!$D$23*$E$4&gt;0,AE73/(Hypothèses!$D$23*$E$4),0)</f>
        <v/>
      </c>
      <c r="AF74" s="41">
        <f>IF(Hypothèses!$D$23*$E$4&gt;0,AF73/(Hypothèses!$D$23*$E$4),0)</f>
        <v/>
      </c>
      <c r="AG74" s="41">
        <f>IF(Hypothèses!$D$23*$E$4&gt;0,AG73/(Hypothèses!$D$23*$E$4),0)</f>
        <v/>
      </c>
      <c r="AH74" s="41">
        <f>IF(Hypothèses!$D$23*$E$4&gt;0,AH73/(Hypothèses!$D$23*$E$4),0)</f>
        <v/>
      </c>
      <c r="AI74" s="41">
        <f>IF(Hypothèses!$D$23*$E$4&gt;0,AI73/(Hypothèses!$D$23*$E$4),0)</f>
        <v/>
      </c>
      <c r="AJ74" s="41">
        <f>IF(Hypothèses!$D$23*$E$4&gt;0,AJ73/(Hypothèses!$D$23*$E$4),0)</f>
        <v/>
      </c>
      <c r="AK74" s="41">
        <f>IF(Hypothèses!$D$23*$E$4&gt;0,AK73/(Hypothèses!$D$23*$E$4),0)</f>
        <v/>
      </c>
      <c r="AL74" s="41">
        <f>IF(Hypothèses!$D$23*$E$4&gt;0,AL73/(Hypothèses!$D$23*$E$4),0)</f>
        <v/>
      </c>
      <c r="AN74" s="41">
        <f>N74</f>
        <v/>
      </c>
      <c r="AO74" s="41">
        <f>Z74</f>
        <v/>
      </c>
      <c r="AP74" s="41">
        <f>AL74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4DDD2"/>
    <outlinePr summaryBelow="1" summaryRight="1"/>
    <pageSetUpPr/>
  </sheetPr>
  <dimension ref="A1:AP7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40" max="40"/>
    <col width="13" customWidth="1" min="41" max="41"/>
    <col width="13" customWidth="1" min="42" max="42"/>
  </cols>
  <sheetData>
    <row r="1">
      <c r="A1" s="1" t="inlineStr">
        <is>
          <t>Sensibilité S02 : Churn 2 % (copie du Central)</t>
        </is>
      </c>
    </row>
    <row r="2">
      <c r="A2" s="4" t="inlineStr">
        <is>
          <t>Flux en € HT sauf mention TTC. Formules vivantes ; ne saisir que dans l'onglet Hypothèses et la ligne de chocs ci-dessous.</t>
        </is>
      </c>
    </row>
    <row r="3">
      <c r="A3" s="2" t="inlineStr">
        <is>
          <t>Chocs de sensibilité (1 = aucun ; retard en mois)</t>
        </is>
      </c>
      <c r="C3" s="33" t="inlineStr">
        <is>
          <t>Prix ×</t>
        </is>
      </c>
      <c r="D3" s="33" t="inlineStr">
        <is>
          <t>Churn ×</t>
        </is>
      </c>
      <c r="E3" s="33" t="inlineStr">
        <is>
          <t>CAC ×</t>
        </is>
      </c>
      <c r="F3" s="33" t="inlineStr">
        <is>
          <t>Coût IA ×</t>
        </is>
      </c>
      <c r="G3" s="33" t="inlineStr">
        <is>
          <t>Coûts fixes ×</t>
        </is>
      </c>
      <c r="H3" s="33" t="inlineStr">
        <is>
          <t>Retard lancement (mois)</t>
        </is>
      </c>
    </row>
    <row r="4">
      <c r="C4" s="34" t="n">
        <v>1</v>
      </c>
      <c r="D4" s="34" t="n">
        <v>0.6667</v>
      </c>
      <c r="E4" s="34" t="n">
        <v>1</v>
      </c>
      <c r="F4" s="34" t="n">
        <v>1</v>
      </c>
      <c r="G4" s="34" t="n">
        <v>1</v>
      </c>
      <c r="H4" s="35" t="n">
        <v>0</v>
      </c>
    </row>
    <row r="5">
      <c r="A5" s="2" t="inlineStr">
        <is>
          <t>Mois de lancement effectif</t>
        </is>
      </c>
      <c r="B5" s="22">
        <f>Hypothèses!$D$10+$H$4</f>
        <v/>
      </c>
    </row>
    <row r="6">
      <c r="A6" s="28" t="inlineStr">
        <is>
          <t>Ligne</t>
        </is>
      </c>
      <c r="B6" s="28" t="inlineStr">
        <is>
          <t>Unité</t>
        </is>
      </c>
      <c r="C6" s="36" t="inlineStr">
        <is>
          <t>M1</t>
        </is>
      </c>
      <c r="D6" s="36" t="inlineStr">
        <is>
          <t>M2</t>
        </is>
      </c>
      <c r="E6" s="36" t="inlineStr">
        <is>
          <t>M3</t>
        </is>
      </c>
      <c r="F6" s="36" t="inlineStr">
        <is>
          <t>M4</t>
        </is>
      </c>
      <c r="G6" s="36" t="inlineStr">
        <is>
          <t>M5</t>
        </is>
      </c>
      <c r="H6" s="36" t="inlineStr">
        <is>
          <t>M6</t>
        </is>
      </c>
      <c r="I6" s="36" t="inlineStr">
        <is>
          <t>M7</t>
        </is>
      </c>
      <c r="J6" s="36" t="inlineStr">
        <is>
          <t>M8</t>
        </is>
      </c>
      <c r="K6" s="36" t="inlineStr">
        <is>
          <t>M9</t>
        </is>
      </c>
      <c r="L6" s="36" t="inlineStr">
        <is>
          <t>M10</t>
        </is>
      </c>
      <c r="M6" s="36" t="inlineStr">
        <is>
          <t>M11</t>
        </is>
      </c>
      <c r="N6" s="36" t="inlineStr">
        <is>
          <t>M12</t>
        </is>
      </c>
      <c r="O6" s="36" t="inlineStr">
        <is>
          <t>M13</t>
        </is>
      </c>
      <c r="P6" s="36" t="inlineStr">
        <is>
          <t>M14</t>
        </is>
      </c>
      <c r="Q6" s="36" t="inlineStr">
        <is>
          <t>M15</t>
        </is>
      </c>
      <c r="R6" s="36" t="inlineStr">
        <is>
          <t>M16</t>
        </is>
      </c>
      <c r="S6" s="36" t="inlineStr">
        <is>
          <t>M17</t>
        </is>
      </c>
      <c r="T6" s="36" t="inlineStr">
        <is>
          <t>M18</t>
        </is>
      </c>
      <c r="U6" s="36" t="inlineStr">
        <is>
          <t>M19</t>
        </is>
      </c>
      <c r="V6" s="36" t="inlineStr">
        <is>
          <t>M20</t>
        </is>
      </c>
      <c r="W6" s="36" t="inlineStr">
        <is>
          <t>M21</t>
        </is>
      </c>
      <c r="X6" s="36" t="inlineStr">
        <is>
          <t>M22</t>
        </is>
      </c>
      <c r="Y6" s="36" t="inlineStr">
        <is>
          <t>M23</t>
        </is>
      </c>
      <c r="Z6" s="36" t="inlineStr">
        <is>
          <t>M24</t>
        </is>
      </c>
      <c r="AA6" s="36" t="inlineStr">
        <is>
          <t>M25</t>
        </is>
      </c>
      <c r="AB6" s="36" t="inlineStr">
        <is>
          <t>M26</t>
        </is>
      </c>
      <c r="AC6" s="36" t="inlineStr">
        <is>
          <t>M27</t>
        </is>
      </c>
      <c r="AD6" s="36" t="inlineStr">
        <is>
          <t>M28</t>
        </is>
      </c>
      <c r="AE6" s="36" t="inlineStr">
        <is>
          <t>M29</t>
        </is>
      </c>
      <c r="AF6" s="36" t="inlineStr">
        <is>
          <t>M30</t>
        </is>
      </c>
      <c r="AG6" s="36" t="inlineStr">
        <is>
          <t>M31</t>
        </is>
      </c>
      <c r="AH6" s="36" t="inlineStr">
        <is>
          <t>M32</t>
        </is>
      </c>
      <c r="AI6" s="36" t="inlineStr">
        <is>
          <t>M33</t>
        </is>
      </c>
      <c r="AJ6" s="36" t="inlineStr">
        <is>
          <t>M34</t>
        </is>
      </c>
      <c r="AK6" s="36" t="inlineStr">
        <is>
          <t>M35</t>
        </is>
      </c>
      <c r="AL6" s="36" t="inlineStr">
        <is>
          <t>M36</t>
        </is>
      </c>
      <c r="AN6" s="37" t="inlineStr">
        <is>
          <t>Année 1</t>
        </is>
      </c>
      <c r="AO6" s="37" t="inlineStr">
        <is>
          <t>Année 2</t>
        </is>
      </c>
      <c r="AP6" s="37" t="inlineStr">
        <is>
          <t>Année 3</t>
        </is>
      </c>
    </row>
    <row r="7">
      <c r="A7" s="9" t="inlineStr">
        <is>
          <t>Mois</t>
        </is>
      </c>
      <c r="B7" s="4" t="inlineStr">
        <is>
          <t>n°</t>
        </is>
      </c>
      <c r="C7" s="13" t="n">
        <v>1</v>
      </c>
      <c r="D7" s="13" t="n">
        <v>2</v>
      </c>
      <c r="E7" s="13" t="n">
        <v>3</v>
      </c>
      <c r="F7" s="13" t="n">
        <v>4</v>
      </c>
      <c r="G7" s="13" t="n">
        <v>5</v>
      </c>
      <c r="H7" s="13" t="n">
        <v>6</v>
      </c>
      <c r="I7" s="13" t="n">
        <v>7</v>
      </c>
      <c r="J7" s="13" t="n">
        <v>8</v>
      </c>
      <c r="K7" s="13" t="n">
        <v>9</v>
      </c>
      <c r="L7" s="13" t="n">
        <v>10</v>
      </c>
      <c r="M7" s="13" t="n">
        <v>11</v>
      </c>
      <c r="N7" s="13" t="n">
        <v>12</v>
      </c>
      <c r="O7" s="13" t="n">
        <v>13</v>
      </c>
      <c r="P7" s="13" t="n">
        <v>14</v>
      </c>
      <c r="Q7" s="13" t="n">
        <v>15</v>
      </c>
      <c r="R7" s="13" t="n">
        <v>16</v>
      </c>
      <c r="S7" s="13" t="n">
        <v>17</v>
      </c>
      <c r="T7" s="13" t="n">
        <v>18</v>
      </c>
      <c r="U7" s="13" t="n">
        <v>19</v>
      </c>
      <c r="V7" s="13" t="n">
        <v>20</v>
      </c>
      <c r="W7" s="13" t="n">
        <v>21</v>
      </c>
      <c r="X7" s="13" t="n">
        <v>22</v>
      </c>
      <c r="Y7" s="13" t="n">
        <v>23</v>
      </c>
      <c r="Z7" s="13" t="n">
        <v>24</v>
      </c>
      <c r="AA7" s="13" t="n">
        <v>25</v>
      </c>
      <c r="AB7" s="13" t="n">
        <v>26</v>
      </c>
      <c r="AC7" s="13" t="n">
        <v>27</v>
      </c>
      <c r="AD7" s="13" t="n">
        <v>28</v>
      </c>
      <c r="AE7" s="13" t="n">
        <v>29</v>
      </c>
      <c r="AF7" s="13" t="n">
        <v>30</v>
      </c>
      <c r="AG7" s="13" t="n">
        <v>31</v>
      </c>
      <c r="AH7" s="13" t="n">
        <v>32</v>
      </c>
      <c r="AI7" s="13" t="n">
        <v>33</v>
      </c>
      <c r="AJ7" s="13" t="n">
        <v>34</v>
      </c>
      <c r="AK7" s="13" t="n">
        <v>35</v>
      </c>
      <c r="AL7" s="13" t="n">
        <v>36</v>
      </c>
    </row>
    <row r="8">
      <c r="A8" s="9" t="inlineStr">
        <is>
          <t>Date</t>
        </is>
      </c>
      <c r="B8" s="4" t="inlineStr"/>
      <c r="C8" s="11">
        <f>EDATE(Hypothèses!$D$7,C7-1)</f>
        <v/>
      </c>
      <c r="D8" s="11">
        <f>EDATE(Hypothèses!$D$7,D7-1)</f>
        <v/>
      </c>
      <c r="E8" s="11">
        <f>EDATE(Hypothèses!$D$7,E7-1)</f>
        <v/>
      </c>
      <c r="F8" s="11">
        <f>EDATE(Hypothèses!$D$7,F7-1)</f>
        <v/>
      </c>
      <c r="G8" s="11">
        <f>EDATE(Hypothèses!$D$7,G7-1)</f>
        <v/>
      </c>
      <c r="H8" s="11">
        <f>EDATE(Hypothèses!$D$7,H7-1)</f>
        <v/>
      </c>
      <c r="I8" s="11">
        <f>EDATE(Hypothèses!$D$7,I7-1)</f>
        <v/>
      </c>
      <c r="J8" s="11">
        <f>EDATE(Hypothèses!$D$7,J7-1)</f>
        <v/>
      </c>
      <c r="K8" s="11">
        <f>EDATE(Hypothèses!$D$7,K7-1)</f>
        <v/>
      </c>
      <c r="L8" s="11">
        <f>EDATE(Hypothèses!$D$7,L7-1)</f>
        <v/>
      </c>
      <c r="M8" s="11">
        <f>EDATE(Hypothèses!$D$7,M7-1)</f>
        <v/>
      </c>
      <c r="N8" s="11">
        <f>EDATE(Hypothèses!$D$7,N7-1)</f>
        <v/>
      </c>
      <c r="O8" s="11">
        <f>EDATE(Hypothèses!$D$7,O7-1)</f>
        <v/>
      </c>
      <c r="P8" s="11">
        <f>EDATE(Hypothèses!$D$7,P7-1)</f>
        <v/>
      </c>
      <c r="Q8" s="11">
        <f>EDATE(Hypothèses!$D$7,Q7-1)</f>
        <v/>
      </c>
      <c r="R8" s="11">
        <f>EDATE(Hypothèses!$D$7,R7-1)</f>
        <v/>
      </c>
      <c r="S8" s="11">
        <f>EDATE(Hypothèses!$D$7,S7-1)</f>
        <v/>
      </c>
      <c r="T8" s="11">
        <f>EDATE(Hypothèses!$D$7,T7-1)</f>
        <v/>
      </c>
      <c r="U8" s="11">
        <f>EDATE(Hypothèses!$D$7,U7-1)</f>
        <v/>
      </c>
      <c r="V8" s="11">
        <f>EDATE(Hypothèses!$D$7,V7-1)</f>
        <v/>
      </c>
      <c r="W8" s="11">
        <f>EDATE(Hypothèses!$D$7,W7-1)</f>
        <v/>
      </c>
      <c r="X8" s="11">
        <f>EDATE(Hypothèses!$D$7,X7-1)</f>
        <v/>
      </c>
      <c r="Y8" s="11">
        <f>EDATE(Hypothèses!$D$7,Y7-1)</f>
        <v/>
      </c>
      <c r="Z8" s="11">
        <f>EDATE(Hypothèses!$D$7,Z7-1)</f>
        <v/>
      </c>
      <c r="AA8" s="11">
        <f>EDATE(Hypothèses!$D$7,AA7-1)</f>
        <v/>
      </c>
      <c r="AB8" s="11">
        <f>EDATE(Hypothèses!$D$7,AB7-1)</f>
        <v/>
      </c>
      <c r="AC8" s="11">
        <f>EDATE(Hypothèses!$D$7,AC7-1)</f>
        <v/>
      </c>
      <c r="AD8" s="11">
        <f>EDATE(Hypothèses!$D$7,AD7-1)</f>
        <v/>
      </c>
      <c r="AE8" s="11">
        <f>EDATE(Hypothèses!$D$7,AE7-1)</f>
        <v/>
      </c>
      <c r="AF8" s="11">
        <f>EDATE(Hypothèses!$D$7,AF7-1)</f>
        <v/>
      </c>
      <c r="AG8" s="11">
        <f>EDATE(Hypothèses!$D$7,AG7-1)</f>
        <v/>
      </c>
      <c r="AH8" s="11">
        <f>EDATE(Hypothèses!$D$7,AH7-1)</f>
        <v/>
      </c>
      <c r="AI8" s="11">
        <f>EDATE(Hypothèses!$D$7,AI7-1)</f>
        <v/>
      </c>
      <c r="AJ8" s="11">
        <f>EDATE(Hypothèses!$D$7,AJ7-1)</f>
        <v/>
      </c>
      <c r="AK8" s="11">
        <f>EDATE(Hypothèses!$D$7,AK7-1)</f>
        <v/>
      </c>
      <c r="AL8" s="11">
        <f>EDATE(Hypothèses!$D$7,AL7-1)</f>
        <v/>
      </c>
    </row>
    <row r="9">
      <c r="A9" s="9" t="inlineStr">
        <is>
          <t>Lancé ? (1 = oui)</t>
        </is>
      </c>
      <c r="B9" s="4" t="inlineStr">
        <is>
          <t>0/1</t>
        </is>
      </c>
      <c r="C9" s="13">
        <f>IF(C7&gt;=$B$5,1,0)</f>
        <v/>
      </c>
      <c r="D9" s="13">
        <f>IF(D7&gt;=$B$5,1,0)</f>
        <v/>
      </c>
      <c r="E9" s="13">
        <f>IF(E7&gt;=$B$5,1,0)</f>
        <v/>
      </c>
      <c r="F9" s="13">
        <f>IF(F7&gt;=$B$5,1,0)</f>
        <v/>
      </c>
      <c r="G9" s="13">
        <f>IF(G7&gt;=$B$5,1,0)</f>
        <v/>
      </c>
      <c r="H9" s="13">
        <f>IF(H7&gt;=$B$5,1,0)</f>
        <v/>
      </c>
      <c r="I9" s="13">
        <f>IF(I7&gt;=$B$5,1,0)</f>
        <v/>
      </c>
      <c r="J9" s="13">
        <f>IF(J7&gt;=$B$5,1,0)</f>
        <v/>
      </c>
      <c r="K9" s="13">
        <f>IF(K7&gt;=$B$5,1,0)</f>
        <v/>
      </c>
      <c r="L9" s="13">
        <f>IF(L7&gt;=$B$5,1,0)</f>
        <v/>
      </c>
      <c r="M9" s="13">
        <f>IF(M7&gt;=$B$5,1,0)</f>
        <v/>
      </c>
      <c r="N9" s="13">
        <f>IF(N7&gt;=$B$5,1,0)</f>
        <v/>
      </c>
      <c r="O9" s="13">
        <f>IF(O7&gt;=$B$5,1,0)</f>
        <v/>
      </c>
      <c r="P9" s="13">
        <f>IF(P7&gt;=$B$5,1,0)</f>
        <v/>
      </c>
      <c r="Q9" s="13">
        <f>IF(Q7&gt;=$B$5,1,0)</f>
        <v/>
      </c>
      <c r="R9" s="13">
        <f>IF(R7&gt;=$B$5,1,0)</f>
        <v/>
      </c>
      <c r="S9" s="13">
        <f>IF(S7&gt;=$B$5,1,0)</f>
        <v/>
      </c>
      <c r="T9" s="13">
        <f>IF(T7&gt;=$B$5,1,0)</f>
        <v/>
      </c>
      <c r="U9" s="13">
        <f>IF(U7&gt;=$B$5,1,0)</f>
        <v/>
      </c>
      <c r="V9" s="13">
        <f>IF(V7&gt;=$B$5,1,0)</f>
        <v/>
      </c>
      <c r="W9" s="13">
        <f>IF(W7&gt;=$B$5,1,0)</f>
        <v/>
      </c>
      <c r="X9" s="13">
        <f>IF(X7&gt;=$B$5,1,0)</f>
        <v/>
      </c>
      <c r="Y9" s="13">
        <f>IF(Y7&gt;=$B$5,1,0)</f>
        <v/>
      </c>
      <c r="Z9" s="13">
        <f>IF(Z7&gt;=$B$5,1,0)</f>
        <v/>
      </c>
      <c r="AA9" s="13">
        <f>IF(AA7&gt;=$B$5,1,0)</f>
        <v/>
      </c>
      <c r="AB9" s="13">
        <f>IF(AB7&gt;=$B$5,1,0)</f>
        <v/>
      </c>
      <c r="AC9" s="13">
        <f>IF(AC7&gt;=$B$5,1,0)</f>
        <v/>
      </c>
      <c r="AD9" s="13">
        <f>IF(AD7&gt;=$B$5,1,0)</f>
        <v/>
      </c>
      <c r="AE9" s="13">
        <f>IF(AE7&gt;=$B$5,1,0)</f>
        <v/>
      </c>
      <c r="AF9" s="13">
        <f>IF(AF7&gt;=$B$5,1,0)</f>
        <v/>
      </c>
      <c r="AG9" s="13">
        <f>IF(AG7&gt;=$B$5,1,0)</f>
        <v/>
      </c>
      <c r="AH9" s="13">
        <f>IF(AH7&gt;=$B$5,1,0)</f>
        <v/>
      </c>
      <c r="AI9" s="13">
        <f>IF(AI7&gt;=$B$5,1,0)</f>
        <v/>
      </c>
      <c r="AJ9" s="13">
        <f>IF(AJ7&gt;=$B$5,1,0)</f>
        <v/>
      </c>
      <c r="AK9" s="13">
        <f>IF(AK7&gt;=$B$5,1,0)</f>
        <v/>
      </c>
      <c r="AL9" s="13">
        <f>IF(AL7&gt;=$B$5,1,0)</f>
        <v/>
      </c>
    </row>
    <row r="10">
      <c r="A10" s="9" t="inlineStr">
        <is>
          <t>Pilote en cours ? (1 = oui)</t>
        </is>
      </c>
      <c r="B10" s="4" t="inlineStr">
        <is>
          <t>0/1</t>
        </is>
      </c>
      <c r="C10" s="13">
        <f>IF(AND(C7&gt;=Hypothèses!$D$8,C7&lt;$B$5),1,0)</f>
        <v/>
      </c>
      <c r="D10" s="13">
        <f>IF(AND(D7&gt;=Hypothèses!$D$8,D7&lt;$B$5),1,0)</f>
        <v/>
      </c>
      <c r="E10" s="13">
        <f>IF(AND(E7&gt;=Hypothèses!$D$8,E7&lt;$B$5),1,0)</f>
        <v/>
      </c>
      <c r="F10" s="13">
        <f>IF(AND(F7&gt;=Hypothèses!$D$8,F7&lt;$B$5),1,0)</f>
        <v/>
      </c>
      <c r="G10" s="13">
        <f>IF(AND(G7&gt;=Hypothèses!$D$8,G7&lt;$B$5),1,0)</f>
        <v/>
      </c>
      <c r="H10" s="13">
        <f>IF(AND(H7&gt;=Hypothèses!$D$8,H7&lt;$B$5),1,0)</f>
        <v/>
      </c>
      <c r="I10" s="13">
        <f>IF(AND(I7&gt;=Hypothèses!$D$8,I7&lt;$B$5),1,0)</f>
        <v/>
      </c>
      <c r="J10" s="13">
        <f>IF(AND(J7&gt;=Hypothèses!$D$8,J7&lt;$B$5),1,0)</f>
        <v/>
      </c>
      <c r="K10" s="13">
        <f>IF(AND(K7&gt;=Hypothèses!$D$8,K7&lt;$B$5),1,0)</f>
        <v/>
      </c>
      <c r="L10" s="13">
        <f>IF(AND(L7&gt;=Hypothèses!$D$8,L7&lt;$B$5),1,0)</f>
        <v/>
      </c>
      <c r="M10" s="13">
        <f>IF(AND(M7&gt;=Hypothèses!$D$8,M7&lt;$B$5),1,0)</f>
        <v/>
      </c>
      <c r="N10" s="13">
        <f>IF(AND(N7&gt;=Hypothèses!$D$8,N7&lt;$B$5),1,0)</f>
        <v/>
      </c>
      <c r="O10" s="13">
        <f>IF(AND(O7&gt;=Hypothèses!$D$8,O7&lt;$B$5),1,0)</f>
        <v/>
      </c>
      <c r="P10" s="13">
        <f>IF(AND(P7&gt;=Hypothèses!$D$8,P7&lt;$B$5),1,0)</f>
        <v/>
      </c>
      <c r="Q10" s="13">
        <f>IF(AND(Q7&gt;=Hypothèses!$D$8,Q7&lt;$B$5),1,0)</f>
        <v/>
      </c>
      <c r="R10" s="13">
        <f>IF(AND(R7&gt;=Hypothèses!$D$8,R7&lt;$B$5),1,0)</f>
        <v/>
      </c>
      <c r="S10" s="13">
        <f>IF(AND(S7&gt;=Hypothèses!$D$8,S7&lt;$B$5),1,0)</f>
        <v/>
      </c>
      <c r="T10" s="13">
        <f>IF(AND(T7&gt;=Hypothèses!$D$8,T7&lt;$B$5),1,0)</f>
        <v/>
      </c>
      <c r="U10" s="13">
        <f>IF(AND(U7&gt;=Hypothèses!$D$8,U7&lt;$B$5),1,0)</f>
        <v/>
      </c>
      <c r="V10" s="13">
        <f>IF(AND(V7&gt;=Hypothèses!$D$8,V7&lt;$B$5),1,0)</f>
        <v/>
      </c>
      <c r="W10" s="13">
        <f>IF(AND(W7&gt;=Hypothèses!$D$8,W7&lt;$B$5),1,0)</f>
        <v/>
      </c>
      <c r="X10" s="13">
        <f>IF(AND(X7&gt;=Hypothèses!$D$8,X7&lt;$B$5),1,0)</f>
        <v/>
      </c>
      <c r="Y10" s="13">
        <f>IF(AND(Y7&gt;=Hypothèses!$D$8,Y7&lt;$B$5),1,0)</f>
        <v/>
      </c>
      <c r="Z10" s="13">
        <f>IF(AND(Z7&gt;=Hypothèses!$D$8,Z7&lt;$B$5),1,0)</f>
        <v/>
      </c>
      <c r="AA10" s="13">
        <f>IF(AND(AA7&gt;=Hypothèses!$D$8,AA7&lt;$B$5),1,0)</f>
        <v/>
      </c>
      <c r="AB10" s="13">
        <f>IF(AND(AB7&gt;=Hypothèses!$D$8,AB7&lt;$B$5),1,0)</f>
        <v/>
      </c>
      <c r="AC10" s="13">
        <f>IF(AND(AC7&gt;=Hypothèses!$D$8,AC7&lt;$B$5),1,0)</f>
        <v/>
      </c>
      <c r="AD10" s="13">
        <f>IF(AND(AD7&gt;=Hypothèses!$D$8,AD7&lt;$B$5),1,0)</f>
        <v/>
      </c>
      <c r="AE10" s="13">
        <f>IF(AND(AE7&gt;=Hypothèses!$D$8,AE7&lt;$B$5),1,0)</f>
        <v/>
      </c>
      <c r="AF10" s="13">
        <f>IF(AND(AF7&gt;=Hypothèses!$D$8,AF7&lt;$B$5),1,0)</f>
        <v/>
      </c>
      <c r="AG10" s="13">
        <f>IF(AND(AG7&gt;=Hypothèses!$D$8,AG7&lt;$B$5),1,0)</f>
        <v/>
      </c>
      <c r="AH10" s="13">
        <f>IF(AND(AH7&gt;=Hypothèses!$D$8,AH7&lt;$B$5),1,0)</f>
        <v/>
      </c>
      <c r="AI10" s="13">
        <f>IF(AND(AI7&gt;=Hypothèses!$D$8,AI7&lt;$B$5),1,0)</f>
        <v/>
      </c>
      <c r="AJ10" s="13">
        <f>IF(AND(AJ7&gt;=Hypothèses!$D$8,AJ7&lt;$B$5),1,0)</f>
        <v/>
      </c>
      <c r="AK10" s="13">
        <f>IF(AND(AK7&gt;=Hypothèses!$D$8,AK7&lt;$B$5),1,0)</f>
        <v/>
      </c>
      <c r="AL10" s="13">
        <f>IF(AND(AL7&gt;=Hypothèses!$D$8,AL7&lt;$B$5),1,0)</f>
        <v/>
      </c>
    </row>
    <row r="11">
      <c r="A11" s="9" t="inlineStr">
        <is>
          <t>Budget d'acquisition du mois</t>
        </is>
      </c>
      <c r="B11" s="4" t="inlineStr">
        <is>
          <t>€ HT</t>
        </is>
      </c>
      <c r="C11" s="15">
        <f>IF(C9=1,IF(C7&lt;=12,Hypothèses!$D$20,IF(C7&lt;=24,Hypothèses!$D$21,Hypothèses!$D$22)),0)</f>
        <v/>
      </c>
      <c r="D11" s="15">
        <f>IF(D9=1,IF(D7&lt;=12,Hypothèses!$D$20,IF(D7&lt;=24,Hypothèses!$D$21,Hypothèses!$D$22)),0)</f>
        <v/>
      </c>
      <c r="E11" s="15">
        <f>IF(E9=1,IF(E7&lt;=12,Hypothèses!$D$20,IF(E7&lt;=24,Hypothèses!$D$21,Hypothèses!$D$22)),0)</f>
        <v/>
      </c>
      <c r="F11" s="15">
        <f>IF(F9=1,IF(F7&lt;=12,Hypothèses!$D$20,IF(F7&lt;=24,Hypothèses!$D$21,Hypothèses!$D$22)),0)</f>
        <v/>
      </c>
      <c r="G11" s="15">
        <f>IF(G9=1,IF(G7&lt;=12,Hypothèses!$D$20,IF(G7&lt;=24,Hypothèses!$D$21,Hypothèses!$D$22)),0)</f>
        <v/>
      </c>
      <c r="H11" s="15">
        <f>IF(H9=1,IF(H7&lt;=12,Hypothèses!$D$20,IF(H7&lt;=24,Hypothèses!$D$21,Hypothèses!$D$22)),0)</f>
        <v/>
      </c>
      <c r="I11" s="15">
        <f>IF(I9=1,IF(I7&lt;=12,Hypothèses!$D$20,IF(I7&lt;=24,Hypothèses!$D$21,Hypothèses!$D$22)),0)</f>
        <v/>
      </c>
      <c r="J11" s="15">
        <f>IF(J9=1,IF(J7&lt;=12,Hypothèses!$D$20,IF(J7&lt;=24,Hypothèses!$D$21,Hypothèses!$D$22)),0)</f>
        <v/>
      </c>
      <c r="K11" s="15">
        <f>IF(K9=1,IF(K7&lt;=12,Hypothèses!$D$20,IF(K7&lt;=24,Hypothèses!$D$21,Hypothèses!$D$22)),0)</f>
        <v/>
      </c>
      <c r="L11" s="15">
        <f>IF(L9=1,IF(L7&lt;=12,Hypothèses!$D$20,IF(L7&lt;=24,Hypothèses!$D$21,Hypothèses!$D$22)),0)</f>
        <v/>
      </c>
      <c r="M11" s="15">
        <f>IF(M9=1,IF(M7&lt;=12,Hypothèses!$D$20,IF(M7&lt;=24,Hypothèses!$D$21,Hypothèses!$D$22)),0)</f>
        <v/>
      </c>
      <c r="N11" s="15">
        <f>IF(N9=1,IF(N7&lt;=12,Hypothèses!$D$20,IF(N7&lt;=24,Hypothèses!$D$21,Hypothèses!$D$22)),0)</f>
        <v/>
      </c>
      <c r="O11" s="15">
        <f>IF(O9=1,IF(O7&lt;=12,Hypothèses!$D$20,IF(O7&lt;=24,Hypothèses!$D$21,Hypothèses!$D$22)),0)</f>
        <v/>
      </c>
      <c r="P11" s="15">
        <f>IF(P9=1,IF(P7&lt;=12,Hypothèses!$D$20,IF(P7&lt;=24,Hypothèses!$D$21,Hypothèses!$D$22)),0)</f>
        <v/>
      </c>
      <c r="Q11" s="15">
        <f>IF(Q9=1,IF(Q7&lt;=12,Hypothèses!$D$20,IF(Q7&lt;=24,Hypothèses!$D$21,Hypothèses!$D$22)),0)</f>
        <v/>
      </c>
      <c r="R11" s="15">
        <f>IF(R9=1,IF(R7&lt;=12,Hypothèses!$D$20,IF(R7&lt;=24,Hypothèses!$D$21,Hypothèses!$D$22)),0)</f>
        <v/>
      </c>
      <c r="S11" s="15">
        <f>IF(S9=1,IF(S7&lt;=12,Hypothèses!$D$20,IF(S7&lt;=24,Hypothèses!$D$21,Hypothèses!$D$22)),0)</f>
        <v/>
      </c>
      <c r="T11" s="15">
        <f>IF(T9=1,IF(T7&lt;=12,Hypothèses!$D$20,IF(T7&lt;=24,Hypothèses!$D$21,Hypothèses!$D$22)),0)</f>
        <v/>
      </c>
      <c r="U11" s="15">
        <f>IF(U9=1,IF(U7&lt;=12,Hypothèses!$D$20,IF(U7&lt;=24,Hypothèses!$D$21,Hypothèses!$D$22)),0)</f>
        <v/>
      </c>
      <c r="V11" s="15">
        <f>IF(V9=1,IF(V7&lt;=12,Hypothèses!$D$20,IF(V7&lt;=24,Hypothèses!$D$21,Hypothèses!$D$22)),0)</f>
        <v/>
      </c>
      <c r="W11" s="15">
        <f>IF(W9=1,IF(W7&lt;=12,Hypothèses!$D$20,IF(W7&lt;=24,Hypothèses!$D$21,Hypothèses!$D$22)),0)</f>
        <v/>
      </c>
      <c r="X11" s="15">
        <f>IF(X9=1,IF(X7&lt;=12,Hypothèses!$D$20,IF(X7&lt;=24,Hypothèses!$D$21,Hypothèses!$D$22)),0)</f>
        <v/>
      </c>
      <c r="Y11" s="15">
        <f>IF(Y9=1,IF(Y7&lt;=12,Hypothèses!$D$20,IF(Y7&lt;=24,Hypothèses!$D$21,Hypothèses!$D$22)),0)</f>
        <v/>
      </c>
      <c r="Z11" s="15">
        <f>IF(Z9=1,IF(Z7&lt;=12,Hypothèses!$D$20,IF(Z7&lt;=24,Hypothèses!$D$21,Hypothèses!$D$22)),0)</f>
        <v/>
      </c>
      <c r="AA11" s="15">
        <f>IF(AA9=1,IF(AA7&lt;=12,Hypothèses!$D$20,IF(AA7&lt;=24,Hypothèses!$D$21,Hypothèses!$D$22)),0)</f>
        <v/>
      </c>
      <c r="AB11" s="15">
        <f>IF(AB9=1,IF(AB7&lt;=12,Hypothèses!$D$20,IF(AB7&lt;=24,Hypothèses!$D$21,Hypothèses!$D$22)),0)</f>
        <v/>
      </c>
      <c r="AC11" s="15">
        <f>IF(AC9=1,IF(AC7&lt;=12,Hypothèses!$D$20,IF(AC7&lt;=24,Hypothèses!$D$21,Hypothèses!$D$22)),0)</f>
        <v/>
      </c>
      <c r="AD11" s="15">
        <f>IF(AD9=1,IF(AD7&lt;=12,Hypothèses!$D$20,IF(AD7&lt;=24,Hypothèses!$D$21,Hypothèses!$D$22)),0)</f>
        <v/>
      </c>
      <c r="AE11" s="15">
        <f>IF(AE9=1,IF(AE7&lt;=12,Hypothèses!$D$20,IF(AE7&lt;=24,Hypothèses!$D$21,Hypothèses!$D$22)),0)</f>
        <v/>
      </c>
      <c r="AF11" s="15">
        <f>IF(AF9=1,IF(AF7&lt;=12,Hypothèses!$D$20,IF(AF7&lt;=24,Hypothèses!$D$21,Hypothèses!$D$22)),0)</f>
        <v/>
      </c>
      <c r="AG11" s="15">
        <f>IF(AG9=1,IF(AG7&lt;=12,Hypothèses!$D$20,IF(AG7&lt;=24,Hypothèses!$D$21,Hypothèses!$D$22)),0)</f>
        <v/>
      </c>
      <c r="AH11" s="15">
        <f>IF(AH9=1,IF(AH7&lt;=12,Hypothèses!$D$20,IF(AH7&lt;=24,Hypothèses!$D$21,Hypothèses!$D$22)),0)</f>
        <v/>
      </c>
      <c r="AI11" s="15">
        <f>IF(AI9=1,IF(AI7&lt;=12,Hypothèses!$D$20,IF(AI7&lt;=24,Hypothèses!$D$21,Hypothèses!$D$22)),0)</f>
        <v/>
      </c>
      <c r="AJ11" s="15">
        <f>IF(AJ9=1,IF(AJ7&lt;=12,Hypothèses!$D$20,IF(AJ7&lt;=24,Hypothèses!$D$21,Hypothèses!$D$22)),0)</f>
        <v/>
      </c>
      <c r="AK11" s="15">
        <f>IF(AK9=1,IF(AK7&lt;=12,Hypothèses!$D$20,IF(AK7&lt;=24,Hypothèses!$D$21,Hypothèses!$D$22)),0)</f>
        <v/>
      </c>
      <c r="AL11" s="15">
        <f>IF(AL9=1,IF(AL7&lt;=12,Hypothèses!$D$20,IF(AL7&lt;=24,Hypothèses!$D$21,Hypothèses!$D$22)),0)</f>
        <v/>
      </c>
      <c r="AN11" s="15">
        <f>SUM(C11:N11)</f>
        <v/>
      </c>
      <c r="AO11" s="15">
        <f>SUM(O11:Z11)</f>
        <v/>
      </c>
      <c r="AP11" s="15">
        <f>SUM(AA11:AL11)</f>
        <v/>
      </c>
    </row>
    <row r="12">
      <c r="A12" s="8" t="inlineStr">
        <is>
          <t>Abonnés</t>
        </is>
      </c>
    </row>
    <row r="13">
      <c r="A13" s="9" t="inlineStr">
        <is>
          <t>Abonnés en début de mois</t>
        </is>
      </c>
      <c r="B13" s="4" t="inlineStr">
        <is>
          <t>abonnés</t>
        </is>
      </c>
      <c r="C13" s="38">
        <f>0</f>
        <v/>
      </c>
      <c r="D13" s="38">
        <f>C18</f>
        <v/>
      </c>
      <c r="E13" s="38">
        <f>D18</f>
        <v/>
      </c>
      <c r="F13" s="38">
        <f>E18</f>
        <v/>
      </c>
      <c r="G13" s="38">
        <f>F18</f>
        <v/>
      </c>
      <c r="H13" s="38">
        <f>G18</f>
        <v/>
      </c>
      <c r="I13" s="38">
        <f>H18</f>
        <v/>
      </c>
      <c r="J13" s="38">
        <f>I18</f>
        <v/>
      </c>
      <c r="K13" s="38">
        <f>J18</f>
        <v/>
      </c>
      <c r="L13" s="38">
        <f>K18</f>
        <v/>
      </c>
      <c r="M13" s="38">
        <f>L18</f>
        <v/>
      </c>
      <c r="N13" s="38">
        <f>M18</f>
        <v/>
      </c>
      <c r="O13" s="38">
        <f>N18</f>
        <v/>
      </c>
      <c r="P13" s="38">
        <f>O18</f>
        <v/>
      </c>
      <c r="Q13" s="38">
        <f>P18</f>
        <v/>
      </c>
      <c r="R13" s="38">
        <f>Q18</f>
        <v/>
      </c>
      <c r="S13" s="38">
        <f>R18</f>
        <v/>
      </c>
      <c r="T13" s="38">
        <f>S18</f>
        <v/>
      </c>
      <c r="U13" s="38">
        <f>T18</f>
        <v/>
      </c>
      <c r="V13" s="38">
        <f>U18</f>
        <v/>
      </c>
      <c r="W13" s="38">
        <f>V18</f>
        <v/>
      </c>
      <c r="X13" s="38">
        <f>W18</f>
        <v/>
      </c>
      <c r="Y13" s="38">
        <f>X18</f>
        <v/>
      </c>
      <c r="Z13" s="38">
        <f>Y18</f>
        <v/>
      </c>
      <c r="AA13" s="38">
        <f>Z18</f>
        <v/>
      </c>
      <c r="AB13" s="38">
        <f>AA18</f>
        <v/>
      </c>
      <c r="AC13" s="38">
        <f>AB18</f>
        <v/>
      </c>
      <c r="AD13" s="38">
        <f>AC18</f>
        <v/>
      </c>
      <c r="AE13" s="38">
        <f>AD18</f>
        <v/>
      </c>
      <c r="AF13" s="38">
        <f>AE18</f>
        <v/>
      </c>
      <c r="AG13" s="38">
        <f>AF18</f>
        <v/>
      </c>
      <c r="AH13" s="38">
        <f>AG18</f>
        <v/>
      </c>
      <c r="AI13" s="38">
        <f>AH18</f>
        <v/>
      </c>
      <c r="AJ13" s="38">
        <f>AI18</f>
        <v/>
      </c>
      <c r="AK13" s="38">
        <f>AJ18</f>
        <v/>
      </c>
      <c r="AL13" s="38">
        <f>AK18</f>
        <v/>
      </c>
    </row>
    <row r="14">
      <c r="A14" s="9" t="inlineStr">
        <is>
          <t>Nouveaux abonnés par acquisition payante</t>
        </is>
      </c>
      <c r="B14" s="4" t="inlineStr">
        <is>
          <t>abonnés</t>
        </is>
      </c>
      <c r="C14" s="38">
        <f>C11/(Hypothèses!$D$23*$E$4)</f>
        <v/>
      </c>
      <c r="D14" s="38">
        <f>D11/(Hypothèses!$D$23*$E$4)</f>
        <v/>
      </c>
      <c r="E14" s="38">
        <f>E11/(Hypothèses!$D$23*$E$4)</f>
        <v/>
      </c>
      <c r="F14" s="38">
        <f>F11/(Hypothèses!$D$23*$E$4)</f>
        <v/>
      </c>
      <c r="G14" s="38">
        <f>G11/(Hypothèses!$D$23*$E$4)</f>
        <v/>
      </c>
      <c r="H14" s="38">
        <f>H11/(Hypothèses!$D$23*$E$4)</f>
        <v/>
      </c>
      <c r="I14" s="38">
        <f>I11/(Hypothèses!$D$23*$E$4)</f>
        <v/>
      </c>
      <c r="J14" s="38">
        <f>J11/(Hypothèses!$D$23*$E$4)</f>
        <v/>
      </c>
      <c r="K14" s="38">
        <f>K11/(Hypothèses!$D$23*$E$4)</f>
        <v/>
      </c>
      <c r="L14" s="38">
        <f>L11/(Hypothèses!$D$23*$E$4)</f>
        <v/>
      </c>
      <c r="M14" s="38">
        <f>M11/(Hypothèses!$D$23*$E$4)</f>
        <v/>
      </c>
      <c r="N14" s="38">
        <f>N11/(Hypothèses!$D$23*$E$4)</f>
        <v/>
      </c>
      <c r="O14" s="38">
        <f>O11/(Hypothèses!$D$23*$E$4)</f>
        <v/>
      </c>
      <c r="P14" s="38">
        <f>P11/(Hypothèses!$D$23*$E$4)</f>
        <v/>
      </c>
      <c r="Q14" s="38">
        <f>Q11/(Hypothèses!$D$23*$E$4)</f>
        <v/>
      </c>
      <c r="R14" s="38">
        <f>R11/(Hypothèses!$D$23*$E$4)</f>
        <v/>
      </c>
      <c r="S14" s="38">
        <f>S11/(Hypothèses!$D$23*$E$4)</f>
        <v/>
      </c>
      <c r="T14" s="38">
        <f>T11/(Hypothèses!$D$23*$E$4)</f>
        <v/>
      </c>
      <c r="U14" s="38">
        <f>U11/(Hypothèses!$D$23*$E$4)</f>
        <v/>
      </c>
      <c r="V14" s="38">
        <f>V11/(Hypothèses!$D$23*$E$4)</f>
        <v/>
      </c>
      <c r="W14" s="38">
        <f>W11/(Hypothèses!$D$23*$E$4)</f>
        <v/>
      </c>
      <c r="X14" s="38">
        <f>X11/(Hypothèses!$D$23*$E$4)</f>
        <v/>
      </c>
      <c r="Y14" s="38">
        <f>Y11/(Hypothèses!$D$23*$E$4)</f>
        <v/>
      </c>
      <c r="Z14" s="38">
        <f>Z11/(Hypothèses!$D$23*$E$4)</f>
        <v/>
      </c>
      <c r="AA14" s="38">
        <f>AA11/(Hypothèses!$D$23*$E$4)</f>
        <v/>
      </c>
      <c r="AB14" s="38">
        <f>AB11/(Hypothèses!$D$23*$E$4)</f>
        <v/>
      </c>
      <c r="AC14" s="38">
        <f>AC11/(Hypothèses!$D$23*$E$4)</f>
        <v/>
      </c>
      <c r="AD14" s="38">
        <f>AD11/(Hypothèses!$D$23*$E$4)</f>
        <v/>
      </c>
      <c r="AE14" s="38">
        <f>AE11/(Hypothèses!$D$23*$E$4)</f>
        <v/>
      </c>
      <c r="AF14" s="38">
        <f>AF11/(Hypothèses!$D$23*$E$4)</f>
        <v/>
      </c>
      <c r="AG14" s="38">
        <f>AG11/(Hypothèses!$D$23*$E$4)</f>
        <v/>
      </c>
      <c r="AH14" s="38">
        <f>AH11/(Hypothèses!$D$23*$E$4)</f>
        <v/>
      </c>
      <c r="AI14" s="38">
        <f>AI11/(Hypothèses!$D$23*$E$4)</f>
        <v/>
      </c>
      <c r="AJ14" s="38">
        <f>AJ11/(Hypothèses!$D$23*$E$4)</f>
        <v/>
      </c>
      <c r="AK14" s="38">
        <f>AK11/(Hypothèses!$D$23*$E$4)</f>
        <v/>
      </c>
      <c r="AL14" s="38">
        <f>AL11/(Hypothèses!$D$23*$E$4)</f>
        <v/>
      </c>
      <c r="AN14" s="38">
        <f>SUM(C14:N14)</f>
        <v/>
      </c>
      <c r="AO14" s="38">
        <f>SUM(O14:Z14)</f>
        <v/>
      </c>
      <c r="AP14" s="38">
        <f>SUM(AA14:AL14)</f>
        <v/>
      </c>
    </row>
    <row r="15">
      <c r="A15" s="9" t="inlineStr">
        <is>
          <t>Nouveaux abonnés pilote</t>
        </is>
      </c>
      <c r="B15" s="4" t="inlineStr">
        <is>
          <t>abonnés</t>
        </is>
      </c>
      <c r="C15" s="38">
        <f>IF(C7=Hypothèses!$D$8,Hypothèses!$D$9,0)</f>
        <v/>
      </c>
      <c r="D15" s="38">
        <f>IF(D7=Hypothèses!$D$8,Hypothèses!$D$9,0)</f>
        <v/>
      </c>
      <c r="E15" s="38">
        <f>IF(E7=Hypothèses!$D$8,Hypothèses!$D$9,0)</f>
        <v/>
      </c>
      <c r="F15" s="38">
        <f>IF(F7=Hypothèses!$D$8,Hypothèses!$D$9,0)</f>
        <v/>
      </c>
      <c r="G15" s="38">
        <f>IF(G7=Hypothèses!$D$8,Hypothèses!$D$9,0)</f>
        <v/>
      </c>
      <c r="H15" s="38">
        <f>IF(H7=Hypothèses!$D$8,Hypothèses!$D$9,0)</f>
        <v/>
      </c>
      <c r="I15" s="38">
        <f>IF(I7=Hypothèses!$D$8,Hypothèses!$D$9,0)</f>
        <v/>
      </c>
      <c r="J15" s="38">
        <f>IF(J7=Hypothèses!$D$8,Hypothèses!$D$9,0)</f>
        <v/>
      </c>
      <c r="K15" s="38">
        <f>IF(K7=Hypothèses!$D$8,Hypothèses!$D$9,0)</f>
        <v/>
      </c>
      <c r="L15" s="38">
        <f>IF(L7=Hypothèses!$D$8,Hypothèses!$D$9,0)</f>
        <v/>
      </c>
      <c r="M15" s="38">
        <f>IF(M7=Hypothèses!$D$8,Hypothèses!$D$9,0)</f>
        <v/>
      </c>
      <c r="N15" s="38">
        <f>IF(N7=Hypothèses!$D$8,Hypothèses!$D$9,0)</f>
        <v/>
      </c>
      <c r="O15" s="38">
        <f>IF(O7=Hypothèses!$D$8,Hypothèses!$D$9,0)</f>
        <v/>
      </c>
      <c r="P15" s="38">
        <f>IF(P7=Hypothèses!$D$8,Hypothèses!$D$9,0)</f>
        <v/>
      </c>
      <c r="Q15" s="38">
        <f>IF(Q7=Hypothèses!$D$8,Hypothèses!$D$9,0)</f>
        <v/>
      </c>
      <c r="R15" s="38">
        <f>IF(R7=Hypothèses!$D$8,Hypothèses!$D$9,0)</f>
        <v/>
      </c>
      <c r="S15" s="38">
        <f>IF(S7=Hypothèses!$D$8,Hypothèses!$D$9,0)</f>
        <v/>
      </c>
      <c r="T15" s="38">
        <f>IF(T7=Hypothèses!$D$8,Hypothèses!$D$9,0)</f>
        <v/>
      </c>
      <c r="U15" s="38">
        <f>IF(U7=Hypothèses!$D$8,Hypothèses!$D$9,0)</f>
        <v/>
      </c>
      <c r="V15" s="38">
        <f>IF(V7=Hypothèses!$D$8,Hypothèses!$D$9,0)</f>
        <v/>
      </c>
      <c r="W15" s="38">
        <f>IF(W7=Hypothèses!$D$8,Hypothèses!$D$9,0)</f>
        <v/>
      </c>
      <c r="X15" s="38">
        <f>IF(X7=Hypothèses!$D$8,Hypothèses!$D$9,0)</f>
        <v/>
      </c>
      <c r="Y15" s="38">
        <f>IF(Y7=Hypothèses!$D$8,Hypothèses!$D$9,0)</f>
        <v/>
      </c>
      <c r="Z15" s="38">
        <f>IF(Z7=Hypothèses!$D$8,Hypothèses!$D$9,0)</f>
        <v/>
      </c>
      <c r="AA15" s="38">
        <f>IF(AA7=Hypothèses!$D$8,Hypothèses!$D$9,0)</f>
        <v/>
      </c>
      <c r="AB15" s="38">
        <f>IF(AB7=Hypothèses!$D$8,Hypothèses!$D$9,0)</f>
        <v/>
      </c>
      <c r="AC15" s="38">
        <f>IF(AC7=Hypothèses!$D$8,Hypothèses!$D$9,0)</f>
        <v/>
      </c>
      <c r="AD15" s="38">
        <f>IF(AD7=Hypothèses!$D$8,Hypothèses!$D$9,0)</f>
        <v/>
      </c>
      <c r="AE15" s="38">
        <f>IF(AE7=Hypothèses!$D$8,Hypothèses!$D$9,0)</f>
        <v/>
      </c>
      <c r="AF15" s="38">
        <f>IF(AF7=Hypothèses!$D$8,Hypothèses!$D$9,0)</f>
        <v/>
      </c>
      <c r="AG15" s="38">
        <f>IF(AG7=Hypothèses!$D$8,Hypothèses!$D$9,0)</f>
        <v/>
      </c>
      <c r="AH15" s="38">
        <f>IF(AH7=Hypothèses!$D$8,Hypothèses!$D$9,0)</f>
        <v/>
      </c>
      <c r="AI15" s="38">
        <f>IF(AI7=Hypothèses!$D$8,Hypothèses!$D$9,0)</f>
        <v/>
      </c>
      <c r="AJ15" s="38">
        <f>IF(AJ7=Hypothèses!$D$8,Hypothèses!$D$9,0)</f>
        <v/>
      </c>
      <c r="AK15" s="38">
        <f>IF(AK7=Hypothèses!$D$8,Hypothèses!$D$9,0)</f>
        <v/>
      </c>
      <c r="AL15" s="38">
        <f>IF(AL7=Hypothèses!$D$8,Hypothèses!$D$9,0)</f>
        <v/>
      </c>
      <c r="AN15" s="38">
        <f>SUM(C15:N15)</f>
        <v/>
      </c>
      <c r="AO15" s="38">
        <f>SUM(O15:Z15)</f>
        <v/>
      </c>
      <c r="AP15" s="38">
        <f>SUM(AA15:AL15)</f>
        <v/>
      </c>
    </row>
    <row r="16">
      <c r="A16" s="9" t="inlineStr">
        <is>
          <t>Nouveaux abonnés organiques (parrainage)</t>
        </is>
      </c>
      <c r="B16" s="4" t="inlineStr">
        <is>
          <t>abonnés</t>
        </is>
      </c>
      <c r="C16" s="38">
        <f>C9*C13*Hypothèses!$D$24</f>
        <v/>
      </c>
      <c r="D16" s="38">
        <f>D9*D13*Hypothèses!$D$24</f>
        <v/>
      </c>
      <c r="E16" s="38">
        <f>E9*E13*Hypothèses!$D$24</f>
        <v/>
      </c>
      <c r="F16" s="38">
        <f>F9*F13*Hypothèses!$D$24</f>
        <v/>
      </c>
      <c r="G16" s="38">
        <f>G9*G13*Hypothèses!$D$24</f>
        <v/>
      </c>
      <c r="H16" s="38">
        <f>H9*H13*Hypothèses!$D$24</f>
        <v/>
      </c>
      <c r="I16" s="38">
        <f>I9*I13*Hypothèses!$D$24</f>
        <v/>
      </c>
      <c r="J16" s="38">
        <f>J9*J13*Hypothèses!$D$24</f>
        <v/>
      </c>
      <c r="K16" s="38">
        <f>K9*K13*Hypothèses!$D$24</f>
        <v/>
      </c>
      <c r="L16" s="38">
        <f>L9*L13*Hypothèses!$D$24</f>
        <v/>
      </c>
      <c r="M16" s="38">
        <f>M9*M13*Hypothèses!$D$24</f>
        <v/>
      </c>
      <c r="N16" s="38">
        <f>N9*N13*Hypothèses!$D$24</f>
        <v/>
      </c>
      <c r="O16" s="38">
        <f>O9*O13*Hypothèses!$D$24</f>
        <v/>
      </c>
      <c r="P16" s="38">
        <f>P9*P13*Hypothèses!$D$24</f>
        <v/>
      </c>
      <c r="Q16" s="38">
        <f>Q9*Q13*Hypothèses!$D$24</f>
        <v/>
      </c>
      <c r="R16" s="38">
        <f>R9*R13*Hypothèses!$D$24</f>
        <v/>
      </c>
      <c r="S16" s="38">
        <f>S9*S13*Hypothèses!$D$24</f>
        <v/>
      </c>
      <c r="T16" s="38">
        <f>T9*T13*Hypothèses!$D$24</f>
        <v/>
      </c>
      <c r="U16" s="38">
        <f>U9*U13*Hypothèses!$D$24</f>
        <v/>
      </c>
      <c r="V16" s="38">
        <f>V9*V13*Hypothèses!$D$24</f>
        <v/>
      </c>
      <c r="W16" s="38">
        <f>W9*W13*Hypothèses!$D$24</f>
        <v/>
      </c>
      <c r="X16" s="38">
        <f>X9*X13*Hypothèses!$D$24</f>
        <v/>
      </c>
      <c r="Y16" s="38">
        <f>Y9*Y13*Hypothèses!$D$24</f>
        <v/>
      </c>
      <c r="Z16" s="38">
        <f>Z9*Z13*Hypothèses!$D$24</f>
        <v/>
      </c>
      <c r="AA16" s="38">
        <f>AA9*AA13*Hypothèses!$D$24</f>
        <v/>
      </c>
      <c r="AB16" s="38">
        <f>AB9*AB13*Hypothèses!$D$24</f>
        <v/>
      </c>
      <c r="AC16" s="38">
        <f>AC9*AC13*Hypothèses!$D$24</f>
        <v/>
      </c>
      <c r="AD16" s="38">
        <f>AD9*AD13*Hypothèses!$D$24</f>
        <v/>
      </c>
      <c r="AE16" s="38">
        <f>AE9*AE13*Hypothèses!$D$24</f>
        <v/>
      </c>
      <c r="AF16" s="38">
        <f>AF9*AF13*Hypothèses!$D$24</f>
        <v/>
      </c>
      <c r="AG16" s="38">
        <f>AG9*AG13*Hypothèses!$D$24</f>
        <v/>
      </c>
      <c r="AH16" s="38">
        <f>AH9*AH13*Hypothèses!$D$24</f>
        <v/>
      </c>
      <c r="AI16" s="38">
        <f>AI9*AI13*Hypothèses!$D$24</f>
        <v/>
      </c>
      <c r="AJ16" s="38">
        <f>AJ9*AJ13*Hypothèses!$D$24</f>
        <v/>
      </c>
      <c r="AK16" s="38">
        <f>AK9*AK13*Hypothèses!$D$24</f>
        <v/>
      </c>
      <c r="AL16" s="38">
        <f>AL9*AL13*Hypothèses!$D$24</f>
        <v/>
      </c>
      <c r="AN16" s="38">
        <f>SUM(C16:N16)</f>
        <v/>
      </c>
      <c r="AO16" s="38">
        <f>SUM(O16:Z16)</f>
        <v/>
      </c>
      <c r="AP16" s="38">
        <f>SUM(AA16:AL16)</f>
        <v/>
      </c>
    </row>
    <row r="17">
      <c r="A17" s="9" t="inlineStr">
        <is>
          <t>Résiliations</t>
        </is>
      </c>
      <c r="B17" s="4" t="inlineStr">
        <is>
          <t>abonnés</t>
        </is>
      </c>
      <c r="C17" s="38">
        <f>C13*Hypothèses!$D$26*$D$4</f>
        <v/>
      </c>
      <c r="D17" s="38">
        <f>D13*Hypothèses!$D$26*$D$4</f>
        <v/>
      </c>
      <c r="E17" s="38">
        <f>E13*Hypothèses!$D$26*$D$4</f>
        <v/>
      </c>
      <c r="F17" s="38">
        <f>F13*Hypothèses!$D$26*$D$4</f>
        <v/>
      </c>
      <c r="G17" s="38">
        <f>G13*Hypothèses!$D$26*$D$4</f>
        <v/>
      </c>
      <c r="H17" s="38">
        <f>H13*Hypothèses!$D$26*$D$4</f>
        <v/>
      </c>
      <c r="I17" s="38">
        <f>I13*Hypothèses!$D$26*$D$4</f>
        <v/>
      </c>
      <c r="J17" s="38">
        <f>J13*Hypothèses!$D$26*$D$4</f>
        <v/>
      </c>
      <c r="K17" s="38">
        <f>K13*Hypothèses!$D$26*$D$4</f>
        <v/>
      </c>
      <c r="L17" s="38">
        <f>L13*Hypothèses!$D$26*$D$4</f>
        <v/>
      </c>
      <c r="M17" s="38">
        <f>M13*Hypothèses!$D$26*$D$4</f>
        <v/>
      </c>
      <c r="N17" s="38">
        <f>N13*Hypothèses!$D$26*$D$4</f>
        <v/>
      </c>
      <c r="O17" s="38">
        <f>O13*Hypothèses!$D$26*$D$4</f>
        <v/>
      </c>
      <c r="P17" s="38">
        <f>P13*Hypothèses!$D$26*$D$4</f>
        <v/>
      </c>
      <c r="Q17" s="38">
        <f>Q13*Hypothèses!$D$26*$D$4</f>
        <v/>
      </c>
      <c r="R17" s="38">
        <f>R13*Hypothèses!$D$26*$D$4</f>
        <v/>
      </c>
      <c r="S17" s="38">
        <f>S13*Hypothèses!$D$26*$D$4</f>
        <v/>
      </c>
      <c r="T17" s="38">
        <f>T13*Hypothèses!$D$26*$D$4</f>
        <v/>
      </c>
      <c r="U17" s="38">
        <f>U13*Hypothèses!$D$26*$D$4</f>
        <v/>
      </c>
      <c r="V17" s="38">
        <f>V13*Hypothèses!$D$26*$D$4</f>
        <v/>
      </c>
      <c r="W17" s="38">
        <f>W13*Hypothèses!$D$26*$D$4</f>
        <v/>
      </c>
      <c r="X17" s="38">
        <f>X13*Hypothèses!$D$26*$D$4</f>
        <v/>
      </c>
      <c r="Y17" s="38">
        <f>Y13*Hypothèses!$D$26*$D$4</f>
        <v/>
      </c>
      <c r="Z17" s="38">
        <f>Z13*Hypothèses!$D$26*$D$4</f>
        <v/>
      </c>
      <c r="AA17" s="38">
        <f>AA13*Hypothèses!$D$26*$D$4</f>
        <v/>
      </c>
      <c r="AB17" s="38">
        <f>AB13*Hypothèses!$D$26*$D$4</f>
        <v/>
      </c>
      <c r="AC17" s="38">
        <f>AC13*Hypothèses!$D$26*$D$4</f>
        <v/>
      </c>
      <c r="AD17" s="38">
        <f>AD13*Hypothèses!$D$26*$D$4</f>
        <v/>
      </c>
      <c r="AE17" s="38">
        <f>AE13*Hypothèses!$D$26*$D$4</f>
        <v/>
      </c>
      <c r="AF17" s="38">
        <f>AF13*Hypothèses!$D$26*$D$4</f>
        <v/>
      </c>
      <c r="AG17" s="38">
        <f>AG13*Hypothèses!$D$26*$D$4</f>
        <v/>
      </c>
      <c r="AH17" s="38">
        <f>AH13*Hypothèses!$D$26*$D$4</f>
        <v/>
      </c>
      <c r="AI17" s="38">
        <f>AI13*Hypothèses!$D$26*$D$4</f>
        <v/>
      </c>
      <c r="AJ17" s="38">
        <f>AJ13*Hypothèses!$D$26*$D$4</f>
        <v/>
      </c>
      <c r="AK17" s="38">
        <f>AK13*Hypothèses!$D$26*$D$4</f>
        <v/>
      </c>
      <c r="AL17" s="38">
        <f>AL13*Hypothèses!$D$26*$D$4</f>
        <v/>
      </c>
      <c r="AN17" s="38">
        <f>SUM(C17:N17)</f>
        <v/>
      </c>
      <c r="AO17" s="38">
        <f>SUM(O17:Z17)</f>
        <v/>
      </c>
      <c r="AP17" s="38">
        <f>SUM(AA17:AL17)</f>
        <v/>
      </c>
    </row>
    <row r="18">
      <c r="A18" s="2" t="inlineStr">
        <is>
          <t>Abonnés en fin de mois</t>
        </is>
      </c>
      <c r="B18" s="4" t="inlineStr">
        <is>
          <t>abonnés</t>
        </is>
      </c>
      <c r="C18" s="39">
        <f>C13+C14+C15+C16-C17</f>
        <v/>
      </c>
      <c r="D18" s="39">
        <f>D13+D14+D15+D16-D17</f>
        <v/>
      </c>
      <c r="E18" s="39">
        <f>E13+E14+E15+E16-E17</f>
        <v/>
      </c>
      <c r="F18" s="39">
        <f>F13+F14+F15+F16-F17</f>
        <v/>
      </c>
      <c r="G18" s="39">
        <f>G13+G14+G15+G16-G17</f>
        <v/>
      </c>
      <c r="H18" s="39">
        <f>H13+H14+H15+H16-H17</f>
        <v/>
      </c>
      <c r="I18" s="39">
        <f>I13+I14+I15+I16-I17</f>
        <v/>
      </c>
      <c r="J18" s="39">
        <f>J13+J14+J15+J16-J17</f>
        <v/>
      </c>
      <c r="K18" s="39">
        <f>K13+K14+K15+K16-K17</f>
        <v/>
      </c>
      <c r="L18" s="39">
        <f>L13+L14+L15+L16-L17</f>
        <v/>
      </c>
      <c r="M18" s="39">
        <f>M13+M14+M15+M16-M17</f>
        <v/>
      </c>
      <c r="N18" s="39">
        <f>N13+N14+N15+N16-N17</f>
        <v/>
      </c>
      <c r="O18" s="39">
        <f>O13+O14+O15+O16-O17</f>
        <v/>
      </c>
      <c r="P18" s="39">
        <f>P13+P14+P15+P16-P17</f>
        <v/>
      </c>
      <c r="Q18" s="39">
        <f>Q13+Q14+Q15+Q16-Q17</f>
        <v/>
      </c>
      <c r="R18" s="39">
        <f>R13+R14+R15+R16-R17</f>
        <v/>
      </c>
      <c r="S18" s="39">
        <f>S13+S14+S15+S16-S17</f>
        <v/>
      </c>
      <c r="T18" s="39">
        <f>T13+T14+T15+T16-T17</f>
        <v/>
      </c>
      <c r="U18" s="39">
        <f>U13+U14+U15+U16-U17</f>
        <v/>
      </c>
      <c r="V18" s="39">
        <f>V13+V14+V15+V16-V17</f>
        <v/>
      </c>
      <c r="W18" s="39">
        <f>W13+W14+W15+W16-W17</f>
        <v/>
      </c>
      <c r="X18" s="39">
        <f>X13+X14+X15+X16-X17</f>
        <v/>
      </c>
      <c r="Y18" s="39">
        <f>Y13+Y14+Y15+Y16-Y17</f>
        <v/>
      </c>
      <c r="Z18" s="39">
        <f>Z13+Z14+Z15+Z16-Z17</f>
        <v/>
      </c>
      <c r="AA18" s="39">
        <f>AA13+AA14+AA15+AA16-AA17</f>
        <v/>
      </c>
      <c r="AB18" s="39">
        <f>AB13+AB14+AB15+AB16-AB17</f>
        <v/>
      </c>
      <c r="AC18" s="39">
        <f>AC13+AC14+AC15+AC16-AC17</f>
        <v/>
      </c>
      <c r="AD18" s="39">
        <f>AD13+AD14+AD15+AD16-AD17</f>
        <v/>
      </c>
      <c r="AE18" s="39">
        <f>AE13+AE14+AE15+AE16-AE17</f>
        <v/>
      </c>
      <c r="AF18" s="39">
        <f>AF13+AF14+AF15+AF16-AF17</f>
        <v/>
      </c>
      <c r="AG18" s="39">
        <f>AG13+AG14+AG15+AG16-AG17</f>
        <v/>
      </c>
      <c r="AH18" s="39">
        <f>AH13+AH14+AH15+AH16-AH17</f>
        <v/>
      </c>
      <c r="AI18" s="39">
        <f>AI13+AI14+AI15+AI16-AI17</f>
        <v/>
      </c>
      <c r="AJ18" s="39">
        <f>AJ13+AJ14+AJ15+AJ16-AJ17</f>
        <v/>
      </c>
      <c r="AK18" s="39">
        <f>AK13+AK14+AK15+AK16-AK17</f>
        <v/>
      </c>
      <c r="AL18" s="39">
        <f>AL13+AL14+AL15+AL16-AL17</f>
        <v/>
      </c>
      <c r="AN18" s="39">
        <f>N18</f>
        <v/>
      </c>
      <c r="AO18" s="39">
        <f>Z18</f>
        <v/>
      </c>
      <c r="AP18" s="39">
        <f>AL18</f>
        <v/>
      </c>
    </row>
    <row r="19">
      <c r="A19" s="9" t="inlineStr">
        <is>
          <t>dont Personal</t>
        </is>
      </c>
      <c r="B19" s="4" t="inlineStr">
        <is>
          <t>abonnés</t>
        </is>
      </c>
      <c r="C19" s="38">
        <f>C18*Hypothèses!$D$16</f>
        <v/>
      </c>
      <c r="D19" s="38">
        <f>D18*Hypothèses!$D$16</f>
        <v/>
      </c>
      <c r="E19" s="38">
        <f>E18*Hypothèses!$D$16</f>
        <v/>
      </c>
      <c r="F19" s="38">
        <f>F18*Hypothèses!$D$16</f>
        <v/>
      </c>
      <c r="G19" s="38">
        <f>G18*Hypothèses!$D$16</f>
        <v/>
      </c>
      <c r="H19" s="38">
        <f>H18*Hypothèses!$D$16</f>
        <v/>
      </c>
      <c r="I19" s="38">
        <f>I18*Hypothèses!$D$16</f>
        <v/>
      </c>
      <c r="J19" s="38">
        <f>J18*Hypothèses!$D$16</f>
        <v/>
      </c>
      <c r="K19" s="38">
        <f>K18*Hypothèses!$D$16</f>
        <v/>
      </c>
      <c r="L19" s="38">
        <f>L18*Hypothèses!$D$16</f>
        <v/>
      </c>
      <c r="M19" s="38">
        <f>M18*Hypothèses!$D$16</f>
        <v/>
      </c>
      <c r="N19" s="38">
        <f>N18*Hypothèses!$D$16</f>
        <v/>
      </c>
      <c r="O19" s="38">
        <f>O18*Hypothèses!$D$16</f>
        <v/>
      </c>
      <c r="P19" s="38">
        <f>P18*Hypothèses!$D$16</f>
        <v/>
      </c>
      <c r="Q19" s="38">
        <f>Q18*Hypothèses!$D$16</f>
        <v/>
      </c>
      <c r="R19" s="38">
        <f>R18*Hypothèses!$D$16</f>
        <v/>
      </c>
      <c r="S19" s="38">
        <f>S18*Hypothèses!$D$16</f>
        <v/>
      </c>
      <c r="T19" s="38">
        <f>T18*Hypothèses!$D$16</f>
        <v/>
      </c>
      <c r="U19" s="38">
        <f>U18*Hypothèses!$D$16</f>
        <v/>
      </c>
      <c r="V19" s="38">
        <f>V18*Hypothèses!$D$16</f>
        <v/>
      </c>
      <c r="W19" s="38">
        <f>W18*Hypothèses!$D$16</f>
        <v/>
      </c>
      <c r="X19" s="38">
        <f>X18*Hypothèses!$D$16</f>
        <v/>
      </c>
      <c r="Y19" s="38">
        <f>Y18*Hypothèses!$D$16</f>
        <v/>
      </c>
      <c r="Z19" s="38">
        <f>Z18*Hypothèses!$D$16</f>
        <v/>
      </c>
      <c r="AA19" s="38">
        <f>AA18*Hypothèses!$D$16</f>
        <v/>
      </c>
      <c r="AB19" s="38">
        <f>AB18*Hypothèses!$D$16</f>
        <v/>
      </c>
      <c r="AC19" s="38">
        <f>AC18*Hypothèses!$D$16</f>
        <v/>
      </c>
      <c r="AD19" s="38">
        <f>AD18*Hypothèses!$D$16</f>
        <v/>
      </c>
      <c r="AE19" s="38">
        <f>AE18*Hypothèses!$D$16</f>
        <v/>
      </c>
      <c r="AF19" s="38">
        <f>AF18*Hypothèses!$D$16</f>
        <v/>
      </c>
      <c r="AG19" s="38">
        <f>AG18*Hypothèses!$D$16</f>
        <v/>
      </c>
      <c r="AH19" s="38">
        <f>AH18*Hypothèses!$D$16</f>
        <v/>
      </c>
      <c r="AI19" s="38">
        <f>AI18*Hypothèses!$D$16</f>
        <v/>
      </c>
      <c r="AJ19" s="38">
        <f>AJ18*Hypothèses!$D$16</f>
        <v/>
      </c>
      <c r="AK19" s="38">
        <f>AK18*Hypothèses!$D$16</f>
        <v/>
      </c>
      <c r="AL19" s="38">
        <f>AL18*Hypothèses!$D$16</f>
        <v/>
      </c>
      <c r="AN19" s="38">
        <f>N19</f>
        <v/>
      </c>
      <c r="AO19" s="38">
        <f>Z19</f>
        <v/>
      </c>
      <c r="AP19" s="38">
        <f>AL19</f>
        <v/>
      </c>
    </row>
    <row r="20">
      <c r="A20" s="9" t="inlineStr">
        <is>
          <t>dont Premium</t>
        </is>
      </c>
      <c r="B20" s="4" t="inlineStr">
        <is>
          <t>abonnés</t>
        </is>
      </c>
      <c r="C20" s="38">
        <f>C18*Hypothèses!$D$17</f>
        <v/>
      </c>
      <c r="D20" s="38">
        <f>D18*Hypothèses!$D$17</f>
        <v/>
      </c>
      <c r="E20" s="38">
        <f>E18*Hypothèses!$D$17</f>
        <v/>
      </c>
      <c r="F20" s="38">
        <f>F18*Hypothèses!$D$17</f>
        <v/>
      </c>
      <c r="G20" s="38">
        <f>G18*Hypothèses!$D$17</f>
        <v/>
      </c>
      <c r="H20" s="38">
        <f>H18*Hypothèses!$D$17</f>
        <v/>
      </c>
      <c r="I20" s="38">
        <f>I18*Hypothèses!$D$17</f>
        <v/>
      </c>
      <c r="J20" s="38">
        <f>J18*Hypothèses!$D$17</f>
        <v/>
      </c>
      <c r="K20" s="38">
        <f>K18*Hypothèses!$D$17</f>
        <v/>
      </c>
      <c r="L20" s="38">
        <f>L18*Hypothèses!$D$17</f>
        <v/>
      </c>
      <c r="M20" s="38">
        <f>M18*Hypothèses!$D$17</f>
        <v/>
      </c>
      <c r="N20" s="38">
        <f>N18*Hypothèses!$D$17</f>
        <v/>
      </c>
      <c r="O20" s="38">
        <f>O18*Hypothèses!$D$17</f>
        <v/>
      </c>
      <c r="P20" s="38">
        <f>P18*Hypothèses!$D$17</f>
        <v/>
      </c>
      <c r="Q20" s="38">
        <f>Q18*Hypothèses!$D$17</f>
        <v/>
      </c>
      <c r="R20" s="38">
        <f>R18*Hypothèses!$D$17</f>
        <v/>
      </c>
      <c r="S20" s="38">
        <f>S18*Hypothèses!$D$17</f>
        <v/>
      </c>
      <c r="T20" s="38">
        <f>T18*Hypothèses!$D$17</f>
        <v/>
      </c>
      <c r="U20" s="38">
        <f>U18*Hypothèses!$D$17</f>
        <v/>
      </c>
      <c r="V20" s="38">
        <f>V18*Hypothèses!$D$17</f>
        <v/>
      </c>
      <c r="W20" s="38">
        <f>W18*Hypothèses!$D$17</f>
        <v/>
      </c>
      <c r="X20" s="38">
        <f>X18*Hypothèses!$D$17</f>
        <v/>
      </c>
      <c r="Y20" s="38">
        <f>Y18*Hypothèses!$D$17</f>
        <v/>
      </c>
      <c r="Z20" s="38">
        <f>Z18*Hypothèses!$D$17</f>
        <v/>
      </c>
      <c r="AA20" s="38">
        <f>AA18*Hypothèses!$D$17</f>
        <v/>
      </c>
      <c r="AB20" s="38">
        <f>AB18*Hypothèses!$D$17</f>
        <v/>
      </c>
      <c r="AC20" s="38">
        <f>AC18*Hypothèses!$D$17</f>
        <v/>
      </c>
      <c r="AD20" s="38">
        <f>AD18*Hypothèses!$D$17</f>
        <v/>
      </c>
      <c r="AE20" s="38">
        <f>AE18*Hypothèses!$D$17</f>
        <v/>
      </c>
      <c r="AF20" s="38">
        <f>AF18*Hypothèses!$D$17</f>
        <v/>
      </c>
      <c r="AG20" s="38">
        <f>AG18*Hypothèses!$D$17</f>
        <v/>
      </c>
      <c r="AH20" s="38">
        <f>AH18*Hypothèses!$D$17</f>
        <v/>
      </c>
      <c r="AI20" s="38">
        <f>AI18*Hypothèses!$D$17</f>
        <v/>
      </c>
      <c r="AJ20" s="38">
        <f>AJ18*Hypothèses!$D$17</f>
        <v/>
      </c>
      <c r="AK20" s="38">
        <f>AK18*Hypothèses!$D$17</f>
        <v/>
      </c>
      <c r="AL20" s="38">
        <f>AL18*Hypothèses!$D$17</f>
        <v/>
      </c>
      <c r="AN20" s="38">
        <f>N20</f>
        <v/>
      </c>
      <c r="AO20" s="38">
        <f>Z20</f>
        <v/>
      </c>
      <c r="AP20" s="38">
        <f>AL20</f>
        <v/>
      </c>
    </row>
    <row r="21">
      <c r="A21" s="9" t="inlineStr">
        <is>
          <t>dont Family</t>
        </is>
      </c>
      <c r="B21" s="4" t="inlineStr">
        <is>
          <t>abonnés</t>
        </is>
      </c>
      <c r="C21" s="38">
        <f>C18*Hypothèses!$D$18</f>
        <v/>
      </c>
      <c r="D21" s="38">
        <f>D18*Hypothèses!$D$18</f>
        <v/>
      </c>
      <c r="E21" s="38">
        <f>E18*Hypothèses!$D$18</f>
        <v/>
      </c>
      <c r="F21" s="38">
        <f>F18*Hypothèses!$D$18</f>
        <v/>
      </c>
      <c r="G21" s="38">
        <f>G18*Hypothèses!$D$18</f>
        <v/>
      </c>
      <c r="H21" s="38">
        <f>H18*Hypothèses!$D$18</f>
        <v/>
      </c>
      <c r="I21" s="38">
        <f>I18*Hypothèses!$D$18</f>
        <v/>
      </c>
      <c r="J21" s="38">
        <f>J18*Hypothèses!$D$18</f>
        <v/>
      </c>
      <c r="K21" s="38">
        <f>K18*Hypothèses!$D$18</f>
        <v/>
      </c>
      <c r="L21" s="38">
        <f>L18*Hypothèses!$D$18</f>
        <v/>
      </c>
      <c r="M21" s="38">
        <f>M18*Hypothèses!$D$18</f>
        <v/>
      </c>
      <c r="N21" s="38">
        <f>N18*Hypothèses!$D$18</f>
        <v/>
      </c>
      <c r="O21" s="38">
        <f>O18*Hypothèses!$D$18</f>
        <v/>
      </c>
      <c r="P21" s="38">
        <f>P18*Hypothèses!$D$18</f>
        <v/>
      </c>
      <c r="Q21" s="38">
        <f>Q18*Hypothèses!$D$18</f>
        <v/>
      </c>
      <c r="R21" s="38">
        <f>R18*Hypothèses!$D$18</f>
        <v/>
      </c>
      <c r="S21" s="38">
        <f>S18*Hypothèses!$D$18</f>
        <v/>
      </c>
      <c r="T21" s="38">
        <f>T18*Hypothèses!$D$18</f>
        <v/>
      </c>
      <c r="U21" s="38">
        <f>U18*Hypothèses!$D$18</f>
        <v/>
      </c>
      <c r="V21" s="38">
        <f>V18*Hypothèses!$D$18</f>
        <v/>
      </c>
      <c r="W21" s="38">
        <f>W18*Hypothèses!$D$18</f>
        <v/>
      </c>
      <c r="X21" s="38">
        <f>X18*Hypothèses!$D$18</f>
        <v/>
      </c>
      <c r="Y21" s="38">
        <f>Y18*Hypothèses!$D$18</f>
        <v/>
      </c>
      <c r="Z21" s="38">
        <f>Z18*Hypothèses!$D$18</f>
        <v/>
      </c>
      <c r="AA21" s="38">
        <f>AA18*Hypothèses!$D$18</f>
        <v/>
      </c>
      <c r="AB21" s="38">
        <f>AB18*Hypothèses!$D$18</f>
        <v/>
      </c>
      <c r="AC21" s="38">
        <f>AC18*Hypothèses!$D$18</f>
        <v/>
      </c>
      <c r="AD21" s="38">
        <f>AD18*Hypothèses!$D$18</f>
        <v/>
      </c>
      <c r="AE21" s="38">
        <f>AE18*Hypothèses!$D$18</f>
        <v/>
      </c>
      <c r="AF21" s="38">
        <f>AF18*Hypothèses!$D$18</f>
        <v/>
      </c>
      <c r="AG21" s="38">
        <f>AG18*Hypothèses!$D$18</f>
        <v/>
      </c>
      <c r="AH21" s="38">
        <f>AH18*Hypothèses!$D$18</f>
        <v/>
      </c>
      <c r="AI21" s="38">
        <f>AI18*Hypothèses!$D$18</f>
        <v/>
      </c>
      <c r="AJ21" s="38">
        <f>AJ18*Hypothèses!$D$18</f>
        <v/>
      </c>
      <c r="AK21" s="38">
        <f>AK18*Hypothèses!$D$18</f>
        <v/>
      </c>
      <c r="AL21" s="38">
        <f>AL18*Hypothèses!$D$18</f>
        <v/>
      </c>
      <c r="AN21" s="38">
        <f>N21</f>
        <v/>
      </c>
      <c r="AO21" s="38">
        <f>Z21</f>
        <v/>
      </c>
      <c r="AP21" s="38">
        <f>AL21</f>
        <v/>
      </c>
    </row>
    <row r="22">
      <c r="A22" s="8" t="inlineStr">
        <is>
          <t>Revenus</t>
        </is>
      </c>
    </row>
    <row r="23">
      <c r="A23" s="9" t="inlineStr">
        <is>
          <t>Facturation Personal TTC</t>
        </is>
      </c>
      <c r="B23" s="4" t="inlineStr">
        <is>
          <t>€ TTC</t>
        </is>
      </c>
      <c r="C23" s="15">
        <f>C19*Hypothèses!$D$12*$C$4</f>
        <v/>
      </c>
      <c r="D23" s="15">
        <f>D19*Hypothèses!$D$12*$C$4</f>
        <v/>
      </c>
      <c r="E23" s="15">
        <f>E19*Hypothèses!$D$12*$C$4</f>
        <v/>
      </c>
      <c r="F23" s="15">
        <f>F19*Hypothèses!$D$12*$C$4</f>
        <v/>
      </c>
      <c r="G23" s="15">
        <f>G19*Hypothèses!$D$12*$C$4</f>
        <v/>
      </c>
      <c r="H23" s="15">
        <f>H19*Hypothèses!$D$12*$C$4</f>
        <v/>
      </c>
      <c r="I23" s="15">
        <f>I19*Hypothèses!$D$12*$C$4</f>
        <v/>
      </c>
      <c r="J23" s="15">
        <f>J19*Hypothèses!$D$12*$C$4</f>
        <v/>
      </c>
      <c r="K23" s="15">
        <f>K19*Hypothèses!$D$12*$C$4</f>
        <v/>
      </c>
      <c r="L23" s="15">
        <f>L19*Hypothèses!$D$12*$C$4</f>
        <v/>
      </c>
      <c r="M23" s="15">
        <f>M19*Hypothèses!$D$12*$C$4</f>
        <v/>
      </c>
      <c r="N23" s="15">
        <f>N19*Hypothèses!$D$12*$C$4</f>
        <v/>
      </c>
      <c r="O23" s="15">
        <f>O19*Hypothèses!$D$12*$C$4</f>
        <v/>
      </c>
      <c r="P23" s="15">
        <f>P19*Hypothèses!$D$12*$C$4</f>
        <v/>
      </c>
      <c r="Q23" s="15">
        <f>Q19*Hypothèses!$D$12*$C$4</f>
        <v/>
      </c>
      <c r="R23" s="15">
        <f>R19*Hypothèses!$D$12*$C$4</f>
        <v/>
      </c>
      <c r="S23" s="15">
        <f>S19*Hypothèses!$D$12*$C$4</f>
        <v/>
      </c>
      <c r="T23" s="15">
        <f>T19*Hypothèses!$D$12*$C$4</f>
        <v/>
      </c>
      <c r="U23" s="15">
        <f>U19*Hypothèses!$D$12*$C$4</f>
        <v/>
      </c>
      <c r="V23" s="15">
        <f>V19*Hypothèses!$D$12*$C$4</f>
        <v/>
      </c>
      <c r="W23" s="15">
        <f>W19*Hypothèses!$D$12*$C$4</f>
        <v/>
      </c>
      <c r="X23" s="15">
        <f>X19*Hypothèses!$D$12*$C$4</f>
        <v/>
      </c>
      <c r="Y23" s="15">
        <f>Y19*Hypothèses!$D$12*$C$4</f>
        <v/>
      </c>
      <c r="Z23" s="15">
        <f>Z19*Hypothèses!$D$12*$C$4</f>
        <v/>
      </c>
      <c r="AA23" s="15">
        <f>AA19*Hypothèses!$D$12*$C$4</f>
        <v/>
      </c>
      <c r="AB23" s="15">
        <f>AB19*Hypothèses!$D$12*$C$4</f>
        <v/>
      </c>
      <c r="AC23" s="15">
        <f>AC19*Hypothèses!$D$12*$C$4</f>
        <v/>
      </c>
      <c r="AD23" s="15">
        <f>AD19*Hypothèses!$D$12*$C$4</f>
        <v/>
      </c>
      <c r="AE23" s="15">
        <f>AE19*Hypothèses!$D$12*$C$4</f>
        <v/>
      </c>
      <c r="AF23" s="15">
        <f>AF19*Hypothèses!$D$12*$C$4</f>
        <v/>
      </c>
      <c r="AG23" s="15">
        <f>AG19*Hypothèses!$D$12*$C$4</f>
        <v/>
      </c>
      <c r="AH23" s="15">
        <f>AH19*Hypothèses!$D$12*$C$4</f>
        <v/>
      </c>
      <c r="AI23" s="15">
        <f>AI19*Hypothèses!$D$12*$C$4</f>
        <v/>
      </c>
      <c r="AJ23" s="15">
        <f>AJ19*Hypothèses!$D$12*$C$4</f>
        <v/>
      </c>
      <c r="AK23" s="15">
        <f>AK19*Hypothèses!$D$12*$C$4</f>
        <v/>
      </c>
      <c r="AL23" s="15">
        <f>AL19*Hypothèses!$D$12*$C$4</f>
        <v/>
      </c>
      <c r="AN23" s="15">
        <f>SUM(C23:N23)</f>
        <v/>
      </c>
      <c r="AO23" s="15">
        <f>SUM(O23:Z23)</f>
        <v/>
      </c>
      <c r="AP23" s="15">
        <f>SUM(AA23:AL23)</f>
        <v/>
      </c>
    </row>
    <row r="24">
      <c r="A24" s="9" t="inlineStr">
        <is>
          <t>Facturation Premium TTC</t>
        </is>
      </c>
      <c r="B24" s="4" t="inlineStr">
        <is>
          <t>€ TTC</t>
        </is>
      </c>
      <c r="C24" s="15">
        <f>C20*Hypothèses!$D$13*$C$4</f>
        <v/>
      </c>
      <c r="D24" s="15">
        <f>D20*Hypothèses!$D$13*$C$4</f>
        <v/>
      </c>
      <c r="E24" s="15">
        <f>E20*Hypothèses!$D$13*$C$4</f>
        <v/>
      </c>
      <c r="F24" s="15">
        <f>F20*Hypothèses!$D$13*$C$4</f>
        <v/>
      </c>
      <c r="G24" s="15">
        <f>G20*Hypothèses!$D$13*$C$4</f>
        <v/>
      </c>
      <c r="H24" s="15">
        <f>H20*Hypothèses!$D$13*$C$4</f>
        <v/>
      </c>
      <c r="I24" s="15">
        <f>I20*Hypothèses!$D$13*$C$4</f>
        <v/>
      </c>
      <c r="J24" s="15">
        <f>J20*Hypothèses!$D$13*$C$4</f>
        <v/>
      </c>
      <c r="K24" s="15">
        <f>K20*Hypothèses!$D$13*$C$4</f>
        <v/>
      </c>
      <c r="L24" s="15">
        <f>L20*Hypothèses!$D$13*$C$4</f>
        <v/>
      </c>
      <c r="M24" s="15">
        <f>M20*Hypothèses!$D$13*$C$4</f>
        <v/>
      </c>
      <c r="N24" s="15">
        <f>N20*Hypothèses!$D$13*$C$4</f>
        <v/>
      </c>
      <c r="O24" s="15">
        <f>O20*Hypothèses!$D$13*$C$4</f>
        <v/>
      </c>
      <c r="P24" s="15">
        <f>P20*Hypothèses!$D$13*$C$4</f>
        <v/>
      </c>
      <c r="Q24" s="15">
        <f>Q20*Hypothèses!$D$13*$C$4</f>
        <v/>
      </c>
      <c r="R24" s="15">
        <f>R20*Hypothèses!$D$13*$C$4</f>
        <v/>
      </c>
      <c r="S24" s="15">
        <f>S20*Hypothèses!$D$13*$C$4</f>
        <v/>
      </c>
      <c r="T24" s="15">
        <f>T20*Hypothèses!$D$13*$C$4</f>
        <v/>
      </c>
      <c r="U24" s="15">
        <f>U20*Hypothèses!$D$13*$C$4</f>
        <v/>
      </c>
      <c r="V24" s="15">
        <f>V20*Hypothèses!$D$13*$C$4</f>
        <v/>
      </c>
      <c r="W24" s="15">
        <f>W20*Hypothèses!$D$13*$C$4</f>
        <v/>
      </c>
      <c r="X24" s="15">
        <f>X20*Hypothèses!$D$13*$C$4</f>
        <v/>
      </c>
      <c r="Y24" s="15">
        <f>Y20*Hypothèses!$D$13*$C$4</f>
        <v/>
      </c>
      <c r="Z24" s="15">
        <f>Z20*Hypothèses!$D$13*$C$4</f>
        <v/>
      </c>
      <c r="AA24" s="15">
        <f>AA20*Hypothèses!$D$13*$C$4</f>
        <v/>
      </c>
      <c r="AB24" s="15">
        <f>AB20*Hypothèses!$D$13*$C$4</f>
        <v/>
      </c>
      <c r="AC24" s="15">
        <f>AC20*Hypothèses!$D$13*$C$4</f>
        <v/>
      </c>
      <c r="AD24" s="15">
        <f>AD20*Hypothèses!$D$13*$C$4</f>
        <v/>
      </c>
      <c r="AE24" s="15">
        <f>AE20*Hypothèses!$D$13*$C$4</f>
        <v/>
      </c>
      <c r="AF24" s="15">
        <f>AF20*Hypothèses!$D$13*$C$4</f>
        <v/>
      </c>
      <c r="AG24" s="15">
        <f>AG20*Hypothèses!$D$13*$C$4</f>
        <v/>
      </c>
      <c r="AH24" s="15">
        <f>AH20*Hypothèses!$D$13*$C$4</f>
        <v/>
      </c>
      <c r="AI24" s="15">
        <f>AI20*Hypothèses!$D$13*$C$4</f>
        <v/>
      </c>
      <c r="AJ24" s="15">
        <f>AJ20*Hypothèses!$D$13*$C$4</f>
        <v/>
      </c>
      <c r="AK24" s="15">
        <f>AK20*Hypothèses!$D$13*$C$4</f>
        <v/>
      </c>
      <c r="AL24" s="15">
        <f>AL20*Hypothèses!$D$13*$C$4</f>
        <v/>
      </c>
      <c r="AN24" s="15">
        <f>SUM(C24:N24)</f>
        <v/>
      </c>
      <c r="AO24" s="15">
        <f>SUM(O24:Z24)</f>
        <v/>
      </c>
      <c r="AP24" s="15">
        <f>SUM(AA24:AL24)</f>
        <v/>
      </c>
    </row>
    <row r="25">
      <c r="A25" s="9" t="inlineStr">
        <is>
          <t>Facturation Family TTC</t>
        </is>
      </c>
      <c r="B25" s="4" t="inlineStr">
        <is>
          <t>€ TTC</t>
        </is>
      </c>
      <c r="C25" s="15">
        <f>C21*Hypothèses!$D$14*$C$4</f>
        <v/>
      </c>
      <c r="D25" s="15">
        <f>D21*Hypothèses!$D$14*$C$4</f>
        <v/>
      </c>
      <c r="E25" s="15">
        <f>E21*Hypothèses!$D$14*$C$4</f>
        <v/>
      </c>
      <c r="F25" s="15">
        <f>F21*Hypothèses!$D$14*$C$4</f>
        <v/>
      </c>
      <c r="G25" s="15">
        <f>G21*Hypothèses!$D$14*$C$4</f>
        <v/>
      </c>
      <c r="H25" s="15">
        <f>H21*Hypothèses!$D$14*$C$4</f>
        <v/>
      </c>
      <c r="I25" s="15">
        <f>I21*Hypothèses!$D$14*$C$4</f>
        <v/>
      </c>
      <c r="J25" s="15">
        <f>J21*Hypothèses!$D$14*$C$4</f>
        <v/>
      </c>
      <c r="K25" s="15">
        <f>K21*Hypothèses!$D$14*$C$4</f>
        <v/>
      </c>
      <c r="L25" s="15">
        <f>L21*Hypothèses!$D$14*$C$4</f>
        <v/>
      </c>
      <c r="M25" s="15">
        <f>M21*Hypothèses!$D$14*$C$4</f>
        <v/>
      </c>
      <c r="N25" s="15">
        <f>N21*Hypothèses!$D$14*$C$4</f>
        <v/>
      </c>
      <c r="O25" s="15">
        <f>O21*Hypothèses!$D$14*$C$4</f>
        <v/>
      </c>
      <c r="P25" s="15">
        <f>P21*Hypothèses!$D$14*$C$4</f>
        <v/>
      </c>
      <c r="Q25" s="15">
        <f>Q21*Hypothèses!$D$14*$C$4</f>
        <v/>
      </c>
      <c r="R25" s="15">
        <f>R21*Hypothèses!$D$14*$C$4</f>
        <v/>
      </c>
      <c r="S25" s="15">
        <f>S21*Hypothèses!$D$14*$C$4</f>
        <v/>
      </c>
      <c r="T25" s="15">
        <f>T21*Hypothèses!$D$14*$C$4</f>
        <v/>
      </c>
      <c r="U25" s="15">
        <f>U21*Hypothèses!$D$14*$C$4</f>
        <v/>
      </c>
      <c r="V25" s="15">
        <f>V21*Hypothèses!$D$14*$C$4</f>
        <v/>
      </c>
      <c r="W25" s="15">
        <f>W21*Hypothèses!$D$14*$C$4</f>
        <v/>
      </c>
      <c r="X25" s="15">
        <f>X21*Hypothèses!$D$14*$C$4</f>
        <v/>
      </c>
      <c r="Y25" s="15">
        <f>Y21*Hypothèses!$D$14*$C$4</f>
        <v/>
      </c>
      <c r="Z25" s="15">
        <f>Z21*Hypothèses!$D$14*$C$4</f>
        <v/>
      </c>
      <c r="AA25" s="15">
        <f>AA21*Hypothèses!$D$14*$C$4</f>
        <v/>
      </c>
      <c r="AB25" s="15">
        <f>AB21*Hypothèses!$D$14*$C$4</f>
        <v/>
      </c>
      <c r="AC25" s="15">
        <f>AC21*Hypothèses!$D$14*$C$4</f>
        <v/>
      </c>
      <c r="AD25" s="15">
        <f>AD21*Hypothèses!$D$14*$C$4</f>
        <v/>
      </c>
      <c r="AE25" s="15">
        <f>AE21*Hypothèses!$D$14*$C$4</f>
        <v/>
      </c>
      <c r="AF25" s="15">
        <f>AF21*Hypothèses!$D$14*$C$4</f>
        <v/>
      </c>
      <c r="AG25" s="15">
        <f>AG21*Hypothèses!$D$14*$C$4</f>
        <v/>
      </c>
      <c r="AH25" s="15">
        <f>AH21*Hypothèses!$D$14*$C$4</f>
        <v/>
      </c>
      <c r="AI25" s="15">
        <f>AI21*Hypothèses!$D$14*$C$4</f>
        <v/>
      </c>
      <c r="AJ25" s="15">
        <f>AJ21*Hypothèses!$D$14*$C$4</f>
        <v/>
      </c>
      <c r="AK25" s="15">
        <f>AK21*Hypothèses!$D$14*$C$4</f>
        <v/>
      </c>
      <c r="AL25" s="15">
        <f>AL21*Hypothèses!$D$14*$C$4</f>
        <v/>
      </c>
      <c r="AN25" s="15">
        <f>SUM(C25:N25)</f>
        <v/>
      </c>
      <c r="AO25" s="15">
        <f>SUM(O25:Z25)</f>
        <v/>
      </c>
      <c r="AP25" s="15">
        <f>SUM(AA25:AL25)</f>
        <v/>
      </c>
    </row>
    <row r="26">
      <c r="A26" s="2" t="inlineStr">
        <is>
          <t>Facturation totale TTC (MRR TTC)</t>
        </is>
      </c>
      <c r="B26" s="4" t="inlineStr">
        <is>
          <t>€ TTC</t>
        </is>
      </c>
      <c r="C26" s="40">
        <f>C23+C24+C25</f>
        <v/>
      </c>
      <c r="D26" s="40">
        <f>D23+D24+D25</f>
        <v/>
      </c>
      <c r="E26" s="40">
        <f>E23+E24+E25</f>
        <v/>
      </c>
      <c r="F26" s="40">
        <f>F23+F24+F25</f>
        <v/>
      </c>
      <c r="G26" s="40">
        <f>G23+G24+G25</f>
        <v/>
      </c>
      <c r="H26" s="40">
        <f>H23+H24+H25</f>
        <v/>
      </c>
      <c r="I26" s="40">
        <f>I23+I24+I25</f>
        <v/>
      </c>
      <c r="J26" s="40">
        <f>J23+J24+J25</f>
        <v/>
      </c>
      <c r="K26" s="40">
        <f>K23+K24+K25</f>
        <v/>
      </c>
      <c r="L26" s="40">
        <f>L23+L24+L25</f>
        <v/>
      </c>
      <c r="M26" s="40">
        <f>M23+M24+M25</f>
        <v/>
      </c>
      <c r="N26" s="40">
        <f>N23+N24+N25</f>
        <v/>
      </c>
      <c r="O26" s="40">
        <f>O23+O24+O25</f>
        <v/>
      </c>
      <c r="P26" s="40">
        <f>P23+P24+P25</f>
        <v/>
      </c>
      <c r="Q26" s="40">
        <f>Q23+Q24+Q25</f>
        <v/>
      </c>
      <c r="R26" s="40">
        <f>R23+R24+R25</f>
        <v/>
      </c>
      <c r="S26" s="40">
        <f>S23+S24+S25</f>
        <v/>
      </c>
      <c r="T26" s="40">
        <f>T23+T24+T25</f>
        <v/>
      </c>
      <c r="U26" s="40">
        <f>U23+U24+U25</f>
        <v/>
      </c>
      <c r="V26" s="40">
        <f>V23+V24+V25</f>
        <v/>
      </c>
      <c r="W26" s="40">
        <f>W23+W24+W25</f>
        <v/>
      </c>
      <c r="X26" s="40">
        <f>X23+X24+X25</f>
        <v/>
      </c>
      <c r="Y26" s="40">
        <f>Y23+Y24+Y25</f>
        <v/>
      </c>
      <c r="Z26" s="40">
        <f>Z23+Z24+Z25</f>
        <v/>
      </c>
      <c r="AA26" s="40">
        <f>AA23+AA24+AA25</f>
        <v/>
      </c>
      <c r="AB26" s="40">
        <f>AB23+AB24+AB25</f>
        <v/>
      </c>
      <c r="AC26" s="40">
        <f>AC23+AC24+AC25</f>
        <v/>
      </c>
      <c r="AD26" s="40">
        <f>AD23+AD24+AD25</f>
        <v/>
      </c>
      <c r="AE26" s="40">
        <f>AE23+AE24+AE25</f>
        <v/>
      </c>
      <c r="AF26" s="40">
        <f>AF23+AF24+AF25</f>
        <v/>
      </c>
      <c r="AG26" s="40">
        <f>AG23+AG24+AG25</f>
        <v/>
      </c>
      <c r="AH26" s="40">
        <f>AH23+AH24+AH25</f>
        <v/>
      </c>
      <c r="AI26" s="40">
        <f>AI23+AI24+AI25</f>
        <v/>
      </c>
      <c r="AJ26" s="40">
        <f>AJ23+AJ24+AJ25</f>
        <v/>
      </c>
      <c r="AK26" s="40">
        <f>AK23+AK24+AK25</f>
        <v/>
      </c>
      <c r="AL26" s="40">
        <f>AL23+AL24+AL25</f>
        <v/>
      </c>
      <c r="AN26" s="40">
        <f>SUM(C26:N26)</f>
        <v/>
      </c>
      <c r="AO26" s="40">
        <f>SUM(O26:Z26)</f>
        <v/>
      </c>
      <c r="AP26" s="40">
        <f>SUM(AA26:AL26)</f>
        <v/>
      </c>
    </row>
    <row r="27">
      <c r="A27" s="9" t="inlineStr">
        <is>
          <t>TVA collectée</t>
        </is>
      </c>
      <c r="B27" s="4" t="inlineStr">
        <is>
          <t>€</t>
        </is>
      </c>
      <c r="C27" s="15">
        <f>C26*Hypothèses!$D$15/(1+Hypothèses!$D$15)</f>
        <v/>
      </c>
      <c r="D27" s="15">
        <f>D26*Hypothèses!$D$15/(1+Hypothèses!$D$15)</f>
        <v/>
      </c>
      <c r="E27" s="15">
        <f>E26*Hypothèses!$D$15/(1+Hypothèses!$D$15)</f>
        <v/>
      </c>
      <c r="F27" s="15">
        <f>F26*Hypothèses!$D$15/(1+Hypothèses!$D$15)</f>
        <v/>
      </c>
      <c r="G27" s="15">
        <f>G26*Hypothèses!$D$15/(1+Hypothèses!$D$15)</f>
        <v/>
      </c>
      <c r="H27" s="15">
        <f>H26*Hypothèses!$D$15/(1+Hypothèses!$D$15)</f>
        <v/>
      </c>
      <c r="I27" s="15">
        <f>I26*Hypothèses!$D$15/(1+Hypothèses!$D$15)</f>
        <v/>
      </c>
      <c r="J27" s="15">
        <f>J26*Hypothèses!$D$15/(1+Hypothèses!$D$15)</f>
        <v/>
      </c>
      <c r="K27" s="15">
        <f>K26*Hypothèses!$D$15/(1+Hypothèses!$D$15)</f>
        <v/>
      </c>
      <c r="L27" s="15">
        <f>L26*Hypothèses!$D$15/(1+Hypothèses!$D$15)</f>
        <v/>
      </c>
      <c r="M27" s="15">
        <f>M26*Hypothèses!$D$15/(1+Hypothèses!$D$15)</f>
        <v/>
      </c>
      <c r="N27" s="15">
        <f>N26*Hypothèses!$D$15/(1+Hypothèses!$D$15)</f>
        <v/>
      </c>
      <c r="O27" s="15">
        <f>O26*Hypothèses!$D$15/(1+Hypothèses!$D$15)</f>
        <v/>
      </c>
      <c r="P27" s="15">
        <f>P26*Hypothèses!$D$15/(1+Hypothèses!$D$15)</f>
        <v/>
      </c>
      <c r="Q27" s="15">
        <f>Q26*Hypothèses!$D$15/(1+Hypothèses!$D$15)</f>
        <v/>
      </c>
      <c r="R27" s="15">
        <f>R26*Hypothèses!$D$15/(1+Hypothèses!$D$15)</f>
        <v/>
      </c>
      <c r="S27" s="15">
        <f>S26*Hypothèses!$D$15/(1+Hypothèses!$D$15)</f>
        <v/>
      </c>
      <c r="T27" s="15">
        <f>T26*Hypothèses!$D$15/(1+Hypothèses!$D$15)</f>
        <v/>
      </c>
      <c r="U27" s="15">
        <f>U26*Hypothèses!$D$15/(1+Hypothèses!$D$15)</f>
        <v/>
      </c>
      <c r="V27" s="15">
        <f>V26*Hypothèses!$D$15/(1+Hypothèses!$D$15)</f>
        <v/>
      </c>
      <c r="W27" s="15">
        <f>W26*Hypothèses!$D$15/(1+Hypothèses!$D$15)</f>
        <v/>
      </c>
      <c r="X27" s="15">
        <f>X26*Hypothèses!$D$15/(1+Hypothèses!$D$15)</f>
        <v/>
      </c>
      <c r="Y27" s="15">
        <f>Y26*Hypothèses!$D$15/(1+Hypothèses!$D$15)</f>
        <v/>
      </c>
      <c r="Z27" s="15">
        <f>Z26*Hypothèses!$D$15/(1+Hypothèses!$D$15)</f>
        <v/>
      </c>
      <c r="AA27" s="15">
        <f>AA26*Hypothèses!$D$15/(1+Hypothèses!$D$15)</f>
        <v/>
      </c>
      <c r="AB27" s="15">
        <f>AB26*Hypothèses!$D$15/(1+Hypothèses!$D$15)</f>
        <v/>
      </c>
      <c r="AC27" s="15">
        <f>AC26*Hypothèses!$D$15/(1+Hypothèses!$D$15)</f>
        <v/>
      </c>
      <c r="AD27" s="15">
        <f>AD26*Hypothèses!$D$15/(1+Hypothèses!$D$15)</f>
        <v/>
      </c>
      <c r="AE27" s="15">
        <f>AE26*Hypothèses!$D$15/(1+Hypothèses!$D$15)</f>
        <v/>
      </c>
      <c r="AF27" s="15">
        <f>AF26*Hypothèses!$D$15/(1+Hypothèses!$D$15)</f>
        <v/>
      </c>
      <c r="AG27" s="15">
        <f>AG26*Hypothèses!$D$15/(1+Hypothèses!$D$15)</f>
        <v/>
      </c>
      <c r="AH27" s="15">
        <f>AH26*Hypothèses!$D$15/(1+Hypothèses!$D$15)</f>
        <v/>
      </c>
      <c r="AI27" s="15">
        <f>AI26*Hypothèses!$D$15/(1+Hypothèses!$D$15)</f>
        <v/>
      </c>
      <c r="AJ27" s="15">
        <f>AJ26*Hypothèses!$D$15/(1+Hypothèses!$D$15)</f>
        <v/>
      </c>
      <c r="AK27" s="15">
        <f>AK26*Hypothèses!$D$15/(1+Hypothèses!$D$15)</f>
        <v/>
      </c>
      <c r="AL27" s="15">
        <f>AL26*Hypothèses!$D$15/(1+Hypothèses!$D$15)</f>
        <v/>
      </c>
      <c r="AN27" s="15">
        <f>SUM(C27:N27)</f>
        <v/>
      </c>
      <c r="AO27" s="15">
        <f>SUM(O27:Z27)</f>
        <v/>
      </c>
      <c r="AP27" s="15">
        <f>SUM(AA27:AL27)</f>
        <v/>
      </c>
    </row>
    <row r="28">
      <c r="A28" s="2" t="inlineStr">
        <is>
          <t>Chiffre d'affaires HT</t>
        </is>
      </c>
      <c r="B28" s="4" t="inlineStr">
        <is>
          <t>€ HT</t>
        </is>
      </c>
      <c r="C28" s="40">
        <f>C26-C27</f>
        <v/>
      </c>
      <c r="D28" s="40">
        <f>D26-D27</f>
        <v/>
      </c>
      <c r="E28" s="40">
        <f>E26-E27</f>
        <v/>
      </c>
      <c r="F28" s="40">
        <f>F26-F27</f>
        <v/>
      </c>
      <c r="G28" s="40">
        <f>G26-G27</f>
        <v/>
      </c>
      <c r="H28" s="40">
        <f>H26-H27</f>
        <v/>
      </c>
      <c r="I28" s="40">
        <f>I26-I27</f>
        <v/>
      </c>
      <c r="J28" s="40">
        <f>J26-J27</f>
        <v/>
      </c>
      <c r="K28" s="40">
        <f>K26-K27</f>
        <v/>
      </c>
      <c r="L28" s="40">
        <f>L26-L27</f>
        <v/>
      </c>
      <c r="M28" s="40">
        <f>M26-M27</f>
        <v/>
      </c>
      <c r="N28" s="40">
        <f>N26-N27</f>
        <v/>
      </c>
      <c r="O28" s="40">
        <f>O26-O27</f>
        <v/>
      </c>
      <c r="P28" s="40">
        <f>P26-P27</f>
        <v/>
      </c>
      <c r="Q28" s="40">
        <f>Q26-Q27</f>
        <v/>
      </c>
      <c r="R28" s="40">
        <f>R26-R27</f>
        <v/>
      </c>
      <c r="S28" s="40">
        <f>S26-S27</f>
        <v/>
      </c>
      <c r="T28" s="40">
        <f>T26-T27</f>
        <v/>
      </c>
      <c r="U28" s="40">
        <f>U26-U27</f>
        <v/>
      </c>
      <c r="V28" s="40">
        <f>V26-V27</f>
        <v/>
      </c>
      <c r="W28" s="40">
        <f>W26-W27</f>
        <v/>
      </c>
      <c r="X28" s="40">
        <f>X26-X27</f>
        <v/>
      </c>
      <c r="Y28" s="40">
        <f>Y26-Y27</f>
        <v/>
      </c>
      <c r="Z28" s="40">
        <f>Z26-Z27</f>
        <v/>
      </c>
      <c r="AA28" s="40">
        <f>AA26-AA27</f>
        <v/>
      </c>
      <c r="AB28" s="40">
        <f>AB26-AB27</f>
        <v/>
      </c>
      <c r="AC28" s="40">
        <f>AC26-AC27</f>
        <v/>
      </c>
      <c r="AD28" s="40">
        <f>AD26-AD27</f>
        <v/>
      </c>
      <c r="AE28" s="40">
        <f>AE26-AE27</f>
        <v/>
      </c>
      <c r="AF28" s="40">
        <f>AF26-AF27</f>
        <v/>
      </c>
      <c r="AG28" s="40">
        <f>AG26-AG27</f>
        <v/>
      </c>
      <c r="AH28" s="40">
        <f>AH26-AH27</f>
        <v/>
      </c>
      <c r="AI28" s="40">
        <f>AI26-AI27</f>
        <v/>
      </c>
      <c r="AJ28" s="40">
        <f>AJ26-AJ27</f>
        <v/>
      </c>
      <c r="AK28" s="40">
        <f>AK26-AK27</f>
        <v/>
      </c>
      <c r="AL28" s="40">
        <f>AL26-AL27</f>
        <v/>
      </c>
      <c r="AN28" s="40">
        <f>SUM(C28:N28)</f>
        <v/>
      </c>
      <c r="AO28" s="40">
        <f>SUM(O28:Z28)</f>
        <v/>
      </c>
      <c r="AP28" s="40">
        <f>SUM(AA28:AL28)</f>
        <v/>
      </c>
    </row>
    <row r="29">
      <c r="A29" s="9" t="inlineStr">
        <is>
          <t>Impayés (TTC)</t>
        </is>
      </c>
      <c r="B29" s="4" t="inlineStr">
        <is>
          <t>€ TTC</t>
        </is>
      </c>
      <c r="C29" s="15">
        <f>C26*Hypothèses!$D$27</f>
        <v/>
      </c>
      <c r="D29" s="15">
        <f>D26*Hypothèses!$D$27</f>
        <v/>
      </c>
      <c r="E29" s="15">
        <f>E26*Hypothèses!$D$27</f>
        <v/>
      </c>
      <c r="F29" s="15">
        <f>F26*Hypothèses!$D$27</f>
        <v/>
      </c>
      <c r="G29" s="15">
        <f>G26*Hypothèses!$D$27</f>
        <v/>
      </c>
      <c r="H29" s="15">
        <f>H26*Hypothèses!$D$27</f>
        <v/>
      </c>
      <c r="I29" s="15">
        <f>I26*Hypothèses!$D$27</f>
        <v/>
      </c>
      <c r="J29" s="15">
        <f>J26*Hypothèses!$D$27</f>
        <v/>
      </c>
      <c r="K29" s="15">
        <f>K26*Hypothèses!$D$27</f>
        <v/>
      </c>
      <c r="L29" s="15">
        <f>L26*Hypothèses!$D$27</f>
        <v/>
      </c>
      <c r="M29" s="15">
        <f>M26*Hypothèses!$D$27</f>
        <v/>
      </c>
      <c r="N29" s="15">
        <f>N26*Hypothèses!$D$27</f>
        <v/>
      </c>
      <c r="O29" s="15">
        <f>O26*Hypothèses!$D$27</f>
        <v/>
      </c>
      <c r="P29" s="15">
        <f>P26*Hypothèses!$D$27</f>
        <v/>
      </c>
      <c r="Q29" s="15">
        <f>Q26*Hypothèses!$D$27</f>
        <v/>
      </c>
      <c r="R29" s="15">
        <f>R26*Hypothèses!$D$27</f>
        <v/>
      </c>
      <c r="S29" s="15">
        <f>S26*Hypothèses!$D$27</f>
        <v/>
      </c>
      <c r="T29" s="15">
        <f>T26*Hypothèses!$D$27</f>
        <v/>
      </c>
      <c r="U29" s="15">
        <f>U26*Hypothèses!$D$27</f>
        <v/>
      </c>
      <c r="V29" s="15">
        <f>V26*Hypothèses!$D$27</f>
        <v/>
      </c>
      <c r="W29" s="15">
        <f>W26*Hypothèses!$D$27</f>
        <v/>
      </c>
      <c r="X29" s="15">
        <f>X26*Hypothèses!$D$27</f>
        <v/>
      </c>
      <c r="Y29" s="15">
        <f>Y26*Hypothèses!$D$27</f>
        <v/>
      </c>
      <c r="Z29" s="15">
        <f>Z26*Hypothèses!$D$27</f>
        <v/>
      </c>
      <c r="AA29" s="15">
        <f>AA26*Hypothèses!$D$27</f>
        <v/>
      </c>
      <c r="AB29" s="15">
        <f>AB26*Hypothèses!$D$27</f>
        <v/>
      </c>
      <c r="AC29" s="15">
        <f>AC26*Hypothèses!$D$27</f>
        <v/>
      </c>
      <c r="AD29" s="15">
        <f>AD26*Hypothèses!$D$27</f>
        <v/>
      </c>
      <c r="AE29" s="15">
        <f>AE26*Hypothèses!$D$27</f>
        <v/>
      </c>
      <c r="AF29" s="15">
        <f>AF26*Hypothèses!$D$27</f>
        <v/>
      </c>
      <c r="AG29" s="15">
        <f>AG26*Hypothèses!$D$27</f>
        <v/>
      </c>
      <c r="AH29" s="15">
        <f>AH26*Hypothèses!$D$27</f>
        <v/>
      </c>
      <c r="AI29" s="15">
        <f>AI26*Hypothèses!$D$27</f>
        <v/>
      </c>
      <c r="AJ29" s="15">
        <f>AJ26*Hypothèses!$D$27</f>
        <v/>
      </c>
      <c r="AK29" s="15">
        <f>AK26*Hypothèses!$D$27</f>
        <v/>
      </c>
      <c r="AL29" s="15">
        <f>AL26*Hypothèses!$D$27</f>
        <v/>
      </c>
      <c r="AN29" s="15">
        <f>SUM(C29:N29)</f>
        <v/>
      </c>
      <c r="AO29" s="15">
        <f>SUM(O29:Z29)</f>
        <v/>
      </c>
      <c r="AP29" s="15">
        <f>SUM(AA29:AL29)</f>
        <v/>
      </c>
    </row>
    <row r="30">
      <c r="A30" s="9" t="inlineStr">
        <is>
          <t>Frais de paiement</t>
        </is>
      </c>
      <c r="B30" s="4" t="inlineStr">
        <is>
          <t>€</t>
        </is>
      </c>
      <c r="C30" s="15">
        <f>(C26-C29)*Hypothèses!$D$28+C18*Hypothèses!$D$29</f>
        <v/>
      </c>
      <c r="D30" s="15">
        <f>(D26-D29)*Hypothèses!$D$28+D18*Hypothèses!$D$29</f>
        <v/>
      </c>
      <c r="E30" s="15">
        <f>(E26-E29)*Hypothèses!$D$28+E18*Hypothèses!$D$29</f>
        <v/>
      </c>
      <c r="F30" s="15">
        <f>(F26-F29)*Hypothèses!$D$28+F18*Hypothèses!$D$29</f>
        <v/>
      </c>
      <c r="G30" s="15">
        <f>(G26-G29)*Hypothèses!$D$28+G18*Hypothèses!$D$29</f>
        <v/>
      </c>
      <c r="H30" s="15">
        <f>(H26-H29)*Hypothèses!$D$28+H18*Hypothèses!$D$29</f>
        <v/>
      </c>
      <c r="I30" s="15">
        <f>(I26-I29)*Hypothèses!$D$28+I18*Hypothèses!$D$29</f>
        <v/>
      </c>
      <c r="J30" s="15">
        <f>(J26-J29)*Hypothèses!$D$28+J18*Hypothèses!$D$29</f>
        <v/>
      </c>
      <c r="K30" s="15">
        <f>(K26-K29)*Hypothèses!$D$28+K18*Hypothèses!$D$29</f>
        <v/>
      </c>
      <c r="L30" s="15">
        <f>(L26-L29)*Hypothèses!$D$28+L18*Hypothèses!$D$29</f>
        <v/>
      </c>
      <c r="M30" s="15">
        <f>(M26-M29)*Hypothèses!$D$28+M18*Hypothèses!$D$29</f>
        <v/>
      </c>
      <c r="N30" s="15">
        <f>(N26-N29)*Hypothèses!$D$28+N18*Hypothèses!$D$29</f>
        <v/>
      </c>
      <c r="O30" s="15">
        <f>(O26-O29)*Hypothèses!$D$28+O18*Hypothèses!$D$29</f>
        <v/>
      </c>
      <c r="P30" s="15">
        <f>(P26-P29)*Hypothèses!$D$28+P18*Hypothèses!$D$29</f>
        <v/>
      </c>
      <c r="Q30" s="15">
        <f>(Q26-Q29)*Hypothèses!$D$28+Q18*Hypothèses!$D$29</f>
        <v/>
      </c>
      <c r="R30" s="15">
        <f>(R26-R29)*Hypothèses!$D$28+R18*Hypothèses!$D$29</f>
        <v/>
      </c>
      <c r="S30" s="15">
        <f>(S26-S29)*Hypothèses!$D$28+S18*Hypothèses!$D$29</f>
        <v/>
      </c>
      <c r="T30" s="15">
        <f>(T26-T29)*Hypothèses!$D$28+T18*Hypothèses!$D$29</f>
        <v/>
      </c>
      <c r="U30" s="15">
        <f>(U26-U29)*Hypothèses!$D$28+U18*Hypothèses!$D$29</f>
        <v/>
      </c>
      <c r="V30" s="15">
        <f>(V26-V29)*Hypothèses!$D$28+V18*Hypothèses!$D$29</f>
        <v/>
      </c>
      <c r="W30" s="15">
        <f>(W26-W29)*Hypothèses!$D$28+W18*Hypothèses!$D$29</f>
        <v/>
      </c>
      <c r="X30" s="15">
        <f>(X26-X29)*Hypothèses!$D$28+X18*Hypothèses!$D$29</f>
        <v/>
      </c>
      <c r="Y30" s="15">
        <f>(Y26-Y29)*Hypothèses!$D$28+Y18*Hypothèses!$D$29</f>
        <v/>
      </c>
      <c r="Z30" s="15">
        <f>(Z26-Z29)*Hypothèses!$D$28+Z18*Hypothèses!$D$29</f>
        <v/>
      </c>
      <c r="AA30" s="15">
        <f>(AA26-AA29)*Hypothèses!$D$28+AA18*Hypothèses!$D$29</f>
        <v/>
      </c>
      <c r="AB30" s="15">
        <f>(AB26-AB29)*Hypothèses!$D$28+AB18*Hypothèses!$D$29</f>
        <v/>
      </c>
      <c r="AC30" s="15">
        <f>(AC26-AC29)*Hypothèses!$D$28+AC18*Hypothèses!$D$29</f>
        <v/>
      </c>
      <c r="AD30" s="15">
        <f>(AD26-AD29)*Hypothèses!$D$28+AD18*Hypothèses!$D$29</f>
        <v/>
      </c>
      <c r="AE30" s="15">
        <f>(AE26-AE29)*Hypothèses!$D$28+AE18*Hypothèses!$D$29</f>
        <v/>
      </c>
      <c r="AF30" s="15">
        <f>(AF26-AF29)*Hypothèses!$D$28+AF18*Hypothèses!$D$29</f>
        <v/>
      </c>
      <c r="AG30" s="15">
        <f>(AG26-AG29)*Hypothèses!$D$28+AG18*Hypothèses!$D$29</f>
        <v/>
      </c>
      <c r="AH30" s="15">
        <f>(AH26-AH29)*Hypothèses!$D$28+AH18*Hypothèses!$D$29</f>
        <v/>
      </c>
      <c r="AI30" s="15">
        <f>(AI26-AI29)*Hypothèses!$D$28+AI18*Hypothèses!$D$29</f>
        <v/>
      </c>
      <c r="AJ30" s="15">
        <f>(AJ26-AJ29)*Hypothèses!$D$28+AJ18*Hypothèses!$D$29</f>
        <v/>
      </c>
      <c r="AK30" s="15">
        <f>(AK26-AK29)*Hypothèses!$D$28+AK18*Hypothèses!$D$29</f>
        <v/>
      </c>
      <c r="AL30" s="15">
        <f>(AL26-AL29)*Hypothèses!$D$28+AL18*Hypothèses!$D$29</f>
        <v/>
      </c>
      <c r="AN30" s="15">
        <f>SUM(C30:N30)</f>
        <v/>
      </c>
      <c r="AO30" s="15">
        <f>SUM(O30:Z30)</f>
        <v/>
      </c>
      <c r="AP30" s="15">
        <f>SUM(AA30:AL30)</f>
        <v/>
      </c>
    </row>
    <row r="31">
      <c r="A31" s="2" t="inlineStr">
        <is>
          <t>Encaissements nets TTC</t>
        </is>
      </c>
      <c r="B31" s="4" t="inlineStr">
        <is>
          <t>€ TTC</t>
        </is>
      </c>
      <c r="C31" s="40">
        <f>C26-C29-C30</f>
        <v/>
      </c>
      <c r="D31" s="40">
        <f>D26-D29-D30</f>
        <v/>
      </c>
      <c r="E31" s="40">
        <f>E26-E29-E30</f>
        <v/>
      </c>
      <c r="F31" s="40">
        <f>F26-F29-F30</f>
        <v/>
      </c>
      <c r="G31" s="40">
        <f>G26-G29-G30</f>
        <v/>
      </c>
      <c r="H31" s="40">
        <f>H26-H29-H30</f>
        <v/>
      </c>
      <c r="I31" s="40">
        <f>I26-I29-I30</f>
        <v/>
      </c>
      <c r="J31" s="40">
        <f>J26-J29-J30</f>
        <v/>
      </c>
      <c r="K31" s="40">
        <f>K26-K29-K30</f>
        <v/>
      </c>
      <c r="L31" s="40">
        <f>L26-L29-L30</f>
        <v/>
      </c>
      <c r="M31" s="40">
        <f>M26-M29-M30</f>
        <v/>
      </c>
      <c r="N31" s="40">
        <f>N26-N29-N30</f>
        <v/>
      </c>
      <c r="O31" s="40">
        <f>O26-O29-O30</f>
        <v/>
      </c>
      <c r="P31" s="40">
        <f>P26-P29-P30</f>
        <v/>
      </c>
      <c r="Q31" s="40">
        <f>Q26-Q29-Q30</f>
        <v/>
      </c>
      <c r="R31" s="40">
        <f>R26-R29-R30</f>
        <v/>
      </c>
      <c r="S31" s="40">
        <f>S26-S29-S30</f>
        <v/>
      </c>
      <c r="T31" s="40">
        <f>T26-T29-T30</f>
        <v/>
      </c>
      <c r="U31" s="40">
        <f>U26-U29-U30</f>
        <v/>
      </c>
      <c r="V31" s="40">
        <f>V26-V29-V30</f>
        <v/>
      </c>
      <c r="W31" s="40">
        <f>W26-W29-W30</f>
        <v/>
      </c>
      <c r="X31" s="40">
        <f>X26-X29-X30</f>
        <v/>
      </c>
      <c r="Y31" s="40">
        <f>Y26-Y29-Y30</f>
        <v/>
      </c>
      <c r="Z31" s="40">
        <f>Z26-Z29-Z30</f>
        <v/>
      </c>
      <c r="AA31" s="40">
        <f>AA26-AA29-AA30</f>
        <v/>
      </c>
      <c r="AB31" s="40">
        <f>AB26-AB29-AB30</f>
        <v/>
      </c>
      <c r="AC31" s="40">
        <f>AC26-AC29-AC30</f>
        <v/>
      </c>
      <c r="AD31" s="40">
        <f>AD26-AD29-AD30</f>
        <v/>
      </c>
      <c r="AE31" s="40">
        <f>AE26-AE29-AE30</f>
        <v/>
      </c>
      <c r="AF31" s="40">
        <f>AF26-AF29-AF30</f>
        <v/>
      </c>
      <c r="AG31" s="40">
        <f>AG26-AG29-AG30</f>
        <v/>
      </c>
      <c r="AH31" s="40">
        <f>AH26-AH29-AH30</f>
        <v/>
      </c>
      <c r="AI31" s="40">
        <f>AI26-AI29-AI30</f>
        <v/>
      </c>
      <c r="AJ31" s="40">
        <f>AJ26-AJ29-AJ30</f>
        <v/>
      </c>
      <c r="AK31" s="40">
        <f>AK26-AK29-AK30</f>
        <v/>
      </c>
      <c r="AL31" s="40">
        <f>AL26-AL29-AL30</f>
        <v/>
      </c>
      <c r="AN31" s="40">
        <f>SUM(C31:N31)</f>
        <v/>
      </c>
      <c r="AO31" s="40">
        <f>SUM(O31:Z31)</f>
        <v/>
      </c>
      <c r="AP31" s="40">
        <f>SUM(AA31:AL31)</f>
        <v/>
      </c>
    </row>
    <row r="32">
      <c r="A32" s="8" t="inlineStr">
        <is>
          <t>Coûts variables</t>
        </is>
      </c>
    </row>
    <row r="33">
      <c r="A33" s="9" t="inlineStr">
        <is>
          <t>Coût IA et outils (missions × coût par mission)</t>
        </is>
      </c>
      <c r="B33" s="4" t="inlineStr">
        <is>
          <t>€ HT</t>
        </is>
      </c>
      <c r="C33" s="15">
        <f>(C19*Hypothèses!$D$31+C20*Hypothèses!$D$32+C21*Hypothèses!$D$33)*Hypothèses!$D$34*$F$4</f>
        <v/>
      </c>
      <c r="D33" s="15">
        <f>(D19*Hypothèses!$D$31+D20*Hypothèses!$D$32+D21*Hypothèses!$D$33)*Hypothèses!$D$34*$F$4</f>
        <v/>
      </c>
      <c r="E33" s="15">
        <f>(E19*Hypothèses!$D$31+E20*Hypothèses!$D$32+E21*Hypothèses!$D$33)*Hypothèses!$D$34*$F$4</f>
        <v/>
      </c>
      <c r="F33" s="15">
        <f>(F19*Hypothèses!$D$31+F20*Hypothèses!$D$32+F21*Hypothèses!$D$33)*Hypothèses!$D$34*$F$4</f>
        <v/>
      </c>
      <c r="G33" s="15">
        <f>(G19*Hypothèses!$D$31+G20*Hypothèses!$D$32+G21*Hypothèses!$D$33)*Hypothèses!$D$34*$F$4</f>
        <v/>
      </c>
      <c r="H33" s="15">
        <f>(H19*Hypothèses!$D$31+H20*Hypothèses!$D$32+H21*Hypothèses!$D$33)*Hypothèses!$D$34*$F$4</f>
        <v/>
      </c>
      <c r="I33" s="15">
        <f>(I19*Hypothèses!$D$31+I20*Hypothèses!$D$32+I21*Hypothèses!$D$33)*Hypothèses!$D$34*$F$4</f>
        <v/>
      </c>
      <c r="J33" s="15">
        <f>(J19*Hypothèses!$D$31+J20*Hypothèses!$D$32+J21*Hypothèses!$D$33)*Hypothèses!$D$34*$F$4</f>
        <v/>
      </c>
      <c r="K33" s="15">
        <f>(K19*Hypothèses!$D$31+K20*Hypothèses!$D$32+K21*Hypothèses!$D$33)*Hypothèses!$D$34*$F$4</f>
        <v/>
      </c>
      <c r="L33" s="15">
        <f>(L19*Hypothèses!$D$31+L20*Hypothèses!$D$32+L21*Hypothèses!$D$33)*Hypothèses!$D$34*$F$4</f>
        <v/>
      </c>
      <c r="M33" s="15">
        <f>(M19*Hypothèses!$D$31+M20*Hypothèses!$D$32+M21*Hypothèses!$D$33)*Hypothèses!$D$34*$F$4</f>
        <v/>
      </c>
      <c r="N33" s="15">
        <f>(N19*Hypothèses!$D$31+N20*Hypothèses!$D$32+N21*Hypothèses!$D$33)*Hypothèses!$D$34*$F$4</f>
        <v/>
      </c>
      <c r="O33" s="15">
        <f>(O19*Hypothèses!$D$31+O20*Hypothèses!$D$32+O21*Hypothèses!$D$33)*Hypothèses!$D$34*$F$4</f>
        <v/>
      </c>
      <c r="P33" s="15">
        <f>(P19*Hypothèses!$D$31+P20*Hypothèses!$D$32+P21*Hypothèses!$D$33)*Hypothèses!$D$34*$F$4</f>
        <v/>
      </c>
      <c r="Q33" s="15">
        <f>(Q19*Hypothèses!$D$31+Q20*Hypothèses!$D$32+Q21*Hypothèses!$D$33)*Hypothèses!$D$34*$F$4</f>
        <v/>
      </c>
      <c r="R33" s="15">
        <f>(R19*Hypothèses!$D$31+R20*Hypothèses!$D$32+R21*Hypothèses!$D$33)*Hypothèses!$D$34*$F$4</f>
        <v/>
      </c>
      <c r="S33" s="15">
        <f>(S19*Hypothèses!$D$31+S20*Hypothèses!$D$32+S21*Hypothèses!$D$33)*Hypothèses!$D$34*$F$4</f>
        <v/>
      </c>
      <c r="T33" s="15">
        <f>(T19*Hypothèses!$D$31+T20*Hypothèses!$D$32+T21*Hypothèses!$D$33)*Hypothèses!$D$34*$F$4</f>
        <v/>
      </c>
      <c r="U33" s="15">
        <f>(U19*Hypothèses!$D$31+U20*Hypothèses!$D$32+U21*Hypothèses!$D$33)*Hypothèses!$D$34*$F$4</f>
        <v/>
      </c>
      <c r="V33" s="15">
        <f>(V19*Hypothèses!$D$31+V20*Hypothèses!$D$32+V21*Hypothèses!$D$33)*Hypothèses!$D$34*$F$4</f>
        <v/>
      </c>
      <c r="W33" s="15">
        <f>(W19*Hypothèses!$D$31+W20*Hypothèses!$D$32+W21*Hypothèses!$D$33)*Hypothèses!$D$34*$F$4</f>
        <v/>
      </c>
      <c r="X33" s="15">
        <f>(X19*Hypothèses!$D$31+X20*Hypothèses!$D$32+X21*Hypothèses!$D$33)*Hypothèses!$D$34*$F$4</f>
        <v/>
      </c>
      <c r="Y33" s="15">
        <f>(Y19*Hypothèses!$D$31+Y20*Hypothèses!$D$32+Y21*Hypothèses!$D$33)*Hypothèses!$D$34*$F$4</f>
        <v/>
      </c>
      <c r="Z33" s="15">
        <f>(Z19*Hypothèses!$D$31+Z20*Hypothèses!$D$32+Z21*Hypothèses!$D$33)*Hypothèses!$D$34*$F$4</f>
        <v/>
      </c>
      <c r="AA33" s="15">
        <f>(AA19*Hypothèses!$D$31+AA20*Hypothèses!$D$32+AA21*Hypothèses!$D$33)*Hypothèses!$D$34*$F$4</f>
        <v/>
      </c>
      <c r="AB33" s="15">
        <f>(AB19*Hypothèses!$D$31+AB20*Hypothèses!$D$32+AB21*Hypothèses!$D$33)*Hypothèses!$D$34*$F$4</f>
        <v/>
      </c>
      <c r="AC33" s="15">
        <f>(AC19*Hypothèses!$D$31+AC20*Hypothèses!$D$32+AC21*Hypothèses!$D$33)*Hypothèses!$D$34*$F$4</f>
        <v/>
      </c>
      <c r="AD33" s="15">
        <f>(AD19*Hypothèses!$D$31+AD20*Hypothèses!$D$32+AD21*Hypothèses!$D$33)*Hypothèses!$D$34*$F$4</f>
        <v/>
      </c>
      <c r="AE33" s="15">
        <f>(AE19*Hypothèses!$D$31+AE20*Hypothèses!$D$32+AE21*Hypothèses!$D$33)*Hypothèses!$D$34*$F$4</f>
        <v/>
      </c>
      <c r="AF33" s="15">
        <f>(AF19*Hypothèses!$D$31+AF20*Hypothèses!$D$32+AF21*Hypothèses!$D$33)*Hypothèses!$D$34*$F$4</f>
        <v/>
      </c>
      <c r="AG33" s="15">
        <f>(AG19*Hypothèses!$D$31+AG20*Hypothèses!$D$32+AG21*Hypothèses!$D$33)*Hypothèses!$D$34*$F$4</f>
        <v/>
      </c>
      <c r="AH33" s="15">
        <f>(AH19*Hypothèses!$D$31+AH20*Hypothèses!$D$32+AH21*Hypothèses!$D$33)*Hypothèses!$D$34*$F$4</f>
        <v/>
      </c>
      <c r="AI33" s="15">
        <f>(AI19*Hypothèses!$D$31+AI20*Hypothèses!$D$32+AI21*Hypothèses!$D$33)*Hypothèses!$D$34*$F$4</f>
        <v/>
      </c>
      <c r="AJ33" s="15">
        <f>(AJ19*Hypothèses!$D$31+AJ20*Hypothèses!$D$32+AJ21*Hypothèses!$D$33)*Hypothèses!$D$34*$F$4</f>
        <v/>
      </c>
      <c r="AK33" s="15">
        <f>(AK19*Hypothèses!$D$31+AK20*Hypothèses!$D$32+AK21*Hypothèses!$D$33)*Hypothèses!$D$34*$F$4</f>
        <v/>
      </c>
      <c r="AL33" s="15">
        <f>(AL19*Hypothèses!$D$31+AL20*Hypothèses!$D$32+AL21*Hypothèses!$D$33)*Hypothèses!$D$34*$F$4</f>
        <v/>
      </c>
      <c r="AN33" s="15">
        <f>SUM(C33:N33)</f>
        <v/>
      </c>
      <c r="AO33" s="15">
        <f>SUM(O33:Z33)</f>
        <v/>
      </c>
      <c r="AP33" s="15">
        <f>SUM(AA33:AL33)</f>
        <v/>
      </c>
    </row>
    <row r="34">
      <c r="A34" s="9" t="inlineStr">
        <is>
          <t>Hébergement, stockage, connecteurs</t>
        </is>
      </c>
      <c r="B34" s="4" t="inlineStr">
        <is>
          <t>€ HT</t>
        </is>
      </c>
      <c r="C34" s="15">
        <f>C18*Hypothèses!$D$35</f>
        <v/>
      </c>
      <c r="D34" s="15">
        <f>D18*Hypothèses!$D$35</f>
        <v/>
      </c>
      <c r="E34" s="15">
        <f>E18*Hypothèses!$D$35</f>
        <v/>
      </c>
      <c r="F34" s="15">
        <f>F18*Hypothèses!$D$35</f>
        <v/>
      </c>
      <c r="G34" s="15">
        <f>G18*Hypothèses!$D$35</f>
        <v/>
      </c>
      <c r="H34" s="15">
        <f>H18*Hypothèses!$D$35</f>
        <v/>
      </c>
      <c r="I34" s="15">
        <f>I18*Hypothèses!$D$35</f>
        <v/>
      </c>
      <c r="J34" s="15">
        <f>J18*Hypothèses!$D$35</f>
        <v/>
      </c>
      <c r="K34" s="15">
        <f>K18*Hypothèses!$D$35</f>
        <v/>
      </c>
      <c r="L34" s="15">
        <f>L18*Hypothèses!$D$35</f>
        <v/>
      </c>
      <c r="M34" s="15">
        <f>M18*Hypothèses!$D$35</f>
        <v/>
      </c>
      <c r="N34" s="15">
        <f>N18*Hypothèses!$D$35</f>
        <v/>
      </c>
      <c r="O34" s="15">
        <f>O18*Hypothèses!$D$35</f>
        <v/>
      </c>
      <c r="P34" s="15">
        <f>P18*Hypothèses!$D$35</f>
        <v/>
      </c>
      <c r="Q34" s="15">
        <f>Q18*Hypothèses!$D$35</f>
        <v/>
      </c>
      <c r="R34" s="15">
        <f>R18*Hypothèses!$D$35</f>
        <v/>
      </c>
      <c r="S34" s="15">
        <f>S18*Hypothèses!$D$35</f>
        <v/>
      </c>
      <c r="T34" s="15">
        <f>T18*Hypothèses!$D$35</f>
        <v/>
      </c>
      <c r="U34" s="15">
        <f>U18*Hypothèses!$D$35</f>
        <v/>
      </c>
      <c r="V34" s="15">
        <f>V18*Hypothèses!$D$35</f>
        <v/>
      </c>
      <c r="W34" s="15">
        <f>W18*Hypothèses!$D$35</f>
        <v/>
      </c>
      <c r="X34" s="15">
        <f>X18*Hypothèses!$D$35</f>
        <v/>
      </c>
      <c r="Y34" s="15">
        <f>Y18*Hypothèses!$D$35</f>
        <v/>
      </c>
      <c r="Z34" s="15">
        <f>Z18*Hypothèses!$D$35</f>
        <v/>
      </c>
      <c r="AA34" s="15">
        <f>AA18*Hypothèses!$D$35</f>
        <v/>
      </c>
      <c r="AB34" s="15">
        <f>AB18*Hypothèses!$D$35</f>
        <v/>
      </c>
      <c r="AC34" s="15">
        <f>AC18*Hypothèses!$D$35</f>
        <v/>
      </c>
      <c r="AD34" s="15">
        <f>AD18*Hypothèses!$D$35</f>
        <v/>
      </c>
      <c r="AE34" s="15">
        <f>AE18*Hypothèses!$D$35</f>
        <v/>
      </c>
      <c r="AF34" s="15">
        <f>AF18*Hypothèses!$D$35</f>
        <v/>
      </c>
      <c r="AG34" s="15">
        <f>AG18*Hypothèses!$D$35</f>
        <v/>
      </c>
      <c r="AH34" s="15">
        <f>AH18*Hypothèses!$D$35</f>
        <v/>
      </c>
      <c r="AI34" s="15">
        <f>AI18*Hypothèses!$D$35</f>
        <v/>
      </c>
      <c r="AJ34" s="15">
        <f>AJ18*Hypothèses!$D$35</f>
        <v/>
      </c>
      <c r="AK34" s="15">
        <f>AK18*Hypothèses!$D$35</f>
        <v/>
      </c>
      <c r="AL34" s="15">
        <f>AL18*Hypothèses!$D$35</f>
        <v/>
      </c>
      <c r="AN34" s="15">
        <f>SUM(C34:N34)</f>
        <v/>
      </c>
      <c r="AO34" s="15">
        <f>SUM(O34:Z34)</f>
        <v/>
      </c>
      <c r="AP34" s="15">
        <f>SUM(AA34:AL34)</f>
        <v/>
      </c>
    </row>
    <row r="35">
      <c r="A35" s="9" t="inlineStr">
        <is>
          <t>Support humain</t>
        </is>
      </c>
      <c r="B35" s="4" t="inlineStr">
        <is>
          <t>€ HT</t>
        </is>
      </c>
      <c r="C35" s="15">
        <f>C18*Hypothèses!$D$36</f>
        <v/>
      </c>
      <c r="D35" s="15">
        <f>D18*Hypothèses!$D$36</f>
        <v/>
      </c>
      <c r="E35" s="15">
        <f>E18*Hypothèses!$D$36</f>
        <v/>
      </c>
      <c r="F35" s="15">
        <f>F18*Hypothèses!$D$36</f>
        <v/>
      </c>
      <c r="G35" s="15">
        <f>G18*Hypothèses!$D$36</f>
        <v/>
      </c>
      <c r="H35" s="15">
        <f>H18*Hypothèses!$D$36</f>
        <v/>
      </c>
      <c r="I35" s="15">
        <f>I18*Hypothèses!$D$36</f>
        <v/>
      </c>
      <c r="J35" s="15">
        <f>J18*Hypothèses!$D$36</f>
        <v/>
      </c>
      <c r="K35" s="15">
        <f>K18*Hypothèses!$D$36</f>
        <v/>
      </c>
      <c r="L35" s="15">
        <f>L18*Hypothèses!$D$36</f>
        <v/>
      </c>
      <c r="M35" s="15">
        <f>M18*Hypothèses!$D$36</f>
        <v/>
      </c>
      <c r="N35" s="15">
        <f>N18*Hypothèses!$D$36</f>
        <v/>
      </c>
      <c r="O35" s="15">
        <f>O18*Hypothèses!$D$36</f>
        <v/>
      </c>
      <c r="P35" s="15">
        <f>P18*Hypothèses!$D$36</f>
        <v/>
      </c>
      <c r="Q35" s="15">
        <f>Q18*Hypothèses!$D$36</f>
        <v/>
      </c>
      <c r="R35" s="15">
        <f>R18*Hypothèses!$D$36</f>
        <v/>
      </c>
      <c r="S35" s="15">
        <f>S18*Hypothèses!$D$36</f>
        <v/>
      </c>
      <c r="T35" s="15">
        <f>T18*Hypothèses!$D$36</f>
        <v/>
      </c>
      <c r="U35" s="15">
        <f>U18*Hypothèses!$D$36</f>
        <v/>
      </c>
      <c r="V35" s="15">
        <f>V18*Hypothèses!$D$36</f>
        <v/>
      </c>
      <c r="W35" s="15">
        <f>W18*Hypothèses!$D$36</f>
        <v/>
      </c>
      <c r="X35" s="15">
        <f>X18*Hypothèses!$D$36</f>
        <v/>
      </c>
      <c r="Y35" s="15">
        <f>Y18*Hypothèses!$D$36</f>
        <v/>
      </c>
      <c r="Z35" s="15">
        <f>Z18*Hypothèses!$D$36</f>
        <v/>
      </c>
      <c r="AA35" s="15">
        <f>AA18*Hypothèses!$D$36</f>
        <v/>
      </c>
      <c r="AB35" s="15">
        <f>AB18*Hypothèses!$D$36</f>
        <v/>
      </c>
      <c r="AC35" s="15">
        <f>AC18*Hypothèses!$D$36</f>
        <v/>
      </c>
      <c r="AD35" s="15">
        <f>AD18*Hypothèses!$D$36</f>
        <v/>
      </c>
      <c r="AE35" s="15">
        <f>AE18*Hypothèses!$D$36</f>
        <v/>
      </c>
      <c r="AF35" s="15">
        <f>AF18*Hypothèses!$D$36</f>
        <v/>
      </c>
      <c r="AG35" s="15">
        <f>AG18*Hypothèses!$D$36</f>
        <v/>
      </c>
      <c r="AH35" s="15">
        <f>AH18*Hypothèses!$D$36</f>
        <v/>
      </c>
      <c r="AI35" s="15">
        <f>AI18*Hypothèses!$D$36</f>
        <v/>
      </c>
      <c r="AJ35" s="15">
        <f>AJ18*Hypothèses!$D$36</f>
        <v/>
      </c>
      <c r="AK35" s="15">
        <f>AK18*Hypothèses!$D$36</f>
        <v/>
      </c>
      <c r="AL35" s="15">
        <f>AL18*Hypothèses!$D$36</f>
        <v/>
      </c>
      <c r="AN35" s="15">
        <f>SUM(C35:N35)</f>
        <v/>
      </c>
      <c r="AO35" s="15">
        <f>SUM(O35:Z35)</f>
        <v/>
      </c>
      <c r="AP35" s="15">
        <f>SUM(AA35:AL35)</f>
        <v/>
      </c>
    </row>
    <row r="36">
      <c r="A36" s="2" t="inlineStr">
        <is>
          <t>Total coûts variables</t>
        </is>
      </c>
      <c r="B36" s="4" t="inlineStr">
        <is>
          <t>€ HT</t>
        </is>
      </c>
      <c r="C36" s="40">
        <f>C33+C34+C35</f>
        <v/>
      </c>
      <c r="D36" s="40">
        <f>D33+D34+D35</f>
        <v/>
      </c>
      <c r="E36" s="40">
        <f>E33+E34+E35</f>
        <v/>
      </c>
      <c r="F36" s="40">
        <f>F33+F34+F35</f>
        <v/>
      </c>
      <c r="G36" s="40">
        <f>G33+G34+G35</f>
        <v/>
      </c>
      <c r="H36" s="40">
        <f>H33+H34+H35</f>
        <v/>
      </c>
      <c r="I36" s="40">
        <f>I33+I34+I35</f>
        <v/>
      </c>
      <c r="J36" s="40">
        <f>J33+J34+J35</f>
        <v/>
      </c>
      <c r="K36" s="40">
        <f>K33+K34+K35</f>
        <v/>
      </c>
      <c r="L36" s="40">
        <f>L33+L34+L35</f>
        <v/>
      </c>
      <c r="M36" s="40">
        <f>M33+M34+M35</f>
        <v/>
      </c>
      <c r="N36" s="40">
        <f>N33+N34+N35</f>
        <v/>
      </c>
      <c r="O36" s="40">
        <f>O33+O34+O35</f>
        <v/>
      </c>
      <c r="P36" s="40">
        <f>P33+P34+P35</f>
        <v/>
      </c>
      <c r="Q36" s="40">
        <f>Q33+Q34+Q35</f>
        <v/>
      </c>
      <c r="R36" s="40">
        <f>R33+R34+R35</f>
        <v/>
      </c>
      <c r="S36" s="40">
        <f>S33+S34+S35</f>
        <v/>
      </c>
      <c r="T36" s="40">
        <f>T33+T34+T35</f>
        <v/>
      </c>
      <c r="U36" s="40">
        <f>U33+U34+U35</f>
        <v/>
      </c>
      <c r="V36" s="40">
        <f>V33+V34+V35</f>
        <v/>
      </c>
      <c r="W36" s="40">
        <f>W33+W34+W35</f>
        <v/>
      </c>
      <c r="X36" s="40">
        <f>X33+X34+X35</f>
        <v/>
      </c>
      <c r="Y36" s="40">
        <f>Y33+Y34+Y35</f>
        <v/>
      </c>
      <c r="Z36" s="40">
        <f>Z33+Z34+Z35</f>
        <v/>
      </c>
      <c r="AA36" s="40">
        <f>AA33+AA34+AA35</f>
        <v/>
      </c>
      <c r="AB36" s="40">
        <f>AB33+AB34+AB35</f>
        <v/>
      </c>
      <c r="AC36" s="40">
        <f>AC33+AC34+AC35</f>
        <v/>
      </c>
      <c r="AD36" s="40">
        <f>AD33+AD34+AD35</f>
        <v/>
      </c>
      <c r="AE36" s="40">
        <f>AE33+AE34+AE35</f>
        <v/>
      </c>
      <c r="AF36" s="40">
        <f>AF33+AF34+AF35</f>
        <v/>
      </c>
      <c r="AG36" s="40">
        <f>AG33+AG34+AG35</f>
        <v/>
      </c>
      <c r="AH36" s="40">
        <f>AH33+AH34+AH35</f>
        <v/>
      </c>
      <c r="AI36" s="40">
        <f>AI33+AI34+AI35</f>
        <v/>
      </c>
      <c r="AJ36" s="40">
        <f>AJ33+AJ34+AJ35</f>
        <v/>
      </c>
      <c r="AK36" s="40">
        <f>AK33+AK34+AK35</f>
        <v/>
      </c>
      <c r="AL36" s="40">
        <f>AL33+AL34+AL35</f>
        <v/>
      </c>
      <c r="AN36" s="40">
        <f>SUM(C36:N36)</f>
        <v/>
      </c>
      <c r="AO36" s="40">
        <f>SUM(O36:Z36)</f>
        <v/>
      </c>
      <c r="AP36" s="40">
        <f>SUM(AA36:AL36)</f>
        <v/>
      </c>
    </row>
    <row r="37">
      <c r="A37" s="2" t="inlineStr">
        <is>
          <t>Marge sur coûts variables (CA HT − variables − frais − impayés HT)</t>
        </is>
      </c>
      <c r="B37" s="4" t="inlineStr">
        <is>
          <t>€ HT</t>
        </is>
      </c>
      <c r="C37" s="40">
        <f>C28-C36-C30-C29/(1+Hypothèses!$D$15)</f>
        <v/>
      </c>
      <c r="D37" s="40">
        <f>D28-D36-D30-D29/(1+Hypothèses!$D$15)</f>
        <v/>
      </c>
      <c r="E37" s="40">
        <f>E28-E36-E30-E29/(1+Hypothèses!$D$15)</f>
        <v/>
      </c>
      <c r="F37" s="40">
        <f>F28-F36-F30-F29/(1+Hypothèses!$D$15)</f>
        <v/>
      </c>
      <c r="G37" s="40">
        <f>G28-G36-G30-G29/(1+Hypothèses!$D$15)</f>
        <v/>
      </c>
      <c r="H37" s="40">
        <f>H28-H36-H30-H29/(1+Hypothèses!$D$15)</f>
        <v/>
      </c>
      <c r="I37" s="40">
        <f>I28-I36-I30-I29/(1+Hypothèses!$D$15)</f>
        <v/>
      </c>
      <c r="J37" s="40">
        <f>J28-J36-J30-J29/(1+Hypothèses!$D$15)</f>
        <v/>
      </c>
      <c r="K37" s="40">
        <f>K28-K36-K30-K29/(1+Hypothèses!$D$15)</f>
        <v/>
      </c>
      <c r="L37" s="40">
        <f>L28-L36-L30-L29/(1+Hypothèses!$D$15)</f>
        <v/>
      </c>
      <c r="M37" s="40">
        <f>M28-M36-M30-M29/(1+Hypothèses!$D$15)</f>
        <v/>
      </c>
      <c r="N37" s="40">
        <f>N28-N36-N30-N29/(1+Hypothèses!$D$15)</f>
        <v/>
      </c>
      <c r="O37" s="40">
        <f>O28-O36-O30-O29/(1+Hypothèses!$D$15)</f>
        <v/>
      </c>
      <c r="P37" s="40">
        <f>P28-P36-P30-P29/(1+Hypothèses!$D$15)</f>
        <v/>
      </c>
      <c r="Q37" s="40">
        <f>Q28-Q36-Q30-Q29/(1+Hypothèses!$D$15)</f>
        <v/>
      </c>
      <c r="R37" s="40">
        <f>R28-R36-R30-R29/(1+Hypothèses!$D$15)</f>
        <v/>
      </c>
      <c r="S37" s="40">
        <f>S28-S36-S30-S29/(1+Hypothèses!$D$15)</f>
        <v/>
      </c>
      <c r="T37" s="40">
        <f>T28-T36-T30-T29/(1+Hypothèses!$D$15)</f>
        <v/>
      </c>
      <c r="U37" s="40">
        <f>U28-U36-U30-U29/(1+Hypothèses!$D$15)</f>
        <v/>
      </c>
      <c r="V37" s="40">
        <f>V28-V36-V30-V29/(1+Hypothèses!$D$15)</f>
        <v/>
      </c>
      <c r="W37" s="40">
        <f>W28-W36-W30-W29/(1+Hypothèses!$D$15)</f>
        <v/>
      </c>
      <c r="X37" s="40">
        <f>X28-X36-X30-X29/(1+Hypothèses!$D$15)</f>
        <v/>
      </c>
      <c r="Y37" s="40">
        <f>Y28-Y36-Y30-Y29/(1+Hypothèses!$D$15)</f>
        <v/>
      </c>
      <c r="Z37" s="40">
        <f>Z28-Z36-Z30-Z29/(1+Hypothèses!$D$15)</f>
        <v/>
      </c>
      <c r="AA37" s="40">
        <f>AA28-AA36-AA30-AA29/(1+Hypothèses!$D$15)</f>
        <v/>
      </c>
      <c r="AB37" s="40">
        <f>AB28-AB36-AB30-AB29/(1+Hypothèses!$D$15)</f>
        <v/>
      </c>
      <c r="AC37" s="40">
        <f>AC28-AC36-AC30-AC29/(1+Hypothèses!$D$15)</f>
        <v/>
      </c>
      <c r="AD37" s="40">
        <f>AD28-AD36-AD30-AD29/(1+Hypothèses!$D$15)</f>
        <v/>
      </c>
      <c r="AE37" s="40">
        <f>AE28-AE36-AE30-AE29/(1+Hypothèses!$D$15)</f>
        <v/>
      </c>
      <c r="AF37" s="40">
        <f>AF28-AF36-AF30-AF29/(1+Hypothèses!$D$15)</f>
        <v/>
      </c>
      <c r="AG37" s="40">
        <f>AG28-AG36-AG30-AG29/(1+Hypothèses!$D$15)</f>
        <v/>
      </c>
      <c r="AH37" s="40">
        <f>AH28-AH36-AH30-AH29/(1+Hypothèses!$D$15)</f>
        <v/>
      </c>
      <c r="AI37" s="40">
        <f>AI28-AI36-AI30-AI29/(1+Hypothèses!$D$15)</f>
        <v/>
      </c>
      <c r="AJ37" s="40">
        <f>AJ28-AJ36-AJ30-AJ29/(1+Hypothèses!$D$15)</f>
        <v/>
      </c>
      <c r="AK37" s="40">
        <f>AK28-AK36-AK30-AK29/(1+Hypothèses!$D$15)</f>
        <v/>
      </c>
      <c r="AL37" s="40">
        <f>AL28-AL36-AL30-AL29/(1+Hypothèses!$D$15)</f>
        <v/>
      </c>
      <c r="AN37" s="40">
        <f>SUM(C37:N37)</f>
        <v/>
      </c>
      <c r="AO37" s="40">
        <f>SUM(O37:Z37)</f>
        <v/>
      </c>
      <c r="AP37" s="40">
        <f>SUM(AA37:AL37)</f>
        <v/>
      </c>
    </row>
    <row r="38">
      <c r="A38" s="8" t="inlineStr">
        <is>
          <t>Acquisition et coûts fixes</t>
        </is>
      </c>
    </row>
    <row r="39">
      <c r="A39" s="9" t="inlineStr">
        <is>
          <t>Dépenses d'acquisition</t>
        </is>
      </c>
      <c r="B39" s="4" t="inlineStr">
        <is>
          <t>€ HT</t>
        </is>
      </c>
      <c r="C39" s="15">
        <f>C11</f>
        <v/>
      </c>
      <c r="D39" s="15">
        <f>D11</f>
        <v/>
      </c>
      <c r="E39" s="15">
        <f>E11</f>
        <v/>
      </c>
      <c r="F39" s="15">
        <f>F11</f>
        <v/>
      </c>
      <c r="G39" s="15">
        <f>G11</f>
        <v/>
      </c>
      <c r="H39" s="15">
        <f>H11</f>
        <v/>
      </c>
      <c r="I39" s="15">
        <f>I11</f>
        <v/>
      </c>
      <c r="J39" s="15">
        <f>J11</f>
        <v/>
      </c>
      <c r="K39" s="15">
        <f>K11</f>
        <v/>
      </c>
      <c r="L39" s="15">
        <f>L11</f>
        <v/>
      </c>
      <c r="M39" s="15">
        <f>M11</f>
        <v/>
      </c>
      <c r="N39" s="15">
        <f>N11</f>
        <v/>
      </c>
      <c r="O39" s="15">
        <f>O11</f>
        <v/>
      </c>
      <c r="P39" s="15">
        <f>P11</f>
        <v/>
      </c>
      <c r="Q39" s="15">
        <f>Q11</f>
        <v/>
      </c>
      <c r="R39" s="15">
        <f>R11</f>
        <v/>
      </c>
      <c r="S39" s="15">
        <f>S11</f>
        <v/>
      </c>
      <c r="T39" s="15">
        <f>T11</f>
        <v/>
      </c>
      <c r="U39" s="15">
        <f>U11</f>
        <v/>
      </c>
      <c r="V39" s="15">
        <f>V11</f>
        <v/>
      </c>
      <c r="W39" s="15">
        <f>W11</f>
        <v/>
      </c>
      <c r="X39" s="15">
        <f>X11</f>
        <v/>
      </c>
      <c r="Y39" s="15">
        <f>Y11</f>
        <v/>
      </c>
      <c r="Z39" s="15">
        <f>Z11</f>
        <v/>
      </c>
      <c r="AA39" s="15">
        <f>AA11</f>
        <v/>
      </c>
      <c r="AB39" s="15">
        <f>AB11</f>
        <v/>
      </c>
      <c r="AC39" s="15">
        <f>AC11</f>
        <v/>
      </c>
      <c r="AD39" s="15">
        <f>AD11</f>
        <v/>
      </c>
      <c r="AE39" s="15">
        <f>AE11</f>
        <v/>
      </c>
      <c r="AF39" s="15">
        <f>AF11</f>
        <v/>
      </c>
      <c r="AG39" s="15">
        <f>AG11</f>
        <v/>
      </c>
      <c r="AH39" s="15">
        <f>AH11</f>
        <v/>
      </c>
      <c r="AI39" s="15">
        <f>AI11</f>
        <v/>
      </c>
      <c r="AJ39" s="15">
        <f>AJ11</f>
        <v/>
      </c>
      <c r="AK39" s="15">
        <f>AK11</f>
        <v/>
      </c>
      <c r="AL39" s="15">
        <f>AL11</f>
        <v/>
      </c>
      <c r="AN39" s="15">
        <f>SUM(C39:N39)</f>
        <v/>
      </c>
      <c r="AO39" s="15">
        <f>SUM(O39:Z39)</f>
        <v/>
      </c>
      <c r="AP39" s="15">
        <f>SUM(AA39:AL39)</f>
        <v/>
      </c>
    </row>
    <row r="40">
      <c r="A40" s="9" t="inlineStr">
        <is>
          <t>Rémunération des fondateurs</t>
        </is>
      </c>
      <c r="B40" s="4" t="inlineStr">
        <is>
          <t>€ HT</t>
        </is>
      </c>
      <c r="C40" s="15">
        <f>IF(C7&gt;=Hypothèses!$D$39,Hypothèses!$D$38*Hypothèses!$D$40,0)*$G$4</f>
        <v/>
      </c>
      <c r="D40" s="15">
        <f>IF(D7&gt;=Hypothèses!$D$39,Hypothèses!$D$38*Hypothèses!$D$40,0)*$G$4</f>
        <v/>
      </c>
      <c r="E40" s="15">
        <f>IF(E7&gt;=Hypothèses!$D$39,Hypothèses!$D$38*Hypothèses!$D$40,0)*$G$4</f>
        <v/>
      </c>
      <c r="F40" s="15">
        <f>IF(F7&gt;=Hypothèses!$D$39,Hypothèses!$D$38*Hypothèses!$D$40,0)*$G$4</f>
        <v/>
      </c>
      <c r="G40" s="15">
        <f>IF(G7&gt;=Hypothèses!$D$39,Hypothèses!$D$38*Hypothèses!$D$40,0)*$G$4</f>
        <v/>
      </c>
      <c r="H40" s="15">
        <f>IF(H7&gt;=Hypothèses!$D$39,Hypothèses!$D$38*Hypothèses!$D$40,0)*$G$4</f>
        <v/>
      </c>
      <c r="I40" s="15">
        <f>IF(I7&gt;=Hypothèses!$D$39,Hypothèses!$D$38*Hypothèses!$D$40,0)*$G$4</f>
        <v/>
      </c>
      <c r="J40" s="15">
        <f>IF(J7&gt;=Hypothèses!$D$39,Hypothèses!$D$38*Hypothèses!$D$40,0)*$G$4</f>
        <v/>
      </c>
      <c r="K40" s="15">
        <f>IF(K7&gt;=Hypothèses!$D$39,Hypothèses!$D$38*Hypothèses!$D$40,0)*$G$4</f>
        <v/>
      </c>
      <c r="L40" s="15">
        <f>IF(L7&gt;=Hypothèses!$D$39,Hypothèses!$D$38*Hypothèses!$D$40,0)*$G$4</f>
        <v/>
      </c>
      <c r="M40" s="15">
        <f>IF(M7&gt;=Hypothèses!$D$39,Hypothèses!$D$38*Hypothèses!$D$40,0)*$G$4</f>
        <v/>
      </c>
      <c r="N40" s="15">
        <f>IF(N7&gt;=Hypothèses!$D$39,Hypothèses!$D$38*Hypothèses!$D$40,0)*$G$4</f>
        <v/>
      </c>
      <c r="O40" s="15">
        <f>IF(O7&gt;=Hypothèses!$D$39,Hypothèses!$D$38*Hypothèses!$D$40,0)*$G$4</f>
        <v/>
      </c>
      <c r="P40" s="15">
        <f>IF(P7&gt;=Hypothèses!$D$39,Hypothèses!$D$38*Hypothèses!$D$40,0)*$G$4</f>
        <v/>
      </c>
      <c r="Q40" s="15">
        <f>IF(Q7&gt;=Hypothèses!$D$39,Hypothèses!$D$38*Hypothèses!$D$40,0)*$G$4</f>
        <v/>
      </c>
      <c r="R40" s="15">
        <f>IF(R7&gt;=Hypothèses!$D$39,Hypothèses!$D$38*Hypothèses!$D$40,0)*$G$4</f>
        <v/>
      </c>
      <c r="S40" s="15">
        <f>IF(S7&gt;=Hypothèses!$D$39,Hypothèses!$D$38*Hypothèses!$D$40,0)*$G$4</f>
        <v/>
      </c>
      <c r="T40" s="15">
        <f>IF(T7&gt;=Hypothèses!$D$39,Hypothèses!$D$38*Hypothèses!$D$40,0)*$G$4</f>
        <v/>
      </c>
      <c r="U40" s="15">
        <f>IF(U7&gt;=Hypothèses!$D$39,Hypothèses!$D$38*Hypothèses!$D$40,0)*$G$4</f>
        <v/>
      </c>
      <c r="V40" s="15">
        <f>IF(V7&gt;=Hypothèses!$D$39,Hypothèses!$D$38*Hypothèses!$D$40,0)*$G$4</f>
        <v/>
      </c>
      <c r="W40" s="15">
        <f>IF(W7&gt;=Hypothèses!$D$39,Hypothèses!$D$38*Hypothèses!$D$40,0)*$G$4</f>
        <v/>
      </c>
      <c r="X40" s="15">
        <f>IF(X7&gt;=Hypothèses!$D$39,Hypothèses!$D$38*Hypothèses!$D$40,0)*$G$4</f>
        <v/>
      </c>
      <c r="Y40" s="15">
        <f>IF(Y7&gt;=Hypothèses!$D$39,Hypothèses!$D$38*Hypothèses!$D$40,0)*$G$4</f>
        <v/>
      </c>
      <c r="Z40" s="15">
        <f>IF(Z7&gt;=Hypothèses!$D$39,Hypothèses!$D$38*Hypothèses!$D$40,0)*$G$4</f>
        <v/>
      </c>
      <c r="AA40" s="15">
        <f>IF(AA7&gt;=Hypothèses!$D$39,Hypothèses!$D$38*Hypothèses!$D$40,0)*$G$4</f>
        <v/>
      </c>
      <c r="AB40" s="15">
        <f>IF(AB7&gt;=Hypothèses!$D$39,Hypothèses!$D$38*Hypothèses!$D$40,0)*$G$4</f>
        <v/>
      </c>
      <c r="AC40" s="15">
        <f>IF(AC7&gt;=Hypothèses!$D$39,Hypothèses!$D$38*Hypothèses!$D$40,0)*$G$4</f>
        <v/>
      </c>
      <c r="AD40" s="15">
        <f>IF(AD7&gt;=Hypothèses!$D$39,Hypothèses!$D$38*Hypothèses!$D$40,0)*$G$4</f>
        <v/>
      </c>
      <c r="AE40" s="15">
        <f>IF(AE7&gt;=Hypothèses!$D$39,Hypothèses!$D$38*Hypothèses!$D$40,0)*$G$4</f>
        <v/>
      </c>
      <c r="AF40" s="15">
        <f>IF(AF7&gt;=Hypothèses!$D$39,Hypothèses!$D$38*Hypothèses!$D$40,0)*$G$4</f>
        <v/>
      </c>
      <c r="AG40" s="15">
        <f>IF(AG7&gt;=Hypothèses!$D$39,Hypothèses!$D$38*Hypothèses!$D$40,0)*$G$4</f>
        <v/>
      </c>
      <c r="AH40" s="15">
        <f>IF(AH7&gt;=Hypothèses!$D$39,Hypothèses!$D$38*Hypothèses!$D$40,0)*$G$4</f>
        <v/>
      </c>
      <c r="AI40" s="15">
        <f>IF(AI7&gt;=Hypothèses!$D$39,Hypothèses!$D$38*Hypothèses!$D$40,0)*$G$4</f>
        <v/>
      </c>
      <c r="AJ40" s="15">
        <f>IF(AJ7&gt;=Hypothèses!$D$39,Hypothèses!$D$38*Hypothèses!$D$40,0)*$G$4</f>
        <v/>
      </c>
      <c r="AK40" s="15">
        <f>IF(AK7&gt;=Hypothèses!$D$39,Hypothèses!$D$38*Hypothèses!$D$40,0)*$G$4</f>
        <v/>
      </c>
      <c r="AL40" s="15">
        <f>IF(AL7&gt;=Hypothèses!$D$39,Hypothèses!$D$38*Hypothèses!$D$40,0)*$G$4</f>
        <v/>
      </c>
      <c r="AN40" s="15">
        <f>SUM(C40:N40)</f>
        <v/>
      </c>
      <c r="AO40" s="15">
        <f>SUM(O40:Z40)</f>
        <v/>
      </c>
      <c r="AP40" s="15">
        <f>SUM(AA40:AL40)</f>
        <v/>
      </c>
    </row>
    <row r="41">
      <c r="A41" s="9" t="inlineStr">
        <is>
          <t>Salarié 1 (growth / customer success)</t>
        </is>
      </c>
      <c r="B41" s="4" t="inlineStr">
        <is>
          <t>€ HT</t>
        </is>
      </c>
      <c r="C41" s="15">
        <f>IF(C7&gt;=Hypothèses!$D$41,Hypothèses!$D$42,0)*$G$4</f>
        <v/>
      </c>
      <c r="D41" s="15">
        <f>IF(D7&gt;=Hypothèses!$D$41,Hypothèses!$D$42,0)*$G$4</f>
        <v/>
      </c>
      <c r="E41" s="15">
        <f>IF(E7&gt;=Hypothèses!$D$41,Hypothèses!$D$42,0)*$G$4</f>
        <v/>
      </c>
      <c r="F41" s="15">
        <f>IF(F7&gt;=Hypothèses!$D$41,Hypothèses!$D$42,0)*$G$4</f>
        <v/>
      </c>
      <c r="G41" s="15">
        <f>IF(G7&gt;=Hypothèses!$D$41,Hypothèses!$D$42,0)*$G$4</f>
        <v/>
      </c>
      <c r="H41" s="15">
        <f>IF(H7&gt;=Hypothèses!$D$41,Hypothèses!$D$42,0)*$G$4</f>
        <v/>
      </c>
      <c r="I41" s="15">
        <f>IF(I7&gt;=Hypothèses!$D$41,Hypothèses!$D$42,0)*$G$4</f>
        <v/>
      </c>
      <c r="J41" s="15">
        <f>IF(J7&gt;=Hypothèses!$D$41,Hypothèses!$D$42,0)*$G$4</f>
        <v/>
      </c>
      <c r="K41" s="15">
        <f>IF(K7&gt;=Hypothèses!$D$41,Hypothèses!$D$42,0)*$G$4</f>
        <v/>
      </c>
      <c r="L41" s="15">
        <f>IF(L7&gt;=Hypothèses!$D$41,Hypothèses!$D$42,0)*$G$4</f>
        <v/>
      </c>
      <c r="M41" s="15">
        <f>IF(M7&gt;=Hypothèses!$D$41,Hypothèses!$D$42,0)*$G$4</f>
        <v/>
      </c>
      <c r="N41" s="15">
        <f>IF(N7&gt;=Hypothèses!$D$41,Hypothèses!$D$42,0)*$G$4</f>
        <v/>
      </c>
      <c r="O41" s="15">
        <f>IF(O7&gt;=Hypothèses!$D$41,Hypothèses!$D$42,0)*$G$4</f>
        <v/>
      </c>
      <c r="P41" s="15">
        <f>IF(P7&gt;=Hypothèses!$D$41,Hypothèses!$D$42,0)*$G$4</f>
        <v/>
      </c>
      <c r="Q41" s="15">
        <f>IF(Q7&gt;=Hypothèses!$D$41,Hypothèses!$D$42,0)*$G$4</f>
        <v/>
      </c>
      <c r="R41" s="15">
        <f>IF(R7&gt;=Hypothèses!$D$41,Hypothèses!$D$42,0)*$G$4</f>
        <v/>
      </c>
      <c r="S41" s="15">
        <f>IF(S7&gt;=Hypothèses!$D$41,Hypothèses!$D$42,0)*$G$4</f>
        <v/>
      </c>
      <c r="T41" s="15">
        <f>IF(T7&gt;=Hypothèses!$D$41,Hypothèses!$D$42,0)*$G$4</f>
        <v/>
      </c>
      <c r="U41" s="15">
        <f>IF(U7&gt;=Hypothèses!$D$41,Hypothèses!$D$42,0)*$G$4</f>
        <v/>
      </c>
      <c r="V41" s="15">
        <f>IF(V7&gt;=Hypothèses!$D$41,Hypothèses!$D$42,0)*$G$4</f>
        <v/>
      </c>
      <c r="W41" s="15">
        <f>IF(W7&gt;=Hypothèses!$D$41,Hypothèses!$D$42,0)*$G$4</f>
        <v/>
      </c>
      <c r="X41" s="15">
        <f>IF(X7&gt;=Hypothèses!$D$41,Hypothèses!$D$42,0)*$G$4</f>
        <v/>
      </c>
      <c r="Y41" s="15">
        <f>IF(Y7&gt;=Hypothèses!$D$41,Hypothèses!$D$42,0)*$G$4</f>
        <v/>
      </c>
      <c r="Z41" s="15">
        <f>IF(Z7&gt;=Hypothèses!$D$41,Hypothèses!$D$42,0)*$G$4</f>
        <v/>
      </c>
      <c r="AA41" s="15">
        <f>IF(AA7&gt;=Hypothèses!$D$41,Hypothèses!$D$42,0)*$G$4</f>
        <v/>
      </c>
      <c r="AB41" s="15">
        <f>IF(AB7&gt;=Hypothèses!$D$41,Hypothèses!$D$42,0)*$G$4</f>
        <v/>
      </c>
      <c r="AC41" s="15">
        <f>IF(AC7&gt;=Hypothèses!$D$41,Hypothèses!$D$42,0)*$G$4</f>
        <v/>
      </c>
      <c r="AD41" s="15">
        <f>IF(AD7&gt;=Hypothèses!$D$41,Hypothèses!$D$42,0)*$G$4</f>
        <v/>
      </c>
      <c r="AE41" s="15">
        <f>IF(AE7&gt;=Hypothèses!$D$41,Hypothèses!$D$42,0)*$G$4</f>
        <v/>
      </c>
      <c r="AF41" s="15">
        <f>IF(AF7&gt;=Hypothèses!$D$41,Hypothèses!$D$42,0)*$G$4</f>
        <v/>
      </c>
      <c r="AG41" s="15">
        <f>IF(AG7&gt;=Hypothèses!$D$41,Hypothèses!$D$42,0)*$G$4</f>
        <v/>
      </c>
      <c r="AH41" s="15">
        <f>IF(AH7&gt;=Hypothèses!$D$41,Hypothèses!$D$42,0)*$G$4</f>
        <v/>
      </c>
      <c r="AI41" s="15">
        <f>IF(AI7&gt;=Hypothèses!$D$41,Hypothèses!$D$42,0)*$G$4</f>
        <v/>
      </c>
      <c r="AJ41" s="15">
        <f>IF(AJ7&gt;=Hypothèses!$D$41,Hypothèses!$D$42,0)*$G$4</f>
        <v/>
      </c>
      <c r="AK41" s="15">
        <f>IF(AK7&gt;=Hypothèses!$D$41,Hypothèses!$D$42,0)*$G$4</f>
        <v/>
      </c>
      <c r="AL41" s="15">
        <f>IF(AL7&gt;=Hypothèses!$D$41,Hypothèses!$D$42,0)*$G$4</f>
        <v/>
      </c>
      <c r="AN41" s="15">
        <f>SUM(C41:N41)</f>
        <v/>
      </c>
      <c r="AO41" s="15">
        <f>SUM(O41:Z41)</f>
        <v/>
      </c>
      <c r="AP41" s="15">
        <f>SUM(AA41:AL41)</f>
        <v/>
      </c>
    </row>
    <row r="42">
      <c r="A42" s="9" t="inlineStr">
        <is>
          <t>Salarié 2 (ingénieur)</t>
        </is>
      </c>
      <c r="B42" s="4" t="inlineStr">
        <is>
          <t>€ HT</t>
        </is>
      </c>
      <c r="C42" s="15">
        <f>IF(C7&gt;=Hypothèses!$D$43,Hypothèses!$D$44,0)*$G$4</f>
        <v/>
      </c>
      <c r="D42" s="15">
        <f>IF(D7&gt;=Hypothèses!$D$43,Hypothèses!$D$44,0)*$G$4</f>
        <v/>
      </c>
      <c r="E42" s="15">
        <f>IF(E7&gt;=Hypothèses!$D$43,Hypothèses!$D$44,0)*$G$4</f>
        <v/>
      </c>
      <c r="F42" s="15">
        <f>IF(F7&gt;=Hypothèses!$D$43,Hypothèses!$D$44,0)*$G$4</f>
        <v/>
      </c>
      <c r="G42" s="15">
        <f>IF(G7&gt;=Hypothèses!$D$43,Hypothèses!$D$44,0)*$G$4</f>
        <v/>
      </c>
      <c r="H42" s="15">
        <f>IF(H7&gt;=Hypothèses!$D$43,Hypothèses!$D$44,0)*$G$4</f>
        <v/>
      </c>
      <c r="I42" s="15">
        <f>IF(I7&gt;=Hypothèses!$D$43,Hypothèses!$D$44,0)*$G$4</f>
        <v/>
      </c>
      <c r="J42" s="15">
        <f>IF(J7&gt;=Hypothèses!$D$43,Hypothèses!$D$44,0)*$G$4</f>
        <v/>
      </c>
      <c r="K42" s="15">
        <f>IF(K7&gt;=Hypothèses!$D$43,Hypothèses!$D$44,0)*$G$4</f>
        <v/>
      </c>
      <c r="L42" s="15">
        <f>IF(L7&gt;=Hypothèses!$D$43,Hypothèses!$D$44,0)*$G$4</f>
        <v/>
      </c>
      <c r="M42" s="15">
        <f>IF(M7&gt;=Hypothèses!$D$43,Hypothèses!$D$44,0)*$G$4</f>
        <v/>
      </c>
      <c r="N42" s="15">
        <f>IF(N7&gt;=Hypothèses!$D$43,Hypothèses!$D$44,0)*$G$4</f>
        <v/>
      </c>
      <c r="O42" s="15">
        <f>IF(O7&gt;=Hypothèses!$D$43,Hypothèses!$D$44,0)*$G$4</f>
        <v/>
      </c>
      <c r="P42" s="15">
        <f>IF(P7&gt;=Hypothèses!$D$43,Hypothèses!$D$44,0)*$G$4</f>
        <v/>
      </c>
      <c r="Q42" s="15">
        <f>IF(Q7&gt;=Hypothèses!$D$43,Hypothèses!$D$44,0)*$G$4</f>
        <v/>
      </c>
      <c r="R42" s="15">
        <f>IF(R7&gt;=Hypothèses!$D$43,Hypothèses!$D$44,0)*$G$4</f>
        <v/>
      </c>
      <c r="S42" s="15">
        <f>IF(S7&gt;=Hypothèses!$D$43,Hypothèses!$D$44,0)*$G$4</f>
        <v/>
      </c>
      <c r="T42" s="15">
        <f>IF(T7&gt;=Hypothèses!$D$43,Hypothèses!$D$44,0)*$G$4</f>
        <v/>
      </c>
      <c r="U42" s="15">
        <f>IF(U7&gt;=Hypothèses!$D$43,Hypothèses!$D$44,0)*$G$4</f>
        <v/>
      </c>
      <c r="V42" s="15">
        <f>IF(V7&gt;=Hypothèses!$D$43,Hypothèses!$D$44,0)*$G$4</f>
        <v/>
      </c>
      <c r="W42" s="15">
        <f>IF(W7&gt;=Hypothèses!$D$43,Hypothèses!$D$44,0)*$G$4</f>
        <v/>
      </c>
      <c r="X42" s="15">
        <f>IF(X7&gt;=Hypothèses!$D$43,Hypothèses!$D$44,0)*$G$4</f>
        <v/>
      </c>
      <c r="Y42" s="15">
        <f>IF(Y7&gt;=Hypothèses!$D$43,Hypothèses!$D$44,0)*$G$4</f>
        <v/>
      </c>
      <c r="Z42" s="15">
        <f>IF(Z7&gt;=Hypothèses!$D$43,Hypothèses!$D$44,0)*$G$4</f>
        <v/>
      </c>
      <c r="AA42" s="15">
        <f>IF(AA7&gt;=Hypothèses!$D$43,Hypothèses!$D$44,0)*$G$4</f>
        <v/>
      </c>
      <c r="AB42" s="15">
        <f>IF(AB7&gt;=Hypothèses!$D$43,Hypothèses!$D$44,0)*$G$4</f>
        <v/>
      </c>
      <c r="AC42" s="15">
        <f>IF(AC7&gt;=Hypothèses!$D$43,Hypothèses!$D$44,0)*$G$4</f>
        <v/>
      </c>
      <c r="AD42" s="15">
        <f>IF(AD7&gt;=Hypothèses!$D$43,Hypothèses!$D$44,0)*$G$4</f>
        <v/>
      </c>
      <c r="AE42" s="15">
        <f>IF(AE7&gt;=Hypothèses!$D$43,Hypothèses!$D$44,0)*$G$4</f>
        <v/>
      </c>
      <c r="AF42" s="15">
        <f>IF(AF7&gt;=Hypothèses!$D$43,Hypothèses!$D$44,0)*$G$4</f>
        <v/>
      </c>
      <c r="AG42" s="15">
        <f>IF(AG7&gt;=Hypothèses!$D$43,Hypothèses!$D$44,0)*$G$4</f>
        <v/>
      </c>
      <c r="AH42" s="15">
        <f>IF(AH7&gt;=Hypothèses!$D$43,Hypothèses!$D$44,0)*$G$4</f>
        <v/>
      </c>
      <c r="AI42" s="15">
        <f>IF(AI7&gt;=Hypothèses!$D$43,Hypothèses!$D$44,0)*$G$4</f>
        <v/>
      </c>
      <c r="AJ42" s="15">
        <f>IF(AJ7&gt;=Hypothèses!$D$43,Hypothèses!$D$44,0)*$G$4</f>
        <v/>
      </c>
      <c r="AK42" s="15">
        <f>IF(AK7&gt;=Hypothèses!$D$43,Hypothèses!$D$44,0)*$G$4</f>
        <v/>
      </c>
      <c r="AL42" s="15">
        <f>IF(AL7&gt;=Hypothèses!$D$43,Hypothèses!$D$44,0)*$G$4</f>
        <v/>
      </c>
      <c r="AN42" s="15">
        <f>SUM(C42:N42)</f>
        <v/>
      </c>
      <c r="AO42" s="15">
        <f>SUM(O42:Z42)</f>
        <v/>
      </c>
      <c r="AP42" s="15">
        <f>SUM(AA42:AL42)</f>
        <v/>
      </c>
    </row>
    <row r="43">
      <c r="A43" s="9" t="inlineStr">
        <is>
          <t>Développement MVP externe (étalé jusqu'au lancement)</t>
        </is>
      </c>
      <c r="B43" s="4" t="inlineStr">
        <is>
          <t>€ HT</t>
        </is>
      </c>
      <c r="C43" s="15">
        <f>IF(C7&lt;$B$5,Hypothèses!$D$45/MAX(1,$B$5-1),0)</f>
        <v/>
      </c>
      <c r="D43" s="15">
        <f>IF(D7&lt;$B$5,Hypothèses!$D$45/MAX(1,$B$5-1),0)</f>
        <v/>
      </c>
      <c r="E43" s="15">
        <f>IF(E7&lt;$B$5,Hypothèses!$D$45/MAX(1,$B$5-1),0)</f>
        <v/>
      </c>
      <c r="F43" s="15">
        <f>IF(F7&lt;$B$5,Hypothèses!$D$45/MAX(1,$B$5-1),0)</f>
        <v/>
      </c>
      <c r="G43" s="15">
        <f>IF(G7&lt;$B$5,Hypothèses!$D$45/MAX(1,$B$5-1),0)</f>
        <v/>
      </c>
      <c r="H43" s="15">
        <f>IF(H7&lt;$B$5,Hypothèses!$D$45/MAX(1,$B$5-1),0)</f>
        <v/>
      </c>
      <c r="I43" s="15">
        <f>IF(I7&lt;$B$5,Hypothèses!$D$45/MAX(1,$B$5-1),0)</f>
        <v/>
      </c>
      <c r="J43" s="15">
        <f>IF(J7&lt;$B$5,Hypothèses!$D$45/MAX(1,$B$5-1),0)</f>
        <v/>
      </c>
      <c r="K43" s="15">
        <f>IF(K7&lt;$B$5,Hypothèses!$D$45/MAX(1,$B$5-1),0)</f>
        <v/>
      </c>
      <c r="L43" s="15">
        <f>IF(L7&lt;$B$5,Hypothèses!$D$45/MAX(1,$B$5-1),0)</f>
        <v/>
      </c>
      <c r="M43" s="15">
        <f>IF(M7&lt;$B$5,Hypothèses!$D$45/MAX(1,$B$5-1),0)</f>
        <v/>
      </c>
      <c r="N43" s="15">
        <f>IF(N7&lt;$B$5,Hypothèses!$D$45/MAX(1,$B$5-1),0)</f>
        <v/>
      </c>
      <c r="O43" s="15">
        <f>IF(O7&lt;$B$5,Hypothèses!$D$45/MAX(1,$B$5-1),0)</f>
        <v/>
      </c>
      <c r="P43" s="15">
        <f>IF(P7&lt;$B$5,Hypothèses!$D$45/MAX(1,$B$5-1),0)</f>
        <v/>
      </c>
      <c r="Q43" s="15">
        <f>IF(Q7&lt;$B$5,Hypothèses!$D$45/MAX(1,$B$5-1),0)</f>
        <v/>
      </c>
      <c r="R43" s="15">
        <f>IF(R7&lt;$B$5,Hypothèses!$D$45/MAX(1,$B$5-1),0)</f>
        <v/>
      </c>
      <c r="S43" s="15">
        <f>IF(S7&lt;$B$5,Hypothèses!$D$45/MAX(1,$B$5-1),0)</f>
        <v/>
      </c>
      <c r="T43" s="15">
        <f>IF(T7&lt;$B$5,Hypothèses!$D$45/MAX(1,$B$5-1),0)</f>
        <v/>
      </c>
      <c r="U43" s="15">
        <f>IF(U7&lt;$B$5,Hypothèses!$D$45/MAX(1,$B$5-1),0)</f>
        <v/>
      </c>
      <c r="V43" s="15">
        <f>IF(V7&lt;$B$5,Hypothèses!$D$45/MAX(1,$B$5-1),0)</f>
        <v/>
      </c>
      <c r="W43" s="15">
        <f>IF(W7&lt;$B$5,Hypothèses!$D$45/MAX(1,$B$5-1),0)</f>
        <v/>
      </c>
      <c r="X43" s="15">
        <f>IF(X7&lt;$B$5,Hypothèses!$D$45/MAX(1,$B$5-1),0)</f>
        <v/>
      </c>
      <c r="Y43" s="15">
        <f>IF(Y7&lt;$B$5,Hypothèses!$D$45/MAX(1,$B$5-1),0)</f>
        <v/>
      </c>
      <c r="Z43" s="15">
        <f>IF(Z7&lt;$B$5,Hypothèses!$D$45/MAX(1,$B$5-1),0)</f>
        <v/>
      </c>
      <c r="AA43" s="15">
        <f>IF(AA7&lt;$B$5,Hypothèses!$D$45/MAX(1,$B$5-1),0)</f>
        <v/>
      </c>
      <c r="AB43" s="15">
        <f>IF(AB7&lt;$B$5,Hypothèses!$D$45/MAX(1,$B$5-1),0)</f>
        <v/>
      </c>
      <c r="AC43" s="15">
        <f>IF(AC7&lt;$B$5,Hypothèses!$D$45/MAX(1,$B$5-1),0)</f>
        <v/>
      </c>
      <c r="AD43" s="15">
        <f>IF(AD7&lt;$B$5,Hypothèses!$D$45/MAX(1,$B$5-1),0)</f>
        <v/>
      </c>
      <c r="AE43" s="15">
        <f>IF(AE7&lt;$B$5,Hypothèses!$D$45/MAX(1,$B$5-1),0)</f>
        <v/>
      </c>
      <c r="AF43" s="15">
        <f>IF(AF7&lt;$B$5,Hypothèses!$D$45/MAX(1,$B$5-1),0)</f>
        <v/>
      </c>
      <c r="AG43" s="15">
        <f>IF(AG7&lt;$B$5,Hypothèses!$D$45/MAX(1,$B$5-1),0)</f>
        <v/>
      </c>
      <c r="AH43" s="15">
        <f>IF(AH7&lt;$B$5,Hypothèses!$D$45/MAX(1,$B$5-1),0)</f>
        <v/>
      </c>
      <c r="AI43" s="15">
        <f>IF(AI7&lt;$B$5,Hypothèses!$D$45/MAX(1,$B$5-1),0)</f>
        <v/>
      </c>
      <c r="AJ43" s="15">
        <f>IF(AJ7&lt;$B$5,Hypothèses!$D$45/MAX(1,$B$5-1),0)</f>
        <v/>
      </c>
      <c r="AK43" s="15">
        <f>IF(AK7&lt;$B$5,Hypothèses!$D$45/MAX(1,$B$5-1),0)</f>
        <v/>
      </c>
      <c r="AL43" s="15">
        <f>IF(AL7&lt;$B$5,Hypothèses!$D$45/MAX(1,$B$5-1),0)</f>
        <v/>
      </c>
      <c r="AN43" s="15">
        <f>SUM(C43:N43)</f>
        <v/>
      </c>
      <c r="AO43" s="15">
        <f>SUM(O43:Z43)</f>
        <v/>
      </c>
      <c r="AP43" s="15">
        <f>SUM(AA43:AL43)</f>
        <v/>
      </c>
    </row>
    <row r="44">
      <c r="A44" s="9" t="inlineStr">
        <is>
          <t>Outils et SaaS</t>
        </is>
      </c>
      <c r="B44" s="4" t="inlineStr">
        <is>
          <t>€ HT</t>
        </is>
      </c>
      <c r="C44" s="15">
        <f>Hypothèses!$D$46*$G$4</f>
        <v/>
      </c>
      <c r="D44" s="15">
        <f>Hypothèses!$D$46*$G$4</f>
        <v/>
      </c>
      <c r="E44" s="15">
        <f>Hypothèses!$D$46*$G$4</f>
        <v/>
      </c>
      <c r="F44" s="15">
        <f>Hypothèses!$D$46*$G$4</f>
        <v/>
      </c>
      <c r="G44" s="15">
        <f>Hypothèses!$D$46*$G$4</f>
        <v/>
      </c>
      <c r="H44" s="15">
        <f>Hypothèses!$D$46*$G$4</f>
        <v/>
      </c>
      <c r="I44" s="15">
        <f>Hypothèses!$D$46*$G$4</f>
        <v/>
      </c>
      <c r="J44" s="15">
        <f>Hypothèses!$D$46*$G$4</f>
        <v/>
      </c>
      <c r="K44" s="15">
        <f>Hypothèses!$D$46*$G$4</f>
        <v/>
      </c>
      <c r="L44" s="15">
        <f>Hypothèses!$D$46*$G$4</f>
        <v/>
      </c>
      <c r="M44" s="15">
        <f>Hypothèses!$D$46*$G$4</f>
        <v/>
      </c>
      <c r="N44" s="15">
        <f>Hypothèses!$D$46*$G$4</f>
        <v/>
      </c>
      <c r="O44" s="15">
        <f>Hypothèses!$D$46*$G$4</f>
        <v/>
      </c>
      <c r="P44" s="15">
        <f>Hypothèses!$D$46*$G$4</f>
        <v/>
      </c>
      <c r="Q44" s="15">
        <f>Hypothèses!$D$46*$G$4</f>
        <v/>
      </c>
      <c r="R44" s="15">
        <f>Hypothèses!$D$46*$G$4</f>
        <v/>
      </c>
      <c r="S44" s="15">
        <f>Hypothèses!$D$46*$G$4</f>
        <v/>
      </c>
      <c r="T44" s="15">
        <f>Hypothèses!$D$46*$G$4</f>
        <v/>
      </c>
      <c r="U44" s="15">
        <f>Hypothèses!$D$46*$G$4</f>
        <v/>
      </c>
      <c r="V44" s="15">
        <f>Hypothèses!$D$46*$G$4</f>
        <v/>
      </c>
      <c r="W44" s="15">
        <f>Hypothèses!$D$46*$G$4</f>
        <v/>
      </c>
      <c r="X44" s="15">
        <f>Hypothèses!$D$46*$G$4</f>
        <v/>
      </c>
      <c r="Y44" s="15">
        <f>Hypothèses!$D$46*$G$4</f>
        <v/>
      </c>
      <c r="Z44" s="15">
        <f>Hypothèses!$D$46*$G$4</f>
        <v/>
      </c>
      <c r="AA44" s="15">
        <f>Hypothèses!$D$46*$G$4</f>
        <v/>
      </c>
      <c r="AB44" s="15">
        <f>Hypothèses!$D$46*$G$4</f>
        <v/>
      </c>
      <c r="AC44" s="15">
        <f>Hypothèses!$D$46*$G$4</f>
        <v/>
      </c>
      <c r="AD44" s="15">
        <f>Hypothèses!$D$46*$G$4</f>
        <v/>
      </c>
      <c r="AE44" s="15">
        <f>Hypothèses!$D$46*$G$4</f>
        <v/>
      </c>
      <c r="AF44" s="15">
        <f>Hypothèses!$D$46*$G$4</f>
        <v/>
      </c>
      <c r="AG44" s="15">
        <f>Hypothèses!$D$46*$G$4</f>
        <v/>
      </c>
      <c r="AH44" s="15">
        <f>Hypothèses!$D$46*$G$4</f>
        <v/>
      </c>
      <c r="AI44" s="15">
        <f>Hypothèses!$D$46*$G$4</f>
        <v/>
      </c>
      <c r="AJ44" s="15">
        <f>Hypothèses!$D$46*$G$4</f>
        <v/>
      </c>
      <c r="AK44" s="15">
        <f>Hypothèses!$D$46*$G$4</f>
        <v/>
      </c>
      <c r="AL44" s="15">
        <f>Hypothèses!$D$46*$G$4</f>
        <v/>
      </c>
      <c r="AN44" s="15">
        <f>SUM(C44:N44)</f>
        <v/>
      </c>
      <c r="AO44" s="15">
        <f>SUM(O44:Z44)</f>
        <v/>
      </c>
      <c r="AP44" s="15">
        <f>SUM(AA44:AL44)</f>
        <v/>
      </c>
    </row>
    <row r="45">
      <c r="A45" s="9" t="inlineStr">
        <is>
          <t>Juridique et comptabilité</t>
        </is>
      </c>
      <c r="B45" s="4" t="inlineStr">
        <is>
          <t>€ HT</t>
        </is>
      </c>
      <c r="C45" s="15">
        <f>Hypothèses!$D$47*$G$4</f>
        <v/>
      </c>
      <c r="D45" s="15">
        <f>Hypothèses!$D$47*$G$4</f>
        <v/>
      </c>
      <c r="E45" s="15">
        <f>Hypothèses!$D$47*$G$4</f>
        <v/>
      </c>
      <c r="F45" s="15">
        <f>Hypothèses!$D$47*$G$4</f>
        <v/>
      </c>
      <c r="G45" s="15">
        <f>Hypothèses!$D$47*$G$4</f>
        <v/>
      </c>
      <c r="H45" s="15">
        <f>Hypothèses!$D$47*$G$4</f>
        <v/>
      </c>
      <c r="I45" s="15">
        <f>Hypothèses!$D$47*$G$4</f>
        <v/>
      </c>
      <c r="J45" s="15">
        <f>Hypothèses!$D$47*$G$4</f>
        <v/>
      </c>
      <c r="K45" s="15">
        <f>Hypothèses!$D$47*$G$4</f>
        <v/>
      </c>
      <c r="L45" s="15">
        <f>Hypothèses!$D$47*$G$4</f>
        <v/>
      </c>
      <c r="M45" s="15">
        <f>Hypothèses!$D$47*$G$4</f>
        <v/>
      </c>
      <c r="N45" s="15">
        <f>Hypothèses!$D$47*$G$4</f>
        <v/>
      </c>
      <c r="O45" s="15">
        <f>Hypothèses!$D$47*$G$4</f>
        <v/>
      </c>
      <c r="P45" s="15">
        <f>Hypothèses!$D$47*$G$4</f>
        <v/>
      </c>
      <c r="Q45" s="15">
        <f>Hypothèses!$D$47*$G$4</f>
        <v/>
      </c>
      <c r="R45" s="15">
        <f>Hypothèses!$D$47*$G$4</f>
        <v/>
      </c>
      <c r="S45" s="15">
        <f>Hypothèses!$D$47*$G$4</f>
        <v/>
      </c>
      <c r="T45" s="15">
        <f>Hypothèses!$D$47*$G$4</f>
        <v/>
      </c>
      <c r="U45" s="15">
        <f>Hypothèses!$D$47*$G$4</f>
        <v/>
      </c>
      <c r="V45" s="15">
        <f>Hypothèses!$D$47*$G$4</f>
        <v/>
      </c>
      <c r="W45" s="15">
        <f>Hypothèses!$D$47*$G$4</f>
        <v/>
      </c>
      <c r="X45" s="15">
        <f>Hypothèses!$D$47*$G$4</f>
        <v/>
      </c>
      <c r="Y45" s="15">
        <f>Hypothèses!$D$47*$G$4</f>
        <v/>
      </c>
      <c r="Z45" s="15">
        <f>Hypothèses!$D$47*$G$4</f>
        <v/>
      </c>
      <c r="AA45" s="15">
        <f>Hypothèses!$D$47*$G$4</f>
        <v/>
      </c>
      <c r="AB45" s="15">
        <f>Hypothèses!$D$47*$G$4</f>
        <v/>
      </c>
      <c r="AC45" s="15">
        <f>Hypothèses!$D$47*$G$4</f>
        <v/>
      </c>
      <c r="AD45" s="15">
        <f>Hypothèses!$D$47*$G$4</f>
        <v/>
      </c>
      <c r="AE45" s="15">
        <f>Hypothèses!$D$47*$G$4</f>
        <v/>
      </c>
      <c r="AF45" s="15">
        <f>Hypothèses!$D$47*$G$4</f>
        <v/>
      </c>
      <c r="AG45" s="15">
        <f>Hypothèses!$D$47*$G$4</f>
        <v/>
      </c>
      <c r="AH45" s="15">
        <f>Hypothèses!$D$47*$G$4</f>
        <v/>
      </c>
      <c r="AI45" s="15">
        <f>Hypothèses!$D$47*$G$4</f>
        <v/>
      </c>
      <c r="AJ45" s="15">
        <f>Hypothèses!$D$47*$G$4</f>
        <v/>
      </c>
      <c r="AK45" s="15">
        <f>Hypothèses!$D$47*$G$4</f>
        <v/>
      </c>
      <c r="AL45" s="15">
        <f>Hypothèses!$D$47*$G$4</f>
        <v/>
      </c>
      <c r="AN45" s="15">
        <f>SUM(C45:N45)</f>
        <v/>
      </c>
      <c r="AO45" s="15">
        <f>SUM(O45:Z45)</f>
        <v/>
      </c>
      <c r="AP45" s="15">
        <f>SUM(AA45:AL45)</f>
        <v/>
      </c>
    </row>
    <row r="46">
      <c r="A46" s="9" t="inlineStr">
        <is>
          <t>Assurance RC pro</t>
        </is>
      </c>
      <c r="B46" s="4" t="inlineStr">
        <is>
          <t>€</t>
        </is>
      </c>
      <c r="C46" s="15">
        <f>C9*Hypothèses!$D$48*$G$4</f>
        <v/>
      </c>
      <c r="D46" s="15">
        <f>D9*Hypothèses!$D$48*$G$4</f>
        <v/>
      </c>
      <c r="E46" s="15">
        <f>E9*Hypothèses!$D$48*$G$4</f>
        <v/>
      </c>
      <c r="F46" s="15">
        <f>F9*Hypothèses!$D$48*$G$4</f>
        <v/>
      </c>
      <c r="G46" s="15">
        <f>G9*Hypothèses!$D$48*$G$4</f>
        <v/>
      </c>
      <c r="H46" s="15">
        <f>H9*Hypothèses!$D$48*$G$4</f>
        <v/>
      </c>
      <c r="I46" s="15">
        <f>I9*Hypothèses!$D$48*$G$4</f>
        <v/>
      </c>
      <c r="J46" s="15">
        <f>J9*Hypothèses!$D$48*$G$4</f>
        <v/>
      </c>
      <c r="K46" s="15">
        <f>K9*Hypothèses!$D$48*$G$4</f>
        <v/>
      </c>
      <c r="L46" s="15">
        <f>L9*Hypothèses!$D$48*$G$4</f>
        <v/>
      </c>
      <c r="M46" s="15">
        <f>M9*Hypothèses!$D$48*$G$4</f>
        <v/>
      </c>
      <c r="N46" s="15">
        <f>N9*Hypothèses!$D$48*$G$4</f>
        <v/>
      </c>
      <c r="O46" s="15">
        <f>O9*Hypothèses!$D$48*$G$4</f>
        <v/>
      </c>
      <c r="P46" s="15">
        <f>P9*Hypothèses!$D$48*$G$4</f>
        <v/>
      </c>
      <c r="Q46" s="15">
        <f>Q9*Hypothèses!$D$48*$G$4</f>
        <v/>
      </c>
      <c r="R46" s="15">
        <f>R9*Hypothèses!$D$48*$G$4</f>
        <v/>
      </c>
      <c r="S46" s="15">
        <f>S9*Hypothèses!$D$48*$G$4</f>
        <v/>
      </c>
      <c r="T46" s="15">
        <f>T9*Hypothèses!$D$48*$G$4</f>
        <v/>
      </c>
      <c r="U46" s="15">
        <f>U9*Hypothèses!$D$48*$G$4</f>
        <v/>
      </c>
      <c r="V46" s="15">
        <f>V9*Hypothèses!$D$48*$G$4</f>
        <v/>
      </c>
      <c r="W46" s="15">
        <f>W9*Hypothèses!$D$48*$G$4</f>
        <v/>
      </c>
      <c r="X46" s="15">
        <f>X9*Hypothèses!$D$48*$G$4</f>
        <v/>
      </c>
      <c r="Y46" s="15">
        <f>Y9*Hypothèses!$D$48*$G$4</f>
        <v/>
      </c>
      <c r="Z46" s="15">
        <f>Z9*Hypothèses!$D$48*$G$4</f>
        <v/>
      </c>
      <c r="AA46" s="15">
        <f>AA9*Hypothèses!$D$48*$G$4</f>
        <v/>
      </c>
      <c r="AB46" s="15">
        <f>AB9*Hypothèses!$D$48*$G$4</f>
        <v/>
      </c>
      <c r="AC46" s="15">
        <f>AC9*Hypothèses!$D$48*$G$4</f>
        <v/>
      </c>
      <c r="AD46" s="15">
        <f>AD9*Hypothèses!$D$48*$G$4</f>
        <v/>
      </c>
      <c r="AE46" s="15">
        <f>AE9*Hypothèses!$D$48*$G$4</f>
        <v/>
      </c>
      <c r="AF46" s="15">
        <f>AF9*Hypothèses!$D$48*$G$4</f>
        <v/>
      </c>
      <c r="AG46" s="15">
        <f>AG9*Hypothèses!$D$48*$G$4</f>
        <v/>
      </c>
      <c r="AH46" s="15">
        <f>AH9*Hypothèses!$D$48*$G$4</f>
        <v/>
      </c>
      <c r="AI46" s="15">
        <f>AI9*Hypothèses!$D$48*$G$4</f>
        <v/>
      </c>
      <c r="AJ46" s="15">
        <f>AJ9*Hypothèses!$D$48*$G$4</f>
        <v/>
      </c>
      <c r="AK46" s="15">
        <f>AK9*Hypothèses!$D$48*$G$4</f>
        <v/>
      </c>
      <c r="AL46" s="15">
        <f>AL9*Hypothèses!$D$48*$G$4</f>
        <v/>
      </c>
      <c r="AN46" s="15">
        <f>SUM(C46:N46)</f>
        <v/>
      </c>
      <c r="AO46" s="15">
        <f>SUM(O46:Z46)</f>
        <v/>
      </c>
      <c r="AP46" s="15">
        <f>SUM(AA46:AL46)</f>
        <v/>
      </c>
    </row>
    <row r="47">
      <c r="A47" s="9" t="inlineStr">
        <is>
          <t>Marketing fixe</t>
        </is>
      </c>
      <c r="B47" s="4" t="inlineStr">
        <is>
          <t>€ HT</t>
        </is>
      </c>
      <c r="C47" s="15">
        <f>C9*Hypothèses!$D$49*$G$4</f>
        <v/>
      </c>
      <c r="D47" s="15">
        <f>D9*Hypothèses!$D$49*$G$4</f>
        <v/>
      </c>
      <c r="E47" s="15">
        <f>E9*Hypothèses!$D$49*$G$4</f>
        <v/>
      </c>
      <c r="F47" s="15">
        <f>F9*Hypothèses!$D$49*$G$4</f>
        <v/>
      </c>
      <c r="G47" s="15">
        <f>G9*Hypothèses!$D$49*$G$4</f>
        <v/>
      </c>
      <c r="H47" s="15">
        <f>H9*Hypothèses!$D$49*$G$4</f>
        <v/>
      </c>
      <c r="I47" s="15">
        <f>I9*Hypothèses!$D$49*$G$4</f>
        <v/>
      </c>
      <c r="J47" s="15">
        <f>J9*Hypothèses!$D$49*$G$4</f>
        <v/>
      </c>
      <c r="K47" s="15">
        <f>K9*Hypothèses!$D$49*$G$4</f>
        <v/>
      </c>
      <c r="L47" s="15">
        <f>L9*Hypothèses!$D$49*$G$4</f>
        <v/>
      </c>
      <c r="M47" s="15">
        <f>M9*Hypothèses!$D$49*$G$4</f>
        <v/>
      </c>
      <c r="N47" s="15">
        <f>N9*Hypothèses!$D$49*$G$4</f>
        <v/>
      </c>
      <c r="O47" s="15">
        <f>O9*Hypothèses!$D$49*$G$4</f>
        <v/>
      </c>
      <c r="P47" s="15">
        <f>P9*Hypothèses!$D$49*$G$4</f>
        <v/>
      </c>
      <c r="Q47" s="15">
        <f>Q9*Hypothèses!$D$49*$G$4</f>
        <v/>
      </c>
      <c r="R47" s="15">
        <f>R9*Hypothèses!$D$49*$G$4</f>
        <v/>
      </c>
      <c r="S47" s="15">
        <f>S9*Hypothèses!$D$49*$G$4</f>
        <v/>
      </c>
      <c r="T47" s="15">
        <f>T9*Hypothèses!$D$49*$G$4</f>
        <v/>
      </c>
      <c r="U47" s="15">
        <f>U9*Hypothèses!$D$49*$G$4</f>
        <v/>
      </c>
      <c r="V47" s="15">
        <f>V9*Hypothèses!$D$49*$G$4</f>
        <v/>
      </c>
      <c r="W47" s="15">
        <f>W9*Hypothèses!$D$49*$G$4</f>
        <v/>
      </c>
      <c r="X47" s="15">
        <f>X9*Hypothèses!$D$49*$G$4</f>
        <v/>
      </c>
      <c r="Y47" s="15">
        <f>Y9*Hypothèses!$D$49*$G$4</f>
        <v/>
      </c>
      <c r="Z47" s="15">
        <f>Z9*Hypothèses!$D$49*$G$4</f>
        <v/>
      </c>
      <c r="AA47" s="15">
        <f>AA9*Hypothèses!$D$49*$G$4</f>
        <v/>
      </c>
      <c r="AB47" s="15">
        <f>AB9*Hypothèses!$D$49*$G$4</f>
        <v/>
      </c>
      <c r="AC47" s="15">
        <f>AC9*Hypothèses!$D$49*$G$4</f>
        <v/>
      </c>
      <c r="AD47" s="15">
        <f>AD9*Hypothèses!$D$49*$G$4</f>
        <v/>
      </c>
      <c r="AE47" s="15">
        <f>AE9*Hypothèses!$D$49*$G$4</f>
        <v/>
      </c>
      <c r="AF47" s="15">
        <f>AF9*Hypothèses!$D$49*$G$4</f>
        <v/>
      </c>
      <c r="AG47" s="15">
        <f>AG9*Hypothèses!$D$49*$G$4</f>
        <v/>
      </c>
      <c r="AH47" s="15">
        <f>AH9*Hypothèses!$D$49*$G$4</f>
        <v/>
      </c>
      <c r="AI47" s="15">
        <f>AI9*Hypothèses!$D$49*$G$4</f>
        <v/>
      </c>
      <c r="AJ47" s="15">
        <f>AJ9*Hypothèses!$D$49*$G$4</f>
        <v/>
      </c>
      <c r="AK47" s="15">
        <f>AK9*Hypothèses!$D$49*$G$4</f>
        <v/>
      </c>
      <c r="AL47" s="15">
        <f>AL9*Hypothèses!$D$49*$G$4</f>
        <v/>
      </c>
      <c r="AN47" s="15">
        <f>SUM(C47:N47)</f>
        <v/>
      </c>
      <c r="AO47" s="15">
        <f>SUM(O47:Z47)</f>
        <v/>
      </c>
      <c r="AP47" s="15">
        <f>SUM(AA47:AL47)</f>
        <v/>
      </c>
    </row>
    <row r="48">
      <c r="A48" s="9" t="inlineStr">
        <is>
          <t>Frais généraux</t>
        </is>
      </c>
      <c r="B48" s="4" t="inlineStr">
        <is>
          <t>€ HT</t>
        </is>
      </c>
      <c r="C48" s="15">
        <f>Hypothèses!$D$50*$G$4</f>
        <v/>
      </c>
      <c r="D48" s="15">
        <f>Hypothèses!$D$50*$G$4</f>
        <v/>
      </c>
      <c r="E48" s="15">
        <f>Hypothèses!$D$50*$G$4</f>
        <v/>
      </c>
      <c r="F48" s="15">
        <f>Hypothèses!$D$50*$G$4</f>
        <v/>
      </c>
      <c r="G48" s="15">
        <f>Hypothèses!$D$50*$G$4</f>
        <v/>
      </c>
      <c r="H48" s="15">
        <f>Hypothèses!$D$50*$G$4</f>
        <v/>
      </c>
      <c r="I48" s="15">
        <f>Hypothèses!$D$50*$G$4</f>
        <v/>
      </c>
      <c r="J48" s="15">
        <f>Hypothèses!$D$50*$G$4</f>
        <v/>
      </c>
      <c r="K48" s="15">
        <f>Hypothèses!$D$50*$G$4</f>
        <v/>
      </c>
      <c r="L48" s="15">
        <f>Hypothèses!$D$50*$G$4</f>
        <v/>
      </c>
      <c r="M48" s="15">
        <f>Hypothèses!$D$50*$G$4</f>
        <v/>
      </c>
      <c r="N48" s="15">
        <f>Hypothèses!$D$50*$G$4</f>
        <v/>
      </c>
      <c r="O48" s="15">
        <f>Hypothèses!$D$50*$G$4</f>
        <v/>
      </c>
      <c r="P48" s="15">
        <f>Hypothèses!$D$50*$G$4</f>
        <v/>
      </c>
      <c r="Q48" s="15">
        <f>Hypothèses!$D$50*$G$4</f>
        <v/>
      </c>
      <c r="R48" s="15">
        <f>Hypothèses!$D$50*$G$4</f>
        <v/>
      </c>
      <c r="S48" s="15">
        <f>Hypothèses!$D$50*$G$4</f>
        <v/>
      </c>
      <c r="T48" s="15">
        <f>Hypothèses!$D$50*$G$4</f>
        <v/>
      </c>
      <c r="U48" s="15">
        <f>Hypothèses!$D$50*$G$4</f>
        <v/>
      </c>
      <c r="V48" s="15">
        <f>Hypothèses!$D$50*$G$4</f>
        <v/>
      </c>
      <c r="W48" s="15">
        <f>Hypothèses!$D$50*$G$4</f>
        <v/>
      </c>
      <c r="X48" s="15">
        <f>Hypothèses!$D$50*$G$4</f>
        <v/>
      </c>
      <c r="Y48" s="15">
        <f>Hypothèses!$D$50*$G$4</f>
        <v/>
      </c>
      <c r="Z48" s="15">
        <f>Hypothèses!$D$50*$G$4</f>
        <v/>
      </c>
      <c r="AA48" s="15">
        <f>Hypothèses!$D$50*$G$4</f>
        <v/>
      </c>
      <c r="AB48" s="15">
        <f>Hypothèses!$D$50*$G$4</f>
        <v/>
      </c>
      <c r="AC48" s="15">
        <f>Hypothèses!$D$50*$G$4</f>
        <v/>
      </c>
      <c r="AD48" s="15">
        <f>Hypothèses!$D$50*$G$4</f>
        <v/>
      </c>
      <c r="AE48" s="15">
        <f>Hypothèses!$D$50*$G$4</f>
        <v/>
      </c>
      <c r="AF48" s="15">
        <f>Hypothèses!$D$50*$G$4</f>
        <v/>
      </c>
      <c r="AG48" s="15">
        <f>Hypothèses!$D$50*$G$4</f>
        <v/>
      </c>
      <c r="AH48" s="15">
        <f>Hypothèses!$D$50*$G$4</f>
        <v/>
      </c>
      <c r="AI48" s="15">
        <f>Hypothèses!$D$50*$G$4</f>
        <v/>
      </c>
      <c r="AJ48" s="15">
        <f>Hypothèses!$D$50*$G$4</f>
        <v/>
      </c>
      <c r="AK48" s="15">
        <f>Hypothèses!$D$50*$G$4</f>
        <v/>
      </c>
      <c r="AL48" s="15">
        <f>Hypothèses!$D$50*$G$4</f>
        <v/>
      </c>
      <c r="AN48" s="15">
        <f>SUM(C48:N48)</f>
        <v/>
      </c>
      <c r="AO48" s="15">
        <f>SUM(O48:Z48)</f>
        <v/>
      </c>
      <c r="AP48" s="15">
        <f>SUM(AA48:AL48)</f>
        <v/>
      </c>
    </row>
    <row r="49">
      <c r="A49" s="9" t="inlineStr">
        <is>
          <t>Audit de sécurité (annuel, à partir du lancement)</t>
        </is>
      </c>
      <c r="B49" s="4" t="inlineStr">
        <is>
          <t>€ HT</t>
        </is>
      </c>
      <c r="C49" s="15">
        <f>IF(AND(C9=1,MOD(C7-$B$5,12)=0),Hypothèses!$D$51,0)*$G$4</f>
        <v/>
      </c>
      <c r="D49" s="15">
        <f>IF(AND(D9=1,MOD(D7-$B$5,12)=0),Hypothèses!$D$51,0)*$G$4</f>
        <v/>
      </c>
      <c r="E49" s="15">
        <f>IF(AND(E9=1,MOD(E7-$B$5,12)=0),Hypothèses!$D$51,0)*$G$4</f>
        <v/>
      </c>
      <c r="F49" s="15">
        <f>IF(AND(F9=1,MOD(F7-$B$5,12)=0),Hypothèses!$D$51,0)*$G$4</f>
        <v/>
      </c>
      <c r="G49" s="15">
        <f>IF(AND(G9=1,MOD(G7-$B$5,12)=0),Hypothèses!$D$51,0)*$G$4</f>
        <v/>
      </c>
      <c r="H49" s="15">
        <f>IF(AND(H9=1,MOD(H7-$B$5,12)=0),Hypothèses!$D$51,0)*$G$4</f>
        <v/>
      </c>
      <c r="I49" s="15">
        <f>IF(AND(I9=1,MOD(I7-$B$5,12)=0),Hypothèses!$D$51,0)*$G$4</f>
        <v/>
      </c>
      <c r="J49" s="15">
        <f>IF(AND(J9=1,MOD(J7-$B$5,12)=0),Hypothèses!$D$51,0)*$G$4</f>
        <v/>
      </c>
      <c r="K49" s="15">
        <f>IF(AND(K9=1,MOD(K7-$B$5,12)=0),Hypothèses!$D$51,0)*$G$4</f>
        <v/>
      </c>
      <c r="L49" s="15">
        <f>IF(AND(L9=1,MOD(L7-$B$5,12)=0),Hypothèses!$D$51,0)*$G$4</f>
        <v/>
      </c>
      <c r="M49" s="15">
        <f>IF(AND(M9=1,MOD(M7-$B$5,12)=0),Hypothèses!$D$51,0)*$G$4</f>
        <v/>
      </c>
      <c r="N49" s="15">
        <f>IF(AND(N9=1,MOD(N7-$B$5,12)=0),Hypothèses!$D$51,0)*$G$4</f>
        <v/>
      </c>
      <c r="O49" s="15">
        <f>IF(AND(O9=1,MOD(O7-$B$5,12)=0),Hypothèses!$D$51,0)*$G$4</f>
        <v/>
      </c>
      <c r="P49" s="15">
        <f>IF(AND(P9=1,MOD(P7-$B$5,12)=0),Hypothèses!$D$51,0)*$G$4</f>
        <v/>
      </c>
      <c r="Q49" s="15">
        <f>IF(AND(Q9=1,MOD(Q7-$B$5,12)=0),Hypothèses!$D$51,0)*$G$4</f>
        <v/>
      </c>
      <c r="R49" s="15">
        <f>IF(AND(R9=1,MOD(R7-$B$5,12)=0),Hypothèses!$D$51,0)*$G$4</f>
        <v/>
      </c>
      <c r="S49" s="15">
        <f>IF(AND(S9=1,MOD(S7-$B$5,12)=0),Hypothèses!$D$51,0)*$G$4</f>
        <v/>
      </c>
      <c r="T49" s="15">
        <f>IF(AND(T9=1,MOD(T7-$B$5,12)=0),Hypothèses!$D$51,0)*$G$4</f>
        <v/>
      </c>
      <c r="U49" s="15">
        <f>IF(AND(U9=1,MOD(U7-$B$5,12)=0),Hypothèses!$D$51,0)*$G$4</f>
        <v/>
      </c>
      <c r="V49" s="15">
        <f>IF(AND(V9=1,MOD(V7-$B$5,12)=0),Hypothèses!$D$51,0)*$G$4</f>
        <v/>
      </c>
      <c r="W49" s="15">
        <f>IF(AND(W9=1,MOD(W7-$B$5,12)=0),Hypothèses!$D$51,0)*$G$4</f>
        <v/>
      </c>
      <c r="X49" s="15">
        <f>IF(AND(X9=1,MOD(X7-$B$5,12)=0),Hypothèses!$D$51,0)*$G$4</f>
        <v/>
      </c>
      <c r="Y49" s="15">
        <f>IF(AND(Y9=1,MOD(Y7-$B$5,12)=0),Hypothèses!$D$51,0)*$G$4</f>
        <v/>
      </c>
      <c r="Z49" s="15">
        <f>IF(AND(Z9=1,MOD(Z7-$B$5,12)=0),Hypothèses!$D$51,0)*$G$4</f>
        <v/>
      </c>
      <c r="AA49" s="15">
        <f>IF(AND(AA9=1,MOD(AA7-$B$5,12)=0),Hypothèses!$D$51,0)*$G$4</f>
        <v/>
      </c>
      <c r="AB49" s="15">
        <f>IF(AND(AB9=1,MOD(AB7-$B$5,12)=0),Hypothèses!$D$51,0)*$G$4</f>
        <v/>
      </c>
      <c r="AC49" s="15">
        <f>IF(AND(AC9=1,MOD(AC7-$B$5,12)=0),Hypothèses!$D$51,0)*$G$4</f>
        <v/>
      </c>
      <c r="AD49" s="15">
        <f>IF(AND(AD9=1,MOD(AD7-$B$5,12)=0),Hypothèses!$D$51,0)*$G$4</f>
        <v/>
      </c>
      <c r="AE49" s="15">
        <f>IF(AND(AE9=1,MOD(AE7-$B$5,12)=0),Hypothèses!$D$51,0)*$G$4</f>
        <v/>
      </c>
      <c r="AF49" s="15">
        <f>IF(AND(AF9=1,MOD(AF7-$B$5,12)=0),Hypothèses!$D$51,0)*$G$4</f>
        <v/>
      </c>
      <c r="AG49" s="15">
        <f>IF(AND(AG9=1,MOD(AG7-$B$5,12)=0),Hypothèses!$D$51,0)*$G$4</f>
        <v/>
      </c>
      <c r="AH49" s="15">
        <f>IF(AND(AH9=1,MOD(AH7-$B$5,12)=0),Hypothèses!$D$51,0)*$G$4</f>
        <v/>
      </c>
      <c r="AI49" s="15">
        <f>IF(AND(AI9=1,MOD(AI7-$B$5,12)=0),Hypothèses!$D$51,0)*$G$4</f>
        <v/>
      </c>
      <c r="AJ49" s="15">
        <f>IF(AND(AJ9=1,MOD(AJ7-$B$5,12)=0),Hypothèses!$D$51,0)*$G$4</f>
        <v/>
      </c>
      <c r="AK49" s="15">
        <f>IF(AND(AK9=1,MOD(AK7-$B$5,12)=0),Hypothèses!$D$51,0)*$G$4</f>
        <v/>
      </c>
      <c r="AL49" s="15">
        <f>IF(AND(AL9=1,MOD(AL7-$B$5,12)=0),Hypothèses!$D$51,0)*$G$4</f>
        <v/>
      </c>
      <c r="AN49" s="15">
        <f>SUM(C49:N49)</f>
        <v/>
      </c>
      <c r="AO49" s="15">
        <f>SUM(O49:Z49)</f>
        <v/>
      </c>
      <c r="AP49" s="15">
        <f>SUM(AA49:AL49)</f>
        <v/>
      </c>
    </row>
    <row r="50">
      <c r="A50" s="9" t="inlineStr">
        <is>
          <t>Frais de constitution</t>
        </is>
      </c>
      <c r="B50" s="4" t="inlineStr">
        <is>
          <t>€ HT</t>
        </is>
      </c>
      <c r="C50" s="15">
        <f>IF(C7=2,Hypothèses!$D$52,0)</f>
        <v/>
      </c>
      <c r="D50" s="15">
        <f>IF(D7=2,Hypothèses!$D$52,0)</f>
        <v/>
      </c>
      <c r="E50" s="15">
        <f>IF(E7=2,Hypothèses!$D$52,0)</f>
        <v/>
      </c>
      <c r="F50" s="15">
        <f>IF(F7=2,Hypothèses!$D$52,0)</f>
        <v/>
      </c>
      <c r="G50" s="15">
        <f>IF(G7=2,Hypothèses!$D$52,0)</f>
        <v/>
      </c>
      <c r="H50" s="15">
        <f>IF(H7=2,Hypothèses!$D$52,0)</f>
        <v/>
      </c>
      <c r="I50" s="15">
        <f>IF(I7=2,Hypothèses!$D$52,0)</f>
        <v/>
      </c>
      <c r="J50" s="15">
        <f>IF(J7=2,Hypothèses!$D$52,0)</f>
        <v/>
      </c>
      <c r="K50" s="15">
        <f>IF(K7=2,Hypothèses!$D$52,0)</f>
        <v/>
      </c>
      <c r="L50" s="15">
        <f>IF(L7=2,Hypothèses!$D$52,0)</f>
        <v/>
      </c>
      <c r="M50" s="15">
        <f>IF(M7=2,Hypothèses!$D$52,0)</f>
        <v/>
      </c>
      <c r="N50" s="15">
        <f>IF(N7=2,Hypothèses!$D$52,0)</f>
        <v/>
      </c>
      <c r="O50" s="15">
        <f>IF(O7=2,Hypothèses!$D$52,0)</f>
        <v/>
      </c>
      <c r="P50" s="15">
        <f>IF(P7=2,Hypothèses!$D$52,0)</f>
        <v/>
      </c>
      <c r="Q50" s="15">
        <f>IF(Q7=2,Hypothèses!$D$52,0)</f>
        <v/>
      </c>
      <c r="R50" s="15">
        <f>IF(R7=2,Hypothèses!$D$52,0)</f>
        <v/>
      </c>
      <c r="S50" s="15">
        <f>IF(S7=2,Hypothèses!$D$52,0)</f>
        <v/>
      </c>
      <c r="T50" s="15">
        <f>IF(T7=2,Hypothèses!$D$52,0)</f>
        <v/>
      </c>
      <c r="U50" s="15">
        <f>IF(U7=2,Hypothèses!$D$52,0)</f>
        <v/>
      </c>
      <c r="V50" s="15">
        <f>IF(V7=2,Hypothèses!$D$52,0)</f>
        <v/>
      </c>
      <c r="W50" s="15">
        <f>IF(W7=2,Hypothèses!$D$52,0)</f>
        <v/>
      </c>
      <c r="X50" s="15">
        <f>IF(X7=2,Hypothèses!$D$52,0)</f>
        <v/>
      </c>
      <c r="Y50" s="15">
        <f>IF(Y7=2,Hypothèses!$D$52,0)</f>
        <v/>
      </c>
      <c r="Z50" s="15">
        <f>IF(Z7=2,Hypothèses!$D$52,0)</f>
        <v/>
      </c>
      <c r="AA50" s="15">
        <f>IF(AA7=2,Hypothèses!$D$52,0)</f>
        <v/>
      </c>
      <c r="AB50" s="15">
        <f>IF(AB7=2,Hypothèses!$D$52,0)</f>
        <v/>
      </c>
      <c r="AC50" s="15">
        <f>IF(AC7=2,Hypothèses!$D$52,0)</f>
        <v/>
      </c>
      <c r="AD50" s="15">
        <f>IF(AD7=2,Hypothèses!$D$52,0)</f>
        <v/>
      </c>
      <c r="AE50" s="15">
        <f>IF(AE7=2,Hypothèses!$D$52,0)</f>
        <v/>
      </c>
      <c r="AF50" s="15">
        <f>IF(AF7=2,Hypothèses!$D$52,0)</f>
        <v/>
      </c>
      <c r="AG50" s="15">
        <f>IF(AG7=2,Hypothèses!$D$52,0)</f>
        <v/>
      </c>
      <c r="AH50" s="15">
        <f>IF(AH7=2,Hypothèses!$D$52,0)</f>
        <v/>
      </c>
      <c r="AI50" s="15">
        <f>IF(AI7=2,Hypothèses!$D$52,0)</f>
        <v/>
      </c>
      <c r="AJ50" s="15">
        <f>IF(AJ7=2,Hypothèses!$D$52,0)</f>
        <v/>
      </c>
      <c r="AK50" s="15">
        <f>IF(AK7=2,Hypothèses!$D$52,0)</f>
        <v/>
      </c>
      <c r="AL50" s="15">
        <f>IF(AL7=2,Hypothèses!$D$52,0)</f>
        <v/>
      </c>
      <c r="AN50" s="15">
        <f>SUM(C50:N50)</f>
        <v/>
      </c>
      <c r="AO50" s="15">
        <f>SUM(O50:Z50)</f>
        <v/>
      </c>
      <c r="AP50" s="15">
        <f>SUM(AA50:AL50)</f>
        <v/>
      </c>
    </row>
    <row r="51">
      <c r="A51" s="2" t="inlineStr">
        <is>
          <t>Total coûts fixes</t>
        </is>
      </c>
      <c r="B51" s="4" t="inlineStr">
        <is>
          <t>€ HT</t>
        </is>
      </c>
      <c r="C51" s="40">
        <f>SUM(C40:C50)</f>
        <v/>
      </c>
      <c r="D51" s="40">
        <f>SUM(D40:D50)</f>
        <v/>
      </c>
      <c r="E51" s="40">
        <f>SUM(E40:E50)</f>
        <v/>
      </c>
      <c r="F51" s="40">
        <f>SUM(F40:F50)</f>
        <v/>
      </c>
      <c r="G51" s="40">
        <f>SUM(G40:G50)</f>
        <v/>
      </c>
      <c r="H51" s="40">
        <f>SUM(H40:H50)</f>
        <v/>
      </c>
      <c r="I51" s="40">
        <f>SUM(I40:I50)</f>
        <v/>
      </c>
      <c r="J51" s="40">
        <f>SUM(J40:J50)</f>
        <v/>
      </c>
      <c r="K51" s="40">
        <f>SUM(K40:K50)</f>
        <v/>
      </c>
      <c r="L51" s="40">
        <f>SUM(L40:L50)</f>
        <v/>
      </c>
      <c r="M51" s="40">
        <f>SUM(M40:M50)</f>
        <v/>
      </c>
      <c r="N51" s="40">
        <f>SUM(N40:N50)</f>
        <v/>
      </c>
      <c r="O51" s="40">
        <f>SUM(O40:O50)</f>
        <v/>
      </c>
      <c r="P51" s="40">
        <f>SUM(P40:P50)</f>
        <v/>
      </c>
      <c r="Q51" s="40">
        <f>SUM(Q40:Q50)</f>
        <v/>
      </c>
      <c r="R51" s="40">
        <f>SUM(R40:R50)</f>
        <v/>
      </c>
      <c r="S51" s="40">
        <f>SUM(S40:S50)</f>
        <v/>
      </c>
      <c r="T51" s="40">
        <f>SUM(T40:T50)</f>
        <v/>
      </c>
      <c r="U51" s="40">
        <f>SUM(U40:U50)</f>
        <v/>
      </c>
      <c r="V51" s="40">
        <f>SUM(V40:V50)</f>
        <v/>
      </c>
      <c r="W51" s="40">
        <f>SUM(W40:W50)</f>
        <v/>
      </c>
      <c r="X51" s="40">
        <f>SUM(X40:X50)</f>
        <v/>
      </c>
      <c r="Y51" s="40">
        <f>SUM(Y40:Y50)</f>
        <v/>
      </c>
      <c r="Z51" s="40">
        <f>SUM(Z40:Z50)</f>
        <v/>
      </c>
      <c r="AA51" s="40">
        <f>SUM(AA40:AA50)</f>
        <v/>
      </c>
      <c r="AB51" s="40">
        <f>SUM(AB40:AB50)</f>
        <v/>
      </c>
      <c r="AC51" s="40">
        <f>SUM(AC40:AC50)</f>
        <v/>
      </c>
      <c r="AD51" s="40">
        <f>SUM(AD40:AD50)</f>
        <v/>
      </c>
      <c r="AE51" s="40">
        <f>SUM(AE40:AE50)</f>
        <v/>
      </c>
      <c r="AF51" s="40">
        <f>SUM(AF40:AF50)</f>
        <v/>
      </c>
      <c r="AG51" s="40">
        <f>SUM(AG40:AG50)</f>
        <v/>
      </c>
      <c r="AH51" s="40">
        <f>SUM(AH40:AH50)</f>
        <v/>
      </c>
      <c r="AI51" s="40">
        <f>SUM(AI40:AI50)</f>
        <v/>
      </c>
      <c r="AJ51" s="40">
        <f>SUM(AJ40:AJ50)</f>
        <v/>
      </c>
      <c r="AK51" s="40">
        <f>SUM(AK40:AK50)</f>
        <v/>
      </c>
      <c r="AL51" s="40">
        <f>SUM(AL40:AL50)</f>
        <v/>
      </c>
      <c r="AN51" s="40">
        <f>SUM(C51:N51)</f>
        <v/>
      </c>
      <c r="AO51" s="40">
        <f>SUM(O51:Z51)</f>
        <v/>
      </c>
      <c r="AP51" s="40">
        <f>SUM(AA51:AL51)</f>
        <v/>
      </c>
    </row>
    <row r="52">
      <c r="A52" s="2" t="inlineStr">
        <is>
          <t>EBITDA (marge variable − acquisition − fixes)</t>
        </is>
      </c>
      <c r="B52" s="4" t="inlineStr">
        <is>
          <t>€ HT</t>
        </is>
      </c>
      <c r="C52" s="40">
        <f>C37-C39-C51</f>
        <v/>
      </c>
      <c r="D52" s="40">
        <f>D37-D39-D51</f>
        <v/>
      </c>
      <c r="E52" s="40">
        <f>E37-E39-E51</f>
        <v/>
      </c>
      <c r="F52" s="40">
        <f>F37-F39-F51</f>
        <v/>
      </c>
      <c r="G52" s="40">
        <f>G37-G39-G51</f>
        <v/>
      </c>
      <c r="H52" s="40">
        <f>H37-H39-H51</f>
        <v/>
      </c>
      <c r="I52" s="40">
        <f>I37-I39-I51</f>
        <v/>
      </c>
      <c r="J52" s="40">
        <f>J37-J39-J51</f>
        <v/>
      </c>
      <c r="K52" s="40">
        <f>K37-K39-K51</f>
        <v/>
      </c>
      <c r="L52" s="40">
        <f>L37-L39-L51</f>
        <v/>
      </c>
      <c r="M52" s="40">
        <f>M37-M39-M51</f>
        <v/>
      </c>
      <c r="N52" s="40">
        <f>N37-N39-N51</f>
        <v/>
      </c>
      <c r="O52" s="40">
        <f>O37-O39-O51</f>
        <v/>
      </c>
      <c r="P52" s="40">
        <f>P37-P39-P51</f>
        <v/>
      </c>
      <c r="Q52" s="40">
        <f>Q37-Q39-Q51</f>
        <v/>
      </c>
      <c r="R52" s="40">
        <f>R37-R39-R51</f>
        <v/>
      </c>
      <c r="S52" s="40">
        <f>S37-S39-S51</f>
        <v/>
      </c>
      <c r="T52" s="40">
        <f>T37-T39-T51</f>
        <v/>
      </c>
      <c r="U52" s="40">
        <f>U37-U39-U51</f>
        <v/>
      </c>
      <c r="V52" s="40">
        <f>V37-V39-V51</f>
        <v/>
      </c>
      <c r="W52" s="40">
        <f>W37-W39-W51</f>
        <v/>
      </c>
      <c r="X52" s="40">
        <f>X37-X39-X51</f>
        <v/>
      </c>
      <c r="Y52" s="40">
        <f>Y37-Y39-Y51</f>
        <v/>
      </c>
      <c r="Z52" s="40">
        <f>Z37-Z39-Z51</f>
        <v/>
      </c>
      <c r="AA52" s="40">
        <f>AA37-AA39-AA51</f>
        <v/>
      </c>
      <c r="AB52" s="40">
        <f>AB37-AB39-AB51</f>
        <v/>
      </c>
      <c r="AC52" s="40">
        <f>AC37-AC39-AC51</f>
        <v/>
      </c>
      <c r="AD52" s="40">
        <f>AD37-AD39-AD51</f>
        <v/>
      </c>
      <c r="AE52" s="40">
        <f>AE37-AE39-AE51</f>
        <v/>
      </c>
      <c r="AF52" s="40">
        <f>AF37-AF39-AF51</f>
        <v/>
      </c>
      <c r="AG52" s="40">
        <f>AG37-AG39-AG51</f>
        <v/>
      </c>
      <c r="AH52" s="40">
        <f>AH37-AH39-AH51</f>
        <v/>
      </c>
      <c r="AI52" s="40">
        <f>AI37-AI39-AI51</f>
        <v/>
      </c>
      <c r="AJ52" s="40">
        <f>AJ37-AJ39-AJ51</f>
        <v/>
      </c>
      <c r="AK52" s="40">
        <f>AK37-AK39-AK51</f>
        <v/>
      </c>
      <c r="AL52" s="40">
        <f>AL37-AL39-AL51</f>
        <v/>
      </c>
      <c r="AN52" s="40">
        <f>SUM(C52:N52)</f>
        <v/>
      </c>
      <c r="AO52" s="40">
        <f>SUM(O52:Z52)</f>
        <v/>
      </c>
      <c r="AP52" s="40">
        <f>SUM(AA52:AL52)</f>
        <v/>
      </c>
    </row>
    <row r="53">
      <c r="A53" s="9" t="inlineStr">
        <is>
          <t>EBITDA positif ? (1 = oui)</t>
        </is>
      </c>
      <c r="B53" s="4" t="inlineStr">
        <is>
          <t>0/1</t>
        </is>
      </c>
      <c r="C53" s="13">
        <f>IF(C52&gt;0,1,0)</f>
        <v/>
      </c>
      <c r="D53" s="13">
        <f>IF(D52&gt;0,1,0)</f>
        <v/>
      </c>
      <c r="E53" s="13">
        <f>IF(E52&gt;0,1,0)</f>
        <v/>
      </c>
      <c r="F53" s="13">
        <f>IF(F52&gt;0,1,0)</f>
        <v/>
      </c>
      <c r="G53" s="13">
        <f>IF(G52&gt;0,1,0)</f>
        <v/>
      </c>
      <c r="H53" s="13">
        <f>IF(H52&gt;0,1,0)</f>
        <v/>
      </c>
      <c r="I53" s="13">
        <f>IF(I52&gt;0,1,0)</f>
        <v/>
      </c>
      <c r="J53" s="13">
        <f>IF(J52&gt;0,1,0)</f>
        <v/>
      </c>
      <c r="K53" s="13">
        <f>IF(K52&gt;0,1,0)</f>
        <v/>
      </c>
      <c r="L53" s="13">
        <f>IF(L52&gt;0,1,0)</f>
        <v/>
      </c>
      <c r="M53" s="13">
        <f>IF(M52&gt;0,1,0)</f>
        <v/>
      </c>
      <c r="N53" s="13">
        <f>IF(N52&gt;0,1,0)</f>
        <v/>
      </c>
      <c r="O53" s="13">
        <f>IF(O52&gt;0,1,0)</f>
        <v/>
      </c>
      <c r="P53" s="13">
        <f>IF(P52&gt;0,1,0)</f>
        <v/>
      </c>
      <c r="Q53" s="13">
        <f>IF(Q52&gt;0,1,0)</f>
        <v/>
      </c>
      <c r="R53" s="13">
        <f>IF(R52&gt;0,1,0)</f>
        <v/>
      </c>
      <c r="S53" s="13">
        <f>IF(S52&gt;0,1,0)</f>
        <v/>
      </c>
      <c r="T53" s="13">
        <f>IF(T52&gt;0,1,0)</f>
        <v/>
      </c>
      <c r="U53" s="13">
        <f>IF(U52&gt;0,1,0)</f>
        <v/>
      </c>
      <c r="V53" s="13">
        <f>IF(V52&gt;0,1,0)</f>
        <v/>
      </c>
      <c r="W53" s="13">
        <f>IF(W52&gt;0,1,0)</f>
        <v/>
      </c>
      <c r="X53" s="13">
        <f>IF(X52&gt;0,1,0)</f>
        <v/>
      </c>
      <c r="Y53" s="13">
        <f>IF(Y52&gt;0,1,0)</f>
        <v/>
      </c>
      <c r="Z53" s="13">
        <f>IF(Z52&gt;0,1,0)</f>
        <v/>
      </c>
      <c r="AA53" s="13">
        <f>IF(AA52&gt;0,1,0)</f>
        <v/>
      </c>
      <c r="AB53" s="13">
        <f>IF(AB52&gt;0,1,0)</f>
        <v/>
      </c>
      <c r="AC53" s="13">
        <f>IF(AC52&gt;0,1,0)</f>
        <v/>
      </c>
      <c r="AD53" s="13">
        <f>IF(AD52&gt;0,1,0)</f>
        <v/>
      </c>
      <c r="AE53" s="13">
        <f>IF(AE52&gt;0,1,0)</f>
        <v/>
      </c>
      <c r="AF53" s="13">
        <f>IF(AF52&gt;0,1,0)</f>
        <v/>
      </c>
      <c r="AG53" s="13">
        <f>IF(AG52&gt;0,1,0)</f>
        <v/>
      </c>
      <c r="AH53" s="13">
        <f>IF(AH52&gt;0,1,0)</f>
        <v/>
      </c>
      <c r="AI53" s="13">
        <f>IF(AI52&gt;0,1,0)</f>
        <v/>
      </c>
      <c r="AJ53" s="13">
        <f>IF(AJ52&gt;0,1,0)</f>
        <v/>
      </c>
      <c r="AK53" s="13">
        <f>IF(AK52&gt;0,1,0)</f>
        <v/>
      </c>
      <c r="AL53" s="13">
        <f>IF(AL52&gt;0,1,0)</f>
        <v/>
      </c>
    </row>
    <row r="54">
      <c r="A54" s="8" t="inlineStr">
        <is>
          <t>Trésorerie</t>
        </is>
      </c>
    </row>
    <row r="55">
      <c r="A55" s="9" t="inlineStr">
        <is>
          <t>TVA collectée reversée (mois suivant)</t>
        </is>
      </c>
      <c r="B55" s="4" t="inlineStr">
        <is>
          <t>€</t>
        </is>
      </c>
      <c r="C55" s="15">
        <f>0</f>
        <v/>
      </c>
      <c r="D55" s="15">
        <f>C27</f>
        <v/>
      </c>
      <c r="E55" s="15">
        <f>D27</f>
        <v/>
      </c>
      <c r="F55" s="15">
        <f>E27</f>
        <v/>
      </c>
      <c r="G55" s="15">
        <f>F27</f>
        <v/>
      </c>
      <c r="H55" s="15">
        <f>G27</f>
        <v/>
      </c>
      <c r="I55" s="15">
        <f>H27</f>
        <v/>
      </c>
      <c r="J55" s="15">
        <f>I27</f>
        <v/>
      </c>
      <c r="K55" s="15">
        <f>J27</f>
        <v/>
      </c>
      <c r="L55" s="15">
        <f>K27</f>
        <v/>
      </c>
      <c r="M55" s="15">
        <f>L27</f>
        <v/>
      </c>
      <c r="N55" s="15">
        <f>M27</f>
        <v/>
      </c>
      <c r="O55" s="15">
        <f>N27</f>
        <v/>
      </c>
      <c r="P55" s="15">
        <f>O27</f>
        <v/>
      </c>
      <c r="Q55" s="15">
        <f>P27</f>
        <v/>
      </c>
      <c r="R55" s="15">
        <f>Q27</f>
        <v/>
      </c>
      <c r="S55" s="15">
        <f>R27</f>
        <v/>
      </c>
      <c r="T55" s="15">
        <f>S27</f>
        <v/>
      </c>
      <c r="U55" s="15">
        <f>T27</f>
        <v/>
      </c>
      <c r="V55" s="15">
        <f>U27</f>
        <v/>
      </c>
      <c r="W55" s="15">
        <f>V27</f>
        <v/>
      </c>
      <c r="X55" s="15">
        <f>W27</f>
        <v/>
      </c>
      <c r="Y55" s="15">
        <f>X27</f>
        <v/>
      </c>
      <c r="Z55" s="15">
        <f>Y27</f>
        <v/>
      </c>
      <c r="AA55" s="15">
        <f>Z27</f>
        <v/>
      </c>
      <c r="AB55" s="15">
        <f>AA27</f>
        <v/>
      </c>
      <c r="AC55" s="15">
        <f>AB27</f>
        <v/>
      </c>
      <c r="AD55" s="15">
        <f>AC27</f>
        <v/>
      </c>
      <c r="AE55" s="15">
        <f>AD27</f>
        <v/>
      </c>
      <c r="AF55" s="15">
        <f>AE27</f>
        <v/>
      </c>
      <c r="AG55" s="15">
        <f>AF27</f>
        <v/>
      </c>
      <c r="AH55" s="15">
        <f>AG27</f>
        <v/>
      </c>
      <c r="AI55" s="15">
        <f>AH27</f>
        <v/>
      </c>
      <c r="AJ55" s="15">
        <f>AI27</f>
        <v/>
      </c>
      <c r="AK55" s="15">
        <f>AJ27</f>
        <v/>
      </c>
      <c r="AL55" s="15">
        <f>AK27</f>
        <v/>
      </c>
      <c r="AN55" s="15">
        <f>SUM(C55:N55)</f>
        <v/>
      </c>
      <c r="AO55" s="15">
        <f>SUM(O55:Z55)</f>
        <v/>
      </c>
      <c r="AP55" s="15">
        <f>SUM(AA55:AL55)</f>
        <v/>
      </c>
    </row>
    <row r="56">
      <c r="A56" s="9" t="inlineStr">
        <is>
          <t>TVA déductible récupérée (mois suivant, coûts externes)</t>
        </is>
      </c>
      <c r="B56" s="4" t="inlineStr">
        <is>
          <t>€</t>
        </is>
      </c>
      <c r="C56" s="15">
        <f>0</f>
        <v/>
      </c>
      <c r="D56" s="15">
        <f>(C36+C39+C43+C44+C45+C47+C48+C49+C50)*Hypothèses!$D$15</f>
        <v/>
      </c>
      <c r="E56" s="15">
        <f>(D36+D39+D43+D44+D45+D47+D48+D49+D50)*Hypothèses!$D$15</f>
        <v/>
      </c>
      <c r="F56" s="15">
        <f>(E36+E39+E43+E44+E45+E47+E48+E49+E50)*Hypothèses!$D$15</f>
        <v/>
      </c>
      <c r="G56" s="15">
        <f>(F36+F39+F43+F44+F45+F47+F48+F49+F50)*Hypothèses!$D$15</f>
        <v/>
      </c>
      <c r="H56" s="15">
        <f>(G36+G39+G43+G44+G45+G47+G48+G49+G50)*Hypothèses!$D$15</f>
        <v/>
      </c>
      <c r="I56" s="15">
        <f>(H36+H39+H43+H44+H45+H47+H48+H49+H50)*Hypothèses!$D$15</f>
        <v/>
      </c>
      <c r="J56" s="15">
        <f>(I36+I39+I43+I44+I45+I47+I48+I49+I50)*Hypothèses!$D$15</f>
        <v/>
      </c>
      <c r="K56" s="15">
        <f>(J36+J39+J43+J44+J45+J47+J48+J49+J50)*Hypothèses!$D$15</f>
        <v/>
      </c>
      <c r="L56" s="15">
        <f>(K36+K39+K43+K44+K45+K47+K48+K49+K50)*Hypothèses!$D$15</f>
        <v/>
      </c>
      <c r="M56" s="15">
        <f>(L36+L39+L43+L44+L45+L47+L48+L49+L50)*Hypothèses!$D$15</f>
        <v/>
      </c>
      <c r="N56" s="15">
        <f>(M36+M39+M43+M44+M45+M47+M48+M49+M50)*Hypothèses!$D$15</f>
        <v/>
      </c>
      <c r="O56" s="15">
        <f>(N36+N39+N43+N44+N45+N47+N48+N49+N50)*Hypothèses!$D$15</f>
        <v/>
      </c>
      <c r="P56" s="15">
        <f>(O36+O39+O43+O44+O45+O47+O48+O49+O50)*Hypothèses!$D$15</f>
        <v/>
      </c>
      <c r="Q56" s="15">
        <f>(P36+P39+P43+P44+P45+P47+P48+P49+P50)*Hypothèses!$D$15</f>
        <v/>
      </c>
      <c r="R56" s="15">
        <f>(Q36+Q39+Q43+Q44+Q45+Q47+Q48+Q49+Q50)*Hypothèses!$D$15</f>
        <v/>
      </c>
      <c r="S56" s="15">
        <f>(R36+R39+R43+R44+R45+R47+R48+R49+R50)*Hypothèses!$D$15</f>
        <v/>
      </c>
      <c r="T56" s="15">
        <f>(S36+S39+S43+S44+S45+S47+S48+S49+S50)*Hypothèses!$D$15</f>
        <v/>
      </c>
      <c r="U56" s="15">
        <f>(T36+T39+T43+T44+T45+T47+T48+T49+T50)*Hypothèses!$D$15</f>
        <v/>
      </c>
      <c r="V56" s="15">
        <f>(U36+U39+U43+U44+U45+U47+U48+U49+U50)*Hypothèses!$D$15</f>
        <v/>
      </c>
      <c r="W56" s="15">
        <f>(V36+V39+V43+V44+V45+V47+V48+V49+V50)*Hypothèses!$D$15</f>
        <v/>
      </c>
      <c r="X56" s="15">
        <f>(W36+W39+W43+W44+W45+W47+W48+W49+W50)*Hypothèses!$D$15</f>
        <v/>
      </c>
      <c r="Y56" s="15">
        <f>(X36+X39+X43+X44+X45+X47+X48+X49+X50)*Hypothèses!$D$15</f>
        <v/>
      </c>
      <c r="Z56" s="15">
        <f>(Y36+Y39+Y43+Y44+Y45+Y47+Y48+Y49+Y50)*Hypothèses!$D$15</f>
        <v/>
      </c>
      <c r="AA56" s="15">
        <f>(Z36+Z39+Z43+Z44+Z45+Z47+Z48+Z49+Z50)*Hypothèses!$D$15</f>
        <v/>
      </c>
      <c r="AB56" s="15">
        <f>(AA36+AA39+AA43+AA44+AA45+AA47+AA48+AA49+AA50)*Hypothèses!$D$15</f>
        <v/>
      </c>
      <c r="AC56" s="15">
        <f>(AB36+AB39+AB43+AB44+AB45+AB47+AB48+AB49+AB50)*Hypothèses!$D$15</f>
        <v/>
      </c>
      <c r="AD56" s="15">
        <f>(AC36+AC39+AC43+AC44+AC45+AC47+AC48+AC49+AC50)*Hypothèses!$D$15</f>
        <v/>
      </c>
      <c r="AE56" s="15">
        <f>(AD36+AD39+AD43+AD44+AD45+AD47+AD48+AD49+AD50)*Hypothèses!$D$15</f>
        <v/>
      </c>
      <c r="AF56" s="15">
        <f>(AE36+AE39+AE43+AE44+AE45+AE47+AE48+AE49+AE50)*Hypothèses!$D$15</f>
        <v/>
      </c>
      <c r="AG56" s="15">
        <f>(AF36+AF39+AF43+AF44+AF45+AF47+AF48+AF49+AF50)*Hypothèses!$D$15</f>
        <v/>
      </c>
      <c r="AH56" s="15">
        <f>(AG36+AG39+AG43+AG44+AG45+AG47+AG48+AG49+AG50)*Hypothèses!$D$15</f>
        <v/>
      </c>
      <c r="AI56" s="15">
        <f>(AH36+AH39+AH43+AH44+AH45+AH47+AH48+AH49+AH50)*Hypothèses!$D$15</f>
        <v/>
      </c>
      <c r="AJ56" s="15">
        <f>(AI36+AI39+AI43+AI44+AI45+AI47+AI48+AI49+AI50)*Hypothèses!$D$15</f>
        <v/>
      </c>
      <c r="AK56" s="15">
        <f>(AJ36+AJ39+AJ43+AJ44+AJ45+AJ47+AJ48+AJ49+AJ50)*Hypothèses!$D$15</f>
        <v/>
      </c>
      <c r="AL56" s="15">
        <f>(AK36+AK39+AK43+AK44+AK45+AK47+AK48+AK49+AK50)*Hypothèses!$D$15</f>
        <v/>
      </c>
      <c r="AN56" s="15">
        <f>SUM(C56:N56)</f>
        <v/>
      </c>
      <c r="AO56" s="15">
        <f>SUM(O56:Z56)</f>
        <v/>
      </c>
      <c r="AP56" s="15">
        <f>SUM(AA56:AL56)</f>
        <v/>
      </c>
    </row>
    <row r="57">
      <c r="A57" s="9" t="inlineStr">
        <is>
          <t>Financement reçu</t>
        </is>
      </c>
      <c r="B57" s="4" t="inlineStr">
        <is>
          <t>€</t>
        </is>
      </c>
      <c r="C57" s="15">
        <f>Hypothèses!$D$56*(IF(C7=Hypothèses!$D$57,Hypothèses!$D$58,0)+IF(C7=Hypothèses!$D$59,Hypothèses!$D$60,0)+IF(C7=Hypothèses!$D$61,Hypothèses!$D$62,0))</f>
        <v/>
      </c>
      <c r="D57" s="15">
        <f>Hypothèses!$D$56*(IF(D7=Hypothèses!$D$57,Hypothèses!$D$58,0)+IF(D7=Hypothèses!$D$59,Hypothèses!$D$60,0)+IF(D7=Hypothèses!$D$61,Hypothèses!$D$62,0))</f>
        <v/>
      </c>
      <c r="E57" s="15">
        <f>Hypothèses!$D$56*(IF(E7=Hypothèses!$D$57,Hypothèses!$D$58,0)+IF(E7=Hypothèses!$D$59,Hypothèses!$D$60,0)+IF(E7=Hypothèses!$D$61,Hypothèses!$D$62,0))</f>
        <v/>
      </c>
      <c r="F57" s="15">
        <f>Hypothèses!$D$56*(IF(F7=Hypothèses!$D$57,Hypothèses!$D$58,0)+IF(F7=Hypothèses!$D$59,Hypothèses!$D$60,0)+IF(F7=Hypothèses!$D$61,Hypothèses!$D$62,0))</f>
        <v/>
      </c>
      <c r="G57" s="15">
        <f>Hypothèses!$D$56*(IF(G7=Hypothèses!$D$57,Hypothèses!$D$58,0)+IF(G7=Hypothèses!$D$59,Hypothèses!$D$60,0)+IF(G7=Hypothèses!$D$61,Hypothèses!$D$62,0))</f>
        <v/>
      </c>
      <c r="H57" s="15">
        <f>Hypothèses!$D$56*(IF(H7=Hypothèses!$D$57,Hypothèses!$D$58,0)+IF(H7=Hypothèses!$D$59,Hypothèses!$D$60,0)+IF(H7=Hypothèses!$D$61,Hypothèses!$D$62,0))</f>
        <v/>
      </c>
      <c r="I57" s="15">
        <f>Hypothèses!$D$56*(IF(I7=Hypothèses!$D$57,Hypothèses!$D$58,0)+IF(I7=Hypothèses!$D$59,Hypothèses!$D$60,0)+IF(I7=Hypothèses!$D$61,Hypothèses!$D$62,0))</f>
        <v/>
      </c>
      <c r="J57" s="15">
        <f>Hypothèses!$D$56*(IF(J7=Hypothèses!$D$57,Hypothèses!$D$58,0)+IF(J7=Hypothèses!$D$59,Hypothèses!$D$60,0)+IF(J7=Hypothèses!$D$61,Hypothèses!$D$62,0))</f>
        <v/>
      </c>
      <c r="K57" s="15">
        <f>Hypothèses!$D$56*(IF(K7=Hypothèses!$D$57,Hypothèses!$D$58,0)+IF(K7=Hypothèses!$D$59,Hypothèses!$D$60,0)+IF(K7=Hypothèses!$D$61,Hypothèses!$D$62,0))</f>
        <v/>
      </c>
      <c r="L57" s="15">
        <f>Hypothèses!$D$56*(IF(L7=Hypothèses!$D$57,Hypothèses!$D$58,0)+IF(L7=Hypothèses!$D$59,Hypothèses!$D$60,0)+IF(L7=Hypothèses!$D$61,Hypothèses!$D$62,0))</f>
        <v/>
      </c>
      <c r="M57" s="15">
        <f>Hypothèses!$D$56*(IF(M7=Hypothèses!$D$57,Hypothèses!$D$58,0)+IF(M7=Hypothèses!$D$59,Hypothèses!$D$60,0)+IF(M7=Hypothèses!$D$61,Hypothèses!$D$62,0))</f>
        <v/>
      </c>
      <c r="N57" s="15">
        <f>Hypothèses!$D$56*(IF(N7=Hypothèses!$D$57,Hypothèses!$D$58,0)+IF(N7=Hypothèses!$D$59,Hypothèses!$D$60,0)+IF(N7=Hypothèses!$D$61,Hypothèses!$D$62,0))</f>
        <v/>
      </c>
      <c r="O57" s="15">
        <f>Hypothèses!$D$56*(IF(O7=Hypothèses!$D$57,Hypothèses!$D$58,0)+IF(O7=Hypothèses!$D$59,Hypothèses!$D$60,0)+IF(O7=Hypothèses!$D$61,Hypothèses!$D$62,0))</f>
        <v/>
      </c>
      <c r="P57" s="15">
        <f>Hypothèses!$D$56*(IF(P7=Hypothèses!$D$57,Hypothèses!$D$58,0)+IF(P7=Hypothèses!$D$59,Hypothèses!$D$60,0)+IF(P7=Hypothèses!$D$61,Hypothèses!$D$62,0))</f>
        <v/>
      </c>
      <c r="Q57" s="15">
        <f>Hypothèses!$D$56*(IF(Q7=Hypothèses!$D$57,Hypothèses!$D$58,0)+IF(Q7=Hypothèses!$D$59,Hypothèses!$D$60,0)+IF(Q7=Hypothèses!$D$61,Hypothèses!$D$62,0))</f>
        <v/>
      </c>
      <c r="R57" s="15">
        <f>Hypothèses!$D$56*(IF(R7=Hypothèses!$D$57,Hypothèses!$D$58,0)+IF(R7=Hypothèses!$D$59,Hypothèses!$D$60,0)+IF(R7=Hypothèses!$D$61,Hypothèses!$D$62,0))</f>
        <v/>
      </c>
      <c r="S57" s="15">
        <f>Hypothèses!$D$56*(IF(S7=Hypothèses!$D$57,Hypothèses!$D$58,0)+IF(S7=Hypothèses!$D$59,Hypothèses!$D$60,0)+IF(S7=Hypothèses!$D$61,Hypothèses!$D$62,0))</f>
        <v/>
      </c>
      <c r="T57" s="15">
        <f>Hypothèses!$D$56*(IF(T7=Hypothèses!$D$57,Hypothèses!$D$58,0)+IF(T7=Hypothèses!$D$59,Hypothèses!$D$60,0)+IF(T7=Hypothèses!$D$61,Hypothèses!$D$62,0))</f>
        <v/>
      </c>
      <c r="U57" s="15">
        <f>Hypothèses!$D$56*(IF(U7=Hypothèses!$D$57,Hypothèses!$D$58,0)+IF(U7=Hypothèses!$D$59,Hypothèses!$D$60,0)+IF(U7=Hypothèses!$D$61,Hypothèses!$D$62,0))</f>
        <v/>
      </c>
      <c r="V57" s="15">
        <f>Hypothèses!$D$56*(IF(V7=Hypothèses!$D$57,Hypothèses!$D$58,0)+IF(V7=Hypothèses!$D$59,Hypothèses!$D$60,0)+IF(V7=Hypothèses!$D$61,Hypothèses!$D$62,0))</f>
        <v/>
      </c>
      <c r="W57" s="15">
        <f>Hypothèses!$D$56*(IF(W7=Hypothèses!$D$57,Hypothèses!$D$58,0)+IF(W7=Hypothèses!$D$59,Hypothèses!$D$60,0)+IF(W7=Hypothèses!$D$61,Hypothèses!$D$62,0))</f>
        <v/>
      </c>
      <c r="X57" s="15">
        <f>Hypothèses!$D$56*(IF(X7=Hypothèses!$D$57,Hypothèses!$D$58,0)+IF(X7=Hypothèses!$D$59,Hypothèses!$D$60,0)+IF(X7=Hypothèses!$D$61,Hypothèses!$D$62,0))</f>
        <v/>
      </c>
      <c r="Y57" s="15">
        <f>Hypothèses!$D$56*(IF(Y7=Hypothèses!$D$57,Hypothèses!$D$58,0)+IF(Y7=Hypothèses!$D$59,Hypothèses!$D$60,0)+IF(Y7=Hypothèses!$D$61,Hypothèses!$D$62,0))</f>
        <v/>
      </c>
      <c r="Z57" s="15">
        <f>Hypothèses!$D$56*(IF(Z7=Hypothèses!$D$57,Hypothèses!$D$58,0)+IF(Z7=Hypothèses!$D$59,Hypothèses!$D$60,0)+IF(Z7=Hypothèses!$D$61,Hypothèses!$D$62,0))</f>
        <v/>
      </c>
      <c r="AA57" s="15">
        <f>Hypothèses!$D$56*(IF(AA7=Hypothèses!$D$57,Hypothèses!$D$58,0)+IF(AA7=Hypothèses!$D$59,Hypothèses!$D$60,0)+IF(AA7=Hypothèses!$D$61,Hypothèses!$D$62,0))</f>
        <v/>
      </c>
      <c r="AB57" s="15">
        <f>Hypothèses!$D$56*(IF(AB7=Hypothèses!$D$57,Hypothèses!$D$58,0)+IF(AB7=Hypothèses!$D$59,Hypothèses!$D$60,0)+IF(AB7=Hypothèses!$D$61,Hypothèses!$D$62,0))</f>
        <v/>
      </c>
      <c r="AC57" s="15">
        <f>Hypothèses!$D$56*(IF(AC7=Hypothèses!$D$57,Hypothèses!$D$58,0)+IF(AC7=Hypothèses!$D$59,Hypothèses!$D$60,0)+IF(AC7=Hypothèses!$D$61,Hypothèses!$D$62,0))</f>
        <v/>
      </c>
      <c r="AD57" s="15">
        <f>Hypothèses!$D$56*(IF(AD7=Hypothèses!$D$57,Hypothèses!$D$58,0)+IF(AD7=Hypothèses!$D$59,Hypothèses!$D$60,0)+IF(AD7=Hypothèses!$D$61,Hypothèses!$D$62,0))</f>
        <v/>
      </c>
      <c r="AE57" s="15">
        <f>Hypothèses!$D$56*(IF(AE7=Hypothèses!$D$57,Hypothèses!$D$58,0)+IF(AE7=Hypothèses!$D$59,Hypothèses!$D$60,0)+IF(AE7=Hypothèses!$D$61,Hypothèses!$D$62,0))</f>
        <v/>
      </c>
      <c r="AF57" s="15">
        <f>Hypothèses!$D$56*(IF(AF7=Hypothèses!$D$57,Hypothèses!$D$58,0)+IF(AF7=Hypothèses!$D$59,Hypothèses!$D$60,0)+IF(AF7=Hypothèses!$D$61,Hypothèses!$D$62,0))</f>
        <v/>
      </c>
      <c r="AG57" s="15">
        <f>Hypothèses!$D$56*(IF(AG7=Hypothèses!$D$57,Hypothèses!$D$58,0)+IF(AG7=Hypothèses!$D$59,Hypothèses!$D$60,0)+IF(AG7=Hypothèses!$D$61,Hypothèses!$D$62,0))</f>
        <v/>
      </c>
      <c r="AH57" s="15">
        <f>Hypothèses!$D$56*(IF(AH7=Hypothèses!$D$57,Hypothèses!$D$58,0)+IF(AH7=Hypothèses!$D$59,Hypothèses!$D$60,0)+IF(AH7=Hypothèses!$D$61,Hypothèses!$D$62,0))</f>
        <v/>
      </c>
      <c r="AI57" s="15">
        <f>Hypothèses!$D$56*(IF(AI7=Hypothèses!$D$57,Hypothèses!$D$58,0)+IF(AI7=Hypothèses!$D$59,Hypothèses!$D$60,0)+IF(AI7=Hypothèses!$D$61,Hypothèses!$D$62,0))</f>
        <v/>
      </c>
      <c r="AJ57" s="15">
        <f>Hypothèses!$D$56*(IF(AJ7=Hypothèses!$D$57,Hypothèses!$D$58,0)+IF(AJ7=Hypothèses!$D$59,Hypothèses!$D$60,0)+IF(AJ7=Hypothèses!$D$61,Hypothèses!$D$62,0))</f>
        <v/>
      </c>
      <c r="AK57" s="15">
        <f>Hypothèses!$D$56*(IF(AK7=Hypothèses!$D$57,Hypothèses!$D$58,0)+IF(AK7=Hypothèses!$D$59,Hypothèses!$D$60,0)+IF(AK7=Hypothèses!$D$61,Hypothèses!$D$62,0))</f>
        <v/>
      </c>
      <c r="AL57" s="15">
        <f>Hypothèses!$D$56*(IF(AL7=Hypothèses!$D$57,Hypothèses!$D$58,0)+IF(AL7=Hypothèses!$D$59,Hypothèses!$D$60,0)+IF(AL7=Hypothèses!$D$61,Hypothèses!$D$62,0))</f>
        <v/>
      </c>
      <c r="AN57" s="15">
        <f>SUM(C57:N57)</f>
        <v/>
      </c>
      <c r="AO57" s="15">
        <f>SUM(O57:Z57)</f>
        <v/>
      </c>
      <c r="AP57" s="15">
        <f>SUM(AA57:AL57)</f>
        <v/>
      </c>
    </row>
    <row r="58">
      <c r="A58" s="9" t="inlineStr">
        <is>
          <t>Trésorerie d'ouverture</t>
        </is>
      </c>
      <c r="B58" s="4" t="inlineStr">
        <is>
          <t>€</t>
        </is>
      </c>
      <c r="C58" s="15">
        <f>Hypothèses!$D$54</f>
        <v/>
      </c>
      <c r="D58" s="15">
        <f>C60</f>
        <v/>
      </c>
      <c r="E58" s="15">
        <f>D60</f>
        <v/>
      </c>
      <c r="F58" s="15">
        <f>E60</f>
        <v/>
      </c>
      <c r="G58" s="15">
        <f>F60</f>
        <v/>
      </c>
      <c r="H58" s="15">
        <f>G60</f>
        <v/>
      </c>
      <c r="I58" s="15">
        <f>H60</f>
        <v/>
      </c>
      <c r="J58" s="15">
        <f>I60</f>
        <v/>
      </c>
      <c r="K58" s="15">
        <f>J60</f>
        <v/>
      </c>
      <c r="L58" s="15">
        <f>K60</f>
        <v/>
      </c>
      <c r="M58" s="15">
        <f>L60</f>
        <v/>
      </c>
      <c r="N58" s="15">
        <f>M60</f>
        <v/>
      </c>
      <c r="O58" s="15">
        <f>N60</f>
        <v/>
      </c>
      <c r="P58" s="15">
        <f>O60</f>
        <v/>
      </c>
      <c r="Q58" s="15">
        <f>P60</f>
        <v/>
      </c>
      <c r="R58" s="15">
        <f>Q60</f>
        <v/>
      </c>
      <c r="S58" s="15">
        <f>R60</f>
        <v/>
      </c>
      <c r="T58" s="15">
        <f>S60</f>
        <v/>
      </c>
      <c r="U58" s="15">
        <f>T60</f>
        <v/>
      </c>
      <c r="V58" s="15">
        <f>U60</f>
        <v/>
      </c>
      <c r="W58" s="15">
        <f>V60</f>
        <v/>
      </c>
      <c r="X58" s="15">
        <f>W60</f>
        <v/>
      </c>
      <c r="Y58" s="15">
        <f>X60</f>
        <v/>
      </c>
      <c r="Z58" s="15">
        <f>Y60</f>
        <v/>
      </c>
      <c r="AA58" s="15">
        <f>Z60</f>
        <v/>
      </c>
      <c r="AB58" s="15">
        <f>AA60</f>
        <v/>
      </c>
      <c r="AC58" s="15">
        <f>AB60</f>
        <v/>
      </c>
      <c r="AD58" s="15">
        <f>AC60</f>
        <v/>
      </c>
      <c r="AE58" s="15">
        <f>AD60</f>
        <v/>
      </c>
      <c r="AF58" s="15">
        <f>AE60</f>
        <v/>
      </c>
      <c r="AG58" s="15">
        <f>AF60</f>
        <v/>
      </c>
      <c r="AH58" s="15">
        <f>AG60</f>
        <v/>
      </c>
      <c r="AI58" s="15">
        <f>AH60</f>
        <v/>
      </c>
      <c r="AJ58" s="15">
        <f>AI60</f>
        <v/>
      </c>
      <c r="AK58" s="15">
        <f>AJ60</f>
        <v/>
      </c>
      <c r="AL58" s="15">
        <f>AK60</f>
        <v/>
      </c>
    </row>
    <row r="59">
      <c r="A59" s="9" t="inlineStr">
        <is>
          <t>Flux de trésorerie du mois</t>
        </is>
      </c>
      <c r="B59" s="4" t="inlineStr">
        <is>
          <t>€</t>
        </is>
      </c>
      <c r="C59" s="15">
        <f>C31-C36-C39-C51-C55+C56+C57</f>
        <v/>
      </c>
      <c r="D59" s="15">
        <f>D31-D36-D39-D51-D55+D56+D57</f>
        <v/>
      </c>
      <c r="E59" s="15">
        <f>E31-E36-E39-E51-E55+E56+E57</f>
        <v/>
      </c>
      <c r="F59" s="15">
        <f>F31-F36-F39-F51-F55+F56+F57</f>
        <v/>
      </c>
      <c r="G59" s="15">
        <f>G31-G36-G39-G51-G55+G56+G57</f>
        <v/>
      </c>
      <c r="H59" s="15">
        <f>H31-H36-H39-H51-H55+H56+H57</f>
        <v/>
      </c>
      <c r="I59" s="15">
        <f>I31-I36-I39-I51-I55+I56+I57</f>
        <v/>
      </c>
      <c r="J59" s="15">
        <f>J31-J36-J39-J51-J55+J56+J57</f>
        <v/>
      </c>
      <c r="K59" s="15">
        <f>K31-K36-K39-K51-K55+K56+K57</f>
        <v/>
      </c>
      <c r="L59" s="15">
        <f>L31-L36-L39-L51-L55+L56+L57</f>
        <v/>
      </c>
      <c r="M59" s="15">
        <f>M31-M36-M39-M51-M55+M56+M57</f>
        <v/>
      </c>
      <c r="N59" s="15">
        <f>N31-N36-N39-N51-N55+N56+N57</f>
        <v/>
      </c>
      <c r="O59" s="15">
        <f>O31-O36-O39-O51-O55+O56+O57</f>
        <v/>
      </c>
      <c r="P59" s="15">
        <f>P31-P36-P39-P51-P55+P56+P57</f>
        <v/>
      </c>
      <c r="Q59" s="15">
        <f>Q31-Q36-Q39-Q51-Q55+Q56+Q57</f>
        <v/>
      </c>
      <c r="R59" s="15">
        <f>R31-R36-R39-R51-R55+R56+R57</f>
        <v/>
      </c>
      <c r="S59" s="15">
        <f>S31-S36-S39-S51-S55+S56+S57</f>
        <v/>
      </c>
      <c r="T59" s="15">
        <f>T31-T36-T39-T51-T55+T56+T57</f>
        <v/>
      </c>
      <c r="U59" s="15">
        <f>U31-U36-U39-U51-U55+U56+U57</f>
        <v/>
      </c>
      <c r="V59" s="15">
        <f>V31-V36-V39-V51-V55+V56+V57</f>
        <v/>
      </c>
      <c r="W59" s="15">
        <f>W31-W36-W39-W51-W55+W56+W57</f>
        <v/>
      </c>
      <c r="X59" s="15">
        <f>X31-X36-X39-X51-X55+X56+X57</f>
        <v/>
      </c>
      <c r="Y59" s="15">
        <f>Y31-Y36-Y39-Y51-Y55+Y56+Y57</f>
        <v/>
      </c>
      <c r="Z59" s="15">
        <f>Z31-Z36-Z39-Z51-Z55+Z56+Z57</f>
        <v/>
      </c>
      <c r="AA59" s="15">
        <f>AA31-AA36-AA39-AA51-AA55+AA56+AA57</f>
        <v/>
      </c>
      <c r="AB59" s="15">
        <f>AB31-AB36-AB39-AB51-AB55+AB56+AB57</f>
        <v/>
      </c>
      <c r="AC59" s="15">
        <f>AC31-AC36-AC39-AC51-AC55+AC56+AC57</f>
        <v/>
      </c>
      <c r="AD59" s="15">
        <f>AD31-AD36-AD39-AD51-AD55+AD56+AD57</f>
        <v/>
      </c>
      <c r="AE59" s="15">
        <f>AE31-AE36-AE39-AE51-AE55+AE56+AE57</f>
        <v/>
      </c>
      <c r="AF59" s="15">
        <f>AF31-AF36-AF39-AF51-AF55+AF56+AF57</f>
        <v/>
      </c>
      <c r="AG59" s="15">
        <f>AG31-AG36-AG39-AG51-AG55+AG56+AG57</f>
        <v/>
      </c>
      <c r="AH59" s="15">
        <f>AH31-AH36-AH39-AH51-AH55+AH56+AH57</f>
        <v/>
      </c>
      <c r="AI59" s="15">
        <f>AI31-AI36-AI39-AI51-AI55+AI56+AI57</f>
        <v/>
      </c>
      <c r="AJ59" s="15">
        <f>AJ31-AJ36-AJ39-AJ51-AJ55+AJ56+AJ57</f>
        <v/>
      </c>
      <c r="AK59" s="15">
        <f>AK31-AK36-AK39-AK51-AK55+AK56+AK57</f>
        <v/>
      </c>
      <c r="AL59" s="15">
        <f>AL31-AL36-AL39-AL51-AL55+AL56+AL57</f>
        <v/>
      </c>
      <c r="AN59" s="15">
        <f>SUM(C59:N59)</f>
        <v/>
      </c>
      <c r="AO59" s="15">
        <f>SUM(O59:Z59)</f>
        <v/>
      </c>
      <c r="AP59" s="15">
        <f>SUM(AA59:AL59)</f>
        <v/>
      </c>
    </row>
    <row r="60">
      <c r="A60" s="2" t="inlineStr">
        <is>
          <t>Trésorerie de clôture</t>
        </is>
      </c>
      <c r="B60" s="4" t="inlineStr">
        <is>
          <t>€</t>
        </is>
      </c>
      <c r="C60" s="40">
        <f>C58+C59</f>
        <v/>
      </c>
      <c r="D60" s="40">
        <f>D58+D59</f>
        <v/>
      </c>
      <c r="E60" s="40">
        <f>E58+E59</f>
        <v/>
      </c>
      <c r="F60" s="40">
        <f>F58+F59</f>
        <v/>
      </c>
      <c r="G60" s="40">
        <f>G58+G59</f>
        <v/>
      </c>
      <c r="H60" s="40">
        <f>H58+H59</f>
        <v/>
      </c>
      <c r="I60" s="40">
        <f>I58+I59</f>
        <v/>
      </c>
      <c r="J60" s="40">
        <f>J58+J59</f>
        <v/>
      </c>
      <c r="K60" s="40">
        <f>K58+K59</f>
        <v/>
      </c>
      <c r="L60" s="40">
        <f>L58+L59</f>
        <v/>
      </c>
      <c r="M60" s="40">
        <f>M58+M59</f>
        <v/>
      </c>
      <c r="N60" s="40">
        <f>N58+N59</f>
        <v/>
      </c>
      <c r="O60" s="40">
        <f>O58+O59</f>
        <v/>
      </c>
      <c r="P60" s="40">
        <f>P58+P59</f>
        <v/>
      </c>
      <c r="Q60" s="40">
        <f>Q58+Q59</f>
        <v/>
      </c>
      <c r="R60" s="40">
        <f>R58+R59</f>
        <v/>
      </c>
      <c r="S60" s="40">
        <f>S58+S59</f>
        <v/>
      </c>
      <c r="T60" s="40">
        <f>T58+T59</f>
        <v/>
      </c>
      <c r="U60" s="40">
        <f>U58+U59</f>
        <v/>
      </c>
      <c r="V60" s="40">
        <f>V58+V59</f>
        <v/>
      </c>
      <c r="W60" s="40">
        <f>W58+W59</f>
        <v/>
      </c>
      <c r="X60" s="40">
        <f>X58+X59</f>
        <v/>
      </c>
      <c r="Y60" s="40">
        <f>Y58+Y59</f>
        <v/>
      </c>
      <c r="Z60" s="40">
        <f>Z58+Z59</f>
        <v/>
      </c>
      <c r="AA60" s="40">
        <f>AA58+AA59</f>
        <v/>
      </c>
      <c r="AB60" s="40">
        <f>AB58+AB59</f>
        <v/>
      </c>
      <c r="AC60" s="40">
        <f>AC58+AC59</f>
        <v/>
      </c>
      <c r="AD60" s="40">
        <f>AD58+AD59</f>
        <v/>
      </c>
      <c r="AE60" s="40">
        <f>AE58+AE59</f>
        <v/>
      </c>
      <c r="AF60" s="40">
        <f>AF58+AF59</f>
        <v/>
      </c>
      <c r="AG60" s="40">
        <f>AG58+AG59</f>
        <v/>
      </c>
      <c r="AH60" s="40">
        <f>AH58+AH59</f>
        <v/>
      </c>
      <c r="AI60" s="40">
        <f>AI58+AI59</f>
        <v/>
      </c>
      <c r="AJ60" s="40">
        <f>AJ58+AJ59</f>
        <v/>
      </c>
      <c r="AK60" s="40">
        <f>AK58+AK59</f>
        <v/>
      </c>
      <c r="AL60" s="40">
        <f>AL58+AL59</f>
        <v/>
      </c>
      <c r="AN60" s="40">
        <f>N60</f>
        <v/>
      </c>
      <c r="AO60" s="40">
        <f>Z60</f>
        <v/>
      </c>
      <c r="AP60" s="40">
        <f>AL60</f>
        <v/>
      </c>
    </row>
    <row r="61">
      <c r="A61" s="9" t="inlineStr">
        <is>
          <t>Financement cumulé</t>
        </is>
      </c>
      <c r="B61" s="4" t="inlineStr">
        <is>
          <t>€</t>
        </is>
      </c>
      <c r="C61" s="15">
        <f>0+C57</f>
        <v/>
      </c>
      <c r="D61" s="15">
        <f>C61+D57</f>
        <v/>
      </c>
      <c r="E61" s="15">
        <f>D61+E57</f>
        <v/>
      </c>
      <c r="F61" s="15">
        <f>E61+F57</f>
        <v/>
      </c>
      <c r="G61" s="15">
        <f>F61+G57</f>
        <v/>
      </c>
      <c r="H61" s="15">
        <f>G61+H57</f>
        <v/>
      </c>
      <c r="I61" s="15">
        <f>H61+I57</f>
        <v/>
      </c>
      <c r="J61" s="15">
        <f>I61+J57</f>
        <v/>
      </c>
      <c r="K61" s="15">
        <f>J61+K57</f>
        <v/>
      </c>
      <c r="L61" s="15">
        <f>K61+L57</f>
        <v/>
      </c>
      <c r="M61" s="15">
        <f>L61+M57</f>
        <v/>
      </c>
      <c r="N61" s="15">
        <f>M61+N57</f>
        <v/>
      </c>
      <c r="O61" s="15">
        <f>N61+O57</f>
        <v/>
      </c>
      <c r="P61" s="15">
        <f>O61+P57</f>
        <v/>
      </c>
      <c r="Q61" s="15">
        <f>P61+Q57</f>
        <v/>
      </c>
      <c r="R61" s="15">
        <f>Q61+R57</f>
        <v/>
      </c>
      <c r="S61" s="15">
        <f>R61+S57</f>
        <v/>
      </c>
      <c r="T61" s="15">
        <f>S61+T57</f>
        <v/>
      </c>
      <c r="U61" s="15">
        <f>T61+U57</f>
        <v/>
      </c>
      <c r="V61" s="15">
        <f>U61+V57</f>
        <v/>
      </c>
      <c r="W61" s="15">
        <f>V61+W57</f>
        <v/>
      </c>
      <c r="X61" s="15">
        <f>W61+X57</f>
        <v/>
      </c>
      <c r="Y61" s="15">
        <f>X61+Y57</f>
        <v/>
      </c>
      <c r="Z61" s="15">
        <f>Y61+Z57</f>
        <v/>
      </c>
      <c r="AA61" s="15">
        <f>Z61+AA57</f>
        <v/>
      </c>
      <c r="AB61" s="15">
        <f>AA61+AB57</f>
        <v/>
      </c>
      <c r="AC61" s="15">
        <f>AB61+AC57</f>
        <v/>
      </c>
      <c r="AD61" s="15">
        <f>AC61+AD57</f>
        <v/>
      </c>
      <c r="AE61" s="15">
        <f>AD61+AE57</f>
        <v/>
      </c>
      <c r="AF61" s="15">
        <f>AE61+AF57</f>
        <v/>
      </c>
      <c r="AG61" s="15">
        <f>AF61+AG57</f>
        <v/>
      </c>
      <c r="AH61" s="15">
        <f>AG61+AH57</f>
        <v/>
      </c>
      <c r="AI61" s="15">
        <f>AH61+AI57</f>
        <v/>
      </c>
      <c r="AJ61" s="15">
        <f>AI61+AJ57</f>
        <v/>
      </c>
      <c r="AK61" s="15">
        <f>AJ61+AK57</f>
        <v/>
      </c>
      <c r="AL61" s="15">
        <f>AK61+AL57</f>
        <v/>
      </c>
      <c r="AN61" s="15">
        <f>N61</f>
        <v/>
      </c>
      <c r="AO61" s="15">
        <f>Z61</f>
        <v/>
      </c>
      <c r="AP61" s="15">
        <f>AL61</f>
        <v/>
      </c>
    </row>
    <row r="62">
      <c r="A62" s="2" t="inlineStr">
        <is>
          <t>Trésorerie cumulée hors financement</t>
        </is>
      </c>
      <c r="B62" s="4" t="inlineStr">
        <is>
          <t>€</t>
        </is>
      </c>
      <c r="C62" s="40">
        <f>C60-C61</f>
        <v/>
      </c>
      <c r="D62" s="40">
        <f>D60-D61</f>
        <v/>
      </c>
      <c r="E62" s="40">
        <f>E60-E61</f>
        <v/>
      </c>
      <c r="F62" s="40">
        <f>F60-F61</f>
        <v/>
      </c>
      <c r="G62" s="40">
        <f>G60-G61</f>
        <v/>
      </c>
      <c r="H62" s="40">
        <f>H60-H61</f>
        <v/>
      </c>
      <c r="I62" s="40">
        <f>I60-I61</f>
        <v/>
      </c>
      <c r="J62" s="40">
        <f>J60-J61</f>
        <v/>
      </c>
      <c r="K62" s="40">
        <f>K60-K61</f>
        <v/>
      </c>
      <c r="L62" s="40">
        <f>L60-L61</f>
        <v/>
      </c>
      <c r="M62" s="40">
        <f>M60-M61</f>
        <v/>
      </c>
      <c r="N62" s="40">
        <f>N60-N61</f>
        <v/>
      </c>
      <c r="O62" s="40">
        <f>O60-O61</f>
        <v/>
      </c>
      <c r="P62" s="40">
        <f>P60-P61</f>
        <v/>
      </c>
      <c r="Q62" s="40">
        <f>Q60-Q61</f>
        <v/>
      </c>
      <c r="R62" s="40">
        <f>R60-R61</f>
        <v/>
      </c>
      <c r="S62" s="40">
        <f>S60-S61</f>
        <v/>
      </c>
      <c r="T62" s="40">
        <f>T60-T61</f>
        <v/>
      </c>
      <c r="U62" s="40">
        <f>U60-U61</f>
        <v/>
      </c>
      <c r="V62" s="40">
        <f>V60-V61</f>
        <v/>
      </c>
      <c r="W62" s="40">
        <f>W60-W61</f>
        <v/>
      </c>
      <c r="X62" s="40">
        <f>X60-X61</f>
        <v/>
      </c>
      <c r="Y62" s="40">
        <f>Y60-Y61</f>
        <v/>
      </c>
      <c r="Z62" s="40">
        <f>Z60-Z61</f>
        <v/>
      </c>
      <c r="AA62" s="40">
        <f>AA60-AA61</f>
        <v/>
      </c>
      <c r="AB62" s="40">
        <f>AB60-AB61</f>
        <v/>
      </c>
      <c r="AC62" s="40">
        <f>AC60-AC61</f>
        <v/>
      </c>
      <c r="AD62" s="40">
        <f>AD60-AD61</f>
        <v/>
      </c>
      <c r="AE62" s="40">
        <f>AE60-AE61</f>
        <v/>
      </c>
      <c r="AF62" s="40">
        <f>AF60-AF61</f>
        <v/>
      </c>
      <c r="AG62" s="40">
        <f>AG60-AG61</f>
        <v/>
      </c>
      <c r="AH62" s="40">
        <f>AH60-AH61</f>
        <v/>
      </c>
      <c r="AI62" s="40">
        <f>AI60-AI61</f>
        <v/>
      </c>
      <c r="AJ62" s="40">
        <f>AJ60-AJ61</f>
        <v/>
      </c>
      <c r="AK62" s="40">
        <f>AK60-AK61</f>
        <v/>
      </c>
      <c r="AL62" s="40">
        <f>AL60-AL61</f>
        <v/>
      </c>
      <c r="AN62" s="40">
        <f>N62</f>
        <v/>
      </c>
      <c r="AO62" s="40">
        <f>Z62</f>
        <v/>
      </c>
      <c r="AP62" s="40">
        <f>AL62</f>
        <v/>
      </c>
    </row>
    <row r="63">
      <c r="A63" s="9" t="inlineStr">
        <is>
          <t>Point bas glissant hors financement</t>
        </is>
      </c>
      <c r="B63" s="4" t="inlineStr">
        <is>
          <t>€</t>
        </is>
      </c>
      <c r="C63" s="15">
        <f>C62</f>
        <v/>
      </c>
      <c r="D63" s="15">
        <f>MIN(C63,D62)</f>
        <v/>
      </c>
      <c r="E63" s="15">
        <f>MIN(D63,E62)</f>
        <v/>
      </c>
      <c r="F63" s="15">
        <f>MIN(E63,F62)</f>
        <v/>
      </c>
      <c r="G63" s="15">
        <f>MIN(F63,G62)</f>
        <v/>
      </c>
      <c r="H63" s="15">
        <f>MIN(G63,H62)</f>
        <v/>
      </c>
      <c r="I63" s="15">
        <f>MIN(H63,I62)</f>
        <v/>
      </c>
      <c r="J63" s="15">
        <f>MIN(I63,J62)</f>
        <v/>
      </c>
      <c r="K63" s="15">
        <f>MIN(J63,K62)</f>
        <v/>
      </c>
      <c r="L63" s="15">
        <f>MIN(K63,L62)</f>
        <v/>
      </c>
      <c r="M63" s="15">
        <f>MIN(L63,M62)</f>
        <v/>
      </c>
      <c r="N63" s="15">
        <f>MIN(M63,N62)</f>
        <v/>
      </c>
      <c r="O63" s="15">
        <f>MIN(N63,O62)</f>
        <v/>
      </c>
      <c r="P63" s="15">
        <f>MIN(O63,P62)</f>
        <v/>
      </c>
      <c r="Q63" s="15">
        <f>MIN(P63,Q62)</f>
        <v/>
      </c>
      <c r="R63" s="15">
        <f>MIN(Q63,R62)</f>
        <v/>
      </c>
      <c r="S63" s="15">
        <f>MIN(R63,S62)</f>
        <v/>
      </c>
      <c r="T63" s="15">
        <f>MIN(S63,T62)</f>
        <v/>
      </c>
      <c r="U63" s="15">
        <f>MIN(T63,U62)</f>
        <v/>
      </c>
      <c r="V63" s="15">
        <f>MIN(U63,V62)</f>
        <v/>
      </c>
      <c r="W63" s="15">
        <f>MIN(V63,W62)</f>
        <v/>
      </c>
      <c r="X63" s="15">
        <f>MIN(W63,X62)</f>
        <v/>
      </c>
      <c r="Y63" s="15">
        <f>MIN(X63,Y62)</f>
        <v/>
      </c>
      <c r="Z63" s="15">
        <f>MIN(Y63,Z62)</f>
        <v/>
      </c>
      <c r="AA63" s="15">
        <f>MIN(Z63,AA62)</f>
        <v/>
      </c>
      <c r="AB63" s="15">
        <f>MIN(AA63,AB62)</f>
        <v/>
      </c>
      <c r="AC63" s="15">
        <f>MIN(AB63,AC62)</f>
        <v/>
      </c>
      <c r="AD63" s="15">
        <f>MIN(AC63,AD62)</f>
        <v/>
      </c>
      <c r="AE63" s="15">
        <f>MIN(AD63,AE62)</f>
        <v/>
      </c>
      <c r="AF63" s="15">
        <f>MIN(AE63,AF62)</f>
        <v/>
      </c>
      <c r="AG63" s="15">
        <f>MIN(AF63,AG62)</f>
        <v/>
      </c>
      <c r="AH63" s="15">
        <f>MIN(AG63,AH62)</f>
        <v/>
      </c>
      <c r="AI63" s="15">
        <f>MIN(AH63,AI62)</f>
        <v/>
      </c>
      <c r="AJ63" s="15">
        <f>MIN(AI63,AJ62)</f>
        <v/>
      </c>
      <c r="AK63" s="15">
        <f>MIN(AJ63,AK62)</f>
        <v/>
      </c>
      <c r="AL63" s="15">
        <f>MIN(AK63,AL62)</f>
        <v/>
      </c>
      <c r="AN63" s="15">
        <f>N63</f>
        <v/>
      </c>
      <c r="AO63" s="15">
        <f>Z63</f>
        <v/>
      </c>
      <c r="AP63" s="15">
        <f>AL63</f>
        <v/>
      </c>
    </row>
    <row r="64">
      <c r="A64" s="9" t="inlineStr">
        <is>
          <t>Trésorerie cumulée hors financement positive après lancement ? (1 = oui)</t>
        </is>
      </c>
      <c r="B64" s="4" t="inlineStr">
        <is>
          <t>0/1</t>
        </is>
      </c>
      <c r="C64" s="13">
        <f>IF(AND(C9=1,C62&gt;0),1,0)</f>
        <v/>
      </c>
      <c r="D64" s="13">
        <f>IF(AND(D9=1,D62&gt;0),1,0)</f>
        <v/>
      </c>
      <c r="E64" s="13">
        <f>IF(AND(E9=1,E62&gt;0),1,0)</f>
        <v/>
      </c>
      <c r="F64" s="13">
        <f>IF(AND(F9=1,F62&gt;0),1,0)</f>
        <v/>
      </c>
      <c r="G64" s="13">
        <f>IF(AND(G9=1,G62&gt;0),1,0)</f>
        <v/>
      </c>
      <c r="H64" s="13">
        <f>IF(AND(H9=1,H62&gt;0),1,0)</f>
        <v/>
      </c>
      <c r="I64" s="13">
        <f>IF(AND(I9=1,I62&gt;0),1,0)</f>
        <v/>
      </c>
      <c r="J64" s="13">
        <f>IF(AND(J9=1,J62&gt;0),1,0)</f>
        <v/>
      </c>
      <c r="K64" s="13">
        <f>IF(AND(K9=1,K62&gt;0),1,0)</f>
        <v/>
      </c>
      <c r="L64" s="13">
        <f>IF(AND(L9=1,L62&gt;0),1,0)</f>
        <v/>
      </c>
      <c r="M64" s="13">
        <f>IF(AND(M9=1,M62&gt;0),1,0)</f>
        <v/>
      </c>
      <c r="N64" s="13">
        <f>IF(AND(N9=1,N62&gt;0),1,0)</f>
        <v/>
      </c>
      <c r="O64" s="13">
        <f>IF(AND(O9=1,O62&gt;0),1,0)</f>
        <v/>
      </c>
      <c r="P64" s="13">
        <f>IF(AND(P9=1,P62&gt;0),1,0)</f>
        <v/>
      </c>
      <c r="Q64" s="13">
        <f>IF(AND(Q9=1,Q62&gt;0),1,0)</f>
        <v/>
      </c>
      <c r="R64" s="13">
        <f>IF(AND(R9=1,R62&gt;0),1,0)</f>
        <v/>
      </c>
      <c r="S64" s="13">
        <f>IF(AND(S9=1,S62&gt;0),1,0)</f>
        <v/>
      </c>
      <c r="T64" s="13">
        <f>IF(AND(T9=1,T62&gt;0),1,0)</f>
        <v/>
      </c>
      <c r="U64" s="13">
        <f>IF(AND(U9=1,U62&gt;0),1,0)</f>
        <v/>
      </c>
      <c r="V64" s="13">
        <f>IF(AND(V9=1,V62&gt;0),1,0)</f>
        <v/>
      </c>
      <c r="W64" s="13">
        <f>IF(AND(W9=1,W62&gt;0),1,0)</f>
        <v/>
      </c>
      <c r="X64" s="13">
        <f>IF(AND(X9=1,X62&gt;0),1,0)</f>
        <v/>
      </c>
      <c r="Y64" s="13">
        <f>IF(AND(Y9=1,Y62&gt;0),1,0)</f>
        <v/>
      </c>
      <c r="Z64" s="13">
        <f>IF(AND(Z9=1,Z62&gt;0),1,0)</f>
        <v/>
      </c>
      <c r="AA64" s="13">
        <f>IF(AND(AA9=1,AA62&gt;0),1,0)</f>
        <v/>
      </c>
      <c r="AB64" s="13">
        <f>IF(AND(AB9=1,AB62&gt;0),1,0)</f>
        <v/>
      </c>
      <c r="AC64" s="13">
        <f>IF(AND(AC9=1,AC62&gt;0),1,0)</f>
        <v/>
      </c>
      <c r="AD64" s="13">
        <f>IF(AND(AD9=1,AD62&gt;0),1,0)</f>
        <v/>
      </c>
      <c r="AE64" s="13">
        <f>IF(AND(AE9=1,AE62&gt;0),1,0)</f>
        <v/>
      </c>
      <c r="AF64" s="13">
        <f>IF(AND(AF9=1,AF62&gt;0),1,0)</f>
        <v/>
      </c>
      <c r="AG64" s="13">
        <f>IF(AND(AG9=1,AG62&gt;0),1,0)</f>
        <v/>
      </c>
      <c r="AH64" s="13">
        <f>IF(AND(AH9=1,AH62&gt;0),1,0)</f>
        <v/>
      </c>
      <c r="AI64" s="13">
        <f>IF(AND(AI9=1,AI62&gt;0),1,0)</f>
        <v/>
      </c>
      <c r="AJ64" s="13">
        <f>IF(AND(AJ9=1,AJ62&gt;0),1,0)</f>
        <v/>
      </c>
      <c r="AK64" s="13">
        <f>IF(AND(AK9=1,AK62&gt;0),1,0)</f>
        <v/>
      </c>
      <c r="AL64" s="13">
        <f>IF(AND(AL9=1,AL62&gt;0),1,0)</f>
        <v/>
      </c>
    </row>
    <row r="65">
      <c r="A65" s="8" t="inlineStr">
        <is>
          <t>Indicateurs</t>
        </is>
      </c>
    </row>
    <row r="66">
      <c r="A66" s="9" t="inlineStr">
        <is>
          <t>ARR HT instantané (CA HT × 12)</t>
        </is>
      </c>
      <c r="B66" s="4" t="inlineStr">
        <is>
          <t>€ HT</t>
        </is>
      </c>
      <c r="C66" s="15">
        <f>C28*12</f>
        <v/>
      </c>
      <c r="D66" s="15">
        <f>D28*12</f>
        <v/>
      </c>
      <c r="E66" s="15">
        <f>E28*12</f>
        <v/>
      </c>
      <c r="F66" s="15">
        <f>F28*12</f>
        <v/>
      </c>
      <c r="G66" s="15">
        <f>G28*12</f>
        <v/>
      </c>
      <c r="H66" s="15">
        <f>H28*12</f>
        <v/>
      </c>
      <c r="I66" s="15">
        <f>I28*12</f>
        <v/>
      </c>
      <c r="J66" s="15">
        <f>J28*12</f>
        <v/>
      </c>
      <c r="K66" s="15">
        <f>K28*12</f>
        <v/>
      </c>
      <c r="L66" s="15">
        <f>L28*12</f>
        <v/>
      </c>
      <c r="M66" s="15">
        <f>M28*12</f>
        <v/>
      </c>
      <c r="N66" s="15">
        <f>N28*12</f>
        <v/>
      </c>
      <c r="O66" s="15">
        <f>O28*12</f>
        <v/>
      </c>
      <c r="P66" s="15">
        <f>P28*12</f>
        <v/>
      </c>
      <c r="Q66" s="15">
        <f>Q28*12</f>
        <v/>
      </c>
      <c r="R66" s="15">
        <f>R28*12</f>
        <v/>
      </c>
      <c r="S66" s="15">
        <f>S28*12</f>
        <v/>
      </c>
      <c r="T66" s="15">
        <f>T28*12</f>
        <v/>
      </c>
      <c r="U66" s="15">
        <f>U28*12</f>
        <v/>
      </c>
      <c r="V66" s="15">
        <f>V28*12</f>
        <v/>
      </c>
      <c r="W66" s="15">
        <f>W28*12</f>
        <v/>
      </c>
      <c r="X66" s="15">
        <f>X28*12</f>
        <v/>
      </c>
      <c r="Y66" s="15">
        <f>Y28*12</f>
        <v/>
      </c>
      <c r="Z66" s="15">
        <f>Z28*12</f>
        <v/>
      </c>
      <c r="AA66" s="15">
        <f>AA28*12</f>
        <v/>
      </c>
      <c r="AB66" s="15">
        <f>AB28*12</f>
        <v/>
      </c>
      <c r="AC66" s="15">
        <f>AC28*12</f>
        <v/>
      </c>
      <c r="AD66" s="15">
        <f>AD28*12</f>
        <v/>
      </c>
      <c r="AE66" s="15">
        <f>AE28*12</f>
        <v/>
      </c>
      <c r="AF66" s="15">
        <f>AF28*12</f>
        <v/>
      </c>
      <c r="AG66" s="15">
        <f>AG28*12</f>
        <v/>
      </c>
      <c r="AH66" s="15">
        <f>AH28*12</f>
        <v/>
      </c>
      <c r="AI66" s="15">
        <f>AI28*12</f>
        <v/>
      </c>
      <c r="AJ66" s="15">
        <f>AJ28*12</f>
        <v/>
      </c>
      <c r="AK66" s="15">
        <f>AK28*12</f>
        <v/>
      </c>
      <c r="AL66" s="15">
        <f>AL28*12</f>
        <v/>
      </c>
      <c r="AN66" s="15">
        <f>N66</f>
        <v/>
      </c>
      <c r="AO66" s="15">
        <f>Z66</f>
        <v/>
      </c>
      <c r="AP66" s="15">
        <f>AL66</f>
        <v/>
      </c>
    </row>
    <row r="67">
      <c r="A67" s="9" t="inlineStr">
        <is>
          <t>ARPA HT (CA HT / abonnés)</t>
        </is>
      </c>
      <c r="B67" s="4" t="inlineStr">
        <is>
          <t>€ HT</t>
        </is>
      </c>
      <c r="C67" s="19">
        <f>IF(C18&gt;0,C28/C18,0)</f>
        <v/>
      </c>
      <c r="D67" s="19">
        <f>IF(D18&gt;0,D28/D18,0)</f>
        <v/>
      </c>
      <c r="E67" s="19">
        <f>IF(E18&gt;0,E28/E18,0)</f>
        <v/>
      </c>
      <c r="F67" s="19">
        <f>IF(F18&gt;0,F28/F18,0)</f>
        <v/>
      </c>
      <c r="G67" s="19">
        <f>IF(G18&gt;0,G28/G18,0)</f>
        <v/>
      </c>
      <c r="H67" s="19">
        <f>IF(H18&gt;0,H28/H18,0)</f>
        <v/>
      </c>
      <c r="I67" s="19">
        <f>IF(I18&gt;0,I28/I18,0)</f>
        <v/>
      </c>
      <c r="J67" s="19">
        <f>IF(J18&gt;0,J28/J18,0)</f>
        <v/>
      </c>
      <c r="K67" s="19">
        <f>IF(K18&gt;0,K28/K18,0)</f>
        <v/>
      </c>
      <c r="L67" s="19">
        <f>IF(L18&gt;0,L28/L18,0)</f>
        <v/>
      </c>
      <c r="M67" s="19">
        <f>IF(M18&gt;0,M28/M18,0)</f>
        <v/>
      </c>
      <c r="N67" s="19">
        <f>IF(N18&gt;0,N28/N18,0)</f>
        <v/>
      </c>
      <c r="O67" s="19">
        <f>IF(O18&gt;0,O28/O18,0)</f>
        <v/>
      </c>
      <c r="P67" s="19">
        <f>IF(P18&gt;0,P28/P18,0)</f>
        <v/>
      </c>
      <c r="Q67" s="19">
        <f>IF(Q18&gt;0,Q28/Q18,0)</f>
        <v/>
      </c>
      <c r="R67" s="19">
        <f>IF(R18&gt;0,R28/R18,0)</f>
        <v/>
      </c>
      <c r="S67" s="19">
        <f>IF(S18&gt;0,S28/S18,0)</f>
        <v/>
      </c>
      <c r="T67" s="19">
        <f>IF(T18&gt;0,T28/T18,0)</f>
        <v/>
      </c>
      <c r="U67" s="19">
        <f>IF(U18&gt;0,U28/U18,0)</f>
        <v/>
      </c>
      <c r="V67" s="19">
        <f>IF(V18&gt;0,V28/V18,0)</f>
        <v/>
      </c>
      <c r="W67" s="19">
        <f>IF(W18&gt;0,W28/W18,0)</f>
        <v/>
      </c>
      <c r="X67" s="19">
        <f>IF(X18&gt;0,X28/X18,0)</f>
        <v/>
      </c>
      <c r="Y67" s="19">
        <f>IF(Y18&gt;0,Y28/Y18,0)</f>
        <v/>
      </c>
      <c r="Z67" s="19">
        <f>IF(Z18&gt;0,Z28/Z18,0)</f>
        <v/>
      </c>
      <c r="AA67" s="19">
        <f>IF(AA18&gt;0,AA28/AA18,0)</f>
        <v/>
      </c>
      <c r="AB67" s="19">
        <f>IF(AB18&gt;0,AB28/AB18,0)</f>
        <v/>
      </c>
      <c r="AC67" s="19">
        <f>IF(AC18&gt;0,AC28/AC18,0)</f>
        <v/>
      </c>
      <c r="AD67" s="19">
        <f>IF(AD18&gt;0,AD28/AD18,0)</f>
        <v/>
      </c>
      <c r="AE67" s="19">
        <f>IF(AE18&gt;0,AE28/AE18,0)</f>
        <v/>
      </c>
      <c r="AF67" s="19">
        <f>IF(AF18&gt;0,AF28/AF18,0)</f>
        <v/>
      </c>
      <c r="AG67" s="19">
        <f>IF(AG18&gt;0,AG28/AG18,0)</f>
        <v/>
      </c>
      <c r="AH67" s="19">
        <f>IF(AH18&gt;0,AH28/AH18,0)</f>
        <v/>
      </c>
      <c r="AI67" s="19">
        <f>IF(AI18&gt;0,AI28/AI18,0)</f>
        <v/>
      </c>
      <c r="AJ67" s="19">
        <f>IF(AJ18&gt;0,AJ28/AJ18,0)</f>
        <v/>
      </c>
      <c r="AK67" s="19">
        <f>IF(AK18&gt;0,AK28/AK18,0)</f>
        <v/>
      </c>
      <c r="AL67" s="19">
        <f>IF(AL18&gt;0,AL28/AL18,0)</f>
        <v/>
      </c>
      <c r="AN67" s="19">
        <f>N67</f>
        <v/>
      </c>
      <c r="AO67" s="19">
        <f>Z67</f>
        <v/>
      </c>
      <c r="AP67" s="19">
        <f>AL67</f>
        <v/>
      </c>
    </row>
    <row r="68">
      <c r="A68" s="9" t="inlineStr">
        <is>
          <t>Coût variable par abonné</t>
        </is>
      </c>
      <c r="B68" s="4" t="inlineStr">
        <is>
          <t>€ HT</t>
        </is>
      </c>
      <c r="C68" s="19">
        <f>IF(C18&gt;0,C36/C18,0)</f>
        <v/>
      </c>
      <c r="D68" s="19">
        <f>IF(D18&gt;0,D36/D18,0)</f>
        <v/>
      </c>
      <c r="E68" s="19">
        <f>IF(E18&gt;0,E36/E18,0)</f>
        <v/>
      </c>
      <c r="F68" s="19">
        <f>IF(F18&gt;0,F36/F18,0)</f>
        <v/>
      </c>
      <c r="G68" s="19">
        <f>IF(G18&gt;0,G36/G18,0)</f>
        <v/>
      </c>
      <c r="H68" s="19">
        <f>IF(H18&gt;0,H36/H18,0)</f>
        <v/>
      </c>
      <c r="I68" s="19">
        <f>IF(I18&gt;0,I36/I18,0)</f>
        <v/>
      </c>
      <c r="J68" s="19">
        <f>IF(J18&gt;0,J36/J18,0)</f>
        <v/>
      </c>
      <c r="K68" s="19">
        <f>IF(K18&gt;0,K36/K18,0)</f>
        <v/>
      </c>
      <c r="L68" s="19">
        <f>IF(L18&gt;0,L36/L18,0)</f>
        <v/>
      </c>
      <c r="M68" s="19">
        <f>IF(M18&gt;0,M36/M18,0)</f>
        <v/>
      </c>
      <c r="N68" s="19">
        <f>IF(N18&gt;0,N36/N18,0)</f>
        <v/>
      </c>
      <c r="O68" s="19">
        <f>IF(O18&gt;0,O36/O18,0)</f>
        <v/>
      </c>
      <c r="P68" s="19">
        <f>IF(P18&gt;0,P36/P18,0)</f>
        <v/>
      </c>
      <c r="Q68" s="19">
        <f>IF(Q18&gt;0,Q36/Q18,0)</f>
        <v/>
      </c>
      <c r="R68" s="19">
        <f>IF(R18&gt;0,R36/R18,0)</f>
        <v/>
      </c>
      <c r="S68" s="19">
        <f>IF(S18&gt;0,S36/S18,0)</f>
        <v/>
      </c>
      <c r="T68" s="19">
        <f>IF(T18&gt;0,T36/T18,0)</f>
        <v/>
      </c>
      <c r="U68" s="19">
        <f>IF(U18&gt;0,U36/U18,0)</f>
        <v/>
      </c>
      <c r="V68" s="19">
        <f>IF(V18&gt;0,V36/V18,0)</f>
        <v/>
      </c>
      <c r="W68" s="19">
        <f>IF(W18&gt;0,W36/W18,0)</f>
        <v/>
      </c>
      <c r="X68" s="19">
        <f>IF(X18&gt;0,X36/X18,0)</f>
        <v/>
      </c>
      <c r="Y68" s="19">
        <f>IF(Y18&gt;0,Y36/Y18,0)</f>
        <v/>
      </c>
      <c r="Z68" s="19">
        <f>IF(Z18&gt;0,Z36/Z18,0)</f>
        <v/>
      </c>
      <c r="AA68" s="19">
        <f>IF(AA18&gt;0,AA36/AA18,0)</f>
        <v/>
      </c>
      <c r="AB68" s="19">
        <f>IF(AB18&gt;0,AB36/AB18,0)</f>
        <v/>
      </c>
      <c r="AC68" s="19">
        <f>IF(AC18&gt;0,AC36/AC18,0)</f>
        <v/>
      </c>
      <c r="AD68" s="19">
        <f>IF(AD18&gt;0,AD36/AD18,0)</f>
        <v/>
      </c>
      <c r="AE68" s="19">
        <f>IF(AE18&gt;0,AE36/AE18,0)</f>
        <v/>
      </c>
      <c r="AF68" s="19">
        <f>IF(AF18&gt;0,AF36/AF18,0)</f>
        <v/>
      </c>
      <c r="AG68" s="19">
        <f>IF(AG18&gt;0,AG36/AG18,0)</f>
        <v/>
      </c>
      <c r="AH68" s="19">
        <f>IF(AH18&gt;0,AH36/AH18,0)</f>
        <v/>
      </c>
      <c r="AI68" s="19">
        <f>IF(AI18&gt;0,AI36/AI18,0)</f>
        <v/>
      </c>
      <c r="AJ68" s="19">
        <f>IF(AJ18&gt;0,AJ36/AJ18,0)</f>
        <v/>
      </c>
      <c r="AK68" s="19">
        <f>IF(AK18&gt;0,AK36/AK18,0)</f>
        <v/>
      </c>
      <c r="AL68" s="19">
        <f>IF(AL18&gt;0,AL36/AL18,0)</f>
        <v/>
      </c>
      <c r="AN68" s="19">
        <f>N68</f>
        <v/>
      </c>
      <c r="AO68" s="19">
        <f>Z68</f>
        <v/>
      </c>
      <c r="AP68" s="19">
        <f>AL68</f>
        <v/>
      </c>
    </row>
    <row r="69">
      <c r="A69" s="9" t="inlineStr">
        <is>
          <t>Contribution par abonné</t>
        </is>
      </c>
      <c r="B69" s="4" t="inlineStr">
        <is>
          <t>€ HT</t>
        </is>
      </c>
      <c r="C69" s="19">
        <f>IF(C18&gt;0,C37/C18,0)</f>
        <v/>
      </c>
      <c r="D69" s="19">
        <f>IF(D18&gt;0,D37/D18,0)</f>
        <v/>
      </c>
      <c r="E69" s="19">
        <f>IF(E18&gt;0,E37/E18,0)</f>
        <v/>
      </c>
      <c r="F69" s="19">
        <f>IF(F18&gt;0,F37/F18,0)</f>
        <v/>
      </c>
      <c r="G69" s="19">
        <f>IF(G18&gt;0,G37/G18,0)</f>
        <v/>
      </c>
      <c r="H69" s="19">
        <f>IF(H18&gt;0,H37/H18,0)</f>
        <v/>
      </c>
      <c r="I69" s="19">
        <f>IF(I18&gt;0,I37/I18,0)</f>
        <v/>
      </c>
      <c r="J69" s="19">
        <f>IF(J18&gt;0,J37/J18,0)</f>
        <v/>
      </c>
      <c r="K69" s="19">
        <f>IF(K18&gt;0,K37/K18,0)</f>
        <v/>
      </c>
      <c r="L69" s="19">
        <f>IF(L18&gt;0,L37/L18,0)</f>
        <v/>
      </c>
      <c r="M69" s="19">
        <f>IF(M18&gt;0,M37/M18,0)</f>
        <v/>
      </c>
      <c r="N69" s="19">
        <f>IF(N18&gt;0,N37/N18,0)</f>
        <v/>
      </c>
      <c r="O69" s="19">
        <f>IF(O18&gt;0,O37/O18,0)</f>
        <v/>
      </c>
      <c r="P69" s="19">
        <f>IF(P18&gt;0,P37/P18,0)</f>
        <v/>
      </c>
      <c r="Q69" s="19">
        <f>IF(Q18&gt;0,Q37/Q18,0)</f>
        <v/>
      </c>
      <c r="R69" s="19">
        <f>IF(R18&gt;0,R37/R18,0)</f>
        <v/>
      </c>
      <c r="S69" s="19">
        <f>IF(S18&gt;0,S37/S18,0)</f>
        <v/>
      </c>
      <c r="T69" s="19">
        <f>IF(T18&gt;0,T37/T18,0)</f>
        <v/>
      </c>
      <c r="U69" s="19">
        <f>IF(U18&gt;0,U37/U18,0)</f>
        <v/>
      </c>
      <c r="V69" s="19">
        <f>IF(V18&gt;0,V37/V18,0)</f>
        <v/>
      </c>
      <c r="W69" s="19">
        <f>IF(W18&gt;0,W37/W18,0)</f>
        <v/>
      </c>
      <c r="X69" s="19">
        <f>IF(X18&gt;0,X37/X18,0)</f>
        <v/>
      </c>
      <c r="Y69" s="19">
        <f>IF(Y18&gt;0,Y37/Y18,0)</f>
        <v/>
      </c>
      <c r="Z69" s="19">
        <f>IF(Z18&gt;0,Z37/Z18,0)</f>
        <v/>
      </c>
      <c r="AA69" s="19">
        <f>IF(AA18&gt;0,AA37/AA18,0)</f>
        <v/>
      </c>
      <c r="AB69" s="19">
        <f>IF(AB18&gt;0,AB37/AB18,0)</f>
        <v/>
      </c>
      <c r="AC69" s="19">
        <f>IF(AC18&gt;0,AC37/AC18,0)</f>
        <v/>
      </c>
      <c r="AD69" s="19">
        <f>IF(AD18&gt;0,AD37/AD18,0)</f>
        <v/>
      </c>
      <c r="AE69" s="19">
        <f>IF(AE18&gt;0,AE37/AE18,0)</f>
        <v/>
      </c>
      <c r="AF69" s="19">
        <f>IF(AF18&gt;0,AF37/AF18,0)</f>
        <v/>
      </c>
      <c r="AG69" s="19">
        <f>IF(AG18&gt;0,AG37/AG18,0)</f>
        <v/>
      </c>
      <c r="AH69" s="19">
        <f>IF(AH18&gt;0,AH37/AH18,0)</f>
        <v/>
      </c>
      <c r="AI69" s="19">
        <f>IF(AI18&gt;0,AI37/AI18,0)</f>
        <v/>
      </c>
      <c r="AJ69" s="19">
        <f>IF(AJ18&gt;0,AJ37/AJ18,0)</f>
        <v/>
      </c>
      <c r="AK69" s="19">
        <f>IF(AK18&gt;0,AK37/AK18,0)</f>
        <v/>
      </c>
      <c r="AL69" s="19">
        <f>IF(AL18&gt;0,AL37/AL18,0)</f>
        <v/>
      </c>
      <c r="AN69" s="19">
        <f>N69</f>
        <v/>
      </c>
      <c r="AO69" s="19">
        <f>Z69</f>
        <v/>
      </c>
      <c r="AP69" s="19">
        <f>AL69</f>
        <v/>
      </c>
    </row>
    <row r="70">
      <c r="A70" s="9" t="inlineStr">
        <is>
          <t>Marge variable (% du CA HT)</t>
        </is>
      </c>
      <c r="B70" s="4" t="inlineStr">
        <is>
          <t>%</t>
        </is>
      </c>
      <c r="C70" s="17">
        <f>IF(C28&gt;0,C37/C28,0)</f>
        <v/>
      </c>
      <c r="D70" s="17">
        <f>IF(D28&gt;0,D37/D28,0)</f>
        <v/>
      </c>
      <c r="E70" s="17">
        <f>IF(E28&gt;0,E37/E28,0)</f>
        <v/>
      </c>
      <c r="F70" s="17">
        <f>IF(F28&gt;0,F37/F28,0)</f>
        <v/>
      </c>
      <c r="G70" s="17">
        <f>IF(G28&gt;0,G37/G28,0)</f>
        <v/>
      </c>
      <c r="H70" s="17">
        <f>IF(H28&gt;0,H37/H28,0)</f>
        <v/>
      </c>
      <c r="I70" s="17">
        <f>IF(I28&gt;0,I37/I28,0)</f>
        <v/>
      </c>
      <c r="J70" s="17">
        <f>IF(J28&gt;0,J37/J28,0)</f>
        <v/>
      </c>
      <c r="K70" s="17">
        <f>IF(K28&gt;0,K37/K28,0)</f>
        <v/>
      </c>
      <c r="L70" s="17">
        <f>IF(L28&gt;0,L37/L28,0)</f>
        <v/>
      </c>
      <c r="M70" s="17">
        <f>IF(M28&gt;0,M37/M28,0)</f>
        <v/>
      </c>
      <c r="N70" s="17">
        <f>IF(N28&gt;0,N37/N28,0)</f>
        <v/>
      </c>
      <c r="O70" s="17">
        <f>IF(O28&gt;0,O37/O28,0)</f>
        <v/>
      </c>
      <c r="P70" s="17">
        <f>IF(P28&gt;0,P37/P28,0)</f>
        <v/>
      </c>
      <c r="Q70" s="17">
        <f>IF(Q28&gt;0,Q37/Q28,0)</f>
        <v/>
      </c>
      <c r="R70" s="17">
        <f>IF(R28&gt;0,R37/R28,0)</f>
        <v/>
      </c>
      <c r="S70" s="17">
        <f>IF(S28&gt;0,S37/S28,0)</f>
        <v/>
      </c>
      <c r="T70" s="17">
        <f>IF(T28&gt;0,T37/T28,0)</f>
        <v/>
      </c>
      <c r="U70" s="17">
        <f>IF(U28&gt;0,U37/U28,0)</f>
        <v/>
      </c>
      <c r="V70" s="17">
        <f>IF(V28&gt;0,V37/V28,0)</f>
        <v/>
      </c>
      <c r="W70" s="17">
        <f>IF(W28&gt;0,W37/W28,0)</f>
        <v/>
      </c>
      <c r="X70" s="17">
        <f>IF(X28&gt;0,X37/X28,0)</f>
        <v/>
      </c>
      <c r="Y70" s="17">
        <f>IF(Y28&gt;0,Y37/Y28,0)</f>
        <v/>
      </c>
      <c r="Z70" s="17">
        <f>IF(Z28&gt;0,Z37/Z28,0)</f>
        <v/>
      </c>
      <c r="AA70" s="17">
        <f>IF(AA28&gt;0,AA37/AA28,0)</f>
        <v/>
      </c>
      <c r="AB70" s="17">
        <f>IF(AB28&gt;0,AB37/AB28,0)</f>
        <v/>
      </c>
      <c r="AC70" s="17">
        <f>IF(AC28&gt;0,AC37/AC28,0)</f>
        <v/>
      </c>
      <c r="AD70" s="17">
        <f>IF(AD28&gt;0,AD37/AD28,0)</f>
        <v/>
      </c>
      <c r="AE70" s="17">
        <f>IF(AE28&gt;0,AE37/AE28,0)</f>
        <v/>
      </c>
      <c r="AF70" s="17">
        <f>IF(AF28&gt;0,AF37/AF28,0)</f>
        <v/>
      </c>
      <c r="AG70" s="17">
        <f>IF(AG28&gt;0,AG37/AG28,0)</f>
        <v/>
      </c>
      <c r="AH70" s="17">
        <f>IF(AH28&gt;0,AH37/AH28,0)</f>
        <v/>
      </c>
      <c r="AI70" s="17">
        <f>IF(AI28&gt;0,AI37/AI28,0)</f>
        <v/>
      </c>
      <c r="AJ70" s="17">
        <f>IF(AJ28&gt;0,AJ37/AJ28,0)</f>
        <v/>
      </c>
      <c r="AK70" s="17">
        <f>IF(AK28&gt;0,AK37/AK28,0)</f>
        <v/>
      </c>
      <c r="AL70" s="17">
        <f>IF(AL28&gt;0,AL37/AL28,0)</f>
        <v/>
      </c>
      <c r="AN70" s="17">
        <f>N70</f>
        <v/>
      </c>
      <c r="AO70" s="17">
        <f>Z70</f>
        <v/>
      </c>
      <c r="AP70" s="17">
        <f>AL70</f>
        <v/>
      </c>
    </row>
    <row r="71">
      <c r="A71" s="9" t="inlineStr">
        <is>
          <t>CAC effectif</t>
        </is>
      </c>
      <c r="B71" s="4" t="inlineStr">
        <is>
          <t>€</t>
        </is>
      </c>
      <c r="C71" s="15">
        <f>IF(C14&gt;0,C39/C14,0)</f>
        <v/>
      </c>
      <c r="D71" s="15">
        <f>IF(D14&gt;0,D39/D14,0)</f>
        <v/>
      </c>
      <c r="E71" s="15">
        <f>IF(E14&gt;0,E39/E14,0)</f>
        <v/>
      </c>
      <c r="F71" s="15">
        <f>IF(F14&gt;0,F39/F14,0)</f>
        <v/>
      </c>
      <c r="G71" s="15">
        <f>IF(G14&gt;0,G39/G14,0)</f>
        <v/>
      </c>
      <c r="H71" s="15">
        <f>IF(H14&gt;0,H39/H14,0)</f>
        <v/>
      </c>
      <c r="I71" s="15">
        <f>IF(I14&gt;0,I39/I14,0)</f>
        <v/>
      </c>
      <c r="J71" s="15">
        <f>IF(J14&gt;0,J39/J14,0)</f>
        <v/>
      </c>
      <c r="K71" s="15">
        <f>IF(K14&gt;0,K39/K14,0)</f>
        <v/>
      </c>
      <c r="L71" s="15">
        <f>IF(L14&gt;0,L39/L14,0)</f>
        <v/>
      </c>
      <c r="M71" s="15">
        <f>IF(M14&gt;0,M39/M14,0)</f>
        <v/>
      </c>
      <c r="N71" s="15">
        <f>IF(N14&gt;0,N39/N14,0)</f>
        <v/>
      </c>
      <c r="O71" s="15">
        <f>IF(O14&gt;0,O39/O14,0)</f>
        <v/>
      </c>
      <c r="P71" s="15">
        <f>IF(P14&gt;0,P39/P14,0)</f>
        <v/>
      </c>
      <c r="Q71" s="15">
        <f>IF(Q14&gt;0,Q39/Q14,0)</f>
        <v/>
      </c>
      <c r="R71" s="15">
        <f>IF(R14&gt;0,R39/R14,0)</f>
        <v/>
      </c>
      <c r="S71" s="15">
        <f>IF(S14&gt;0,S39/S14,0)</f>
        <v/>
      </c>
      <c r="T71" s="15">
        <f>IF(T14&gt;0,T39/T14,0)</f>
        <v/>
      </c>
      <c r="U71" s="15">
        <f>IF(U14&gt;0,U39/U14,0)</f>
        <v/>
      </c>
      <c r="V71" s="15">
        <f>IF(V14&gt;0,V39/V14,0)</f>
        <v/>
      </c>
      <c r="W71" s="15">
        <f>IF(W14&gt;0,W39/W14,0)</f>
        <v/>
      </c>
      <c r="X71" s="15">
        <f>IF(X14&gt;0,X39/X14,0)</f>
        <v/>
      </c>
      <c r="Y71" s="15">
        <f>IF(Y14&gt;0,Y39/Y14,0)</f>
        <v/>
      </c>
      <c r="Z71" s="15">
        <f>IF(Z14&gt;0,Z39/Z14,0)</f>
        <v/>
      </c>
      <c r="AA71" s="15">
        <f>IF(AA14&gt;0,AA39/AA14,0)</f>
        <v/>
      </c>
      <c r="AB71" s="15">
        <f>IF(AB14&gt;0,AB39/AB14,0)</f>
        <v/>
      </c>
      <c r="AC71" s="15">
        <f>IF(AC14&gt;0,AC39/AC14,0)</f>
        <v/>
      </c>
      <c r="AD71" s="15">
        <f>IF(AD14&gt;0,AD39/AD14,0)</f>
        <v/>
      </c>
      <c r="AE71" s="15">
        <f>IF(AE14&gt;0,AE39/AE14,0)</f>
        <v/>
      </c>
      <c r="AF71" s="15">
        <f>IF(AF14&gt;0,AF39/AF14,0)</f>
        <v/>
      </c>
      <c r="AG71" s="15">
        <f>IF(AG14&gt;0,AG39/AG14,0)</f>
        <v/>
      </c>
      <c r="AH71" s="15">
        <f>IF(AH14&gt;0,AH39/AH14,0)</f>
        <v/>
      </c>
      <c r="AI71" s="15">
        <f>IF(AI14&gt;0,AI39/AI14,0)</f>
        <v/>
      </c>
      <c r="AJ71" s="15">
        <f>IF(AJ14&gt;0,AJ39/AJ14,0)</f>
        <v/>
      </c>
      <c r="AK71" s="15">
        <f>IF(AK14&gt;0,AK39/AK14,0)</f>
        <v/>
      </c>
      <c r="AL71" s="15">
        <f>IF(AL14&gt;0,AL39/AL14,0)</f>
        <v/>
      </c>
      <c r="AN71" s="15">
        <f>N71</f>
        <v/>
      </c>
      <c r="AO71" s="15">
        <f>Z71</f>
        <v/>
      </c>
      <c r="AP71" s="15">
        <f>AL71</f>
        <v/>
      </c>
    </row>
    <row r="72">
      <c r="A72" s="9" t="inlineStr">
        <is>
          <t>Payback du CAC (mois)</t>
        </is>
      </c>
      <c r="B72" s="4" t="inlineStr">
        <is>
          <t>mois</t>
        </is>
      </c>
      <c r="C72" s="38">
        <f>IF(C69&gt;0,Hypothèses!$D$23*$E$4/C69,0)</f>
        <v/>
      </c>
      <c r="D72" s="38">
        <f>IF(D69&gt;0,Hypothèses!$D$23*$E$4/D69,0)</f>
        <v/>
      </c>
      <c r="E72" s="38">
        <f>IF(E69&gt;0,Hypothèses!$D$23*$E$4/E69,0)</f>
        <v/>
      </c>
      <c r="F72" s="38">
        <f>IF(F69&gt;0,Hypothèses!$D$23*$E$4/F69,0)</f>
        <v/>
      </c>
      <c r="G72" s="38">
        <f>IF(G69&gt;0,Hypothèses!$D$23*$E$4/G69,0)</f>
        <v/>
      </c>
      <c r="H72" s="38">
        <f>IF(H69&gt;0,Hypothèses!$D$23*$E$4/H69,0)</f>
        <v/>
      </c>
      <c r="I72" s="38">
        <f>IF(I69&gt;0,Hypothèses!$D$23*$E$4/I69,0)</f>
        <v/>
      </c>
      <c r="J72" s="38">
        <f>IF(J69&gt;0,Hypothèses!$D$23*$E$4/J69,0)</f>
        <v/>
      </c>
      <c r="K72" s="38">
        <f>IF(K69&gt;0,Hypothèses!$D$23*$E$4/K69,0)</f>
        <v/>
      </c>
      <c r="L72" s="38">
        <f>IF(L69&gt;0,Hypothèses!$D$23*$E$4/L69,0)</f>
        <v/>
      </c>
      <c r="M72" s="38">
        <f>IF(M69&gt;0,Hypothèses!$D$23*$E$4/M69,0)</f>
        <v/>
      </c>
      <c r="N72" s="38">
        <f>IF(N69&gt;0,Hypothèses!$D$23*$E$4/N69,0)</f>
        <v/>
      </c>
      <c r="O72" s="38">
        <f>IF(O69&gt;0,Hypothèses!$D$23*$E$4/O69,0)</f>
        <v/>
      </c>
      <c r="P72" s="38">
        <f>IF(P69&gt;0,Hypothèses!$D$23*$E$4/P69,0)</f>
        <v/>
      </c>
      <c r="Q72" s="38">
        <f>IF(Q69&gt;0,Hypothèses!$D$23*$E$4/Q69,0)</f>
        <v/>
      </c>
      <c r="R72" s="38">
        <f>IF(R69&gt;0,Hypothèses!$D$23*$E$4/R69,0)</f>
        <v/>
      </c>
      <c r="S72" s="38">
        <f>IF(S69&gt;0,Hypothèses!$D$23*$E$4/S69,0)</f>
        <v/>
      </c>
      <c r="T72" s="38">
        <f>IF(T69&gt;0,Hypothèses!$D$23*$E$4/T69,0)</f>
        <v/>
      </c>
      <c r="U72" s="38">
        <f>IF(U69&gt;0,Hypothèses!$D$23*$E$4/U69,0)</f>
        <v/>
      </c>
      <c r="V72" s="38">
        <f>IF(V69&gt;0,Hypothèses!$D$23*$E$4/V69,0)</f>
        <v/>
      </c>
      <c r="W72" s="38">
        <f>IF(W69&gt;0,Hypothèses!$D$23*$E$4/W69,0)</f>
        <v/>
      </c>
      <c r="X72" s="38">
        <f>IF(X69&gt;0,Hypothèses!$D$23*$E$4/X69,0)</f>
        <v/>
      </c>
      <c r="Y72" s="38">
        <f>IF(Y69&gt;0,Hypothèses!$D$23*$E$4/Y69,0)</f>
        <v/>
      </c>
      <c r="Z72" s="38">
        <f>IF(Z69&gt;0,Hypothèses!$D$23*$E$4/Z69,0)</f>
        <v/>
      </c>
      <c r="AA72" s="38">
        <f>IF(AA69&gt;0,Hypothèses!$D$23*$E$4/AA69,0)</f>
        <v/>
      </c>
      <c r="AB72" s="38">
        <f>IF(AB69&gt;0,Hypothèses!$D$23*$E$4/AB69,0)</f>
        <v/>
      </c>
      <c r="AC72" s="38">
        <f>IF(AC69&gt;0,Hypothèses!$D$23*$E$4/AC69,0)</f>
        <v/>
      </c>
      <c r="AD72" s="38">
        <f>IF(AD69&gt;0,Hypothèses!$D$23*$E$4/AD69,0)</f>
        <v/>
      </c>
      <c r="AE72" s="38">
        <f>IF(AE69&gt;0,Hypothèses!$D$23*$E$4/AE69,0)</f>
        <v/>
      </c>
      <c r="AF72" s="38">
        <f>IF(AF69&gt;0,Hypothèses!$D$23*$E$4/AF69,0)</f>
        <v/>
      </c>
      <c r="AG72" s="38">
        <f>IF(AG69&gt;0,Hypothèses!$D$23*$E$4/AG69,0)</f>
        <v/>
      </c>
      <c r="AH72" s="38">
        <f>IF(AH69&gt;0,Hypothèses!$D$23*$E$4/AH69,0)</f>
        <v/>
      </c>
      <c r="AI72" s="38">
        <f>IF(AI69&gt;0,Hypothèses!$D$23*$E$4/AI69,0)</f>
        <v/>
      </c>
      <c r="AJ72" s="38">
        <f>IF(AJ69&gt;0,Hypothèses!$D$23*$E$4/AJ69,0)</f>
        <v/>
      </c>
      <c r="AK72" s="38">
        <f>IF(AK69&gt;0,Hypothèses!$D$23*$E$4/AK69,0)</f>
        <v/>
      </c>
      <c r="AL72" s="38">
        <f>IF(AL69&gt;0,Hypothèses!$D$23*$E$4/AL69,0)</f>
        <v/>
      </c>
      <c r="AN72" s="38">
        <f>N72</f>
        <v/>
      </c>
      <c r="AO72" s="38">
        <f>Z72</f>
        <v/>
      </c>
      <c r="AP72" s="38">
        <f>AL72</f>
        <v/>
      </c>
    </row>
    <row r="73">
      <c r="A73" s="9" t="inlineStr">
        <is>
          <t>LTV contributive simplifiée (contribution / churn)</t>
        </is>
      </c>
      <c r="B73" s="4" t="inlineStr">
        <is>
          <t>€ HT</t>
        </is>
      </c>
      <c r="C73" s="15">
        <f>IF(Hypothèses!$D$26*$D$4&gt;0,C69/(Hypothèses!$D$26*$D$4),0)</f>
        <v/>
      </c>
      <c r="D73" s="15">
        <f>IF(Hypothèses!$D$26*$D$4&gt;0,D69/(Hypothèses!$D$26*$D$4),0)</f>
        <v/>
      </c>
      <c r="E73" s="15">
        <f>IF(Hypothèses!$D$26*$D$4&gt;0,E69/(Hypothèses!$D$26*$D$4),0)</f>
        <v/>
      </c>
      <c r="F73" s="15">
        <f>IF(Hypothèses!$D$26*$D$4&gt;0,F69/(Hypothèses!$D$26*$D$4),0)</f>
        <v/>
      </c>
      <c r="G73" s="15">
        <f>IF(Hypothèses!$D$26*$D$4&gt;0,G69/(Hypothèses!$D$26*$D$4),0)</f>
        <v/>
      </c>
      <c r="H73" s="15">
        <f>IF(Hypothèses!$D$26*$D$4&gt;0,H69/(Hypothèses!$D$26*$D$4),0)</f>
        <v/>
      </c>
      <c r="I73" s="15">
        <f>IF(Hypothèses!$D$26*$D$4&gt;0,I69/(Hypothèses!$D$26*$D$4),0)</f>
        <v/>
      </c>
      <c r="J73" s="15">
        <f>IF(Hypothèses!$D$26*$D$4&gt;0,J69/(Hypothèses!$D$26*$D$4),0)</f>
        <v/>
      </c>
      <c r="K73" s="15">
        <f>IF(Hypothèses!$D$26*$D$4&gt;0,K69/(Hypothèses!$D$26*$D$4),0)</f>
        <v/>
      </c>
      <c r="L73" s="15">
        <f>IF(Hypothèses!$D$26*$D$4&gt;0,L69/(Hypothèses!$D$26*$D$4),0)</f>
        <v/>
      </c>
      <c r="M73" s="15">
        <f>IF(Hypothèses!$D$26*$D$4&gt;0,M69/(Hypothèses!$D$26*$D$4),0)</f>
        <v/>
      </c>
      <c r="N73" s="15">
        <f>IF(Hypothèses!$D$26*$D$4&gt;0,N69/(Hypothèses!$D$26*$D$4),0)</f>
        <v/>
      </c>
      <c r="O73" s="15">
        <f>IF(Hypothèses!$D$26*$D$4&gt;0,O69/(Hypothèses!$D$26*$D$4),0)</f>
        <v/>
      </c>
      <c r="P73" s="15">
        <f>IF(Hypothèses!$D$26*$D$4&gt;0,P69/(Hypothèses!$D$26*$D$4),0)</f>
        <v/>
      </c>
      <c r="Q73" s="15">
        <f>IF(Hypothèses!$D$26*$D$4&gt;0,Q69/(Hypothèses!$D$26*$D$4),0)</f>
        <v/>
      </c>
      <c r="R73" s="15">
        <f>IF(Hypothèses!$D$26*$D$4&gt;0,R69/(Hypothèses!$D$26*$D$4),0)</f>
        <v/>
      </c>
      <c r="S73" s="15">
        <f>IF(Hypothèses!$D$26*$D$4&gt;0,S69/(Hypothèses!$D$26*$D$4),0)</f>
        <v/>
      </c>
      <c r="T73" s="15">
        <f>IF(Hypothèses!$D$26*$D$4&gt;0,T69/(Hypothèses!$D$26*$D$4),0)</f>
        <v/>
      </c>
      <c r="U73" s="15">
        <f>IF(Hypothèses!$D$26*$D$4&gt;0,U69/(Hypothèses!$D$26*$D$4),0)</f>
        <v/>
      </c>
      <c r="V73" s="15">
        <f>IF(Hypothèses!$D$26*$D$4&gt;0,V69/(Hypothèses!$D$26*$D$4),0)</f>
        <v/>
      </c>
      <c r="W73" s="15">
        <f>IF(Hypothèses!$D$26*$D$4&gt;0,W69/(Hypothèses!$D$26*$D$4),0)</f>
        <v/>
      </c>
      <c r="X73" s="15">
        <f>IF(Hypothèses!$D$26*$D$4&gt;0,X69/(Hypothèses!$D$26*$D$4),0)</f>
        <v/>
      </c>
      <c r="Y73" s="15">
        <f>IF(Hypothèses!$D$26*$D$4&gt;0,Y69/(Hypothèses!$D$26*$D$4),0)</f>
        <v/>
      </c>
      <c r="Z73" s="15">
        <f>IF(Hypothèses!$D$26*$D$4&gt;0,Z69/(Hypothèses!$D$26*$D$4),0)</f>
        <v/>
      </c>
      <c r="AA73" s="15">
        <f>IF(Hypothèses!$D$26*$D$4&gt;0,AA69/(Hypothèses!$D$26*$D$4),0)</f>
        <v/>
      </c>
      <c r="AB73" s="15">
        <f>IF(Hypothèses!$D$26*$D$4&gt;0,AB69/(Hypothèses!$D$26*$D$4),0)</f>
        <v/>
      </c>
      <c r="AC73" s="15">
        <f>IF(Hypothèses!$D$26*$D$4&gt;0,AC69/(Hypothèses!$D$26*$D$4),0)</f>
        <v/>
      </c>
      <c r="AD73" s="15">
        <f>IF(Hypothèses!$D$26*$D$4&gt;0,AD69/(Hypothèses!$D$26*$D$4),0)</f>
        <v/>
      </c>
      <c r="AE73" s="15">
        <f>IF(Hypothèses!$D$26*$D$4&gt;0,AE69/(Hypothèses!$D$26*$D$4),0)</f>
        <v/>
      </c>
      <c r="AF73" s="15">
        <f>IF(Hypothèses!$D$26*$D$4&gt;0,AF69/(Hypothèses!$D$26*$D$4),0)</f>
        <v/>
      </c>
      <c r="AG73" s="15">
        <f>IF(Hypothèses!$D$26*$D$4&gt;0,AG69/(Hypothèses!$D$26*$D$4),0)</f>
        <v/>
      </c>
      <c r="AH73" s="15">
        <f>IF(Hypothèses!$D$26*$D$4&gt;0,AH69/(Hypothèses!$D$26*$D$4),0)</f>
        <v/>
      </c>
      <c r="AI73" s="15">
        <f>IF(Hypothèses!$D$26*$D$4&gt;0,AI69/(Hypothèses!$D$26*$D$4),0)</f>
        <v/>
      </c>
      <c r="AJ73" s="15">
        <f>IF(Hypothèses!$D$26*$D$4&gt;0,AJ69/(Hypothèses!$D$26*$D$4),0)</f>
        <v/>
      </c>
      <c r="AK73" s="15">
        <f>IF(Hypothèses!$D$26*$D$4&gt;0,AK69/(Hypothèses!$D$26*$D$4),0)</f>
        <v/>
      </c>
      <c r="AL73" s="15">
        <f>IF(Hypothèses!$D$26*$D$4&gt;0,AL69/(Hypothèses!$D$26*$D$4),0)</f>
        <v/>
      </c>
      <c r="AN73" s="15">
        <f>N73</f>
        <v/>
      </c>
      <c r="AO73" s="15">
        <f>Z73</f>
        <v/>
      </c>
      <c r="AP73" s="15">
        <f>AL73</f>
        <v/>
      </c>
    </row>
    <row r="74">
      <c r="A74" s="9" t="inlineStr">
        <is>
          <t>LTV / CAC</t>
        </is>
      </c>
      <c r="B74" s="4" t="inlineStr">
        <is>
          <t>x</t>
        </is>
      </c>
      <c r="C74" s="41">
        <f>IF(Hypothèses!$D$23*$E$4&gt;0,C73/(Hypothèses!$D$23*$E$4),0)</f>
        <v/>
      </c>
      <c r="D74" s="41">
        <f>IF(Hypothèses!$D$23*$E$4&gt;0,D73/(Hypothèses!$D$23*$E$4),0)</f>
        <v/>
      </c>
      <c r="E74" s="41">
        <f>IF(Hypothèses!$D$23*$E$4&gt;0,E73/(Hypothèses!$D$23*$E$4),0)</f>
        <v/>
      </c>
      <c r="F74" s="41">
        <f>IF(Hypothèses!$D$23*$E$4&gt;0,F73/(Hypothèses!$D$23*$E$4),0)</f>
        <v/>
      </c>
      <c r="G74" s="41">
        <f>IF(Hypothèses!$D$23*$E$4&gt;0,G73/(Hypothèses!$D$23*$E$4),0)</f>
        <v/>
      </c>
      <c r="H74" s="41">
        <f>IF(Hypothèses!$D$23*$E$4&gt;0,H73/(Hypothèses!$D$23*$E$4),0)</f>
        <v/>
      </c>
      <c r="I74" s="41">
        <f>IF(Hypothèses!$D$23*$E$4&gt;0,I73/(Hypothèses!$D$23*$E$4),0)</f>
        <v/>
      </c>
      <c r="J74" s="41">
        <f>IF(Hypothèses!$D$23*$E$4&gt;0,J73/(Hypothèses!$D$23*$E$4),0)</f>
        <v/>
      </c>
      <c r="K74" s="41">
        <f>IF(Hypothèses!$D$23*$E$4&gt;0,K73/(Hypothèses!$D$23*$E$4),0)</f>
        <v/>
      </c>
      <c r="L74" s="41">
        <f>IF(Hypothèses!$D$23*$E$4&gt;0,L73/(Hypothèses!$D$23*$E$4),0)</f>
        <v/>
      </c>
      <c r="M74" s="41">
        <f>IF(Hypothèses!$D$23*$E$4&gt;0,M73/(Hypothèses!$D$23*$E$4),0)</f>
        <v/>
      </c>
      <c r="N74" s="41">
        <f>IF(Hypothèses!$D$23*$E$4&gt;0,N73/(Hypothèses!$D$23*$E$4),0)</f>
        <v/>
      </c>
      <c r="O74" s="41">
        <f>IF(Hypothèses!$D$23*$E$4&gt;0,O73/(Hypothèses!$D$23*$E$4),0)</f>
        <v/>
      </c>
      <c r="P74" s="41">
        <f>IF(Hypothèses!$D$23*$E$4&gt;0,P73/(Hypothèses!$D$23*$E$4),0)</f>
        <v/>
      </c>
      <c r="Q74" s="41">
        <f>IF(Hypothèses!$D$23*$E$4&gt;0,Q73/(Hypothèses!$D$23*$E$4),0)</f>
        <v/>
      </c>
      <c r="R74" s="41">
        <f>IF(Hypothèses!$D$23*$E$4&gt;0,R73/(Hypothèses!$D$23*$E$4),0)</f>
        <v/>
      </c>
      <c r="S74" s="41">
        <f>IF(Hypothèses!$D$23*$E$4&gt;0,S73/(Hypothèses!$D$23*$E$4),0)</f>
        <v/>
      </c>
      <c r="T74" s="41">
        <f>IF(Hypothèses!$D$23*$E$4&gt;0,T73/(Hypothèses!$D$23*$E$4),0)</f>
        <v/>
      </c>
      <c r="U74" s="41">
        <f>IF(Hypothèses!$D$23*$E$4&gt;0,U73/(Hypothèses!$D$23*$E$4),0)</f>
        <v/>
      </c>
      <c r="V74" s="41">
        <f>IF(Hypothèses!$D$23*$E$4&gt;0,V73/(Hypothèses!$D$23*$E$4),0)</f>
        <v/>
      </c>
      <c r="W74" s="41">
        <f>IF(Hypothèses!$D$23*$E$4&gt;0,W73/(Hypothèses!$D$23*$E$4),0)</f>
        <v/>
      </c>
      <c r="X74" s="41">
        <f>IF(Hypothèses!$D$23*$E$4&gt;0,X73/(Hypothèses!$D$23*$E$4),0)</f>
        <v/>
      </c>
      <c r="Y74" s="41">
        <f>IF(Hypothèses!$D$23*$E$4&gt;0,Y73/(Hypothèses!$D$23*$E$4),0)</f>
        <v/>
      </c>
      <c r="Z74" s="41">
        <f>IF(Hypothèses!$D$23*$E$4&gt;0,Z73/(Hypothèses!$D$23*$E$4),0)</f>
        <v/>
      </c>
      <c r="AA74" s="41">
        <f>IF(Hypothèses!$D$23*$E$4&gt;0,AA73/(Hypothèses!$D$23*$E$4),0)</f>
        <v/>
      </c>
      <c r="AB74" s="41">
        <f>IF(Hypothèses!$D$23*$E$4&gt;0,AB73/(Hypothèses!$D$23*$E$4),0)</f>
        <v/>
      </c>
      <c r="AC74" s="41">
        <f>IF(Hypothèses!$D$23*$E$4&gt;0,AC73/(Hypothèses!$D$23*$E$4),0)</f>
        <v/>
      </c>
      <c r="AD74" s="41">
        <f>IF(Hypothèses!$D$23*$E$4&gt;0,AD73/(Hypothèses!$D$23*$E$4),0)</f>
        <v/>
      </c>
      <c r="AE74" s="41">
        <f>IF(Hypothèses!$D$23*$E$4&gt;0,AE73/(Hypothèses!$D$23*$E$4),0)</f>
        <v/>
      </c>
      <c r="AF74" s="41">
        <f>IF(Hypothèses!$D$23*$E$4&gt;0,AF73/(Hypothèses!$D$23*$E$4),0)</f>
        <v/>
      </c>
      <c r="AG74" s="41">
        <f>IF(Hypothèses!$D$23*$E$4&gt;0,AG73/(Hypothèses!$D$23*$E$4),0)</f>
        <v/>
      </c>
      <c r="AH74" s="41">
        <f>IF(Hypothèses!$D$23*$E$4&gt;0,AH73/(Hypothèses!$D$23*$E$4),0)</f>
        <v/>
      </c>
      <c r="AI74" s="41">
        <f>IF(Hypothèses!$D$23*$E$4&gt;0,AI73/(Hypothèses!$D$23*$E$4),0)</f>
        <v/>
      </c>
      <c r="AJ74" s="41">
        <f>IF(Hypothèses!$D$23*$E$4&gt;0,AJ73/(Hypothèses!$D$23*$E$4),0)</f>
        <v/>
      </c>
      <c r="AK74" s="41">
        <f>IF(Hypothèses!$D$23*$E$4&gt;0,AK73/(Hypothèses!$D$23*$E$4),0)</f>
        <v/>
      </c>
      <c r="AL74" s="41">
        <f>IF(Hypothèses!$D$23*$E$4&gt;0,AL73/(Hypothèses!$D$23*$E$4),0)</f>
        <v/>
      </c>
      <c r="AN74" s="41">
        <f>N74</f>
        <v/>
      </c>
      <c r="AO74" s="41">
        <f>Z74</f>
        <v/>
      </c>
      <c r="AP74" s="41">
        <f>AL74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4DDD2"/>
    <outlinePr summaryBelow="1" summaryRight="1"/>
    <pageSetUpPr/>
  </sheetPr>
  <dimension ref="A1:AP7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40" max="40"/>
    <col width="13" customWidth="1" min="41" max="41"/>
    <col width="13" customWidth="1" min="42" max="42"/>
  </cols>
  <sheetData>
    <row r="1">
      <c r="A1" s="1" t="inlineStr">
        <is>
          <t>Sensibilité S03 : CAC 240 € (copie du Central)</t>
        </is>
      </c>
    </row>
    <row r="2">
      <c r="A2" s="4" t="inlineStr">
        <is>
          <t>Flux en € HT sauf mention TTC. Formules vivantes ; ne saisir que dans l'onglet Hypothèses et la ligne de chocs ci-dessous.</t>
        </is>
      </c>
    </row>
    <row r="3">
      <c r="A3" s="2" t="inlineStr">
        <is>
          <t>Chocs de sensibilité (1 = aucun ; retard en mois)</t>
        </is>
      </c>
      <c r="C3" s="33" t="inlineStr">
        <is>
          <t>Prix ×</t>
        </is>
      </c>
      <c r="D3" s="33" t="inlineStr">
        <is>
          <t>Churn ×</t>
        </is>
      </c>
      <c r="E3" s="33" t="inlineStr">
        <is>
          <t>CAC ×</t>
        </is>
      </c>
      <c r="F3" s="33" t="inlineStr">
        <is>
          <t>Coût IA ×</t>
        </is>
      </c>
      <c r="G3" s="33" t="inlineStr">
        <is>
          <t>Coûts fixes ×</t>
        </is>
      </c>
      <c r="H3" s="33" t="inlineStr">
        <is>
          <t>Retard lancement (mois)</t>
        </is>
      </c>
    </row>
    <row r="4">
      <c r="C4" s="34" t="n">
        <v>1</v>
      </c>
      <c r="D4" s="34" t="n">
        <v>1</v>
      </c>
      <c r="E4" s="34" t="n">
        <v>1.6</v>
      </c>
      <c r="F4" s="34" t="n">
        <v>1</v>
      </c>
      <c r="G4" s="34" t="n">
        <v>1</v>
      </c>
      <c r="H4" s="35" t="n">
        <v>0</v>
      </c>
    </row>
    <row r="5">
      <c r="A5" s="2" t="inlineStr">
        <is>
          <t>Mois de lancement effectif</t>
        </is>
      </c>
      <c r="B5" s="22">
        <f>Hypothèses!$D$10+$H$4</f>
        <v/>
      </c>
    </row>
    <row r="6">
      <c r="A6" s="28" t="inlineStr">
        <is>
          <t>Ligne</t>
        </is>
      </c>
      <c r="B6" s="28" t="inlineStr">
        <is>
          <t>Unité</t>
        </is>
      </c>
      <c r="C6" s="36" t="inlineStr">
        <is>
          <t>M1</t>
        </is>
      </c>
      <c r="D6" s="36" t="inlineStr">
        <is>
          <t>M2</t>
        </is>
      </c>
      <c r="E6" s="36" t="inlineStr">
        <is>
          <t>M3</t>
        </is>
      </c>
      <c r="F6" s="36" t="inlineStr">
        <is>
          <t>M4</t>
        </is>
      </c>
      <c r="G6" s="36" t="inlineStr">
        <is>
          <t>M5</t>
        </is>
      </c>
      <c r="H6" s="36" t="inlineStr">
        <is>
          <t>M6</t>
        </is>
      </c>
      <c r="I6" s="36" t="inlineStr">
        <is>
          <t>M7</t>
        </is>
      </c>
      <c r="J6" s="36" t="inlineStr">
        <is>
          <t>M8</t>
        </is>
      </c>
      <c r="K6" s="36" t="inlineStr">
        <is>
          <t>M9</t>
        </is>
      </c>
      <c r="L6" s="36" t="inlineStr">
        <is>
          <t>M10</t>
        </is>
      </c>
      <c r="M6" s="36" t="inlineStr">
        <is>
          <t>M11</t>
        </is>
      </c>
      <c r="N6" s="36" t="inlineStr">
        <is>
          <t>M12</t>
        </is>
      </c>
      <c r="O6" s="36" t="inlineStr">
        <is>
          <t>M13</t>
        </is>
      </c>
      <c r="P6" s="36" t="inlineStr">
        <is>
          <t>M14</t>
        </is>
      </c>
      <c r="Q6" s="36" t="inlineStr">
        <is>
          <t>M15</t>
        </is>
      </c>
      <c r="R6" s="36" t="inlineStr">
        <is>
          <t>M16</t>
        </is>
      </c>
      <c r="S6" s="36" t="inlineStr">
        <is>
          <t>M17</t>
        </is>
      </c>
      <c r="T6" s="36" t="inlineStr">
        <is>
          <t>M18</t>
        </is>
      </c>
      <c r="U6" s="36" t="inlineStr">
        <is>
          <t>M19</t>
        </is>
      </c>
      <c r="V6" s="36" t="inlineStr">
        <is>
          <t>M20</t>
        </is>
      </c>
      <c r="W6" s="36" t="inlineStr">
        <is>
          <t>M21</t>
        </is>
      </c>
      <c r="X6" s="36" t="inlineStr">
        <is>
          <t>M22</t>
        </is>
      </c>
      <c r="Y6" s="36" t="inlineStr">
        <is>
          <t>M23</t>
        </is>
      </c>
      <c r="Z6" s="36" t="inlineStr">
        <is>
          <t>M24</t>
        </is>
      </c>
      <c r="AA6" s="36" t="inlineStr">
        <is>
          <t>M25</t>
        </is>
      </c>
      <c r="AB6" s="36" t="inlineStr">
        <is>
          <t>M26</t>
        </is>
      </c>
      <c r="AC6" s="36" t="inlineStr">
        <is>
          <t>M27</t>
        </is>
      </c>
      <c r="AD6" s="36" t="inlineStr">
        <is>
          <t>M28</t>
        </is>
      </c>
      <c r="AE6" s="36" t="inlineStr">
        <is>
          <t>M29</t>
        </is>
      </c>
      <c r="AF6" s="36" t="inlineStr">
        <is>
          <t>M30</t>
        </is>
      </c>
      <c r="AG6" s="36" t="inlineStr">
        <is>
          <t>M31</t>
        </is>
      </c>
      <c r="AH6" s="36" t="inlineStr">
        <is>
          <t>M32</t>
        </is>
      </c>
      <c r="AI6" s="36" t="inlineStr">
        <is>
          <t>M33</t>
        </is>
      </c>
      <c r="AJ6" s="36" t="inlineStr">
        <is>
          <t>M34</t>
        </is>
      </c>
      <c r="AK6" s="36" t="inlineStr">
        <is>
          <t>M35</t>
        </is>
      </c>
      <c r="AL6" s="36" t="inlineStr">
        <is>
          <t>M36</t>
        </is>
      </c>
      <c r="AN6" s="37" t="inlineStr">
        <is>
          <t>Année 1</t>
        </is>
      </c>
      <c r="AO6" s="37" t="inlineStr">
        <is>
          <t>Année 2</t>
        </is>
      </c>
      <c r="AP6" s="37" t="inlineStr">
        <is>
          <t>Année 3</t>
        </is>
      </c>
    </row>
    <row r="7">
      <c r="A7" s="9" t="inlineStr">
        <is>
          <t>Mois</t>
        </is>
      </c>
      <c r="B7" s="4" t="inlineStr">
        <is>
          <t>n°</t>
        </is>
      </c>
      <c r="C7" s="13" t="n">
        <v>1</v>
      </c>
      <c r="D7" s="13" t="n">
        <v>2</v>
      </c>
      <c r="E7" s="13" t="n">
        <v>3</v>
      </c>
      <c r="F7" s="13" t="n">
        <v>4</v>
      </c>
      <c r="G7" s="13" t="n">
        <v>5</v>
      </c>
      <c r="H7" s="13" t="n">
        <v>6</v>
      </c>
      <c r="I7" s="13" t="n">
        <v>7</v>
      </c>
      <c r="J7" s="13" t="n">
        <v>8</v>
      </c>
      <c r="K7" s="13" t="n">
        <v>9</v>
      </c>
      <c r="L7" s="13" t="n">
        <v>10</v>
      </c>
      <c r="M7" s="13" t="n">
        <v>11</v>
      </c>
      <c r="N7" s="13" t="n">
        <v>12</v>
      </c>
      <c r="O7" s="13" t="n">
        <v>13</v>
      </c>
      <c r="P7" s="13" t="n">
        <v>14</v>
      </c>
      <c r="Q7" s="13" t="n">
        <v>15</v>
      </c>
      <c r="R7" s="13" t="n">
        <v>16</v>
      </c>
      <c r="S7" s="13" t="n">
        <v>17</v>
      </c>
      <c r="T7" s="13" t="n">
        <v>18</v>
      </c>
      <c r="U7" s="13" t="n">
        <v>19</v>
      </c>
      <c r="V7" s="13" t="n">
        <v>20</v>
      </c>
      <c r="W7" s="13" t="n">
        <v>21</v>
      </c>
      <c r="X7" s="13" t="n">
        <v>22</v>
      </c>
      <c r="Y7" s="13" t="n">
        <v>23</v>
      </c>
      <c r="Z7" s="13" t="n">
        <v>24</v>
      </c>
      <c r="AA7" s="13" t="n">
        <v>25</v>
      </c>
      <c r="AB7" s="13" t="n">
        <v>26</v>
      </c>
      <c r="AC7" s="13" t="n">
        <v>27</v>
      </c>
      <c r="AD7" s="13" t="n">
        <v>28</v>
      </c>
      <c r="AE7" s="13" t="n">
        <v>29</v>
      </c>
      <c r="AF7" s="13" t="n">
        <v>30</v>
      </c>
      <c r="AG7" s="13" t="n">
        <v>31</v>
      </c>
      <c r="AH7" s="13" t="n">
        <v>32</v>
      </c>
      <c r="AI7" s="13" t="n">
        <v>33</v>
      </c>
      <c r="AJ7" s="13" t="n">
        <v>34</v>
      </c>
      <c r="AK7" s="13" t="n">
        <v>35</v>
      </c>
      <c r="AL7" s="13" t="n">
        <v>36</v>
      </c>
    </row>
    <row r="8">
      <c r="A8" s="9" t="inlineStr">
        <is>
          <t>Date</t>
        </is>
      </c>
      <c r="B8" s="4" t="inlineStr"/>
      <c r="C8" s="11">
        <f>EDATE(Hypothèses!$D$7,C7-1)</f>
        <v/>
      </c>
      <c r="D8" s="11">
        <f>EDATE(Hypothèses!$D$7,D7-1)</f>
        <v/>
      </c>
      <c r="E8" s="11">
        <f>EDATE(Hypothèses!$D$7,E7-1)</f>
        <v/>
      </c>
      <c r="F8" s="11">
        <f>EDATE(Hypothèses!$D$7,F7-1)</f>
        <v/>
      </c>
      <c r="G8" s="11">
        <f>EDATE(Hypothèses!$D$7,G7-1)</f>
        <v/>
      </c>
      <c r="H8" s="11">
        <f>EDATE(Hypothèses!$D$7,H7-1)</f>
        <v/>
      </c>
      <c r="I8" s="11">
        <f>EDATE(Hypothèses!$D$7,I7-1)</f>
        <v/>
      </c>
      <c r="J8" s="11">
        <f>EDATE(Hypothèses!$D$7,J7-1)</f>
        <v/>
      </c>
      <c r="K8" s="11">
        <f>EDATE(Hypothèses!$D$7,K7-1)</f>
        <v/>
      </c>
      <c r="L8" s="11">
        <f>EDATE(Hypothèses!$D$7,L7-1)</f>
        <v/>
      </c>
      <c r="M8" s="11">
        <f>EDATE(Hypothèses!$D$7,M7-1)</f>
        <v/>
      </c>
      <c r="N8" s="11">
        <f>EDATE(Hypothèses!$D$7,N7-1)</f>
        <v/>
      </c>
      <c r="O8" s="11">
        <f>EDATE(Hypothèses!$D$7,O7-1)</f>
        <v/>
      </c>
      <c r="P8" s="11">
        <f>EDATE(Hypothèses!$D$7,P7-1)</f>
        <v/>
      </c>
      <c r="Q8" s="11">
        <f>EDATE(Hypothèses!$D$7,Q7-1)</f>
        <v/>
      </c>
      <c r="R8" s="11">
        <f>EDATE(Hypothèses!$D$7,R7-1)</f>
        <v/>
      </c>
      <c r="S8" s="11">
        <f>EDATE(Hypothèses!$D$7,S7-1)</f>
        <v/>
      </c>
      <c r="T8" s="11">
        <f>EDATE(Hypothèses!$D$7,T7-1)</f>
        <v/>
      </c>
      <c r="U8" s="11">
        <f>EDATE(Hypothèses!$D$7,U7-1)</f>
        <v/>
      </c>
      <c r="V8" s="11">
        <f>EDATE(Hypothèses!$D$7,V7-1)</f>
        <v/>
      </c>
      <c r="W8" s="11">
        <f>EDATE(Hypothèses!$D$7,W7-1)</f>
        <v/>
      </c>
      <c r="X8" s="11">
        <f>EDATE(Hypothèses!$D$7,X7-1)</f>
        <v/>
      </c>
      <c r="Y8" s="11">
        <f>EDATE(Hypothèses!$D$7,Y7-1)</f>
        <v/>
      </c>
      <c r="Z8" s="11">
        <f>EDATE(Hypothèses!$D$7,Z7-1)</f>
        <v/>
      </c>
      <c r="AA8" s="11">
        <f>EDATE(Hypothèses!$D$7,AA7-1)</f>
        <v/>
      </c>
      <c r="AB8" s="11">
        <f>EDATE(Hypothèses!$D$7,AB7-1)</f>
        <v/>
      </c>
      <c r="AC8" s="11">
        <f>EDATE(Hypothèses!$D$7,AC7-1)</f>
        <v/>
      </c>
      <c r="AD8" s="11">
        <f>EDATE(Hypothèses!$D$7,AD7-1)</f>
        <v/>
      </c>
      <c r="AE8" s="11">
        <f>EDATE(Hypothèses!$D$7,AE7-1)</f>
        <v/>
      </c>
      <c r="AF8" s="11">
        <f>EDATE(Hypothèses!$D$7,AF7-1)</f>
        <v/>
      </c>
      <c r="AG8" s="11">
        <f>EDATE(Hypothèses!$D$7,AG7-1)</f>
        <v/>
      </c>
      <c r="AH8" s="11">
        <f>EDATE(Hypothèses!$D$7,AH7-1)</f>
        <v/>
      </c>
      <c r="AI8" s="11">
        <f>EDATE(Hypothèses!$D$7,AI7-1)</f>
        <v/>
      </c>
      <c r="AJ8" s="11">
        <f>EDATE(Hypothèses!$D$7,AJ7-1)</f>
        <v/>
      </c>
      <c r="AK8" s="11">
        <f>EDATE(Hypothèses!$D$7,AK7-1)</f>
        <v/>
      </c>
      <c r="AL8" s="11">
        <f>EDATE(Hypothèses!$D$7,AL7-1)</f>
        <v/>
      </c>
    </row>
    <row r="9">
      <c r="A9" s="9" t="inlineStr">
        <is>
          <t>Lancé ? (1 = oui)</t>
        </is>
      </c>
      <c r="B9" s="4" t="inlineStr">
        <is>
          <t>0/1</t>
        </is>
      </c>
      <c r="C9" s="13">
        <f>IF(C7&gt;=$B$5,1,0)</f>
        <v/>
      </c>
      <c r="D9" s="13">
        <f>IF(D7&gt;=$B$5,1,0)</f>
        <v/>
      </c>
      <c r="E9" s="13">
        <f>IF(E7&gt;=$B$5,1,0)</f>
        <v/>
      </c>
      <c r="F9" s="13">
        <f>IF(F7&gt;=$B$5,1,0)</f>
        <v/>
      </c>
      <c r="G9" s="13">
        <f>IF(G7&gt;=$B$5,1,0)</f>
        <v/>
      </c>
      <c r="H9" s="13">
        <f>IF(H7&gt;=$B$5,1,0)</f>
        <v/>
      </c>
      <c r="I9" s="13">
        <f>IF(I7&gt;=$B$5,1,0)</f>
        <v/>
      </c>
      <c r="J9" s="13">
        <f>IF(J7&gt;=$B$5,1,0)</f>
        <v/>
      </c>
      <c r="K9" s="13">
        <f>IF(K7&gt;=$B$5,1,0)</f>
        <v/>
      </c>
      <c r="L9" s="13">
        <f>IF(L7&gt;=$B$5,1,0)</f>
        <v/>
      </c>
      <c r="M9" s="13">
        <f>IF(M7&gt;=$B$5,1,0)</f>
        <v/>
      </c>
      <c r="N9" s="13">
        <f>IF(N7&gt;=$B$5,1,0)</f>
        <v/>
      </c>
      <c r="O9" s="13">
        <f>IF(O7&gt;=$B$5,1,0)</f>
        <v/>
      </c>
      <c r="P9" s="13">
        <f>IF(P7&gt;=$B$5,1,0)</f>
        <v/>
      </c>
      <c r="Q9" s="13">
        <f>IF(Q7&gt;=$B$5,1,0)</f>
        <v/>
      </c>
      <c r="R9" s="13">
        <f>IF(R7&gt;=$B$5,1,0)</f>
        <v/>
      </c>
      <c r="S9" s="13">
        <f>IF(S7&gt;=$B$5,1,0)</f>
        <v/>
      </c>
      <c r="T9" s="13">
        <f>IF(T7&gt;=$B$5,1,0)</f>
        <v/>
      </c>
      <c r="U9" s="13">
        <f>IF(U7&gt;=$B$5,1,0)</f>
        <v/>
      </c>
      <c r="V9" s="13">
        <f>IF(V7&gt;=$B$5,1,0)</f>
        <v/>
      </c>
      <c r="W9" s="13">
        <f>IF(W7&gt;=$B$5,1,0)</f>
        <v/>
      </c>
      <c r="X9" s="13">
        <f>IF(X7&gt;=$B$5,1,0)</f>
        <v/>
      </c>
      <c r="Y9" s="13">
        <f>IF(Y7&gt;=$B$5,1,0)</f>
        <v/>
      </c>
      <c r="Z9" s="13">
        <f>IF(Z7&gt;=$B$5,1,0)</f>
        <v/>
      </c>
      <c r="AA9" s="13">
        <f>IF(AA7&gt;=$B$5,1,0)</f>
        <v/>
      </c>
      <c r="AB9" s="13">
        <f>IF(AB7&gt;=$B$5,1,0)</f>
        <v/>
      </c>
      <c r="AC9" s="13">
        <f>IF(AC7&gt;=$B$5,1,0)</f>
        <v/>
      </c>
      <c r="AD9" s="13">
        <f>IF(AD7&gt;=$B$5,1,0)</f>
        <v/>
      </c>
      <c r="AE9" s="13">
        <f>IF(AE7&gt;=$B$5,1,0)</f>
        <v/>
      </c>
      <c r="AF9" s="13">
        <f>IF(AF7&gt;=$B$5,1,0)</f>
        <v/>
      </c>
      <c r="AG9" s="13">
        <f>IF(AG7&gt;=$B$5,1,0)</f>
        <v/>
      </c>
      <c r="AH9" s="13">
        <f>IF(AH7&gt;=$B$5,1,0)</f>
        <v/>
      </c>
      <c r="AI9" s="13">
        <f>IF(AI7&gt;=$B$5,1,0)</f>
        <v/>
      </c>
      <c r="AJ9" s="13">
        <f>IF(AJ7&gt;=$B$5,1,0)</f>
        <v/>
      </c>
      <c r="AK9" s="13">
        <f>IF(AK7&gt;=$B$5,1,0)</f>
        <v/>
      </c>
      <c r="AL9" s="13">
        <f>IF(AL7&gt;=$B$5,1,0)</f>
        <v/>
      </c>
    </row>
    <row r="10">
      <c r="A10" s="9" t="inlineStr">
        <is>
          <t>Pilote en cours ? (1 = oui)</t>
        </is>
      </c>
      <c r="B10" s="4" t="inlineStr">
        <is>
          <t>0/1</t>
        </is>
      </c>
      <c r="C10" s="13">
        <f>IF(AND(C7&gt;=Hypothèses!$D$8,C7&lt;$B$5),1,0)</f>
        <v/>
      </c>
      <c r="D10" s="13">
        <f>IF(AND(D7&gt;=Hypothèses!$D$8,D7&lt;$B$5),1,0)</f>
        <v/>
      </c>
      <c r="E10" s="13">
        <f>IF(AND(E7&gt;=Hypothèses!$D$8,E7&lt;$B$5),1,0)</f>
        <v/>
      </c>
      <c r="F10" s="13">
        <f>IF(AND(F7&gt;=Hypothèses!$D$8,F7&lt;$B$5),1,0)</f>
        <v/>
      </c>
      <c r="G10" s="13">
        <f>IF(AND(G7&gt;=Hypothèses!$D$8,G7&lt;$B$5),1,0)</f>
        <v/>
      </c>
      <c r="H10" s="13">
        <f>IF(AND(H7&gt;=Hypothèses!$D$8,H7&lt;$B$5),1,0)</f>
        <v/>
      </c>
      <c r="I10" s="13">
        <f>IF(AND(I7&gt;=Hypothèses!$D$8,I7&lt;$B$5),1,0)</f>
        <v/>
      </c>
      <c r="J10" s="13">
        <f>IF(AND(J7&gt;=Hypothèses!$D$8,J7&lt;$B$5),1,0)</f>
        <v/>
      </c>
      <c r="K10" s="13">
        <f>IF(AND(K7&gt;=Hypothèses!$D$8,K7&lt;$B$5),1,0)</f>
        <v/>
      </c>
      <c r="L10" s="13">
        <f>IF(AND(L7&gt;=Hypothèses!$D$8,L7&lt;$B$5),1,0)</f>
        <v/>
      </c>
      <c r="M10" s="13">
        <f>IF(AND(M7&gt;=Hypothèses!$D$8,M7&lt;$B$5),1,0)</f>
        <v/>
      </c>
      <c r="N10" s="13">
        <f>IF(AND(N7&gt;=Hypothèses!$D$8,N7&lt;$B$5),1,0)</f>
        <v/>
      </c>
      <c r="O10" s="13">
        <f>IF(AND(O7&gt;=Hypothèses!$D$8,O7&lt;$B$5),1,0)</f>
        <v/>
      </c>
      <c r="P10" s="13">
        <f>IF(AND(P7&gt;=Hypothèses!$D$8,P7&lt;$B$5),1,0)</f>
        <v/>
      </c>
      <c r="Q10" s="13">
        <f>IF(AND(Q7&gt;=Hypothèses!$D$8,Q7&lt;$B$5),1,0)</f>
        <v/>
      </c>
      <c r="R10" s="13">
        <f>IF(AND(R7&gt;=Hypothèses!$D$8,R7&lt;$B$5),1,0)</f>
        <v/>
      </c>
      <c r="S10" s="13">
        <f>IF(AND(S7&gt;=Hypothèses!$D$8,S7&lt;$B$5),1,0)</f>
        <v/>
      </c>
      <c r="T10" s="13">
        <f>IF(AND(T7&gt;=Hypothèses!$D$8,T7&lt;$B$5),1,0)</f>
        <v/>
      </c>
      <c r="U10" s="13">
        <f>IF(AND(U7&gt;=Hypothèses!$D$8,U7&lt;$B$5),1,0)</f>
        <v/>
      </c>
      <c r="V10" s="13">
        <f>IF(AND(V7&gt;=Hypothèses!$D$8,V7&lt;$B$5),1,0)</f>
        <v/>
      </c>
      <c r="W10" s="13">
        <f>IF(AND(W7&gt;=Hypothèses!$D$8,W7&lt;$B$5),1,0)</f>
        <v/>
      </c>
      <c r="X10" s="13">
        <f>IF(AND(X7&gt;=Hypothèses!$D$8,X7&lt;$B$5),1,0)</f>
        <v/>
      </c>
      <c r="Y10" s="13">
        <f>IF(AND(Y7&gt;=Hypothèses!$D$8,Y7&lt;$B$5),1,0)</f>
        <v/>
      </c>
      <c r="Z10" s="13">
        <f>IF(AND(Z7&gt;=Hypothèses!$D$8,Z7&lt;$B$5),1,0)</f>
        <v/>
      </c>
      <c r="AA10" s="13">
        <f>IF(AND(AA7&gt;=Hypothèses!$D$8,AA7&lt;$B$5),1,0)</f>
        <v/>
      </c>
      <c r="AB10" s="13">
        <f>IF(AND(AB7&gt;=Hypothèses!$D$8,AB7&lt;$B$5),1,0)</f>
        <v/>
      </c>
      <c r="AC10" s="13">
        <f>IF(AND(AC7&gt;=Hypothèses!$D$8,AC7&lt;$B$5),1,0)</f>
        <v/>
      </c>
      <c r="AD10" s="13">
        <f>IF(AND(AD7&gt;=Hypothèses!$D$8,AD7&lt;$B$5),1,0)</f>
        <v/>
      </c>
      <c r="AE10" s="13">
        <f>IF(AND(AE7&gt;=Hypothèses!$D$8,AE7&lt;$B$5),1,0)</f>
        <v/>
      </c>
      <c r="AF10" s="13">
        <f>IF(AND(AF7&gt;=Hypothèses!$D$8,AF7&lt;$B$5),1,0)</f>
        <v/>
      </c>
      <c r="AG10" s="13">
        <f>IF(AND(AG7&gt;=Hypothèses!$D$8,AG7&lt;$B$5),1,0)</f>
        <v/>
      </c>
      <c r="AH10" s="13">
        <f>IF(AND(AH7&gt;=Hypothèses!$D$8,AH7&lt;$B$5),1,0)</f>
        <v/>
      </c>
      <c r="AI10" s="13">
        <f>IF(AND(AI7&gt;=Hypothèses!$D$8,AI7&lt;$B$5),1,0)</f>
        <v/>
      </c>
      <c r="AJ10" s="13">
        <f>IF(AND(AJ7&gt;=Hypothèses!$D$8,AJ7&lt;$B$5),1,0)</f>
        <v/>
      </c>
      <c r="AK10" s="13">
        <f>IF(AND(AK7&gt;=Hypothèses!$D$8,AK7&lt;$B$5),1,0)</f>
        <v/>
      </c>
      <c r="AL10" s="13">
        <f>IF(AND(AL7&gt;=Hypothèses!$D$8,AL7&lt;$B$5),1,0)</f>
        <v/>
      </c>
    </row>
    <row r="11">
      <c r="A11" s="9" t="inlineStr">
        <is>
          <t>Budget d'acquisition du mois</t>
        </is>
      </c>
      <c r="B11" s="4" t="inlineStr">
        <is>
          <t>€ HT</t>
        </is>
      </c>
      <c r="C11" s="15">
        <f>IF(C9=1,IF(C7&lt;=12,Hypothèses!$D$20,IF(C7&lt;=24,Hypothèses!$D$21,Hypothèses!$D$22)),0)</f>
        <v/>
      </c>
      <c r="D11" s="15">
        <f>IF(D9=1,IF(D7&lt;=12,Hypothèses!$D$20,IF(D7&lt;=24,Hypothèses!$D$21,Hypothèses!$D$22)),0)</f>
        <v/>
      </c>
      <c r="E11" s="15">
        <f>IF(E9=1,IF(E7&lt;=12,Hypothèses!$D$20,IF(E7&lt;=24,Hypothèses!$D$21,Hypothèses!$D$22)),0)</f>
        <v/>
      </c>
      <c r="F11" s="15">
        <f>IF(F9=1,IF(F7&lt;=12,Hypothèses!$D$20,IF(F7&lt;=24,Hypothèses!$D$21,Hypothèses!$D$22)),0)</f>
        <v/>
      </c>
      <c r="G11" s="15">
        <f>IF(G9=1,IF(G7&lt;=12,Hypothèses!$D$20,IF(G7&lt;=24,Hypothèses!$D$21,Hypothèses!$D$22)),0)</f>
        <v/>
      </c>
      <c r="H11" s="15">
        <f>IF(H9=1,IF(H7&lt;=12,Hypothèses!$D$20,IF(H7&lt;=24,Hypothèses!$D$21,Hypothèses!$D$22)),0)</f>
        <v/>
      </c>
      <c r="I11" s="15">
        <f>IF(I9=1,IF(I7&lt;=12,Hypothèses!$D$20,IF(I7&lt;=24,Hypothèses!$D$21,Hypothèses!$D$22)),0)</f>
        <v/>
      </c>
      <c r="J11" s="15">
        <f>IF(J9=1,IF(J7&lt;=12,Hypothèses!$D$20,IF(J7&lt;=24,Hypothèses!$D$21,Hypothèses!$D$22)),0)</f>
        <v/>
      </c>
      <c r="K11" s="15">
        <f>IF(K9=1,IF(K7&lt;=12,Hypothèses!$D$20,IF(K7&lt;=24,Hypothèses!$D$21,Hypothèses!$D$22)),0)</f>
        <v/>
      </c>
      <c r="L11" s="15">
        <f>IF(L9=1,IF(L7&lt;=12,Hypothèses!$D$20,IF(L7&lt;=24,Hypothèses!$D$21,Hypothèses!$D$22)),0)</f>
        <v/>
      </c>
      <c r="M11" s="15">
        <f>IF(M9=1,IF(M7&lt;=12,Hypothèses!$D$20,IF(M7&lt;=24,Hypothèses!$D$21,Hypothèses!$D$22)),0)</f>
        <v/>
      </c>
      <c r="N11" s="15">
        <f>IF(N9=1,IF(N7&lt;=12,Hypothèses!$D$20,IF(N7&lt;=24,Hypothèses!$D$21,Hypothèses!$D$22)),0)</f>
        <v/>
      </c>
      <c r="O11" s="15">
        <f>IF(O9=1,IF(O7&lt;=12,Hypothèses!$D$20,IF(O7&lt;=24,Hypothèses!$D$21,Hypothèses!$D$22)),0)</f>
        <v/>
      </c>
      <c r="P11" s="15">
        <f>IF(P9=1,IF(P7&lt;=12,Hypothèses!$D$20,IF(P7&lt;=24,Hypothèses!$D$21,Hypothèses!$D$22)),0)</f>
        <v/>
      </c>
      <c r="Q11" s="15">
        <f>IF(Q9=1,IF(Q7&lt;=12,Hypothèses!$D$20,IF(Q7&lt;=24,Hypothèses!$D$21,Hypothèses!$D$22)),0)</f>
        <v/>
      </c>
      <c r="R11" s="15">
        <f>IF(R9=1,IF(R7&lt;=12,Hypothèses!$D$20,IF(R7&lt;=24,Hypothèses!$D$21,Hypothèses!$D$22)),0)</f>
        <v/>
      </c>
      <c r="S11" s="15">
        <f>IF(S9=1,IF(S7&lt;=12,Hypothèses!$D$20,IF(S7&lt;=24,Hypothèses!$D$21,Hypothèses!$D$22)),0)</f>
        <v/>
      </c>
      <c r="T11" s="15">
        <f>IF(T9=1,IF(T7&lt;=12,Hypothèses!$D$20,IF(T7&lt;=24,Hypothèses!$D$21,Hypothèses!$D$22)),0)</f>
        <v/>
      </c>
      <c r="U11" s="15">
        <f>IF(U9=1,IF(U7&lt;=12,Hypothèses!$D$20,IF(U7&lt;=24,Hypothèses!$D$21,Hypothèses!$D$22)),0)</f>
        <v/>
      </c>
      <c r="V11" s="15">
        <f>IF(V9=1,IF(V7&lt;=12,Hypothèses!$D$20,IF(V7&lt;=24,Hypothèses!$D$21,Hypothèses!$D$22)),0)</f>
        <v/>
      </c>
      <c r="W11" s="15">
        <f>IF(W9=1,IF(W7&lt;=12,Hypothèses!$D$20,IF(W7&lt;=24,Hypothèses!$D$21,Hypothèses!$D$22)),0)</f>
        <v/>
      </c>
      <c r="X11" s="15">
        <f>IF(X9=1,IF(X7&lt;=12,Hypothèses!$D$20,IF(X7&lt;=24,Hypothèses!$D$21,Hypothèses!$D$22)),0)</f>
        <v/>
      </c>
      <c r="Y11" s="15">
        <f>IF(Y9=1,IF(Y7&lt;=12,Hypothèses!$D$20,IF(Y7&lt;=24,Hypothèses!$D$21,Hypothèses!$D$22)),0)</f>
        <v/>
      </c>
      <c r="Z11" s="15">
        <f>IF(Z9=1,IF(Z7&lt;=12,Hypothèses!$D$20,IF(Z7&lt;=24,Hypothèses!$D$21,Hypothèses!$D$22)),0)</f>
        <v/>
      </c>
      <c r="AA11" s="15">
        <f>IF(AA9=1,IF(AA7&lt;=12,Hypothèses!$D$20,IF(AA7&lt;=24,Hypothèses!$D$21,Hypothèses!$D$22)),0)</f>
        <v/>
      </c>
      <c r="AB11" s="15">
        <f>IF(AB9=1,IF(AB7&lt;=12,Hypothèses!$D$20,IF(AB7&lt;=24,Hypothèses!$D$21,Hypothèses!$D$22)),0)</f>
        <v/>
      </c>
      <c r="AC11" s="15">
        <f>IF(AC9=1,IF(AC7&lt;=12,Hypothèses!$D$20,IF(AC7&lt;=24,Hypothèses!$D$21,Hypothèses!$D$22)),0)</f>
        <v/>
      </c>
      <c r="AD11" s="15">
        <f>IF(AD9=1,IF(AD7&lt;=12,Hypothèses!$D$20,IF(AD7&lt;=24,Hypothèses!$D$21,Hypothèses!$D$22)),0)</f>
        <v/>
      </c>
      <c r="AE11" s="15">
        <f>IF(AE9=1,IF(AE7&lt;=12,Hypothèses!$D$20,IF(AE7&lt;=24,Hypothèses!$D$21,Hypothèses!$D$22)),0)</f>
        <v/>
      </c>
      <c r="AF11" s="15">
        <f>IF(AF9=1,IF(AF7&lt;=12,Hypothèses!$D$20,IF(AF7&lt;=24,Hypothèses!$D$21,Hypothèses!$D$22)),0)</f>
        <v/>
      </c>
      <c r="AG11" s="15">
        <f>IF(AG9=1,IF(AG7&lt;=12,Hypothèses!$D$20,IF(AG7&lt;=24,Hypothèses!$D$21,Hypothèses!$D$22)),0)</f>
        <v/>
      </c>
      <c r="AH11" s="15">
        <f>IF(AH9=1,IF(AH7&lt;=12,Hypothèses!$D$20,IF(AH7&lt;=24,Hypothèses!$D$21,Hypothèses!$D$22)),0)</f>
        <v/>
      </c>
      <c r="AI11" s="15">
        <f>IF(AI9=1,IF(AI7&lt;=12,Hypothèses!$D$20,IF(AI7&lt;=24,Hypothèses!$D$21,Hypothèses!$D$22)),0)</f>
        <v/>
      </c>
      <c r="AJ11" s="15">
        <f>IF(AJ9=1,IF(AJ7&lt;=12,Hypothèses!$D$20,IF(AJ7&lt;=24,Hypothèses!$D$21,Hypothèses!$D$22)),0)</f>
        <v/>
      </c>
      <c r="AK11" s="15">
        <f>IF(AK9=1,IF(AK7&lt;=12,Hypothèses!$D$20,IF(AK7&lt;=24,Hypothèses!$D$21,Hypothèses!$D$22)),0)</f>
        <v/>
      </c>
      <c r="AL11" s="15">
        <f>IF(AL9=1,IF(AL7&lt;=12,Hypothèses!$D$20,IF(AL7&lt;=24,Hypothèses!$D$21,Hypothèses!$D$22)),0)</f>
        <v/>
      </c>
      <c r="AN11" s="15">
        <f>SUM(C11:N11)</f>
        <v/>
      </c>
      <c r="AO11" s="15">
        <f>SUM(O11:Z11)</f>
        <v/>
      </c>
      <c r="AP11" s="15">
        <f>SUM(AA11:AL11)</f>
        <v/>
      </c>
    </row>
    <row r="12">
      <c r="A12" s="8" t="inlineStr">
        <is>
          <t>Abonnés</t>
        </is>
      </c>
    </row>
    <row r="13">
      <c r="A13" s="9" t="inlineStr">
        <is>
          <t>Abonnés en début de mois</t>
        </is>
      </c>
      <c r="B13" s="4" t="inlineStr">
        <is>
          <t>abonnés</t>
        </is>
      </c>
      <c r="C13" s="38">
        <f>0</f>
        <v/>
      </c>
      <c r="D13" s="38">
        <f>C18</f>
        <v/>
      </c>
      <c r="E13" s="38">
        <f>D18</f>
        <v/>
      </c>
      <c r="F13" s="38">
        <f>E18</f>
        <v/>
      </c>
      <c r="G13" s="38">
        <f>F18</f>
        <v/>
      </c>
      <c r="H13" s="38">
        <f>G18</f>
        <v/>
      </c>
      <c r="I13" s="38">
        <f>H18</f>
        <v/>
      </c>
      <c r="J13" s="38">
        <f>I18</f>
        <v/>
      </c>
      <c r="K13" s="38">
        <f>J18</f>
        <v/>
      </c>
      <c r="L13" s="38">
        <f>K18</f>
        <v/>
      </c>
      <c r="M13" s="38">
        <f>L18</f>
        <v/>
      </c>
      <c r="N13" s="38">
        <f>M18</f>
        <v/>
      </c>
      <c r="O13" s="38">
        <f>N18</f>
        <v/>
      </c>
      <c r="P13" s="38">
        <f>O18</f>
        <v/>
      </c>
      <c r="Q13" s="38">
        <f>P18</f>
        <v/>
      </c>
      <c r="R13" s="38">
        <f>Q18</f>
        <v/>
      </c>
      <c r="S13" s="38">
        <f>R18</f>
        <v/>
      </c>
      <c r="T13" s="38">
        <f>S18</f>
        <v/>
      </c>
      <c r="U13" s="38">
        <f>T18</f>
        <v/>
      </c>
      <c r="V13" s="38">
        <f>U18</f>
        <v/>
      </c>
      <c r="W13" s="38">
        <f>V18</f>
        <v/>
      </c>
      <c r="X13" s="38">
        <f>W18</f>
        <v/>
      </c>
      <c r="Y13" s="38">
        <f>X18</f>
        <v/>
      </c>
      <c r="Z13" s="38">
        <f>Y18</f>
        <v/>
      </c>
      <c r="AA13" s="38">
        <f>Z18</f>
        <v/>
      </c>
      <c r="AB13" s="38">
        <f>AA18</f>
        <v/>
      </c>
      <c r="AC13" s="38">
        <f>AB18</f>
        <v/>
      </c>
      <c r="AD13" s="38">
        <f>AC18</f>
        <v/>
      </c>
      <c r="AE13" s="38">
        <f>AD18</f>
        <v/>
      </c>
      <c r="AF13" s="38">
        <f>AE18</f>
        <v/>
      </c>
      <c r="AG13" s="38">
        <f>AF18</f>
        <v/>
      </c>
      <c r="AH13" s="38">
        <f>AG18</f>
        <v/>
      </c>
      <c r="AI13" s="38">
        <f>AH18</f>
        <v/>
      </c>
      <c r="AJ13" s="38">
        <f>AI18</f>
        <v/>
      </c>
      <c r="AK13" s="38">
        <f>AJ18</f>
        <v/>
      </c>
      <c r="AL13" s="38">
        <f>AK18</f>
        <v/>
      </c>
    </row>
    <row r="14">
      <c r="A14" s="9" t="inlineStr">
        <is>
          <t>Nouveaux abonnés par acquisition payante</t>
        </is>
      </c>
      <c r="B14" s="4" t="inlineStr">
        <is>
          <t>abonnés</t>
        </is>
      </c>
      <c r="C14" s="38">
        <f>C11/(Hypothèses!$D$23*$E$4)</f>
        <v/>
      </c>
      <c r="D14" s="38">
        <f>D11/(Hypothèses!$D$23*$E$4)</f>
        <v/>
      </c>
      <c r="E14" s="38">
        <f>E11/(Hypothèses!$D$23*$E$4)</f>
        <v/>
      </c>
      <c r="F14" s="38">
        <f>F11/(Hypothèses!$D$23*$E$4)</f>
        <v/>
      </c>
      <c r="G14" s="38">
        <f>G11/(Hypothèses!$D$23*$E$4)</f>
        <v/>
      </c>
      <c r="H14" s="38">
        <f>H11/(Hypothèses!$D$23*$E$4)</f>
        <v/>
      </c>
      <c r="I14" s="38">
        <f>I11/(Hypothèses!$D$23*$E$4)</f>
        <v/>
      </c>
      <c r="J14" s="38">
        <f>J11/(Hypothèses!$D$23*$E$4)</f>
        <v/>
      </c>
      <c r="K14" s="38">
        <f>K11/(Hypothèses!$D$23*$E$4)</f>
        <v/>
      </c>
      <c r="L14" s="38">
        <f>L11/(Hypothèses!$D$23*$E$4)</f>
        <v/>
      </c>
      <c r="M14" s="38">
        <f>M11/(Hypothèses!$D$23*$E$4)</f>
        <v/>
      </c>
      <c r="N14" s="38">
        <f>N11/(Hypothèses!$D$23*$E$4)</f>
        <v/>
      </c>
      <c r="O14" s="38">
        <f>O11/(Hypothèses!$D$23*$E$4)</f>
        <v/>
      </c>
      <c r="P14" s="38">
        <f>P11/(Hypothèses!$D$23*$E$4)</f>
        <v/>
      </c>
      <c r="Q14" s="38">
        <f>Q11/(Hypothèses!$D$23*$E$4)</f>
        <v/>
      </c>
      <c r="R14" s="38">
        <f>R11/(Hypothèses!$D$23*$E$4)</f>
        <v/>
      </c>
      <c r="S14" s="38">
        <f>S11/(Hypothèses!$D$23*$E$4)</f>
        <v/>
      </c>
      <c r="T14" s="38">
        <f>T11/(Hypothèses!$D$23*$E$4)</f>
        <v/>
      </c>
      <c r="U14" s="38">
        <f>U11/(Hypothèses!$D$23*$E$4)</f>
        <v/>
      </c>
      <c r="V14" s="38">
        <f>V11/(Hypothèses!$D$23*$E$4)</f>
        <v/>
      </c>
      <c r="W14" s="38">
        <f>W11/(Hypothèses!$D$23*$E$4)</f>
        <v/>
      </c>
      <c r="X14" s="38">
        <f>X11/(Hypothèses!$D$23*$E$4)</f>
        <v/>
      </c>
      <c r="Y14" s="38">
        <f>Y11/(Hypothèses!$D$23*$E$4)</f>
        <v/>
      </c>
      <c r="Z14" s="38">
        <f>Z11/(Hypothèses!$D$23*$E$4)</f>
        <v/>
      </c>
      <c r="AA14" s="38">
        <f>AA11/(Hypothèses!$D$23*$E$4)</f>
        <v/>
      </c>
      <c r="AB14" s="38">
        <f>AB11/(Hypothèses!$D$23*$E$4)</f>
        <v/>
      </c>
      <c r="AC14" s="38">
        <f>AC11/(Hypothèses!$D$23*$E$4)</f>
        <v/>
      </c>
      <c r="AD14" s="38">
        <f>AD11/(Hypothèses!$D$23*$E$4)</f>
        <v/>
      </c>
      <c r="AE14" s="38">
        <f>AE11/(Hypothèses!$D$23*$E$4)</f>
        <v/>
      </c>
      <c r="AF14" s="38">
        <f>AF11/(Hypothèses!$D$23*$E$4)</f>
        <v/>
      </c>
      <c r="AG14" s="38">
        <f>AG11/(Hypothèses!$D$23*$E$4)</f>
        <v/>
      </c>
      <c r="AH14" s="38">
        <f>AH11/(Hypothèses!$D$23*$E$4)</f>
        <v/>
      </c>
      <c r="AI14" s="38">
        <f>AI11/(Hypothèses!$D$23*$E$4)</f>
        <v/>
      </c>
      <c r="AJ14" s="38">
        <f>AJ11/(Hypothèses!$D$23*$E$4)</f>
        <v/>
      </c>
      <c r="AK14" s="38">
        <f>AK11/(Hypothèses!$D$23*$E$4)</f>
        <v/>
      </c>
      <c r="AL14" s="38">
        <f>AL11/(Hypothèses!$D$23*$E$4)</f>
        <v/>
      </c>
      <c r="AN14" s="38">
        <f>SUM(C14:N14)</f>
        <v/>
      </c>
      <c r="AO14" s="38">
        <f>SUM(O14:Z14)</f>
        <v/>
      </c>
      <c r="AP14" s="38">
        <f>SUM(AA14:AL14)</f>
        <v/>
      </c>
    </row>
    <row r="15">
      <c r="A15" s="9" t="inlineStr">
        <is>
          <t>Nouveaux abonnés pilote</t>
        </is>
      </c>
      <c r="B15" s="4" t="inlineStr">
        <is>
          <t>abonnés</t>
        </is>
      </c>
      <c r="C15" s="38">
        <f>IF(C7=Hypothèses!$D$8,Hypothèses!$D$9,0)</f>
        <v/>
      </c>
      <c r="D15" s="38">
        <f>IF(D7=Hypothèses!$D$8,Hypothèses!$D$9,0)</f>
        <v/>
      </c>
      <c r="E15" s="38">
        <f>IF(E7=Hypothèses!$D$8,Hypothèses!$D$9,0)</f>
        <v/>
      </c>
      <c r="F15" s="38">
        <f>IF(F7=Hypothèses!$D$8,Hypothèses!$D$9,0)</f>
        <v/>
      </c>
      <c r="G15" s="38">
        <f>IF(G7=Hypothèses!$D$8,Hypothèses!$D$9,0)</f>
        <v/>
      </c>
      <c r="H15" s="38">
        <f>IF(H7=Hypothèses!$D$8,Hypothèses!$D$9,0)</f>
        <v/>
      </c>
      <c r="I15" s="38">
        <f>IF(I7=Hypothèses!$D$8,Hypothèses!$D$9,0)</f>
        <v/>
      </c>
      <c r="J15" s="38">
        <f>IF(J7=Hypothèses!$D$8,Hypothèses!$D$9,0)</f>
        <v/>
      </c>
      <c r="K15" s="38">
        <f>IF(K7=Hypothèses!$D$8,Hypothèses!$D$9,0)</f>
        <v/>
      </c>
      <c r="L15" s="38">
        <f>IF(L7=Hypothèses!$D$8,Hypothèses!$D$9,0)</f>
        <v/>
      </c>
      <c r="M15" s="38">
        <f>IF(M7=Hypothèses!$D$8,Hypothèses!$D$9,0)</f>
        <v/>
      </c>
      <c r="N15" s="38">
        <f>IF(N7=Hypothèses!$D$8,Hypothèses!$D$9,0)</f>
        <v/>
      </c>
      <c r="O15" s="38">
        <f>IF(O7=Hypothèses!$D$8,Hypothèses!$D$9,0)</f>
        <v/>
      </c>
      <c r="P15" s="38">
        <f>IF(P7=Hypothèses!$D$8,Hypothèses!$D$9,0)</f>
        <v/>
      </c>
      <c r="Q15" s="38">
        <f>IF(Q7=Hypothèses!$D$8,Hypothèses!$D$9,0)</f>
        <v/>
      </c>
      <c r="R15" s="38">
        <f>IF(R7=Hypothèses!$D$8,Hypothèses!$D$9,0)</f>
        <v/>
      </c>
      <c r="S15" s="38">
        <f>IF(S7=Hypothèses!$D$8,Hypothèses!$D$9,0)</f>
        <v/>
      </c>
      <c r="T15" s="38">
        <f>IF(T7=Hypothèses!$D$8,Hypothèses!$D$9,0)</f>
        <v/>
      </c>
      <c r="U15" s="38">
        <f>IF(U7=Hypothèses!$D$8,Hypothèses!$D$9,0)</f>
        <v/>
      </c>
      <c r="V15" s="38">
        <f>IF(V7=Hypothèses!$D$8,Hypothèses!$D$9,0)</f>
        <v/>
      </c>
      <c r="W15" s="38">
        <f>IF(W7=Hypothèses!$D$8,Hypothèses!$D$9,0)</f>
        <v/>
      </c>
      <c r="X15" s="38">
        <f>IF(X7=Hypothèses!$D$8,Hypothèses!$D$9,0)</f>
        <v/>
      </c>
      <c r="Y15" s="38">
        <f>IF(Y7=Hypothèses!$D$8,Hypothèses!$D$9,0)</f>
        <v/>
      </c>
      <c r="Z15" s="38">
        <f>IF(Z7=Hypothèses!$D$8,Hypothèses!$D$9,0)</f>
        <v/>
      </c>
      <c r="AA15" s="38">
        <f>IF(AA7=Hypothèses!$D$8,Hypothèses!$D$9,0)</f>
        <v/>
      </c>
      <c r="AB15" s="38">
        <f>IF(AB7=Hypothèses!$D$8,Hypothèses!$D$9,0)</f>
        <v/>
      </c>
      <c r="AC15" s="38">
        <f>IF(AC7=Hypothèses!$D$8,Hypothèses!$D$9,0)</f>
        <v/>
      </c>
      <c r="AD15" s="38">
        <f>IF(AD7=Hypothèses!$D$8,Hypothèses!$D$9,0)</f>
        <v/>
      </c>
      <c r="AE15" s="38">
        <f>IF(AE7=Hypothèses!$D$8,Hypothèses!$D$9,0)</f>
        <v/>
      </c>
      <c r="AF15" s="38">
        <f>IF(AF7=Hypothèses!$D$8,Hypothèses!$D$9,0)</f>
        <v/>
      </c>
      <c r="AG15" s="38">
        <f>IF(AG7=Hypothèses!$D$8,Hypothèses!$D$9,0)</f>
        <v/>
      </c>
      <c r="AH15" s="38">
        <f>IF(AH7=Hypothèses!$D$8,Hypothèses!$D$9,0)</f>
        <v/>
      </c>
      <c r="AI15" s="38">
        <f>IF(AI7=Hypothèses!$D$8,Hypothèses!$D$9,0)</f>
        <v/>
      </c>
      <c r="AJ15" s="38">
        <f>IF(AJ7=Hypothèses!$D$8,Hypothèses!$D$9,0)</f>
        <v/>
      </c>
      <c r="AK15" s="38">
        <f>IF(AK7=Hypothèses!$D$8,Hypothèses!$D$9,0)</f>
        <v/>
      </c>
      <c r="AL15" s="38">
        <f>IF(AL7=Hypothèses!$D$8,Hypothèses!$D$9,0)</f>
        <v/>
      </c>
      <c r="AN15" s="38">
        <f>SUM(C15:N15)</f>
        <v/>
      </c>
      <c r="AO15" s="38">
        <f>SUM(O15:Z15)</f>
        <v/>
      </c>
      <c r="AP15" s="38">
        <f>SUM(AA15:AL15)</f>
        <v/>
      </c>
    </row>
    <row r="16">
      <c r="A16" s="9" t="inlineStr">
        <is>
          <t>Nouveaux abonnés organiques (parrainage)</t>
        </is>
      </c>
      <c r="B16" s="4" t="inlineStr">
        <is>
          <t>abonnés</t>
        </is>
      </c>
      <c r="C16" s="38">
        <f>C9*C13*Hypothèses!$D$24</f>
        <v/>
      </c>
      <c r="D16" s="38">
        <f>D9*D13*Hypothèses!$D$24</f>
        <v/>
      </c>
      <c r="E16" s="38">
        <f>E9*E13*Hypothèses!$D$24</f>
        <v/>
      </c>
      <c r="F16" s="38">
        <f>F9*F13*Hypothèses!$D$24</f>
        <v/>
      </c>
      <c r="G16" s="38">
        <f>G9*G13*Hypothèses!$D$24</f>
        <v/>
      </c>
      <c r="H16" s="38">
        <f>H9*H13*Hypothèses!$D$24</f>
        <v/>
      </c>
      <c r="I16" s="38">
        <f>I9*I13*Hypothèses!$D$24</f>
        <v/>
      </c>
      <c r="J16" s="38">
        <f>J9*J13*Hypothèses!$D$24</f>
        <v/>
      </c>
      <c r="K16" s="38">
        <f>K9*K13*Hypothèses!$D$24</f>
        <v/>
      </c>
      <c r="L16" s="38">
        <f>L9*L13*Hypothèses!$D$24</f>
        <v/>
      </c>
      <c r="M16" s="38">
        <f>M9*M13*Hypothèses!$D$24</f>
        <v/>
      </c>
      <c r="N16" s="38">
        <f>N9*N13*Hypothèses!$D$24</f>
        <v/>
      </c>
      <c r="O16" s="38">
        <f>O9*O13*Hypothèses!$D$24</f>
        <v/>
      </c>
      <c r="P16" s="38">
        <f>P9*P13*Hypothèses!$D$24</f>
        <v/>
      </c>
      <c r="Q16" s="38">
        <f>Q9*Q13*Hypothèses!$D$24</f>
        <v/>
      </c>
      <c r="R16" s="38">
        <f>R9*R13*Hypothèses!$D$24</f>
        <v/>
      </c>
      <c r="S16" s="38">
        <f>S9*S13*Hypothèses!$D$24</f>
        <v/>
      </c>
      <c r="T16" s="38">
        <f>T9*T13*Hypothèses!$D$24</f>
        <v/>
      </c>
      <c r="U16" s="38">
        <f>U9*U13*Hypothèses!$D$24</f>
        <v/>
      </c>
      <c r="V16" s="38">
        <f>V9*V13*Hypothèses!$D$24</f>
        <v/>
      </c>
      <c r="W16" s="38">
        <f>W9*W13*Hypothèses!$D$24</f>
        <v/>
      </c>
      <c r="X16" s="38">
        <f>X9*X13*Hypothèses!$D$24</f>
        <v/>
      </c>
      <c r="Y16" s="38">
        <f>Y9*Y13*Hypothèses!$D$24</f>
        <v/>
      </c>
      <c r="Z16" s="38">
        <f>Z9*Z13*Hypothèses!$D$24</f>
        <v/>
      </c>
      <c r="AA16" s="38">
        <f>AA9*AA13*Hypothèses!$D$24</f>
        <v/>
      </c>
      <c r="AB16" s="38">
        <f>AB9*AB13*Hypothèses!$D$24</f>
        <v/>
      </c>
      <c r="AC16" s="38">
        <f>AC9*AC13*Hypothèses!$D$24</f>
        <v/>
      </c>
      <c r="AD16" s="38">
        <f>AD9*AD13*Hypothèses!$D$24</f>
        <v/>
      </c>
      <c r="AE16" s="38">
        <f>AE9*AE13*Hypothèses!$D$24</f>
        <v/>
      </c>
      <c r="AF16" s="38">
        <f>AF9*AF13*Hypothèses!$D$24</f>
        <v/>
      </c>
      <c r="AG16" s="38">
        <f>AG9*AG13*Hypothèses!$D$24</f>
        <v/>
      </c>
      <c r="AH16" s="38">
        <f>AH9*AH13*Hypothèses!$D$24</f>
        <v/>
      </c>
      <c r="AI16" s="38">
        <f>AI9*AI13*Hypothèses!$D$24</f>
        <v/>
      </c>
      <c r="AJ16" s="38">
        <f>AJ9*AJ13*Hypothèses!$D$24</f>
        <v/>
      </c>
      <c r="AK16" s="38">
        <f>AK9*AK13*Hypothèses!$D$24</f>
        <v/>
      </c>
      <c r="AL16" s="38">
        <f>AL9*AL13*Hypothèses!$D$24</f>
        <v/>
      </c>
      <c r="AN16" s="38">
        <f>SUM(C16:N16)</f>
        <v/>
      </c>
      <c r="AO16" s="38">
        <f>SUM(O16:Z16)</f>
        <v/>
      </c>
      <c r="AP16" s="38">
        <f>SUM(AA16:AL16)</f>
        <v/>
      </c>
    </row>
    <row r="17">
      <c r="A17" s="9" t="inlineStr">
        <is>
          <t>Résiliations</t>
        </is>
      </c>
      <c r="B17" s="4" t="inlineStr">
        <is>
          <t>abonnés</t>
        </is>
      </c>
      <c r="C17" s="38">
        <f>C13*Hypothèses!$D$26*$D$4</f>
        <v/>
      </c>
      <c r="D17" s="38">
        <f>D13*Hypothèses!$D$26*$D$4</f>
        <v/>
      </c>
      <c r="E17" s="38">
        <f>E13*Hypothèses!$D$26*$D$4</f>
        <v/>
      </c>
      <c r="F17" s="38">
        <f>F13*Hypothèses!$D$26*$D$4</f>
        <v/>
      </c>
      <c r="G17" s="38">
        <f>G13*Hypothèses!$D$26*$D$4</f>
        <v/>
      </c>
      <c r="H17" s="38">
        <f>H13*Hypothèses!$D$26*$D$4</f>
        <v/>
      </c>
      <c r="I17" s="38">
        <f>I13*Hypothèses!$D$26*$D$4</f>
        <v/>
      </c>
      <c r="J17" s="38">
        <f>J13*Hypothèses!$D$26*$D$4</f>
        <v/>
      </c>
      <c r="K17" s="38">
        <f>K13*Hypothèses!$D$26*$D$4</f>
        <v/>
      </c>
      <c r="L17" s="38">
        <f>L13*Hypothèses!$D$26*$D$4</f>
        <v/>
      </c>
      <c r="M17" s="38">
        <f>M13*Hypothèses!$D$26*$D$4</f>
        <v/>
      </c>
      <c r="N17" s="38">
        <f>N13*Hypothèses!$D$26*$D$4</f>
        <v/>
      </c>
      <c r="O17" s="38">
        <f>O13*Hypothèses!$D$26*$D$4</f>
        <v/>
      </c>
      <c r="P17" s="38">
        <f>P13*Hypothèses!$D$26*$D$4</f>
        <v/>
      </c>
      <c r="Q17" s="38">
        <f>Q13*Hypothèses!$D$26*$D$4</f>
        <v/>
      </c>
      <c r="R17" s="38">
        <f>R13*Hypothèses!$D$26*$D$4</f>
        <v/>
      </c>
      <c r="S17" s="38">
        <f>S13*Hypothèses!$D$26*$D$4</f>
        <v/>
      </c>
      <c r="T17" s="38">
        <f>T13*Hypothèses!$D$26*$D$4</f>
        <v/>
      </c>
      <c r="U17" s="38">
        <f>U13*Hypothèses!$D$26*$D$4</f>
        <v/>
      </c>
      <c r="V17" s="38">
        <f>V13*Hypothèses!$D$26*$D$4</f>
        <v/>
      </c>
      <c r="W17" s="38">
        <f>W13*Hypothèses!$D$26*$D$4</f>
        <v/>
      </c>
      <c r="X17" s="38">
        <f>X13*Hypothèses!$D$26*$D$4</f>
        <v/>
      </c>
      <c r="Y17" s="38">
        <f>Y13*Hypothèses!$D$26*$D$4</f>
        <v/>
      </c>
      <c r="Z17" s="38">
        <f>Z13*Hypothèses!$D$26*$D$4</f>
        <v/>
      </c>
      <c r="AA17" s="38">
        <f>AA13*Hypothèses!$D$26*$D$4</f>
        <v/>
      </c>
      <c r="AB17" s="38">
        <f>AB13*Hypothèses!$D$26*$D$4</f>
        <v/>
      </c>
      <c r="AC17" s="38">
        <f>AC13*Hypothèses!$D$26*$D$4</f>
        <v/>
      </c>
      <c r="AD17" s="38">
        <f>AD13*Hypothèses!$D$26*$D$4</f>
        <v/>
      </c>
      <c r="AE17" s="38">
        <f>AE13*Hypothèses!$D$26*$D$4</f>
        <v/>
      </c>
      <c r="AF17" s="38">
        <f>AF13*Hypothèses!$D$26*$D$4</f>
        <v/>
      </c>
      <c r="AG17" s="38">
        <f>AG13*Hypothèses!$D$26*$D$4</f>
        <v/>
      </c>
      <c r="AH17" s="38">
        <f>AH13*Hypothèses!$D$26*$D$4</f>
        <v/>
      </c>
      <c r="AI17" s="38">
        <f>AI13*Hypothèses!$D$26*$D$4</f>
        <v/>
      </c>
      <c r="AJ17" s="38">
        <f>AJ13*Hypothèses!$D$26*$D$4</f>
        <v/>
      </c>
      <c r="AK17" s="38">
        <f>AK13*Hypothèses!$D$26*$D$4</f>
        <v/>
      </c>
      <c r="AL17" s="38">
        <f>AL13*Hypothèses!$D$26*$D$4</f>
        <v/>
      </c>
      <c r="AN17" s="38">
        <f>SUM(C17:N17)</f>
        <v/>
      </c>
      <c r="AO17" s="38">
        <f>SUM(O17:Z17)</f>
        <v/>
      </c>
      <c r="AP17" s="38">
        <f>SUM(AA17:AL17)</f>
        <v/>
      </c>
    </row>
    <row r="18">
      <c r="A18" s="2" t="inlineStr">
        <is>
          <t>Abonnés en fin de mois</t>
        </is>
      </c>
      <c r="B18" s="4" t="inlineStr">
        <is>
          <t>abonnés</t>
        </is>
      </c>
      <c r="C18" s="39">
        <f>C13+C14+C15+C16-C17</f>
        <v/>
      </c>
      <c r="D18" s="39">
        <f>D13+D14+D15+D16-D17</f>
        <v/>
      </c>
      <c r="E18" s="39">
        <f>E13+E14+E15+E16-E17</f>
        <v/>
      </c>
      <c r="F18" s="39">
        <f>F13+F14+F15+F16-F17</f>
        <v/>
      </c>
      <c r="G18" s="39">
        <f>G13+G14+G15+G16-G17</f>
        <v/>
      </c>
      <c r="H18" s="39">
        <f>H13+H14+H15+H16-H17</f>
        <v/>
      </c>
      <c r="I18" s="39">
        <f>I13+I14+I15+I16-I17</f>
        <v/>
      </c>
      <c r="J18" s="39">
        <f>J13+J14+J15+J16-J17</f>
        <v/>
      </c>
      <c r="K18" s="39">
        <f>K13+K14+K15+K16-K17</f>
        <v/>
      </c>
      <c r="L18" s="39">
        <f>L13+L14+L15+L16-L17</f>
        <v/>
      </c>
      <c r="M18" s="39">
        <f>M13+M14+M15+M16-M17</f>
        <v/>
      </c>
      <c r="N18" s="39">
        <f>N13+N14+N15+N16-N17</f>
        <v/>
      </c>
      <c r="O18" s="39">
        <f>O13+O14+O15+O16-O17</f>
        <v/>
      </c>
      <c r="P18" s="39">
        <f>P13+P14+P15+P16-P17</f>
        <v/>
      </c>
      <c r="Q18" s="39">
        <f>Q13+Q14+Q15+Q16-Q17</f>
        <v/>
      </c>
      <c r="R18" s="39">
        <f>R13+R14+R15+R16-R17</f>
        <v/>
      </c>
      <c r="S18" s="39">
        <f>S13+S14+S15+S16-S17</f>
        <v/>
      </c>
      <c r="T18" s="39">
        <f>T13+T14+T15+T16-T17</f>
        <v/>
      </c>
      <c r="U18" s="39">
        <f>U13+U14+U15+U16-U17</f>
        <v/>
      </c>
      <c r="V18" s="39">
        <f>V13+V14+V15+V16-V17</f>
        <v/>
      </c>
      <c r="W18" s="39">
        <f>W13+W14+W15+W16-W17</f>
        <v/>
      </c>
      <c r="X18" s="39">
        <f>X13+X14+X15+X16-X17</f>
        <v/>
      </c>
      <c r="Y18" s="39">
        <f>Y13+Y14+Y15+Y16-Y17</f>
        <v/>
      </c>
      <c r="Z18" s="39">
        <f>Z13+Z14+Z15+Z16-Z17</f>
        <v/>
      </c>
      <c r="AA18" s="39">
        <f>AA13+AA14+AA15+AA16-AA17</f>
        <v/>
      </c>
      <c r="AB18" s="39">
        <f>AB13+AB14+AB15+AB16-AB17</f>
        <v/>
      </c>
      <c r="AC18" s="39">
        <f>AC13+AC14+AC15+AC16-AC17</f>
        <v/>
      </c>
      <c r="AD18" s="39">
        <f>AD13+AD14+AD15+AD16-AD17</f>
        <v/>
      </c>
      <c r="AE18" s="39">
        <f>AE13+AE14+AE15+AE16-AE17</f>
        <v/>
      </c>
      <c r="AF18" s="39">
        <f>AF13+AF14+AF15+AF16-AF17</f>
        <v/>
      </c>
      <c r="AG18" s="39">
        <f>AG13+AG14+AG15+AG16-AG17</f>
        <v/>
      </c>
      <c r="AH18" s="39">
        <f>AH13+AH14+AH15+AH16-AH17</f>
        <v/>
      </c>
      <c r="AI18" s="39">
        <f>AI13+AI14+AI15+AI16-AI17</f>
        <v/>
      </c>
      <c r="AJ18" s="39">
        <f>AJ13+AJ14+AJ15+AJ16-AJ17</f>
        <v/>
      </c>
      <c r="AK18" s="39">
        <f>AK13+AK14+AK15+AK16-AK17</f>
        <v/>
      </c>
      <c r="AL18" s="39">
        <f>AL13+AL14+AL15+AL16-AL17</f>
        <v/>
      </c>
      <c r="AN18" s="39">
        <f>N18</f>
        <v/>
      </c>
      <c r="AO18" s="39">
        <f>Z18</f>
        <v/>
      </c>
      <c r="AP18" s="39">
        <f>AL18</f>
        <v/>
      </c>
    </row>
    <row r="19">
      <c r="A19" s="9" t="inlineStr">
        <is>
          <t>dont Personal</t>
        </is>
      </c>
      <c r="B19" s="4" t="inlineStr">
        <is>
          <t>abonnés</t>
        </is>
      </c>
      <c r="C19" s="38">
        <f>C18*Hypothèses!$D$16</f>
        <v/>
      </c>
      <c r="D19" s="38">
        <f>D18*Hypothèses!$D$16</f>
        <v/>
      </c>
      <c r="E19" s="38">
        <f>E18*Hypothèses!$D$16</f>
        <v/>
      </c>
      <c r="F19" s="38">
        <f>F18*Hypothèses!$D$16</f>
        <v/>
      </c>
      <c r="G19" s="38">
        <f>G18*Hypothèses!$D$16</f>
        <v/>
      </c>
      <c r="H19" s="38">
        <f>H18*Hypothèses!$D$16</f>
        <v/>
      </c>
      <c r="I19" s="38">
        <f>I18*Hypothèses!$D$16</f>
        <v/>
      </c>
      <c r="J19" s="38">
        <f>J18*Hypothèses!$D$16</f>
        <v/>
      </c>
      <c r="K19" s="38">
        <f>K18*Hypothèses!$D$16</f>
        <v/>
      </c>
      <c r="L19" s="38">
        <f>L18*Hypothèses!$D$16</f>
        <v/>
      </c>
      <c r="M19" s="38">
        <f>M18*Hypothèses!$D$16</f>
        <v/>
      </c>
      <c r="N19" s="38">
        <f>N18*Hypothèses!$D$16</f>
        <v/>
      </c>
      <c r="O19" s="38">
        <f>O18*Hypothèses!$D$16</f>
        <v/>
      </c>
      <c r="P19" s="38">
        <f>P18*Hypothèses!$D$16</f>
        <v/>
      </c>
      <c r="Q19" s="38">
        <f>Q18*Hypothèses!$D$16</f>
        <v/>
      </c>
      <c r="R19" s="38">
        <f>R18*Hypothèses!$D$16</f>
        <v/>
      </c>
      <c r="S19" s="38">
        <f>S18*Hypothèses!$D$16</f>
        <v/>
      </c>
      <c r="T19" s="38">
        <f>T18*Hypothèses!$D$16</f>
        <v/>
      </c>
      <c r="U19" s="38">
        <f>U18*Hypothèses!$D$16</f>
        <v/>
      </c>
      <c r="V19" s="38">
        <f>V18*Hypothèses!$D$16</f>
        <v/>
      </c>
      <c r="W19" s="38">
        <f>W18*Hypothèses!$D$16</f>
        <v/>
      </c>
      <c r="X19" s="38">
        <f>X18*Hypothèses!$D$16</f>
        <v/>
      </c>
      <c r="Y19" s="38">
        <f>Y18*Hypothèses!$D$16</f>
        <v/>
      </c>
      <c r="Z19" s="38">
        <f>Z18*Hypothèses!$D$16</f>
        <v/>
      </c>
      <c r="AA19" s="38">
        <f>AA18*Hypothèses!$D$16</f>
        <v/>
      </c>
      <c r="AB19" s="38">
        <f>AB18*Hypothèses!$D$16</f>
        <v/>
      </c>
      <c r="AC19" s="38">
        <f>AC18*Hypothèses!$D$16</f>
        <v/>
      </c>
      <c r="AD19" s="38">
        <f>AD18*Hypothèses!$D$16</f>
        <v/>
      </c>
      <c r="AE19" s="38">
        <f>AE18*Hypothèses!$D$16</f>
        <v/>
      </c>
      <c r="AF19" s="38">
        <f>AF18*Hypothèses!$D$16</f>
        <v/>
      </c>
      <c r="AG19" s="38">
        <f>AG18*Hypothèses!$D$16</f>
        <v/>
      </c>
      <c r="AH19" s="38">
        <f>AH18*Hypothèses!$D$16</f>
        <v/>
      </c>
      <c r="AI19" s="38">
        <f>AI18*Hypothèses!$D$16</f>
        <v/>
      </c>
      <c r="AJ19" s="38">
        <f>AJ18*Hypothèses!$D$16</f>
        <v/>
      </c>
      <c r="AK19" s="38">
        <f>AK18*Hypothèses!$D$16</f>
        <v/>
      </c>
      <c r="AL19" s="38">
        <f>AL18*Hypothèses!$D$16</f>
        <v/>
      </c>
      <c r="AN19" s="38">
        <f>N19</f>
        <v/>
      </c>
      <c r="AO19" s="38">
        <f>Z19</f>
        <v/>
      </c>
      <c r="AP19" s="38">
        <f>AL19</f>
        <v/>
      </c>
    </row>
    <row r="20">
      <c r="A20" s="9" t="inlineStr">
        <is>
          <t>dont Premium</t>
        </is>
      </c>
      <c r="B20" s="4" t="inlineStr">
        <is>
          <t>abonnés</t>
        </is>
      </c>
      <c r="C20" s="38">
        <f>C18*Hypothèses!$D$17</f>
        <v/>
      </c>
      <c r="D20" s="38">
        <f>D18*Hypothèses!$D$17</f>
        <v/>
      </c>
      <c r="E20" s="38">
        <f>E18*Hypothèses!$D$17</f>
        <v/>
      </c>
      <c r="F20" s="38">
        <f>F18*Hypothèses!$D$17</f>
        <v/>
      </c>
      <c r="G20" s="38">
        <f>G18*Hypothèses!$D$17</f>
        <v/>
      </c>
      <c r="H20" s="38">
        <f>H18*Hypothèses!$D$17</f>
        <v/>
      </c>
      <c r="I20" s="38">
        <f>I18*Hypothèses!$D$17</f>
        <v/>
      </c>
      <c r="J20" s="38">
        <f>J18*Hypothèses!$D$17</f>
        <v/>
      </c>
      <c r="K20" s="38">
        <f>K18*Hypothèses!$D$17</f>
        <v/>
      </c>
      <c r="L20" s="38">
        <f>L18*Hypothèses!$D$17</f>
        <v/>
      </c>
      <c r="M20" s="38">
        <f>M18*Hypothèses!$D$17</f>
        <v/>
      </c>
      <c r="N20" s="38">
        <f>N18*Hypothèses!$D$17</f>
        <v/>
      </c>
      <c r="O20" s="38">
        <f>O18*Hypothèses!$D$17</f>
        <v/>
      </c>
      <c r="P20" s="38">
        <f>P18*Hypothèses!$D$17</f>
        <v/>
      </c>
      <c r="Q20" s="38">
        <f>Q18*Hypothèses!$D$17</f>
        <v/>
      </c>
      <c r="R20" s="38">
        <f>R18*Hypothèses!$D$17</f>
        <v/>
      </c>
      <c r="S20" s="38">
        <f>S18*Hypothèses!$D$17</f>
        <v/>
      </c>
      <c r="T20" s="38">
        <f>T18*Hypothèses!$D$17</f>
        <v/>
      </c>
      <c r="U20" s="38">
        <f>U18*Hypothèses!$D$17</f>
        <v/>
      </c>
      <c r="V20" s="38">
        <f>V18*Hypothèses!$D$17</f>
        <v/>
      </c>
      <c r="W20" s="38">
        <f>W18*Hypothèses!$D$17</f>
        <v/>
      </c>
      <c r="X20" s="38">
        <f>X18*Hypothèses!$D$17</f>
        <v/>
      </c>
      <c r="Y20" s="38">
        <f>Y18*Hypothèses!$D$17</f>
        <v/>
      </c>
      <c r="Z20" s="38">
        <f>Z18*Hypothèses!$D$17</f>
        <v/>
      </c>
      <c r="AA20" s="38">
        <f>AA18*Hypothèses!$D$17</f>
        <v/>
      </c>
      <c r="AB20" s="38">
        <f>AB18*Hypothèses!$D$17</f>
        <v/>
      </c>
      <c r="AC20" s="38">
        <f>AC18*Hypothèses!$D$17</f>
        <v/>
      </c>
      <c r="AD20" s="38">
        <f>AD18*Hypothèses!$D$17</f>
        <v/>
      </c>
      <c r="AE20" s="38">
        <f>AE18*Hypothèses!$D$17</f>
        <v/>
      </c>
      <c r="AF20" s="38">
        <f>AF18*Hypothèses!$D$17</f>
        <v/>
      </c>
      <c r="AG20" s="38">
        <f>AG18*Hypothèses!$D$17</f>
        <v/>
      </c>
      <c r="AH20" s="38">
        <f>AH18*Hypothèses!$D$17</f>
        <v/>
      </c>
      <c r="AI20" s="38">
        <f>AI18*Hypothèses!$D$17</f>
        <v/>
      </c>
      <c r="AJ20" s="38">
        <f>AJ18*Hypothèses!$D$17</f>
        <v/>
      </c>
      <c r="AK20" s="38">
        <f>AK18*Hypothèses!$D$17</f>
        <v/>
      </c>
      <c r="AL20" s="38">
        <f>AL18*Hypothèses!$D$17</f>
        <v/>
      </c>
      <c r="AN20" s="38">
        <f>N20</f>
        <v/>
      </c>
      <c r="AO20" s="38">
        <f>Z20</f>
        <v/>
      </c>
      <c r="AP20" s="38">
        <f>AL20</f>
        <v/>
      </c>
    </row>
    <row r="21">
      <c r="A21" s="9" t="inlineStr">
        <is>
          <t>dont Family</t>
        </is>
      </c>
      <c r="B21" s="4" t="inlineStr">
        <is>
          <t>abonnés</t>
        </is>
      </c>
      <c r="C21" s="38">
        <f>C18*Hypothèses!$D$18</f>
        <v/>
      </c>
      <c r="D21" s="38">
        <f>D18*Hypothèses!$D$18</f>
        <v/>
      </c>
      <c r="E21" s="38">
        <f>E18*Hypothèses!$D$18</f>
        <v/>
      </c>
      <c r="F21" s="38">
        <f>F18*Hypothèses!$D$18</f>
        <v/>
      </c>
      <c r="G21" s="38">
        <f>G18*Hypothèses!$D$18</f>
        <v/>
      </c>
      <c r="H21" s="38">
        <f>H18*Hypothèses!$D$18</f>
        <v/>
      </c>
      <c r="I21" s="38">
        <f>I18*Hypothèses!$D$18</f>
        <v/>
      </c>
      <c r="J21" s="38">
        <f>J18*Hypothèses!$D$18</f>
        <v/>
      </c>
      <c r="K21" s="38">
        <f>K18*Hypothèses!$D$18</f>
        <v/>
      </c>
      <c r="L21" s="38">
        <f>L18*Hypothèses!$D$18</f>
        <v/>
      </c>
      <c r="M21" s="38">
        <f>M18*Hypothèses!$D$18</f>
        <v/>
      </c>
      <c r="N21" s="38">
        <f>N18*Hypothèses!$D$18</f>
        <v/>
      </c>
      <c r="O21" s="38">
        <f>O18*Hypothèses!$D$18</f>
        <v/>
      </c>
      <c r="P21" s="38">
        <f>P18*Hypothèses!$D$18</f>
        <v/>
      </c>
      <c r="Q21" s="38">
        <f>Q18*Hypothèses!$D$18</f>
        <v/>
      </c>
      <c r="R21" s="38">
        <f>R18*Hypothèses!$D$18</f>
        <v/>
      </c>
      <c r="S21" s="38">
        <f>S18*Hypothèses!$D$18</f>
        <v/>
      </c>
      <c r="T21" s="38">
        <f>T18*Hypothèses!$D$18</f>
        <v/>
      </c>
      <c r="U21" s="38">
        <f>U18*Hypothèses!$D$18</f>
        <v/>
      </c>
      <c r="V21" s="38">
        <f>V18*Hypothèses!$D$18</f>
        <v/>
      </c>
      <c r="W21" s="38">
        <f>W18*Hypothèses!$D$18</f>
        <v/>
      </c>
      <c r="X21" s="38">
        <f>X18*Hypothèses!$D$18</f>
        <v/>
      </c>
      <c r="Y21" s="38">
        <f>Y18*Hypothèses!$D$18</f>
        <v/>
      </c>
      <c r="Z21" s="38">
        <f>Z18*Hypothèses!$D$18</f>
        <v/>
      </c>
      <c r="AA21" s="38">
        <f>AA18*Hypothèses!$D$18</f>
        <v/>
      </c>
      <c r="AB21" s="38">
        <f>AB18*Hypothèses!$D$18</f>
        <v/>
      </c>
      <c r="AC21" s="38">
        <f>AC18*Hypothèses!$D$18</f>
        <v/>
      </c>
      <c r="AD21" s="38">
        <f>AD18*Hypothèses!$D$18</f>
        <v/>
      </c>
      <c r="AE21" s="38">
        <f>AE18*Hypothèses!$D$18</f>
        <v/>
      </c>
      <c r="AF21" s="38">
        <f>AF18*Hypothèses!$D$18</f>
        <v/>
      </c>
      <c r="AG21" s="38">
        <f>AG18*Hypothèses!$D$18</f>
        <v/>
      </c>
      <c r="AH21" s="38">
        <f>AH18*Hypothèses!$D$18</f>
        <v/>
      </c>
      <c r="AI21" s="38">
        <f>AI18*Hypothèses!$D$18</f>
        <v/>
      </c>
      <c r="AJ21" s="38">
        <f>AJ18*Hypothèses!$D$18</f>
        <v/>
      </c>
      <c r="AK21" s="38">
        <f>AK18*Hypothèses!$D$18</f>
        <v/>
      </c>
      <c r="AL21" s="38">
        <f>AL18*Hypothèses!$D$18</f>
        <v/>
      </c>
      <c r="AN21" s="38">
        <f>N21</f>
        <v/>
      </c>
      <c r="AO21" s="38">
        <f>Z21</f>
        <v/>
      </c>
      <c r="AP21" s="38">
        <f>AL21</f>
        <v/>
      </c>
    </row>
    <row r="22">
      <c r="A22" s="8" t="inlineStr">
        <is>
          <t>Revenus</t>
        </is>
      </c>
    </row>
    <row r="23">
      <c r="A23" s="9" t="inlineStr">
        <is>
          <t>Facturation Personal TTC</t>
        </is>
      </c>
      <c r="B23" s="4" t="inlineStr">
        <is>
          <t>€ TTC</t>
        </is>
      </c>
      <c r="C23" s="15">
        <f>C19*Hypothèses!$D$12*$C$4</f>
        <v/>
      </c>
      <c r="D23" s="15">
        <f>D19*Hypothèses!$D$12*$C$4</f>
        <v/>
      </c>
      <c r="E23" s="15">
        <f>E19*Hypothèses!$D$12*$C$4</f>
        <v/>
      </c>
      <c r="F23" s="15">
        <f>F19*Hypothèses!$D$12*$C$4</f>
        <v/>
      </c>
      <c r="G23" s="15">
        <f>G19*Hypothèses!$D$12*$C$4</f>
        <v/>
      </c>
      <c r="H23" s="15">
        <f>H19*Hypothèses!$D$12*$C$4</f>
        <v/>
      </c>
      <c r="I23" s="15">
        <f>I19*Hypothèses!$D$12*$C$4</f>
        <v/>
      </c>
      <c r="J23" s="15">
        <f>J19*Hypothèses!$D$12*$C$4</f>
        <v/>
      </c>
      <c r="K23" s="15">
        <f>K19*Hypothèses!$D$12*$C$4</f>
        <v/>
      </c>
      <c r="L23" s="15">
        <f>L19*Hypothèses!$D$12*$C$4</f>
        <v/>
      </c>
      <c r="M23" s="15">
        <f>M19*Hypothèses!$D$12*$C$4</f>
        <v/>
      </c>
      <c r="N23" s="15">
        <f>N19*Hypothèses!$D$12*$C$4</f>
        <v/>
      </c>
      <c r="O23" s="15">
        <f>O19*Hypothèses!$D$12*$C$4</f>
        <v/>
      </c>
      <c r="P23" s="15">
        <f>P19*Hypothèses!$D$12*$C$4</f>
        <v/>
      </c>
      <c r="Q23" s="15">
        <f>Q19*Hypothèses!$D$12*$C$4</f>
        <v/>
      </c>
      <c r="R23" s="15">
        <f>R19*Hypothèses!$D$12*$C$4</f>
        <v/>
      </c>
      <c r="S23" s="15">
        <f>S19*Hypothèses!$D$12*$C$4</f>
        <v/>
      </c>
      <c r="T23" s="15">
        <f>T19*Hypothèses!$D$12*$C$4</f>
        <v/>
      </c>
      <c r="U23" s="15">
        <f>U19*Hypothèses!$D$12*$C$4</f>
        <v/>
      </c>
      <c r="V23" s="15">
        <f>V19*Hypothèses!$D$12*$C$4</f>
        <v/>
      </c>
      <c r="W23" s="15">
        <f>W19*Hypothèses!$D$12*$C$4</f>
        <v/>
      </c>
      <c r="X23" s="15">
        <f>X19*Hypothèses!$D$12*$C$4</f>
        <v/>
      </c>
      <c r="Y23" s="15">
        <f>Y19*Hypothèses!$D$12*$C$4</f>
        <v/>
      </c>
      <c r="Z23" s="15">
        <f>Z19*Hypothèses!$D$12*$C$4</f>
        <v/>
      </c>
      <c r="AA23" s="15">
        <f>AA19*Hypothèses!$D$12*$C$4</f>
        <v/>
      </c>
      <c r="AB23" s="15">
        <f>AB19*Hypothèses!$D$12*$C$4</f>
        <v/>
      </c>
      <c r="AC23" s="15">
        <f>AC19*Hypothèses!$D$12*$C$4</f>
        <v/>
      </c>
      <c r="AD23" s="15">
        <f>AD19*Hypothèses!$D$12*$C$4</f>
        <v/>
      </c>
      <c r="AE23" s="15">
        <f>AE19*Hypothèses!$D$12*$C$4</f>
        <v/>
      </c>
      <c r="AF23" s="15">
        <f>AF19*Hypothèses!$D$12*$C$4</f>
        <v/>
      </c>
      <c r="AG23" s="15">
        <f>AG19*Hypothèses!$D$12*$C$4</f>
        <v/>
      </c>
      <c r="AH23" s="15">
        <f>AH19*Hypothèses!$D$12*$C$4</f>
        <v/>
      </c>
      <c r="AI23" s="15">
        <f>AI19*Hypothèses!$D$12*$C$4</f>
        <v/>
      </c>
      <c r="AJ23" s="15">
        <f>AJ19*Hypothèses!$D$12*$C$4</f>
        <v/>
      </c>
      <c r="AK23" s="15">
        <f>AK19*Hypothèses!$D$12*$C$4</f>
        <v/>
      </c>
      <c r="AL23" s="15">
        <f>AL19*Hypothèses!$D$12*$C$4</f>
        <v/>
      </c>
      <c r="AN23" s="15">
        <f>SUM(C23:N23)</f>
        <v/>
      </c>
      <c r="AO23" s="15">
        <f>SUM(O23:Z23)</f>
        <v/>
      </c>
      <c r="AP23" s="15">
        <f>SUM(AA23:AL23)</f>
        <v/>
      </c>
    </row>
    <row r="24">
      <c r="A24" s="9" t="inlineStr">
        <is>
          <t>Facturation Premium TTC</t>
        </is>
      </c>
      <c r="B24" s="4" t="inlineStr">
        <is>
          <t>€ TTC</t>
        </is>
      </c>
      <c r="C24" s="15">
        <f>C20*Hypothèses!$D$13*$C$4</f>
        <v/>
      </c>
      <c r="D24" s="15">
        <f>D20*Hypothèses!$D$13*$C$4</f>
        <v/>
      </c>
      <c r="E24" s="15">
        <f>E20*Hypothèses!$D$13*$C$4</f>
        <v/>
      </c>
      <c r="F24" s="15">
        <f>F20*Hypothèses!$D$13*$C$4</f>
        <v/>
      </c>
      <c r="G24" s="15">
        <f>G20*Hypothèses!$D$13*$C$4</f>
        <v/>
      </c>
      <c r="H24" s="15">
        <f>H20*Hypothèses!$D$13*$C$4</f>
        <v/>
      </c>
      <c r="I24" s="15">
        <f>I20*Hypothèses!$D$13*$C$4</f>
        <v/>
      </c>
      <c r="J24" s="15">
        <f>J20*Hypothèses!$D$13*$C$4</f>
        <v/>
      </c>
      <c r="K24" s="15">
        <f>K20*Hypothèses!$D$13*$C$4</f>
        <v/>
      </c>
      <c r="L24" s="15">
        <f>L20*Hypothèses!$D$13*$C$4</f>
        <v/>
      </c>
      <c r="M24" s="15">
        <f>M20*Hypothèses!$D$13*$C$4</f>
        <v/>
      </c>
      <c r="N24" s="15">
        <f>N20*Hypothèses!$D$13*$C$4</f>
        <v/>
      </c>
      <c r="O24" s="15">
        <f>O20*Hypothèses!$D$13*$C$4</f>
        <v/>
      </c>
      <c r="P24" s="15">
        <f>P20*Hypothèses!$D$13*$C$4</f>
        <v/>
      </c>
      <c r="Q24" s="15">
        <f>Q20*Hypothèses!$D$13*$C$4</f>
        <v/>
      </c>
      <c r="R24" s="15">
        <f>R20*Hypothèses!$D$13*$C$4</f>
        <v/>
      </c>
      <c r="S24" s="15">
        <f>S20*Hypothèses!$D$13*$C$4</f>
        <v/>
      </c>
      <c r="T24" s="15">
        <f>T20*Hypothèses!$D$13*$C$4</f>
        <v/>
      </c>
      <c r="U24" s="15">
        <f>U20*Hypothèses!$D$13*$C$4</f>
        <v/>
      </c>
      <c r="V24" s="15">
        <f>V20*Hypothèses!$D$13*$C$4</f>
        <v/>
      </c>
      <c r="W24" s="15">
        <f>W20*Hypothèses!$D$13*$C$4</f>
        <v/>
      </c>
      <c r="X24" s="15">
        <f>X20*Hypothèses!$D$13*$C$4</f>
        <v/>
      </c>
      <c r="Y24" s="15">
        <f>Y20*Hypothèses!$D$13*$C$4</f>
        <v/>
      </c>
      <c r="Z24" s="15">
        <f>Z20*Hypothèses!$D$13*$C$4</f>
        <v/>
      </c>
      <c r="AA24" s="15">
        <f>AA20*Hypothèses!$D$13*$C$4</f>
        <v/>
      </c>
      <c r="AB24" s="15">
        <f>AB20*Hypothèses!$D$13*$C$4</f>
        <v/>
      </c>
      <c r="AC24" s="15">
        <f>AC20*Hypothèses!$D$13*$C$4</f>
        <v/>
      </c>
      <c r="AD24" s="15">
        <f>AD20*Hypothèses!$D$13*$C$4</f>
        <v/>
      </c>
      <c r="AE24" s="15">
        <f>AE20*Hypothèses!$D$13*$C$4</f>
        <v/>
      </c>
      <c r="AF24" s="15">
        <f>AF20*Hypothèses!$D$13*$C$4</f>
        <v/>
      </c>
      <c r="AG24" s="15">
        <f>AG20*Hypothèses!$D$13*$C$4</f>
        <v/>
      </c>
      <c r="AH24" s="15">
        <f>AH20*Hypothèses!$D$13*$C$4</f>
        <v/>
      </c>
      <c r="AI24" s="15">
        <f>AI20*Hypothèses!$D$13*$C$4</f>
        <v/>
      </c>
      <c r="AJ24" s="15">
        <f>AJ20*Hypothèses!$D$13*$C$4</f>
        <v/>
      </c>
      <c r="AK24" s="15">
        <f>AK20*Hypothèses!$D$13*$C$4</f>
        <v/>
      </c>
      <c r="AL24" s="15">
        <f>AL20*Hypothèses!$D$13*$C$4</f>
        <v/>
      </c>
      <c r="AN24" s="15">
        <f>SUM(C24:N24)</f>
        <v/>
      </c>
      <c r="AO24" s="15">
        <f>SUM(O24:Z24)</f>
        <v/>
      </c>
      <c r="AP24" s="15">
        <f>SUM(AA24:AL24)</f>
        <v/>
      </c>
    </row>
    <row r="25">
      <c r="A25" s="9" t="inlineStr">
        <is>
          <t>Facturation Family TTC</t>
        </is>
      </c>
      <c r="B25" s="4" t="inlineStr">
        <is>
          <t>€ TTC</t>
        </is>
      </c>
      <c r="C25" s="15">
        <f>C21*Hypothèses!$D$14*$C$4</f>
        <v/>
      </c>
      <c r="D25" s="15">
        <f>D21*Hypothèses!$D$14*$C$4</f>
        <v/>
      </c>
      <c r="E25" s="15">
        <f>E21*Hypothèses!$D$14*$C$4</f>
        <v/>
      </c>
      <c r="F25" s="15">
        <f>F21*Hypothèses!$D$14*$C$4</f>
        <v/>
      </c>
      <c r="G25" s="15">
        <f>G21*Hypothèses!$D$14*$C$4</f>
        <v/>
      </c>
      <c r="H25" s="15">
        <f>H21*Hypothèses!$D$14*$C$4</f>
        <v/>
      </c>
      <c r="I25" s="15">
        <f>I21*Hypothèses!$D$14*$C$4</f>
        <v/>
      </c>
      <c r="J25" s="15">
        <f>J21*Hypothèses!$D$14*$C$4</f>
        <v/>
      </c>
      <c r="K25" s="15">
        <f>K21*Hypothèses!$D$14*$C$4</f>
        <v/>
      </c>
      <c r="L25" s="15">
        <f>L21*Hypothèses!$D$14*$C$4</f>
        <v/>
      </c>
      <c r="M25" s="15">
        <f>M21*Hypothèses!$D$14*$C$4</f>
        <v/>
      </c>
      <c r="N25" s="15">
        <f>N21*Hypothèses!$D$14*$C$4</f>
        <v/>
      </c>
      <c r="O25" s="15">
        <f>O21*Hypothèses!$D$14*$C$4</f>
        <v/>
      </c>
      <c r="P25" s="15">
        <f>P21*Hypothèses!$D$14*$C$4</f>
        <v/>
      </c>
      <c r="Q25" s="15">
        <f>Q21*Hypothèses!$D$14*$C$4</f>
        <v/>
      </c>
      <c r="R25" s="15">
        <f>R21*Hypothèses!$D$14*$C$4</f>
        <v/>
      </c>
      <c r="S25" s="15">
        <f>S21*Hypothèses!$D$14*$C$4</f>
        <v/>
      </c>
      <c r="T25" s="15">
        <f>T21*Hypothèses!$D$14*$C$4</f>
        <v/>
      </c>
      <c r="U25" s="15">
        <f>U21*Hypothèses!$D$14*$C$4</f>
        <v/>
      </c>
      <c r="V25" s="15">
        <f>V21*Hypothèses!$D$14*$C$4</f>
        <v/>
      </c>
      <c r="W25" s="15">
        <f>W21*Hypothèses!$D$14*$C$4</f>
        <v/>
      </c>
      <c r="X25" s="15">
        <f>X21*Hypothèses!$D$14*$C$4</f>
        <v/>
      </c>
      <c r="Y25" s="15">
        <f>Y21*Hypothèses!$D$14*$C$4</f>
        <v/>
      </c>
      <c r="Z25" s="15">
        <f>Z21*Hypothèses!$D$14*$C$4</f>
        <v/>
      </c>
      <c r="AA25" s="15">
        <f>AA21*Hypothèses!$D$14*$C$4</f>
        <v/>
      </c>
      <c r="AB25" s="15">
        <f>AB21*Hypothèses!$D$14*$C$4</f>
        <v/>
      </c>
      <c r="AC25" s="15">
        <f>AC21*Hypothèses!$D$14*$C$4</f>
        <v/>
      </c>
      <c r="AD25" s="15">
        <f>AD21*Hypothèses!$D$14*$C$4</f>
        <v/>
      </c>
      <c r="AE25" s="15">
        <f>AE21*Hypothèses!$D$14*$C$4</f>
        <v/>
      </c>
      <c r="AF25" s="15">
        <f>AF21*Hypothèses!$D$14*$C$4</f>
        <v/>
      </c>
      <c r="AG25" s="15">
        <f>AG21*Hypothèses!$D$14*$C$4</f>
        <v/>
      </c>
      <c r="AH25" s="15">
        <f>AH21*Hypothèses!$D$14*$C$4</f>
        <v/>
      </c>
      <c r="AI25" s="15">
        <f>AI21*Hypothèses!$D$14*$C$4</f>
        <v/>
      </c>
      <c r="AJ25" s="15">
        <f>AJ21*Hypothèses!$D$14*$C$4</f>
        <v/>
      </c>
      <c r="AK25" s="15">
        <f>AK21*Hypothèses!$D$14*$C$4</f>
        <v/>
      </c>
      <c r="AL25" s="15">
        <f>AL21*Hypothèses!$D$14*$C$4</f>
        <v/>
      </c>
      <c r="AN25" s="15">
        <f>SUM(C25:N25)</f>
        <v/>
      </c>
      <c r="AO25" s="15">
        <f>SUM(O25:Z25)</f>
        <v/>
      </c>
      <c r="AP25" s="15">
        <f>SUM(AA25:AL25)</f>
        <v/>
      </c>
    </row>
    <row r="26">
      <c r="A26" s="2" t="inlineStr">
        <is>
          <t>Facturation totale TTC (MRR TTC)</t>
        </is>
      </c>
      <c r="B26" s="4" t="inlineStr">
        <is>
          <t>€ TTC</t>
        </is>
      </c>
      <c r="C26" s="40">
        <f>C23+C24+C25</f>
        <v/>
      </c>
      <c r="D26" s="40">
        <f>D23+D24+D25</f>
        <v/>
      </c>
      <c r="E26" s="40">
        <f>E23+E24+E25</f>
        <v/>
      </c>
      <c r="F26" s="40">
        <f>F23+F24+F25</f>
        <v/>
      </c>
      <c r="G26" s="40">
        <f>G23+G24+G25</f>
        <v/>
      </c>
      <c r="H26" s="40">
        <f>H23+H24+H25</f>
        <v/>
      </c>
      <c r="I26" s="40">
        <f>I23+I24+I25</f>
        <v/>
      </c>
      <c r="J26" s="40">
        <f>J23+J24+J25</f>
        <v/>
      </c>
      <c r="K26" s="40">
        <f>K23+K24+K25</f>
        <v/>
      </c>
      <c r="L26" s="40">
        <f>L23+L24+L25</f>
        <v/>
      </c>
      <c r="M26" s="40">
        <f>M23+M24+M25</f>
        <v/>
      </c>
      <c r="N26" s="40">
        <f>N23+N24+N25</f>
        <v/>
      </c>
      <c r="O26" s="40">
        <f>O23+O24+O25</f>
        <v/>
      </c>
      <c r="P26" s="40">
        <f>P23+P24+P25</f>
        <v/>
      </c>
      <c r="Q26" s="40">
        <f>Q23+Q24+Q25</f>
        <v/>
      </c>
      <c r="R26" s="40">
        <f>R23+R24+R25</f>
        <v/>
      </c>
      <c r="S26" s="40">
        <f>S23+S24+S25</f>
        <v/>
      </c>
      <c r="T26" s="40">
        <f>T23+T24+T25</f>
        <v/>
      </c>
      <c r="U26" s="40">
        <f>U23+U24+U25</f>
        <v/>
      </c>
      <c r="V26" s="40">
        <f>V23+V24+V25</f>
        <v/>
      </c>
      <c r="W26" s="40">
        <f>W23+W24+W25</f>
        <v/>
      </c>
      <c r="X26" s="40">
        <f>X23+X24+X25</f>
        <v/>
      </c>
      <c r="Y26" s="40">
        <f>Y23+Y24+Y25</f>
        <v/>
      </c>
      <c r="Z26" s="40">
        <f>Z23+Z24+Z25</f>
        <v/>
      </c>
      <c r="AA26" s="40">
        <f>AA23+AA24+AA25</f>
        <v/>
      </c>
      <c r="AB26" s="40">
        <f>AB23+AB24+AB25</f>
        <v/>
      </c>
      <c r="AC26" s="40">
        <f>AC23+AC24+AC25</f>
        <v/>
      </c>
      <c r="AD26" s="40">
        <f>AD23+AD24+AD25</f>
        <v/>
      </c>
      <c r="AE26" s="40">
        <f>AE23+AE24+AE25</f>
        <v/>
      </c>
      <c r="AF26" s="40">
        <f>AF23+AF24+AF25</f>
        <v/>
      </c>
      <c r="AG26" s="40">
        <f>AG23+AG24+AG25</f>
        <v/>
      </c>
      <c r="AH26" s="40">
        <f>AH23+AH24+AH25</f>
        <v/>
      </c>
      <c r="AI26" s="40">
        <f>AI23+AI24+AI25</f>
        <v/>
      </c>
      <c r="AJ26" s="40">
        <f>AJ23+AJ24+AJ25</f>
        <v/>
      </c>
      <c r="AK26" s="40">
        <f>AK23+AK24+AK25</f>
        <v/>
      </c>
      <c r="AL26" s="40">
        <f>AL23+AL24+AL25</f>
        <v/>
      </c>
      <c r="AN26" s="40">
        <f>SUM(C26:N26)</f>
        <v/>
      </c>
      <c r="AO26" s="40">
        <f>SUM(O26:Z26)</f>
        <v/>
      </c>
      <c r="AP26" s="40">
        <f>SUM(AA26:AL26)</f>
        <v/>
      </c>
    </row>
    <row r="27">
      <c r="A27" s="9" t="inlineStr">
        <is>
          <t>TVA collectée</t>
        </is>
      </c>
      <c r="B27" s="4" t="inlineStr">
        <is>
          <t>€</t>
        </is>
      </c>
      <c r="C27" s="15">
        <f>C26*Hypothèses!$D$15/(1+Hypothèses!$D$15)</f>
        <v/>
      </c>
      <c r="D27" s="15">
        <f>D26*Hypothèses!$D$15/(1+Hypothèses!$D$15)</f>
        <v/>
      </c>
      <c r="E27" s="15">
        <f>E26*Hypothèses!$D$15/(1+Hypothèses!$D$15)</f>
        <v/>
      </c>
      <c r="F27" s="15">
        <f>F26*Hypothèses!$D$15/(1+Hypothèses!$D$15)</f>
        <v/>
      </c>
      <c r="G27" s="15">
        <f>G26*Hypothèses!$D$15/(1+Hypothèses!$D$15)</f>
        <v/>
      </c>
      <c r="H27" s="15">
        <f>H26*Hypothèses!$D$15/(1+Hypothèses!$D$15)</f>
        <v/>
      </c>
      <c r="I27" s="15">
        <f>I26*Hypothèses!$D$15/(1+Hypothèses!$D$15)</f>
        <v/>
      </c>
      <c r="J27" s="15">
        <f>J26*Hypothèses!$D$15/(1+Hypothèses!$D$15)</f>
        <v/>
      </c>
      <c r="K27" s="15">
        <f>K26*Hypothèses!$D$15/(1+Hypothèses!$D$15)</f>
        <v/>
      </c>
      <c r="L27" s="15">
        <f>L26*Hypothèses!$D$15/(1+Hypothèses!$D$15)</f>
        <v/>
      </c>
      <c r="M27" s="15">
        <f>M26*Hypothèses!$D$15/(1+Hypothèses!$D$15)</f>
        <v/>
      </c>
      <c r="N27" s="15">
        <f>N26*Hypothèses!$D$15/(1+Hypothèses!$D$15)</f>
        <v/>
      </c>
      <c r="O27" s="15">
        <f>O26*Hypothèses!$D$15/(1+Hypothèses!$D$15)</f>
        <v/>
      </c>
      <c r="P27" s="15">
        <f>P26*Hypothèses!$D$15/(1+Hypothèses!$D$15)</f>
        <v/>
      </c>
      <c r="Q27" s="15">
        <f>Q26*Hypothèses!$D$15/(1+Hypothèses!$D$15)</f>
        <v/>
      </c>
      <c r="R27" s="15">
        <f>R26*Hypothèses!$D$15/(1+Hypothèses!$D$15)</f>
        <v/>
      </c>
      <c r="S27" s="15">
        <f>S26*Hypothèses!$D$15/(1+Hypothèses!$D$15)</f>
        <v/>
      </c>
      <c r="T27" s="15">
        <f>T26*Hypothèses!$D$15/(1+Hypothèses!$D$15)</f>
        <v/>
      </c>
      <c r="U27" s="15">
        <f>U26*Hypothèses!$D$15/(1+Hypothèses!$D$15)</f>
        <v/>
      </c>
      <c r="V27" s="15">
        <f>V26*Hypothèses!$D$15/(1+Hypothèses!$D$15)</f>
        <v/>
      </c>
      <c r="W27" s="15">
        <f>W26*Hypothèses!$D$15/(1+Hypothèses!$D$15)</f>
        <v/>
      </c>
      <c r="X27" s="15">
        <f>X26*Hypothèses!$D$15/(1+Hypothèses!$D$15)</f>
        <v/>
      </c>
      <c r="Y27" s="15">
        <f>Y26*Hypothèses!$D$15/(1+Hypothèses!$D$15)</f>
        <v/>
      </c>
      <c r="Z27" s="15">
        <f>Z26*Hypothèses!$D$15/(1+Hypothèses!$D$15)</f>
        <v/>
      </c>
      <c r="AA27" s="15">
        <f>AA26*Hypothèses!$D$15/(1+Hypothèses!$D$15)</f>
        <v/>
      </c>
      <c r="AB27" s="15">
        <f>AB26*Hypothèses!$D$15/(1+Hypothèses!$D$15)</f>
        <v/>
      </c>
      <c r="AC27" s="15">
        <f>AC26*Hypothèses!$D$15/(1+Hypothèses!$D$15)</f>
        <v/>
      </c>
      <c r="AD27" s="15">
        <f>AD26*Hypothèses!$D$15/(1+Hypothèses!$D$15)</f>
        <v/>
      </c>
      <c r="AE27" s="15">
        <f>AE26*Hypothèses!$D$15/(1+Hypothèses!$D$15)</f>
        <v/>
      </c>
      <c r="AF27" s="15">
        <f>AF26*Hypothèses!$D$15/(1+Hypothèses!$D$15)</f>
        <v/>
      </c>
      <c r="AG27" s="15">
        <f>AG26*Hypothèses!$D$15/(1+Hypothèses!$D$15)</f>
        <v/>
      </c>
      <c r="AH27" s="15">
        <f>AH26*Hypothèses!$D$15/(1+Hypothèses!$D$15)</f>
        <v/>
      </c>
      <c r="AI27" s="15">
        <f>AI26*Hypothèses!$D$15/(1+Hypothèses!$D$15)</f>
        <v/>
      </c>
      <c r="AJ27" s="15">
        <f>AJ26*Hypothèses!$D$15/(1+Hypothèses!$D$15)</f>
        <v/>
      </c>
      <c r="AK27" s="15">
        <f>AK26*Hypothèses!$D$15/(1+Hypothèses!$D$15)</f>
        <v/>
      </c>
      <c r="AL27" s="15">
        <f>AL26*Hypothèses!$D$15/(1+Hypothèses!$D$15)</f>
        <v/>
      </c>
      <c r="AN27" s="15">
        <f>SUM(C27:N27)</f>
        <v/>
      </c>
      <c r="AO27" s="15">
        <f>SUM(O27:Z27)</f>
        <v/>
      </c>
      <c r="AP27" s="15">
        <f>SUM(AA27:AL27)</f>
        <v/>
      </c>
    </row>
    <row r="28">
      <c r="A28" s="2" t="inlineStr">
        <is>
          <t>Chiffre d'affaires HT</t>
        </is>
      </c>
      <c r="B28" s="4" t="inlineStr">
        <is>
          <t>€ HT</t>
        </is>
      </c>
      <c r="C28" s="40">
        <f>C26-C27</f>
        <v/>
      </c>
      <c r="D28" s="40">
        <f>D26-D27</f>
        <v/>
      </c>
      <c r="E28" s="40">
        <f>E26-E27</f>
        <v/>
      </c>
      <c r="F28" s="40">
        <f>F26-F27</f>
        <v/>
      </c>
      <c r="G28" s="40">
        <f>G26-G27</f>
        <v/>
      </c>
      <c r="H28" s="40">
        <f>H26-H27</f>
        <v/>
      </c>
      <c r="I28" s="40">
        <f>I26-I27</f>
        <v/>
      </c>
      <c r="J28" s="40">
        <f>J26-J27</f>
        <v/>
      </c>
      <c r="K28" s="40">
        <f>K26-K27</f>
        <v/>
      </c>
      <c r="L28" s="40">
        <f>L26-L27</f>
        <v/>
      </c>
      <c r="M28" s="40">
        <f>M26-M27</f>
        <v/>
      </c>
      <c r="N28" s="40">
        <f>N26-N27</f>
        <v/>
      </c>
      <c r="O28" s="40">
        <f>O26-O27</f>
        <v/>
      </c>
      <c r="P28" s="40">
        <f>P26-P27</f>
        <v/>
      </c>
      <c r="Q28" s="40">
        <f>Q26-Q27</f>
        <v/>
      </c>
      <c r="R28" s="40">
        <f>R26-R27</f>
        <v/>
      </c>
      <c r="S28" s="40">
        <f>S26-S27</f>
        <v/>
      </c>
      <c r="T28" s="40">
        <f>T26-T27</f>
        <v/>
      </c>
      <c r="U28" s="40">
        <f>U26-U27</f>
        <v/>
      </c>
      <c r="V28" s="40">
        <f>V26-V27</f>
        <v/>
      </c>
      <c r="W28" s="40">
        <f>W26-W27</f>
        <v/>
      </c>
      <c r="X28" s="40">
        <f>X26-X27</f>
        <v/>
      </c>
      <c r="Y28" s="40">
        <f>Y26-Y27</f>
        <v/>
      </c>
      <c r="Z28" s="40">
        <f>Z26-Z27</f>
        <v/>
      </c>
      <c r="AA28" s="40">
        <f>AA26-AA27</f>
        <v/>
      </c>
      <c r="AB28" s="40">
        <f>AB26-AB27</f>
        <v/>
      </c>
      <c r="AC28" s="40">
        <f>AC26-AC27</f>
        <v/>
      </c>
      <c r="AD28" s="40">
        <f>AD26-AD27</f>
        <v/>
      </c>
      <c r="AE28" s="40">
        <f>AE26-AE27</f>
        <v/>
      </c>
      <c r="AF28" s="40">
        <f>AF26-AF27</f>
        <v/>
      </c>
      <c r="AG28" s="40">
        <f>AG26-AG27</f>
        <v/>
      </c>
      <c r="AH28" s="40">
        <f>AH26-AH27</f>
        <v/>
      </c>
      <c r="AI28" s="40">
        <f>AI26-AI27</f>
        <v/>
      </c>
      <c r="AJ28" s="40">
        <f>AJ26-AJ27</f>
        <v/>
      </c>
      <c r="AK28" s="40">
        <f>AK26-AK27</f>
        <v/>
      </c>
      <c r="AL28" s="40">
        <f>AL26-AL27</f>
        <v/>
      </c>
      <c r="AN28" s="40">
        <f>SUM(C28:N28)</f>
        <v/>
      </c>
      <c r="AO28" s="40">
        <f>SUM(O28:Z28)</f>
        <v/>
      </c>
      <c r="AP28" s="40">
        <f>SUM(AA28:AL28)</f>
        <v/>
      </c>
    </row>
    <row r="29">
      <c r="A29" s="9" t="inlineStr">
        <is>
          <t>Impayés (TTC)</t>
        </is>
      </c>
      <c r="B29" s="4" t="inlineStr">
        <is>
          <t>€ TTC</t>
        </is>
      </c>
      <c r="C29" s="15">
        <f>C26*Hypothèses!$D$27</f>
        <v/>
      </c>
      <c r="D29" s="15">
        <f>D26*Hypothèses!$D$27</f>
        <v/>
      </c>
      <c r="E29" s="15">
        <f>E26*Hypothèses!$D$27</f>
        <v/>
      </c>
      <c r="F29" s="15">
        <f>F26*Hypothèses!$D$27</f>
        <v/>
      </c>
      <c r="G29" s="15">
        <f>G26*Hypothèses!$D$27</f>
        <v/>
      </c>
      <c r="H29" s="15">
        <f>H26*Hypothèses!$D$27</f>
        <v/>
      </c>
      <c r="I29" s="15">
        <f>I26*Hypothèses!$D$27</f>
        <v/>
      </c>
      <c r="J29" s="15">
        <f>J26*Hypothèses!$D$27</f>
        <v/>
      </c>
      <c r="K29" s="15">
        <f>K26*Hypothèses!$D$27</f>
        <v/>
      </c>
      <c r="L29" s="15">
        <f>L26*Hypothèses!$D$27</f>
        <v/>
      </c>
      <c r="M29" s="15">
        <f>M26*Hypothèses!$D$27</f>
        <v/>
      </c>
      <c r="N29" s="15">
        <f>N26*Hypothèses!$D$27</f>
        <v/>
      </c>
      <c r="O29" s="15">
        <f>O26*Hypothèses!$D$27</f>
        <v/>
      </c>
      <c r="P29" s="15">
        <f>P26*Hypothèses!$D$27</f>
        <v/>
      </c>
      <c r="Q29" s="15">
        <f>Q26*Hypothèses!$D$27</f>
        <v/>
      </c>
      <c r="R29" s="15">
        <f>R26*Hypothèses!$D$27</f>
        <v/>
      </c>
      <c r="S29" s="15">
        <f>S26*Hypothèses!$D$27</f>
        <v/>
      </c>
      <c r="T29" s="15">
        <f>T26*Hypothèses!$D$27</f>
        <v/>
      </c>
      <c r="U29" s="15">
        <f>U26*Hypothèses!$D$27</f>
        <v/>
      </c>
      <c r="V29" s="15">
        <f>V26*Hypothèses!$D$27</f>
        <v/>
      </c>
      <c r="W29" s="15">
        <f>W26*Hypothèses!$D$27</f>
        <v/>
      </c>
      <c r="X29" s="15">
        <f>X26*Hypothèses!$D$27</f>
        <v/>
      </c>
      <c r="Y29" s="15">
        <f>Y26*Hypothèses!$D$27</f>
        <v/>
      </c>
      <c r="Z29" s="15">
        <f>Z26*Hypothèses!$D$27</f>
        <v/>
      </c>
      <c r="AA29" s="15">
        <f>AA26*Hypothèses!$D$27</f>
        <v/>
      </c>
      <c r="AB29" s="15">
        <f>AB26*Hypothèses!$D$27</f>
        <v/>
      </c>
      <c r="AC29" s="15">
        <f>AC26*Hypothèses!$D$27</f>
        <v/>
      </c>
      <c r="AD29" s="15">
        <f>AD26*Hypothèses!$D$27</f>
        <v/>
      </c>
      <c r="AE29" s="15">
        <f>AE26*Hypothèses!$D$27</f>
        <v/>
      </c>
      <c r="AF29" s="15">
        <f>AF26*Hypothèses!$D$27</f>
        <v/>
      </c>
      <c r="AG29" s="15">
        <f>AG26*Hypothèses!$D$27</f>
        <v/>
      </c>
      <c r="AH29" s="15">
        <f>AH26*Hypothèses!$D$27</f>
        <v/>
      </c>
      <c r="AI29" s="15">
        <f>AI26*Hypothèses!$D$27</f>
        <v/>
      </c>
      <c r="AJ29" s="15">
        <f>AJ26*Hypothèses!$D$27</f>
        <v/>
      </c>
      <c r="AK29" s="15">
        <f>AK26*Hypothèses!$D$27</f>
        <v/>
      </c>
      <c r="AL29" s="15">
        <f>AL26*Hypothèses!$D$27</f>
        <v/>
      </c>
      <c r="AN29" s="15">
        <f>SUM(C29:N29)</f>
        <v/>
      </c>
      <c r="AO29" s="15">
        <f>SUM(O29:Z29)</f>
        <v/>
      </c>
      <c r="AP29" s="15">
        <f>SUM(AA29:AL29)</f>
        <v/>
      </c>
    </row>
    <row r="30">
      <c r="A30" s="9" t="inlineStr">
        <is>
          <t>Frais de paiement</t>
        </is>
      </c>
      <c r="B30" s="4" t="inlineStr">
        <is>
          <t>€</t>
        </is>
      </c>
      <c r="C30" s="15">
        <f>(C26-C29)*Hypothèses!$D$28+C18*Hypothèses!$D$29</f>
        <v/>
      </c>
      <c r="D30" s="15">
        <f>(D26-D29)*Hypothèses!$D$28+D18*Hypothèses!$D$29</f>
        <v/>
      </c>
      <c r="E30" s="15">
        <f>(E26-E29)*Hypothèses!$D$28+E18*Hypothèses!$D$29</f>
        <v/>
      </c>
      <c r="F30" s="15">
        <f>(F26-F29)*Hypothèses!$D$28+F18*Hypothèses!$D$29</f>
        <v/>
      </c>
      <c r="G30" s="15">
        <f>(G26-G29)*Hypothèses!$D$28+G18*Hypothèses!$D$29</f>
        <v/>
      </c>
      <c r="H30" s="15">
        <f>(H26-H29)*Hypothèses!$D$28+H18*Hypothèses!$D$29</f>
        <v/>
      </c>
      <c r="I30" s="15">
        <f>(I26-I29)*Hypothèses!$D$28+I18*Hypothèses!$D$29</f>
        <v/>
      </c>
      <c r="J30" s="15">
        <f>(J26-J29)*Hypothèses!$D$28+J18*Hypothèses!$D$29</f>
        <v/>
      </c>
      <c r="K30" s="15">
        <f>(K26-K29)*Hypothèses!$D$28+K18*Hypothèses!$D$29</f>
        <v/>
      </c>
      <c r="L30" s="15">
        <f>(L26-L29)*Hypothèses!$D$28+L18*Hypothèses!$D$29</f>
        <v/>
      </c>
      <c r="M30" s="15">
        <f>(M26-M29)*Hypothèses!$D$28+M18*Hypothèses!$D$29</f>
        <v/>
      </c>
      <c r="N30" s="15">
        <f>(N26-N29)*Hypothèses!$D$28+N18*Hypothèses!$D$29</f>
        <v/>
      </c>
      <c r="O30" s="15">
        <f>(O26-O29)*Hypothèses!$D$28+O18*Hypothèses!$D$29</f>
        <v/>
      </c>
      <c r="P30" s="15">
        <f>(P26-P29)*Hypothèses!$D$28+P18*Hypothèses!$D$29</f>
        <v/>
      </c>
      <c r="Q30" s="15">
        <f>(Q26-Q29)*Hypothèses!$D$28+Q18*Hypothèses!$D$29</f>
        <v/>
      </c>
      <c r="R30" s="15">
        <f>(R26-R29)*Hypothèses!$D$28+R18*Hypothèses!$D$29</f>
        <v/>
      </c>
      <c r="S30" s="15">
        <f>(S26-S29)*Hypothèses!$D$28+S18*Hypothèses!$D$29</f>
        <v/>
      </c>
      <c r="T30" s="15">
        <f>(T26-T29)*Hypothèses!$D$28+T18*Hypothèses!$D$29</f>
        <v/>
      </c>
      <c r="U30" s="15">
        <f>(U26-U29)*Hypothèses!$D$28+U18*Hypothèses!$D$29</f>
        <v/>
      </c>
      <c r="V30" s="15">
        <f>(V26-V29)*Hypothèses!$D$28+V18*Hypothèses!$D$29</f>
        <v/>
      </c>
      <c r="W30" s="15">
        <f>(W26-W29)*Hypothèses!$D$28+W18*Hypothèses!$D$29</f>
        <v/>
      </c>
      <c r="X30" s="15">
        <f>(X26-X29)*Hypothèses!$D$28+X18*Hypothèses!$D$29</f>
        <v/>
      </c>
      <c r="Y30" s="15">
        <f>(Y26-Y29)*Hypothèses!$D$28+Y18*Hypothèses!$D$29</f>
        <v/>
      </c>
      <c r="Z30" s="15">
        <f>(Z26-Z29)*Hypothèses!$D$28+Z18*Hypothèses!$D$29</f>
        <v/>
      </c>
      <c r="AA30" s="15">
        <f>(AA26-AA29)*Hypothèses!$D$28+AA18*Hypothèses!$D$29</f>
        <v/>
      </c>
      <c r="AB30" s="15">
        <f>(AB26-AB29)*Hypothèses!$D$28+AB18*Hypothèses!$D$29</f>
        <v/>
      </c>
      <c r="AC30" s="15">
        <f>(AC26-AC29)*Hypothèses!$D$28+AC18*Hypothèses!$D$29</f>
        <v/>
      </c>
      <c r="AD30" s="15">
        <f>(AD26-AD29)*Hypothèses!$D$28+AD18*Hypothèses!$D$29</f>
        <v/>
      </c>
      <c r="AE30" s="15">
        <f>(AE26-AE29)*Hypothèses!$D$28+AE18*Hypothèses!$D$29</f>
        <v/>
      </c>
      <c r="AF30" s="15">
        <f>(AF26-AF29)*Hypothèses!$D$28+AF18*Hypothèses!$D$29</f>
        <v/>
      </c>
      <c r="AG30" s="15">
        <f>(AG26-AG29)*Hypothèses!$D$28+AG18*Hypothèses!$D$29</f>
        <v/>
      </c>
      <c r="AH30" s="15">
        <f>(AH26-AH29)*Hypothèses!$D$28+AH18*Hypothèses!$D$29</f>
        <v/>
      </c>
      <c r="AI30" s="15">
        <f>(AI26-AI29)*Hypothèses!$D$28+AI18*Hypothèses!$D$29</f>
        <v/>
      </c>
      <c r="AJ30" s="15">
        <f>(AJ26-AJ29)*Hypothèses!$D$28+AJ18*Hypothèses!$D$29</f>
        <v/>
      </c>
      <c r="AK30" s="15">
        <f>(AK26-AK29)*Hypothèses!$D$28+AK18*Hypothèses!$D$29</f>
        <v/>
      </c>
      <c r="AL30" s="15">
        <f>(AL26-AL29)*Hypothèses!$D$28+AL18*Hypothèses!$D$29</f>
        <v/>
      </c>
      <c r="AN30" s="15">
        <f>SUM(C30:N30)</f>
        <v/>
      </c>
      <c r="AO30" s="15">
        <f>SUM(O30:Z30)</f>
        <v/>
      </c>
      <c r="AP30" s="15">
        <f>SUM(AA30:AL30)</f>
        <v/>
      </c>
    </row>
    <row r="31">
      <c r="A31" s="2" t="inlineStr">
        <is>
          <t>Encaissements nets TTC</t>
        </is>
      </c>
      <c r="B31" s="4" t="inlineStr">
        <is>
          <t>€ TTC</t>
        </is>
      </c>
      <c r="C31" s="40">
        <f>C26-C29-C30</f>
        <v/>
      </c>
      <c r="D31" s="40">
        <f>D26-D29-D30</f>
        <v/>
      </c>
      <c r="E31" s="40">
        <f>E26-E29-E30</f>
        <v/>
      </c>
      <c r="F31" s="40">
        <f>F26-F29-F30</f>
        <v/>
      </c>
      <c r="G31" s="40">
        <f>G26-G29-G30</f>
        <v/>
      </c>
      <c r="H31" s="40">
        <f>H26-H29-H30</f>
        <v/>
      </c>
      <c r="I31" s="40">
        <f>I26-I29-I30</f>
        <v/>
      </c>
      <c r="J31" s="40">
        <f>J26-J29-J30</f>
        <v/>
      </c>
      <c r="K31" s="40">
        <f>K26-K29-K30</f>
        <v/>
      </c>
      <c r="L31" s="40">
        <f>L26-L29-L30</f>
        <v/>
      </c>
      <c r="M31" s="40">
        <f>M26-M29-M30</f>
        <v/>
      </c>
      <c r="N31" s="40">
        <f>N26-N29-N30</f>
        <v/>
      </c>
      <c r="O31" s="40">
        <f>O26-O29-O30</f>
        <v/>
      </c>
      <c r="P31" s="40">
        <f>P26-P29-P30</f>
        <v/>
      </c>
      <c r="Q31" s="40">
        <f>Q26-Q29-Q30</f>
        <v/>
      </c>
      <c r="R31" s="40">
        <f>R26-R29-R30</f>
        <v/>
      </c>
      <c r="S31" s="40">
        <f>S26-S29-S30</f>
        <v/>
      </c>
      <c r="T31" s="40">
        <f>T26-T29-T30</f>
        <v/>
      </c>
      <c r="U31" s="40">
        <f>U26-U29-U30</f>
        <v/>
      </c>
      <c r="V31" s="40">
        <f>V26-V29-V30</f>
        <v/>
      </c>
      <c r="W31" s="40">
        <f>W26-W29-W30</f>
        <v/>
      </c>
      <c r="X31" s="40">
        <f>X26-X29-X30</f>
        <v/>
      </c>
      <c r="Y31" s="40">
        <f>Y26-Y29-Y30</f>
        <v/>
      </c>
      <c r="Z31" s="40">
        <f>Z26-Z29-Z30</f>
        <v/>
      </c>
      <c r="AA31" s="40">
        <f>AA26-AA29-AA30</f>
        <v/>
      </c>
      <c r="AB31" s="40">
        <f>AB26-AB29-AB30</f>
        <v/>
      </c>
      <c r="AC31" s="40">
        <f>AC26-AC29-AC30</f>
        <v/>
      </c>
      <c r="AD31" s="40">
        <f>AD26-AD29-AD30</f>
        <v/>
      </c>
      <c r="AE31" s="40">
        <f>AE26-AE29-AE30</f>
        <v/>
      </c>
      <c r="AF31" s="40">
        <f>AF26-AF29-AF30</f>
        <v/>
      </c>
      <c r="AG31" s="40">
        <f>AG26-AG29-AG30</f>
        <v/>
      </c>
      <c r="AH31" s="40">
        <f>AH26-AH29-AH30</f>
        <v/>
      </c>
      <c r="AI31" s="40">
        <f>AI26-AI29-AI30</f>
        <v/>
      </c>
      <c r="AJ31" s="40">
        <f>AJ26-AJ29-AJ30</f>
        <v/>
      </c>
      <c r="AK31" s="40">
        <f>AK26-AK29-AK30</f>
        <v/>
      </c>
      <c r="AL31" s="40">
        <f>AL26-AL29-AL30</f>
        <v/>
      </c>
      <c r="AN31" s="40">
        <f>SUM(C31:N31)</f>
        <v/>
      </c>
      <c r="AO31" s="40">
        <f>SUM(O31:Z31)</f>
        <v/>
      </c>
      <c r="AP31" s="40">
        <f>SUM(AA31:AL31)</f>
        <v/>
      </c>
    </row>
    <row r="32">
      <c r="A32" s="8" t="inlineStr">
        <is>
          <t>Coûts variables</t>
        </is>
      </c>
    </row>
    <row r="33">
      <c r="A33" s="9" t="inlineStr">
        <is>
          <t>Coût IA et outils (missions × coût par mission)</t>
        </is>
      </c>
      <c r="B33" s="4" t="inlineStr">
        <is>
          <t>€ HT</t>
        </is>
      </c>
      <c r="C33" s="15">
        <f>(C19*Hypothèses!$D$31+C20*Hypothèses!$D$32+C21*Hypothèses!$D$33)*Hypothèses!$D$34*$F$4</f>
        <v/>
      </c>
      <c r="D33" s="15">
        <f>(D19*Hypothèses!$D$31+D20*Hypothèses!$D$32+D21*Hypothèses!$D$33)*Hypothèses!$D$34*$F$4</f>
        <v/>
      </c>
      <c r="E33" s="15">
        <f>(E19*Hypothèses!$D$31+E20*Hypothèses!$D$32+E21*Hypothèses!$D$33)*Hypothèses!$D$34*$F$4</f>
        <v/>
      </c>
      <c r="F33" s="15">
        <f>(F19*Hypothèses!$D$31+F20*Hypothèses!$D$32+F21*Hypothèses!$D$33)*Hypothèses!$D$34*$F$4</f>
        <v/>
      </c>
      <c r="G33" s="15">
        <f>(G19*Hypothèses!$D$31+G20*Hypothèses!$D$32+G21*Hypothèses!$D$33)*Hypothèses!$D$34*$F$4</f>
        <v/>
      </c>
      <c r="H33" s="15">
        <f>(H19*Hypothèses!$D$31+H20*Hypothèses!$D$32+H21*Hypothèses!$D$33)*Hypothèses!$D$34*$F$4</f>
        <v/>
      </c>
      <c r="I33" s="15">
        <f>(I19*Hypothèses!$D$31+I20*Hypothèses!$D$32+I21*Hypothèses!$D$33)*Hypothèses!$D$34*$F$4</f>
        <v/>
      </c>
      <c r="J33" s="15">
        <f>(J19*Hypothèses!$D$31+J20*Hypothèses!$D$32+J21*Hypothèses!$D$33)*Hypothèses!$D$34*$F$4</f>
        <v/>
      </c>
      <c r="K33" s="15">
        <f>(K19*Hypothèses!$D$31+K20*Hypothèses!$D$32+K21*Hypothèses!$D$33)*Hypothèses!$D$34*$F$4</f>
        <v/>
      </c>
      <c r="L33" s="15">
        <f>(L19*Hypothèses!$D$31+L20*Hypothèses!$D$32+L21*Hypothèses!$D$33)*Hypothèses!$D$34*$F$4</f>
        <v/>
      </c>
      <c r="M33" s="15">
        <f>(M19*Hypothèses!$D$31+M20*Hypothèses!$D$32+M21*Hypothèses!$D$33)*Hypothèses!$D$34*$F$4</f>
        <v/>
      </c>
      <c r="N33" s="15">
        <f>(N19*Hypothèses!$D$31+N20*Hypothèses!$D$32+N21*Hypothèses!$D$33)*Hypothèses!$D$34*$F$4</f>
        <v/>
      </c>
      <c r="O33" s="15">
        <f>(O19*Hypothèses!$D$31+O20*Hypothèses!$D$32+O21*Hypothèses!$D$33)*Hypothèses!$D$34*$F$4</f>
        <v/>
      </c>
      <c r="P33" s="15">
        <f>(P19*Hypothèses!$D$31+P20*Hypothèses!$D$32+P21*Hypothèses!$D$33)*Hypothèses!$D$34*$F$4</f>
        <v/>
      </c>
      <c r="Q33" s="15">
        <f>(Q19*Hypothèses!$D$31+Q20*Hypothèses!$D$32+Q21*Hypothèses!$D$33)*Hypothèses!$D$34*$F$4</f>
        <v/>
      </c>
      <c r="R33" s="15">
        <f>(R19*Hypothèses!$D$31+R20*Hypothèses!$D$32+R21*Hypothèses!$D$33)*Hypothèses!$D$34*$F$4</f>
        <v/>
      </c>
      <c r="S33" s="15">
        <f>(S19*Hypothèses!$D$31+S20*Hypothèses!$D$32+S21*Hypothèses!$D$33)*Hypothèses!$D$34*$F$4</f>
        <v/>
      </c>
      <c r="T33" s="15">
        <f>(T19*Hypothèses!$D$31+T20*Hypothèses!$D$32+T21*Hypothèses!$D$33)*Hypothèses!$D$34*$F$4</f>
        <v/>
      </c>
      <c r="U33" s="15">
        <f>(U19*Hypothèses!$D$31+U20*Hypothèses!$D$32+U21*Hypothèses!$D$33)*Hypothèses!$D$34*$F$4</f>
        <v/>
      </c>
      <c r="V33" s="15">
        <f>(V19*Hypothèses!$D$31+V20*Hypothèses!$D$32+V21*Hypothèses!$D$33)*Hypothèses!$D$34*$F$4</f>
        <v/>
      </c>
      <c r="W33" s="15">
        <f>(W19*Hypothèses!$D$31+W20*Hypothèses!$D$32+W21*Hypothèses!$D$33)*Hypothèses!$D$34*$F$4</f>
        <v/>
      </c>
      <c r="X33" s="15">
        <f>(X19*Hypothèses!$D$31+X20*Hypothèses!$D$32+X21*Hypothèses!$D$33)*Hypothèses!$D$34*$F$4</f>
        <v/>
      </c>
      <c r="Y33" s="15">
        <f>(Y19*Hypothèses!$D$31+Y20*Hypothèses!$D$32+Y21*Hypothèses!$D$33)*Hypothèses!$D$34*$F$4</f>
        <v/>
      </c>
      <c r="Z33" s="15">
        <f>(Z19*Hypothèses!$D$31+Z20*Hypothèses!$D$32+Z21*Hypothèses!$D$33)*Hypothèses!$D$34*$F$4</f>
        <v/>
      </c>
      <c r="AA33" s="15">
        <f>(AA19*Hypothèses!$D$31+AA20*Hypothèses!$D$32+AA21*Hypothèses!$D$33)*Hypothèses!$D$34*$F$4</f>
        <v/>
      </c>
      <c r="AB33" s="15">
        <f>(AB19*Hypothèses!$D$31+AB20*Hypothèses!$D$32+AB21*Hypothèses!$D$33)*Hypothèses!$D$34*$F$4</f>
        <v/>
      </c>
      <c r="AC33" s="15">
        <f>(AC19*Hypothèses!$D$31+AC20*Hypothèses!$D$32+AC21*Hypothèses!$D$33)*Hypothèses!$D$34*$F$4</f>
        <v/>
      </c>
      <c r="AD33" s="15">
        <f>(AD19*Hypothèses!$D$31+AD20*Hypothèses!$D$32+AD21*Hypothèses!$D$33)*Hypothèses!$D$34*$F$4</f>
        <v/>
      </c>
      <c r="AE33" s="15">
        <f>(AE19*Hypothèses!$D$31+AE20*Hypothèses!$D$32+AE21*Hypothèses!$D$33)*Hypothèses!$D$34*$F$4</f>
        <v/>
      </c>
      <c r="AF33" s="15">
        <f>(AF19*Hypothèses!$D$31+AF20*Hypothèses!$D$32+AF21*Hypothèses!$D$33)*Hypothèses!$D$34*$F$4</f>
        <v/>
      </c>
      <c r="AG33" s="15">
        <f>(AG19*Hypothèses!$D$31+AG20*Hypothèses!$D$32+AG21*Hypothèses!$D$33)*Hypothèses!$D$34*$F$4</f>
        <v/>
      </c>
      <c r="AH33" s="15">
        <f>(AH19*Hypothèses!$D$31+AH20*Hypothèses!$D$32+AH21*Hypothèses!$D$33)*Hypothèses!$D$34*$F$4</f>
        <v/>
      </c>
      <c r="AI33" s="15">
        <f>(AI19*Hypothèses!$D$31+AI20*Hypothèses!$D$32+AI21*Hypothèses!$D$33)*Hypothèses!$D$34*$F$4</f>
        <v/>
      </c>
      <c r="AJ33" s="15">
        <f>(AJ19*Hypothèses!$D$31+AJ20*Hypothèses!$D$32+AJ21*Hypothèses!$D$33)*Hypothèses!$D$34*$F$4</f>
        <v/>
      </c>
      <c r="AK33" s="15">
        <f>(AK19*Hypothèses!$D$31+AK20*Hypothèses!$D$32+AK21*Hypothèses!$D$33)*Hypothèses!$D$34*$F$4</f>
        <v/>
      </c>
      <c r="AL33" s="15">
        <f>(AL19*Hypothèses!$D$31+AL20*Hypothèses!$D$32+AL21*Hypothèses!$D$33)*Hypothèses!$D$34*$F$4</f>
        <v/>
      </c>
      <c r="AN33" s="15">
        <f>SUM(C33:N33)</f>
        <v/>
      </c>
      <c r="AO33" s="15">
        <f>SUM(O33:Z33)</f>
        <v/>
      </c>
      <c r="AP33" s="15">
        <f>SUM(AA33:AL33)</f>
        <v/>
      </c>
    </row>
    <row r="34">
      <c r="A34" s="9" t="inlineStr">
        <is>
          <t>Hébergement, stockage, connecteurs</t>
        </is>
      </c>
      <c r="B34" s="4" t="inlineStr">
        <is>
          <t>€ HT</t>
        </is>
      </c>
      <c r="C34" s="15">
        <f>C18*Hypothèses!$D$35</f>
        <v/>
      </c>
      <c r="D34" s="15">
        <f>D18*Hypothèses!$D$35</f>
        <v/>
      </c>
      <c r="E34" s="15">
        <f>E18*Hypothèses!$D$35</f>
        <v/>
      </c>
      <c r="F34" s="15">
        <f>F18*Hypothèses!$D$35</f>
        <v/>
      </c>
      <c r="G34" s="15">
        <f>G18*Hypothèses!$D$35</f>
        <v/>
      </c>
      <c r="H34" s="15">
        <f>H18*Hypothèses!$D$35</f>
        <v/>
      </c>
      <c r="I34" s="15">
        <f>I18*Hypothèses!$D$35</f>
        <v/>
      </c>
      <c r="J34" s="15">
        <f>J18*Hypothèses!$D$35</f>
        <v/>
      </c>
      <c r="K34" s="15">
        <f>K18*Hypothèses!$D$35</f>
        <v/>
      </c>
      <c r="L34" s="15">
        <f>L18*Hypothèses!$D$35</f>
        <v/>
      </c>
      <c r="M34" s="15">
        <f>M18*Hypothèses!$D$35</f>
        <v/>
      </c>
      <c r="N34" s="15">
        <f>N18*Hypothèses!$D$35</f>
        <v/>
      </c>
      <c r="O34" s="15">
        <f>O18*Hypothèses!$D$35</f>
        <v/>
      </c>
      <c r="P34" s="15">
        <f>P18*Hypothèses!$D$35</f>
        <v/>
      </c>
      <c r="Q34" s="15">
        <f>Q18*Hypothèses!$D$35</f>
        <v/>
      </c>
      <c r="R34" s="15">
        <f>R18*Hypothèses!$D$35</f>
        <v/>
      </c>
      <c r="S34" s="15">
        <f>S18*Hypothèses!$D$35</f>
        <v/>
      </c>
      <c r="T34" s="15">
        <f>T18*Hypothèses!$D$35</f>
        <v/>
      </c>
      <c r="U34" s="15">
        <f>U18*Hypothèses!$D$35</f>
        <v/>
      </c>
      <c r="V34" s="15">
        <f>V18*Hypothèses!$D$35</f>
        <v/>
      </c>
      <c r="W34" s="15">
        <f>W18*Hypothèses!$D$35</f>
        <v/>
      </c>
      <c r="X34" s="15">
        <f>X18*Hypothèses!$D$35</f>
        <v/>
      </c>
      <c r="Y34" s="15">
        <f>Y18*Hypothèses!$D$35</f>
        <v/>
      </c>
      <c r="Z34" s="15">
        <f>Z18*Hypothèses!$D$35</f>
        <v/>
      </c>
      <c r="AA34" s="15">
        <f>AA18*Hypothèses!$D$35</f>
        <v/>
      </c>
      <c r="AB34" s="15">
        <f>AB18*Hypothèses!$D$35</f>
        <v/>
      </c>
      <c r="AC34" s="15">
        <f>AC18*Hypothèses!$D$35</f>
        <v/>
      </c>
      <c r="AD34" s="15">
        <f>AD18*Hypothèses!$D$35</f>
        <v/>
      </c>
      <c r="AE34" s="15">
        <f>AE18*Hypothèses!$D$35</f>
        <v/>
      </c>
      <c r="AF34" s="15">
        <f>AF18*Hypothèses!$D$35</f>
        <v/>
      </c>
      <c r="AG34" s="15">
        <f>AG18*Hypothèses!$D$35</f>
        <v/>
      </c>
      <c r="AH34" s="15">
        <f>AH18*Hypothèses!$D$35</f>
        <v/>
      </c>
      <c r="AI34" s="15">
        <f>AI18*Hypothèses!$D$35</f>
        <v/>
      </c>
      <c r="AJ34" s="15">
        <f>AJ18*Hypothèses!$D$35</f>
        <v/>
      </c>
      <c r="AK34" s="15">
        <f>AK18*Hypothèses!$D$35</f>
        <v/>
      </c>
      <c r="AL34" s="15">
        <f>AL18*Hypothèses!$D$35</f>
        <v/>
      </c>
      <c r="AN34" s="15">
        <f>SUM(C34:N34)</f>
        <v/>
      </c>
      <c r="AO34" s="15">
        <f>SUM(O34:Z34)</f>
        <v/>
      </c>
      <c r="AP34" s="15">
        <f>SUM(AA34:AL34)</f>
        <v/>
      </c>
    </row>
    <row r="35">
      <c r="A35" s="9" t="inlineStr">
        <is>
          <t>Support humain</t>
        </is>
      </c>
      <c r="B35" s="4" t="inlineStr">
        <is>
          <t>€ HT</t>
        </is>
      </c>
      <c r="C35" s="15">
        <f>C18*Hypothèses!$D$36</f>
        <v/>
      </c>
      <c r="D35" s="15">
        <f>D18*Hypothèses!$D$36</f>
        <v/>
      </c>
      <c r="E35" s="15">
        <f>E18*Hypothèses!$D$36</f>
        <v/>
      </c>
      <c r="F35" s="15">
        <f>F18*Hypothèses!$D$36</f>
        <v/>
      </c>
      <c r="G35" s="15">
        <f>G18*Hypothèses!$D$36</f>
        <v/>
      </c>
      <c r="H35" s="15">
        <f>H18*Hypothèses!$D$36</f>
        <v/>
      </c>
      <c r="I35" s="15">
        <f>I18*Hypothèses!$D$36</f>
        <v/>
      </c>
      <c r="J35" s="15">
        <f>J18*Hypothèses!$D$36</f>
        <v/>
      </c>
      <c r="K35" s="15">
        <f>K18*Hypothèses!$D$36</f>
        <v/>
      </c>
      <c r="L35" s="15">
        <f>L18*Hypothèses!$D$36</f>
        <v/>
      </c>
      <c r="M35" s="15">
        <f>M18*Hypothèses!$D$36</f>
        <v/>
      </c>
      <c r="N35" s="15">
        <f>N18*Hypothèses!$D$36</f>
        <v/>
      </c>
      <c r="O35" s="15">
        <f>O18*Hypothèses!$D$36</f>
        <v/>
      </c>
      <c r="P35" s="15">
        <f>P18*Hypothèses!$D$36</f>
        <v/>
      </c>
      <c r="Q35" s="15">
        <f>Q18*Hypothèses!$D$36</f>
        <v/>
      </c>
      <c r="R35" s="15">
        <f>R18*Hypothèses!$D$36</f>
        <v/>
      </c>
      <c r="S35" s="15">
        <f>S18*Hypothèses!$D$36</f>
        <v/>
      </c>
      <c r="T35" s="15">
        <f>T18*Hypothèses!$D$36</f>
        <v/>
      </c>
      <c r="U35" s="15">
        <f>U18*Hypothèses!$D$36</f>
        <v/>
      </c>
      <c r="V35" s="15">
        <f>V18*Hypothèses!$D$36</f>
        <v/>
      </c>
      <c r="W35" s="15">
        <f>W18*Hypothèses!$D$36</f>
        <v/>
      </c>
      <c r="X35" s="15">
        <f>X18*Hypothèses!$D$36</f>
        <v/>
      </c>
      <c r="Y35" s="15">
        <f>Y18*Hypothèses!$D$36</f>
        <v/>
      </c>
      <c r="Z35" s="15">
        <f>Z18*Hypothèses!$D$36</f>
        <v/>
      </c>
      <c r="AA35" s="15">
        <f>AA18*Hypothèses!$D$36</f>
        <v/>
      </c>
      <c r="AB35" s="15">
        <f>AB18*Hypothèses!$D$36</f>
        <v/>
      </c>
      <c r="AC35" s="15">
        <f>AC18*Hypothèses!$D$36</f>
        <v/>
      </c>
      <c r="AD35" s="15">
        <f>AD18*Hypothèses!$D$36</f>
        <v/>
      </c>
      <c r="AE35" s="15">
        <f>AE18*Hypothèses!$D$36</f>
        <v/>
      </c>
      <c r="AF35" s="15">
        <f>AF18*Hypothèses!$D$36</f>
        <v/>
      </c>
      <c r="AG35" s="15">
        <f>AG18*Hypothèses!$D$36</f>
        <v/>
      </c>
      <c r="AH35" s="15">
        <f>AH18*Hypothèses!$D$36</f>
        <v/>
      </c>
      <c r="AI35" s="15">
        <f>AI18*Hypothèses!$D$36</f>
        <v/>
      </c>
      <c r="AJ35" s="15">
        <f>AJ18*Hypothèses!$D$36</f>
        <v/>
      </c>
      <c r="AK35" s="15">
        <f>AK18*Hypothèses!$D$36</f>
        <v/>
      </c>
      <c r="AL35" s="15">
        <f>AL18*Hypothèses!$D$36</f>
        <v/>
      </c>
      <c r="AN35" s="15">
        <f>SUM(C35:N35)</f>
        <v/>
      </c>
      <c r="AO35" s="15">
        <f>SUM(O35:Z35)</f>
        <v/>
      </c>
      <c r="AP35" s="15">
        <f>SUM(AA35:AL35)</f>
        <v/>
      </c>
    </row>
    <row r="36">
      <c r="A36" s="2" t="inlineStr">
        <is>
          <t>Total coûts variables</t>
        </is>
      </c>
      <c r="B36" s="4" t="inlineStr">
        <is>
          <t>€ HT</t>
        </is>
      </c>
      <c r="C36" s="40">
        <f>C33+C34+C35</f>
        <v/>
      </c>
      <c r="D36" s="40">
        <f>D33+D34+D35</f>
        <v/>
      </c>
      <c r="E36" s="40">
        <f>E33+E34+E35</f>
        <v/>
      </c>
      <c r="F36" s="40">
        <f>F33+F34+F35</f>
        <v/>
      </c>
      <c r="G36" s="40">
        <f>G33+G34+G35</f>
        <v/>
      </c>
      <c r="H36" s="40">
        <f>H33+H34+H35</f>
        <v/>
      </c>
      <c r="I36" s="40">
        <f>I33+I34+I35</f>
        <v/>
      </c>
      <c r="J36" s="40">
        <f>J33+J34+J35</f>
        <v/>
      </c>
      <c r="K36" s="40">
        <f>K33+K34+K35</f>
        <v/>
      </c>
      <c r="L36" s="40">
        <f>L33+L34+L35</f>
        <v/>
      </c>
      <c r="M36" s="40">
        <f>M33+M34+M35</f>
        <v/>
      </c>
      <c r="N36" s="40">
        <f>N33+N34+N35</f>
        <v/>
      </c>
      <c r="O36" s="40">
        <f>O33+O34+O35</f>
        <v/>
      </c>
      <c r="P36" s="40">
        <f>P33+P34+P35</f>
        <v/>
      </c>
      <c r="Q36" s="40">
        <f>Q33+Q34+Q35</f>
        <v/>
      </c>
      <c r="R36" s="40">
        <f>R33+R34+R35</f>
        <v/>
      </c>
      <c r="S36" s="40">
        <f>S33+S34+S35</f>
        <v/>
      </c>
      <c r="T36" s="40">
        <f>T33+T34+T35</f>
        <v/>
      </c>
      <c r="U36" s="40">
        <f>U33+U34+U35</f>
        <v/>
      </c>
      <c r="V36" s="40">
        <f>V33+V34+V35</f>
        <v/>
      </c>
      <c r="W36" s="40">
        <f>W33+W34+W35</f>
        <v/>
      </c>
      <c r="X36" s="40">
        <f>X33+X34+X35</f>
        <v/>
      </c>
      <c r="Y36" s="40">
        <f>Y33+Y34+Y35</f>
        <v/>
      </c>
      <c r="Z36" s="40">
        <f>Z33+Z34+Z35</f>
        <v/>
      </c>
      <c r="AA36" s="40">
        <f>AA33+AA34+AA35</f>
        <v/>
      </c>
      <c r="AB36" s="40">
        <f>AB33+AB34+AB35</f>
        <v/>
      </c>
      <c r="AC36" s="40">
        <f>AC33+AC34+AC35</f>
        <v/>
      </c>
      <c r="AD36" s="40">
        <f>AD33+AD34+AD35</f>
        <v/>
      </c>
      <c r="AE36" s="40">
        <f>AE33+AE34+AE35</f>
        <v/>
      </c>
      <c r="AF36" s="40">
        <f>AF33+AF34+AF35</f>
        <v/>
      </c>
      <c r="AG36" s="40">
        <f>AG33+AG34+AG35</f>
        <v/>
      </c>
      <c r="AH36" s="40">
        <f>AH33+AH34+AH35</f>
        <v/>
      </c>
      <c r="AI36" s="40">
        <f>AI33+AI34+AI35</f>
        <v/>
      </c>
      <c r="AJ36" s="40">
        <f>AJ33+AJ34+AJ35</f>
        <v/>
      </c>
      <c r="AK36" s="40">
        <f>AK33+AK34+AK35</f>
        <v/>
      </c>
      <c r="AL36" s="40">
        <f>AL33+AL34+AL35</f>
        <v/>
      </c>
      <c r="AN36" s="40">
        <f>SUM(C36:N36)</f>
        <v/>
      </c>
      <c r="AO36" s="40">
        <f>SUM(O36:Z36)</f>
        <v/>
      </c>
      <c r="AP36" s="40">
        <f>SUM(AA36:AL36)</f>
        <v/>
      </c>
    </row>
    <row r="37">
      <c r="A37" s="2" t="inlineStr">
        <is>
          <t>Marge sur coûts variables (CA HT − variables − frais − impayés HT)</t>
        </is>
      </c>
      <c r="B37" s="4" t="inlineStr">
        <is>
          <t>€ HT</t>
        </is>
      </c>
      <c r="C37" s="40">
        <f>C28-C36-C30-C29/(1+Hypothèses!$D$15)</f>
        <v/>
      </c>
      <c r="D37" s="40">
        <f>D28-D36-D30-D29/(1+Hypothèses!$D$15)</f>
        <v/>
      </c>
      <c r="E37" s="40">
        <f>E28-E36-E30-E29/(1+Hypothèses!$D$15)</f>
        <v/>
      </c>
      <c r="F37" s="40">
        <f>F28-F36-F30-F29/(1+Hypothèses!$D$15)</f>
        <v/>
      </c>
      <c r="G37" s="40">
        <f>G28-G36-G30-G29/(1+Hypothèses!$D$15)</f>
        <v/>
      </c>
      <c r="H37" s="40">
        <f>H28-H36-H30-H29/(1+Hypothèses!$D$15)</f>
        <v/>
      </c>
      <c r="I37" s="40">
        <f>I28-I36-I30-I29/(1+Hypothèses!$D$15)</f>
        <v/>
      </c>
      <c r="J37" s="40">
        <f>J28-J36-J30-J29/(1+Hypothèses!$D$15)</f>
        <v/>
      </c>
      <c r="K37" s="40">
        <f>K28-K36-K30-K29/(1+Hypothèses!$D$15)</f>
        <v/>
      </c>
      <c r="L37" s="40">
        <f>L28-L36-L30-L29/(1+Hypothèses!$D$15)</f>
        <v/>
      </c>
      <c r="M37" s="40">
        <f>M28-M36-M30-M29/(1+Hypothèses!$D$15)</f>
        <v/>
      </c>
      <c r="N37" s="40">
        <f>N28-N36-N30-N29/(1+Hypothèses!$D$15)</f>
        <v/>
      </c>
      <c r="O37" s="40">
        <f>O28-O36-O30-O29/(1+Hypothèses!$D$15)</f>
        <v/>
      </c>
      <c r="P37" s="40">
        <f>P28-P36-P30-P29/(1+Hypothèses!$D$15)</f>
        <v/>
      </c>
      <c r="Q37" s="40">
        <f>Q28-Q36-Q30-Q29/(1+Hypothèses!$D$15)</f>
        <v/>
      </c>
      <c r="R37" s="40">
        <f>R28-R36-R30-R29/(1+Hypothèses!$D$15)</f>
        <v/>
      </c>
      <c r="S37" s="40">
        <f>S28-S36-S30-S29/(1+Hypothèses!$D$15)</f>
        <v/>
      </c>
      <c r="T37" s="40">
        <f>T28-T36-T30-T29/(1+Hypothèses!$D$15)</f>
        <v/>
      </c>
      <c r="U37" s="40">
        <f>U28-U36-U30-U29/(1+Hypothèses!$D$15)</f>
        <v/>
      </c>
      <c r="V37" s="40">
        <f>V28-V36-V30-V29/(1+Hypothèses!$D$15)</f>
        <v/>
      </c>
      <c r="W37" s="40">
        <f>W28-W36-W30-W29/(1+Hypothèses!$D$15)</f>
        <v/>
      </c>
      <c r="X37" s="40">
        <f>X28-X36-X30-X29/(1+Hypothèses!$D$15)</f>
        <v/>
      </c>
      <c r="Y37" s="40">
        <f>Y28-Y36-Y30-Y29/(1+Hypothèses!$D$15)</f>
        <v/>
      </c>
      <c r="Z37" s="40">
        <f>Z28-Z36-Z30-Z29/(1+Hypothèses!$D$15)</f>
        <v/>
      </c>
      <c r="AA37" s="40">
        <f>AA28-AA36-AA30-AA29/(1+Hypothèses!$D$15)</f>
        <v/>
      </c>
      <c r="AB37" s="40">
        <f>AB28-AB36-AB30-AB29/(1+Hypothèses!$D$15)</f>
        <v/>
      </c>
      <c r="AC37" s="40">
        <f>AC28-AC36-AC30-AC29/(1+Hypothèses!$D$15)</f>
        <v/>
      </c>
      <c r="AD37" s="40">
        <f>AD28-AD36-AD30-AD29/(1+Hypothèses!$D$15)</f>
        <v/>
      </c>
      <c r="AE37" s="40">
        <f>AE28-AE36-AE30-AE29/(1+Hypothèses!$D$15)</f>
        <v/>
      </c>
      <c r="AF37" s="40">
        <f>AF28-AF36-AF30-AF29/(1+Hypothèses!$D$15)</f>
        <v/>
      </c>
      <c r="AG37" s="40">
        <f>AG28-AG36-AG30-AG29/(1+Hypothèses!$D$15)</f>
        <v/>
      </c>
      <c r="AH37" s="40">
        <f>AH28-AH36-AH30-AH29/(1+Hypothèses!$D$15)</f>
        <v/>
      </c>
      <c r="AI37" s="40">
        <f>AI28-AI36-AI30-AI29/(1+Hypothèses!$D$15)</f>
        <v/>
      </c>
      <c r="AJ37" s="40">
        <f>AJ28-AJ36-AJ30-AJ29/(1+Hypothèses!$D$15)</f>
        <v/>
      </c>
      <c r="AK37" s="40">
        <f>AK28-AK36-AK30-AK29/(1+Hypothèses!$D$15)</f>
        <v/>
      </c>
      <c r="AL37" s="40">
        <f>AL28-AL36-AL30-AL29/(1+Hypothèses!$D$15)</f>
        <v/>
      </c>
      <c r="AN37" s="40">
        <f>SUM(C37:N37)</f>
        <v/>
      </c>
      <c r="AO37" s="40">
        <f>SUM(O37:Z37)</f>
        <v/>
      </c>
      <c r="AP37" s="40">
        <f>SUM(AA37:AL37)</f>
        <v/>
      </c>
    </row>
    <row r="38">
      <c r="A38" s="8" t="inlineStr">
        <is>
          <t>Acquisition et coûts fixes</t>
        </is>
      </c>
    </row>
    <row r="39">
      <c r="A39" s="9" t="inlineStr">
        <is>
          <t>Dépenses d'acquisition</t>
        </is>
      </c>
      <c r="B39" s="4" t="inlineStr">
        <is>
          <t>€ HT</t>
        </is>
      </c>
      <c r="C39" s="15">
        <f>C11</f>
        <v/>
      </c>
      <c r="D39" s="15">
        <f>D11</f>
        <v/>
      </c>
      <c r="E39" s="15">
        <f>E11</f>
        <v/>
      </c>
      <c r="F39" s="15">
        <f>F11</f>
        <v/>
      </c>
      <c r="G39" s="15">
        <f>G11</f>
        <v/>
      </c>
      <c r="H39" s="15">
        <f>H11</f>
        <v/>
      </c>
      <c r="I39" s="15">
        <f>I11</f>
        <v/>
      </c>
      <c r="J39" s="15">
        <f>J11</f>
        <v/>
      </c>
      <c r="K39" s="15">
        <f>K11</f>
        <v/>
      </c>
      <c r="L39" s="15">
        <f>L11</f>
        <v/>
      </c>
      <c r="M39" s="15">
        <f>M11</f>
        <v/>
      </c>
      <c r="N39" s="15">
        <f>N11</f>
        <v/>
      </c>
      <c r="O39" s="15">
        <f>O11</f>
        <v/>
      </c>
      <c r="P39" s="15">
        <f>P11</f>
        <v/>
      </c>
      <c r="Q39" s="15">
        <f>Q11</f>
        <v/>
      </c>
      <c r="R39" s="15">
        <f>R11</f>
        <v/>
      </c>
      <c r="S39" s="15">
        <f>S11</f>
        <v/>
      </c>
      <c r="T39" s="15">
        <f>T11</f>
        <v/>
      </c>
      <c r="U39" s="15">
        <f>U11</f>
        <v/>
      </c>
      <c r="V39" s="15">
        <f>V11</f>
        <v/>
      </c>
      <c r="W39" s="15">
        <f>W11</f>
        <v/>
      </c>
      <c r="X39" s="15">
        <f>X11</f>
        <v/>
      </c>
      <c r="Y39" s="15">
        <f>Y11</f>
        <v/>
      </c>
      <c r="Z39" s="15">
        <f>Z11</f>
        <v/>
      </c>
      <c r="AA39" s="15">
        <f>AA11</f>
        <v/>
      </c>
      <c r="AB39" s="15">
        <f>AB11</f>
        <v/>
      </c>
      <c r="AC39" s="15">
        <f>AC11</f>
        <v/>
      </c>
      <c r="AD39" s="15">
        <f>AD11</f>
        <v/>
      </c>
      <c r="AE39" s="15">
        <f>AE11</f>
        <v/>
      </c>
      <c r="AF39" s="15">
        <f>AF11</f>
        <v/>
      </c>
      <c r="AG39" s="15">
        <f>AG11</f>
        <v/>
      </c>
      <c r="AH39" s="15">
        <f>AH11</f>
        <v/>
      </c>
      <c r="AI39" s="15">
        <f>AI11</f>
        <v/>
      </c>
      <c r="AJ39" s="15">
        <f>AJ11</f>
        <v/>
      </c>
      <c r="AK39" s="15">
        <f>AK11</f>
        <v/>
      </c>
      <c r="AL39" s="15">
        <f>AL11</f>
        <v/>
      </c>
      <c r="AN39" s="15">
        <f>SUM(C39:N39)</f>
        <v/>
      </c>
      <c r="AO39" s="15">
        <f>SUM(O39:Z39)</f>
        <v/>
      </c>
      <c r="AP39" s="15">
        <f>SUM(AA39:AL39)</f>
        <v/>
      </c>
    </row>
    <row r="40">
      <c r="A40" s="9" t="inlineStr">
        <is>
          <t>Rémunération des fondateurs</t>
        </is>
      </c>
      <c r="B40" s="4" t="inlineStr">
        <is>
          <t>€ HT</t>
        </is>
      </c>
      <c r="C40" s="15">
        <f>IF(C7&gt;=Hypothèses!$D$39,Hypothèses!$D$38*Hypothèses!$D$40,0)*$G$4</f>
        <v/>
      </c>
      <c r="D40" s="15">
        <f>IF(D7&gt;=Hypothèses!$D$39,Hypothèses!$D$38*Hypothèses!$D$40,0)*$G$4</f>
        <v/>
      </c>
      <c r="E40" s="15">
        <f>IF(E7&gt;=Hypothèses!$D$39,Hypothèses!$D$38*Hypothèses!$D$40,0)*$G$4</f>
        <v/>
      </c>
      <c r="F40" s="15">
        <f>IF(F7&gt;=Hypothèses!$D$39,Hypothèses!$D$38*Hypothèses!$D$40,0)*$G$4</f>
        <v/>
      </c>
      <c r="G40" s="15">
        <f>IF(G7&gt;=Hypothèses!$D$39,Hypothèses!$D$38*Hypothèses!$D$40,0)*$G$4</f>
        <v/>
      </c>
      <c r="H40" s="15">
        <f>IF(H7&gt;=Hypothèses!$D$39,Hypothèses!$D$38*Hypothèses!$D$40,0)*$G$4</f>
        <v/>
      </c>
      <c r="I40" s="15">
        <f>IF(I7&gt;=Hypothèses!$D$39,Hypothèses!$D$38*Hypothèses!$D$40,0)*$G$4</f>
        <v/>
      </c>
      <c r="J40" s="15">
        <f>IF(J7&gt;=Hypothèses!$D$39,Hypothèses!$D$38*Hypothèses!$D$40,0)*$G$4</f>
        <v/>
      </c>
      <c r="K40" s="15">
        <f>IF(K7&gt;=Hypothèses!$D$39,Hypothèses!$D$38*Hypothèses!$D$40,0)*$G$4</f>
        <v/>
      </c>
      <c r="L40" s="15">
        <f>IF(L7&gt;=Hypothèses!$D$39,Hypothèses!$D$38*Hypothèses!$D$40,0)*$G$4</f>
        <v/>
      </c>
      <c r="M40" s="15">
        <f>IF(M7&gt;=Hypothèses!$D$39,Hypothèses!$D$38*Hypothèses!$D$40,0)*$G$4</f>
        <v/>
      </c>
      <c r="N40" s="15">
        <f>IF(N7&gt;=Hypothèses!$D$39,Hypothèses!$D$38*Hypothèses!$D$40,0)*$G$4</f>
        <v/>
      </c>
      <c r="O40" s="15">
        <f>IF(O7&gt;=Hypothèses!$D$39,Hypothèses!$D$38*Hypothèses!$D$40,0)*$G$4</f>
        <v/>
      </c>
      <c r="P40" s="15">
        <f>IF(P7&gt;=Hypothèses!$D$39,Hypothèses!$D$38*Hypothèses!$D$40,0)*$G$4</f>
        <v/>
      </c>
      <c r="Q40" s="15">
        <f>IF(Q7&gt;=Hypothèses!$D$39,Hypothèses!$D$38*Hypothèses!$D$40,0)*$G$4</f>
        <v/>
      </c>
      <c r="R40" s="15">
        <f>IF(R7&gt;=Hypothèses!$D$39,Hypothèses!$D$38*Hypothèses!$D$40,0)*$G$4</f>
        <v/>
      </c>
      <c r="S40" s="15">
        <f>IF(S7&gt;=Hypothèses!$D$39,Hypothèses!$D$38*Hypothèses!$D$40,0)*$G$4</f>
        <v/>
      </c>
      <c r="T40" s="15">
        <f>IF(T7&gt;=Hypothèses!$D$39,Hypothèses!$D$38*Hypothèses!$D$40,0)*$G$4</f>
        <v/>
      </c>
      <c r="U40" s="15">
        <f>IF(U7&gt;=Hypothèses!$D$39,Hypothèses!$D$38*Hypothèses!$D$40,0)*$G$4</f>
        <v/>
      </c>
      <c r="V40" s="15">
        <f>IF(V7&gt;=Hypothèses!$D$39,Hypothèses!$D$38*Hypothèses!$D$40,0)*$G$4</f>
        <v/>
      </c>
      <c r="W40" s="15">
        <f>IF(W7&gt;=Hypothèses!$D$39,Hypothèses!$D$38*Hypothèses!$D$40,0)*$G$4</f>
        <v/>
      </c>
      <c r="X40" s="15">
        <f>IF(X7&gt;=Hypothèses!$D$39,Hypothèses!$D$38*Hypothèses!$D$40,0)*$G$4</f>
        <v/>
      </c>
      <c r="Y40" s="15">
        <f>IF(Y7&gt;=Hypothèses!$D$39,Hypothèses!$D$38*Hypothèses!$D$40,0)*$G$4</f>
        <v/>
      </c>
      <c r="Z40" s="15">
        <f>IF(Z7&gt;=Hypothèses!$D$39,Hypothèses!$D$38*Hypothèses!$D$40,0)*$G$4</f>
        <v/>
      </c>
      <c r="AA40" s="15">
        <f>IF(AA7&gt;=Hypothèses!$D$39,Hypothèses!$D$38*Hypothèses!$D$40,0)*$G$4</f>
        <v/>
      </c>
      <c r="AB40" s="15">
        <f>IF(AB7&gt;=Hypothèses!$D$39,Hypothèses!$D$38*Hypothèses!$D$40,0)*$G$4</f>
        <v/>
      </c>
      <c r="AC40" s="15">
        <f>IF(AC7&gt;=Hypothèses!$D$39,Hypothèses!$D$38*Hypothèses!$D$40,0)*$G$4</f>
        <v/>
      </c>
      <c r="AD40" s="15">
        <f>IF(AD7&gt;=Hypothèses!$D$39,Hypothèses!$D$38*Hypothèses!$D$40,0)*$G$4</f>
        <v/>
      </c>
      <c r="AE40" s="15">
        <f>IF(AE7&gt;=Hypothèses!$D$39,Hypothèses!$D$38*Hypothèses!$D$40,0)*$G$4</f>
        <v/>
      </c>
      <c r="AF40" s="15">
        <f>IF(AF7&gt;=Hypothèses!$D$39,Hypothèses!$D$38*Hypothèses!$D$40,0)*$G$4</f>
        <v/>
      </c>
      <c r="AG40" s="15">
        <f>IF(AG7&gt;=Hypothèses!$D$39,Hypothèses!$D$38*Hypothèses!$D$40,0)*$G$4</f>
        <v/>
      </c>
      <c r="AH40" s="15">
        <f>IF(AH7&gt;=Hypothèses!$D$39,Hypothèses!$D$38*Hypothèses!$D$40,0)*$G$4</f>
        <v/>
      </c>
      <c r="AI40" s="15">
        <f>IF(AI7&gt;=Hypothèses!$D$39,Hypothèses!$D$38*Hypothèses!$D$40,0)*$G$4</f>
        <v/>
      </c>
      <c r="AJ40" s="15">
        <f>IF(AJ7&gt;=Hypothèses!$D$39,Hypothèses!$D$38*Hypothèses!$D$40,0)*$G$4</f>
        <v/>
      </c>
      <c r="AK40" s="15">
        <f>IF(AK7&gt;=Hypothèses!$D$39,Hypothèses!$D$38*Hypothèses!$D$40,0)*$G$4</f>
        <v/>
      </c>
      <c r="AL40" s="15">
        <f>IF(AL7&gt;=Hypothèses!$D$39,Hypothèses!$D$38*Hypothèses!$D$40,0)*$G$4</f>
        <v/>
      </c>
      <c r="AN40" s="15">
        <f>SUM(C40:N40)</f>
        <v/>
      </c>
      <c r="AO40" s="15">
        <f>SUM(O40:Z40)</f>
        <v/>
      </c>
      <c r="AP40" s="15">
        <f>SUM(AA40:AL40)</f>
        <v/>
      </c>
    </row>
    <row r="41">
      <c r="A41" s="9" t="inlineStr">
        <is>
          <t>Salarié 1 (growth / customer success)</t>
        </is>
      </c>
      <c r="B41" s="4" t="inlineStr">
        <is>
          <t>€ HT</t>
        </is>
      </c>
      <c r="C41" s="15">
        <f>IF(C7&gt;=Hypothèses!$D$41,Hypothèses!$D$42,0)*$G$4</f>
        <v/>
      </c>
      <c r="D41" s="15">
        <f>IF(D7&gt;=Hypothèses!$D$41,Hypothèses!$D$42,0)*$G$4</f>
        <v/>
      </c>
      <c r="E41" s="15">
        <f>IF(E7&gt;=Hypothèses!$D$41,Hypothèses!$D$42,0)*$G$4</f>
        <v/>
      </c>
      <c r="F41" s="15">
        <f>IF(F7&gt;=Hypothèses!$D$41,Hypothèses!$D$42,0)*$G$4</f>
        <v/>
      </c>
      <c r="G41" s="15">
        <f>IF(G7&gt;=Hypothèses!$D$41,Hypothèses!$D$42,0)*$G$4</f>
        <v/>
      </c>
      <c r="H41" s="15">
        <f>IF(H7&gt;=Hypothèses!$D$41,Hypothèses!$D$42,0)*$G$4</f>
        <v/>
      </c>
      <c r="I41" s="15">
        <f>IF(I7&gt;=Hypothèses!$D$41,Hypothèses!$D$42,0)*$G$4</f>
        <v/>
      </c>
      <c r="J41" s="15">
        <f>IF(J7&gt;=Hypothèses!$D$41,Hypothèses!$D$42,0)*$G$4</f>
        <v/>
      </c>
      <c r="K41" s="15">
        <f>IF(K7&gt;=Hypothèses!$D$41,Hypothèses!$D$42,0)*$G$4</f>
        <v/>
      </c>
      <c r="L41" s="15">
        <f>IF(L7&gt;=Hypothèses!$D$41,Hypothèses!$D$42,0)*$G$4</f>
        <v/>
      </c>
      <c r="M41" s="15">
        <f>IF(M7&gt;=Hypothèses!$D$41,Hypothèses!$D$42,0)*$G$4</f>
        <v/>
      </c>
      <c r="N41" s="15">
        <f>IF(N7&gt;=Hypothèses!$D$41,Hypothèses!$D$42,0)*$G$4</f>
        <v/>
      </c>
      <c r="O41" s="15">
        <f>IF(O7&gt;=Hypothèses!$D$41,Hypothèses!$D$42,0)*$G$4</f>
        <v/>
      </c>
      <c r="P41" s="15">
        <f>IF(P7&gt;=Hypothèses!$D$41,Hypothèses!$D$42,0)*$G$4</f>
        <v/>
      </c>
      <c r="Q41" s="15">
        <f>IF(Q7&gt;=Hypothèses!$D$41,Hypothèses!$D$42,0)*$G$4</f>
        <v/>
      </c>
      <c r="R41" s="15">
        <f>IF(R7&gt;=Hypothèses!$D$41,Hypothèses!$D$42,0)*$G$4</f>
        <v/>
      </c>
      <c r="S41" s="15">
        <f>IF(S7&gt;=Hypothèses!$D$41,Hypothèses!$D$42,0)*$G$4</f>
        <v/>
      </c>
      <c r="T41" s="15">
        <f>IF(T7&gt;=Hypothèses!$D$41,Hypothèses!$D$42,0)*$G$4</f>
        <v/>
      </c>
      <c r="U41" s="15">
        <f>IF(U7&gt;=Hypothèses!$D$41,Hypothèses!$D$42,0)*$G$4</f>
        <v/>
      </c>
      <c r="V41" s="15">
        <f>IF(V7&gt;=Hypothèses!$D$41,Hypothèses!$D$42,0)*$G$4</f>
        <v/>
      </c>
      <c r="W41" s="15">
        <f>IF(W7&gt;=Hypothèses!$D$41,Hypothèses!$D$42,0)*$G$4</f>
        <v/>
      </c>
      <c r="X41" s="15">
        <f>IF(X7&gt;=Hypothèses!$D$41,Hypothèses!$D$42,0)*$G$4</f>
        <v/>
      </c>
      <c r="Y41" s="15">
        <f>IF(Y7&gt;=Hypothèses!$D$41,Hypothèses!$D$42,0)*$G$4</f>
        <v/>
      </c>
      <c r="Z41" s="15">
        <f>IF(Z7&gt;=Hypothèses!$D$41,Hypothèses!$D$42,0)*$G$4</f>
        <v/>
      </c>
      <c r="AA41" s="15">
        <f>IF(AA7&gt;=Hypothèses!$D$41,Hypothèses!$D$42,0)*$G$4</f>
        <v/>
      </c>
      <c r="AB41" s="15">
        <f>IF(AB7&gt;=Hypothèses!$D$41,Hypothèses!$D$42,0)*$G$4</f>
        <v/>
      </c>
      <c r="AC41" s="15">
        <f>IF(AC7&gt;=Hypothèses!$D$41,Hypothèses!$D$42,0)*$G$4</f>
        <v/>
      </c>
      <c r="AD41" s="15">
        <f>IF(AD7&gt;=Hypothèses!$D$41,Hypothèses!$D$42,0)*$G$4</f>
        <v/>
      </c>
      <c r="AE41" s="15">
        <f>IF(AE7&gt;=Hypothèses!$D$41,Hypothèses!$D$42,0)*$G$4</f>
        <v/>
      </c>
      <c r="AF41" s="15">
        <f>IF(AF7&gt;=Hypothèses!$D$41,Hypothèses!$D$42,0)*$G$4</f>
        <v/>
      </c>
      <c r="AG41" s="15">
        <f>IF(AG7&gt;=Hypothèses!$D$41,Hypothèses!$D$42,0)*$G$4</f>
        <v/>
      </c>
      <c r="AH41" s="15">
        <f>IF(AH7&gt;=Hypothèses!$D$41,Hypothèses!$D$42,0)*$G$4</f>
        <v/>
      </c>
      <c r="AI41" s="15">
        <f>IF(AI7&gt;=Hypothèses!$D$41,Hypothèses!$D$42,0)*$G$4</f>
        <v/>
      </c>
      <c r="AJ41" s="15">
        <f>IF(AJ7&gt;=Hypothèses!$D$41,Hypothèses!$D$42,0)*$G$4</f>
        <v/>
      </c>
      <c r="AK41" s="15">
        <f>IF(AK7&gt;=Hypothèses!$D$41,Hypothèses!$D$42,0)*$G$4</f>
        <v/>
      </c>
      <c r="AL41" s="15">
        <f>IF(AL7&gt;=Hypothèses!$D$41,Hypothèses!$D$42,0)*$G$4</f>
        <v/>
      </c>
      <c r="AN41" s="15">
        <f>SUM(C41:N41)</f>
        <v/>
      </c>
      <c r="AO41" s="15">
        <f>SUM(O41:Z41)</f>
        <v/>
      </c>
      <c r="AP41" s="15">
        <f>SUM(AA41:AL41)</f>
        <v/>
      </c>
    </row>
    <row r="42">
      <c r="A42" s="9" t="inlineStr">
        <is>
          <t>Salarié 2 (ingénieur)</t>
        </is>
      </c>
      <c r="B42" s="4" t="inlineStr">
        <is>
          <t>€ HT</t>
        </is>
      </c>
      <c r="C42" s="15">
        <f>IF(C7&gt;=Hypothèses!$D$43,Hypothèses!$D$44,0)*$G$4</f>
        <v/>
      </c>
      <c r="D42" s="15">
        <f>IF(D7&gt;=Hypothèses!$D$43,Hypothèses!$D$44,0)*$G$4</f>
        <v/>
      </c>
      <c r="E42" s="15">
        <f>IF(E7&gt;=Hypothèses!$D$43,Hypothèses!$D$44,0)*$G$4</f>
        <v/>
      </c>
      <c r="F42" s="15">
        <f>IF(F7&gt;=Hypothèses!$D$43,Hypothèses!$D$44,0)*$G$4</f>
        <v/>
      </c>
      <c r="G42" s="15">
        <f>IF(G7&gt;=Hypothèses!$D$43,Hypothèses!$D$44,0)*$G$4</f>
        <v/>
      </c>
      <c r="H42" s="15">
        <f>IF(H7&gt;=Hypothèses!$D$43,Hypothèses!$D$44,0)*$G$4</f>
        <v/>
      </c>
      <c r="I42" s="15">
        <f>IF(I7&gt;=Hypothèses!$D$43,Hypothèses!$D$44,0)*$G$4</f>
        <v/>
      </c>
      <c r="J42" s="15">
        <f>IF(J7&gt;=Hypothèses!$D$43,Hypothèses!$D$44,0)*$G$4</f>
        <v/>
      </c>
      <c r="K42" s="15">
        <f>IF(K7&gt;=Hypothèses!$D$43,Hypothèses!$D$44,0)*$G$4</f>
        <v/>
      </c>
      <c r="L42" s="15">
        <f>IF(L7&gt;=Hypothèses!$D$43,Hypothèses!$D$44,0)*$G$4</f>
        <v/>
      </c>
      <c r="M42" s="15">
        <f>IF(M7&gt;=Hypothèses!$D$43,Hypothèses!$D$44,0)*$G$4</f>
        <v/>
      </c>
      <c r="N42" s="15">
        <f>IF(N7&gt;=Hypothèses!$D$43,Hypothèses!$D$44,0)*$G$4</f>
        <v/>
      </c>
      <c r="O42" s="15">
        <f>IF(O7&gt;=Hypothèses!$D$43,Hypothèses!$D$44,0)*$G$4</f>
        <v/>
      </c>
      <c r="P42" s="15">
        <f>IF(P7&gt;=Hypothèses!$D$43,Hypothèses!$D$44,0)*$G$4</f>
        <v/>
      </c>
      <c r="Q42" s="15">
        <f>IF(Q7&gt;=Hypothèses!$D$43,Hypothèses!$D$44,0)*$G$4</f>
        <v/>
      </c>
      <c r="R42" s="15">
        <f>IF(R7&gt;=Hypothèses!$D$43,Hypothèses!$D$44,0)*$G$4</f>
        <v/>
      </c>
      <c r="S42" s="15">
        <f>IF(S7&gt;=Hypothèses!$D$43,Hypothèses!$D$44,0)*$G$4</f>
        <v/>
      </c>
      <c r="T42" s="15">
        <f>IF(T7&gt;=Hypothèses!$D$43,Hypothèses!$D$44,0)*$G$4</f>
        <v/>
      </c>
      <c r="U42" s="15">
        <f>IF(U7&gt;=Hypothèses!$D$43,Hypothèses!$D$44,0)*$G$4</f>
        <v/>
      </c>
      <c r="V42" s="15">
        <f>IF(V7&gt;=Hypothèses!$D$43,Hypothèses!$D$44,0)*$G$4</f>
        <v/>
      </c>
      <c r="W42" s="15">
        <f>IF(W7&gt;=Hypothèses!$D$43,Hypothèses!$D$44,0)*$G$4</f>
        <v/>
      </c>
      <c r="X42" s="15">
        <f>IF(X7&gt;=Hypothèses!$D$43,Hypothèses!$D$44,0)*$G$4</f>
        <v/>
      </c>
      <c r="Y42" s="15">
        <f>IF(Y7&gt;=Hypothèses!$D$43,Hypothèses!$D$44,0)*$G$4</f>
        <v/>
      </c>
      <c r="Z42" s="15">
        <f>IF(Z7&gt;=Hypothèses!$D$43,Hypothèses!$D$44,0)*$G$4</f>
        <v/>
      </c>
      <c r="AA42" s="15">
        <f>IF(AA7&gt;=Hypothèses!$D$43,Hypothèses!$D$44,0)*$G$4</f>
        <v/>
      </c>
      <c r="AB42" s="15">
        <f>IF(AB7&gt;=Hypothèses!$D$43,Hypothèses!$D$44,0)*$G$4</f>
        <v/>
      </c>
      <c r="AC42" s="15">
        <f>IF(AC7&gt;=Hypothèses!$D$43,Hypothèses!$D$44,0)*$G$4</f>
        <v/>
      </c>
      <c r="AD42" s="15">
        <f>IF(AD7&gt;=Hypothèses!$D$43,Hypothèses!$D$44,0)*$G$4</f>
        <v/>
      </c>
      <c r="AE42" s="15">
        <f>IF(AE7&gt;=Hypothèses!$D$43,Hypothèses!$D$44,0)*$G$4</f>
        <v/>
      </c>
      <c r="AF42" s="15">
        <f>IF(AF7&gt;=Hypothèses!$D$43,Hypothèses!$D$44,0)*$G$4</f>
        <v/>
      </c>
      <c r="AG42" s="15">
        <f>IF(AG7&gt;=Hypothèses!$D$43,Hypothèses!$D$44,0)*$G$4</f>
        <v/>
      </c>
      <c r="AH42" s="15">
        <f>IF(AH7&gt;=Hypothèses!$D$43,Hypothèses!$D$44,0)*$G$4</f>
        <v/>
      </c>
      <c r="AI42" s="15">
        <f>IF(AI7&gt;=Hypothèses!$D$43,Hypothèses!$D$44,0)*$G$4</f>
        <v/>
      </c>
      <c r="AJ42" s="15">
        <f>IF(AJ7&gt;=Hypothèses!$D$43,Hypothèses!$D$44,0)*$G$4</f>
        <v/>
      </c>
      <c r="AK42" s="15">
        <f>IF(AK7&gt;=Hypothèses!$D$43,Hypothèses!$D$44,0)*$G$4</f>
        <v/>
      </c>
      <c r="AL42" s="15">
        <f>IF(AL7&gt;=Hypothèses!$D$43,Hypothèses!$D$44,0)*$G$4</f>
        <v/>
      </c>
      <c r="AN42" s="15">
        <f>SUM(C42:N42)</f>
        <v/>
      </c>
      <c r="AO42" s="15">
        <f>SUM(O42:Z42)</f>
        <v/>
      </c>
      <c r="AP42" s="15">
        <f>SUM(AA42:AL42)</f>
        <v/>
      </c>
    </row>
    <row r="43">
      <c r="A43" s="9" t="inlineStr">
        <is>
          <t>Développement MVP externe (étalé jusqu'au lancement)</t>
        </is>
      </c>
      <c r="B43" s="4" t="inlineStr">
        <is>
          <t>€ HT</t>
        </is>
      </c>
      <c r="C43" s="15">
        <f>IF(C7&lt;$B$5,Hypothèses!$D$45/MAX(1,$B$5-1),0)</f>
        <v/>
      </c>
      <c r="D43" s="15">
        <f>IF(D7&lt;$B$5,Hypothèses!$D$45/MAX(1,$B$5-1),0)</f>
        <v/>
      </c>
      <c r="E43" s="15">
        <f>IF(E7&lt;$B$5,Hypothèses!$D$45/MAX(1,$B$5-1),0)</f>
        <v/>
      </c>
      <c r="F43" s="15">
        <f>IF(F7&lt;$B$5,Hypothèses!$D$45/MAX(1,$B$5-1),0)</f>
        <v/>
      </c>
      <c r="G43" s="15">
        <f>IF(G7&lt;$B$5,Hypothèses!$D$45/MAX(1,$B$5-1),0)</f>
        <v/>
      </c>
      <c r="H43" s="15">
        <f>IF(H7&lt;$B$5,Hypothèses!$D$45/MAX(1,$B$5-1),0)</f>
        <v/>
      </c>
      <c r="I43" s="15">
        <f>IF(I7&lt;$B$5,Hypothèses!$D$45/MAX(1,$B$5-1),0)</f>
        <v/>
      </c>
      <c r="J43" s="15">
        <f>IF(J7&lt;$B$5,Hypothèses!$D$45/MAX(1,$B$5-1),0)</f>
        <v/>
      </c>
      <c r="K43" s="15">
        <f>IF(K7&lt;$B$5,Hypothèses!$D$45/MAX(1,$B$5-1),0)</f>
        <v/>
      </c>
      <c r="L43" s="15">
        <f>IF(L7&lt;$B$5,Hypothèses!$D$45/MAX(1,$B$5-1),0)</f>
        <v/>
      </c>
      <c r="M43" s="15">
        <f>IF(M7&lt;$B$5,Hypothèses!$D$45/MAX(1,$B$5-1),0)</f>
        <v/>
      </c>
      <c r="N43" s="15">
        <f>IF(N7&lt;$B$5,Hypothèses!$D$45/MAX(1,$B$5-1),0)</f>
        <v/>
      </c>
      <c r="O43" s="15">
        <f>IF(O7&lt;$B$5,Hypothèses!$D$45/MAX(1,$B$5-1),0)</f>
        <v/>
      </c>
      <c r="P43" s="15">
        <f>IF(P7&lt;$B$5,Hypothèses!$D$45/MAX(1,$B$5-1),0)</f>
        <v/>
      </c>
      <c r="Q43" s="15">
        <f>IF(Q7&lt;$B$5,Hypothèses!$D$45/MAX(1,$B$5-1),0)</f>
        <v/>
      </c>
      <c r="R43" s="15">
        <f>IF(R7&lt;$B$5,Hypothèses!$D$45/MAX(1,$B$5-1),0)</f>
        <v/>
      </c>
      <c r="S43" s="15">
        <f>IF(S7&lt;$B$5,Hypothèses!$D$45/MAX(1,$B$5-1),0)</f>
        <v/>
      </c>
      <c r="T43" s="15">
        <f>IF(T7&lt;$B$5,Hypothèses!$D$45/MAX(1,$B$5-1),0)</f>
        <v/>
      </c>
      <c r="U43" s="15">
        <f>IF(U7&lt;$B$5,Hypothèses!$D$45/MAX(1,$B$5-1),0)</f>
        <v/>
      </c>
      <c r="V43" s="15">
        <f>IF(V7&lt;$B$5,Hypothèses!$D$45/MAX(1,$B$5-1),0)</f>
        <v/>
      </c>
      <c r="W43" s="15">
        <f>IF(W7&lt;$B$5,Hypothèses!$D$45/MAX(1,$B$5-1),0)</f>
        <v/>
      </c>
      <c r="X43" s="15">
        <f>IF(X7&lt;$B$5,Hypothèses!$D$45/MAX(1,$B$5-1),0)</f>
        <v/>
      </c>
      <c r="Y43" s="15">
        <f>IF(Y7&lt;$B$5,Hypothèses!$D$45/MAX(1,$B$5-1),0)</f>
        <v/>
      </c>
      <c r="Z43" s="15">
        <f>IF(Z7&lt;$B$5,Hypothèses!$D$45/MAX(1,$B$5-1),0)</f>
        <v/>
      </c>
      <c r="AA43" s="15">
        <f>IF(AA7&lt;$B$5,Hypothèses!$D$45/MAX(1,$B$5-1),0)</f>
        <v/>
      </c>
      <c r="AB43" s="15">
        <f>IF(AB7&lt;$B$5,Hypothèses!$D$45/MAX(1,$B$5-1),0)</f>
        <v/>
      </c>
      <c r="AC43" s="15">
        <f>IF(AC7&lt;$B$5,Hypothèses!$D$45/MAX(1,$B$5-1),0)</f>
        <v/>
      </c>
      <c r="AD43" s="15">
        <f>IF(AD7&lt;$B$5,Hypothèses!$D$45/MAX(1,$B$5-1),0)</f>
        <v/>
      </c>
      <c r="AE43" s="15">
        <f>IF(AE7&lt;$B$5,Hypothèses!$D$45/MAX(1,$B$5-1),0)</f>
        <v/>
      </c>
      <c r="AF43" s="15">
        <f>IF(AF7&lt;$B$5,Hypothèses!$D$45/MAX(1,$B$5-1),0)</f>
        <v/>
      </c>
      <c r="AG43" s="15">
        <f>IF(AG7&lt;$B$5,Hypothèses!$D$45/MAX(1,$B$5-1),0)</f>
        <v/>
      </c>
      <c r="AH43" s="15">
        <f>IF(AH7&lt;$B$5,Hypothèses!$D$45/MAX(1,$B$5-1),0)</f>
        <v/>
      </c>
      <c r="AI43" s="15">
        <f>IF(AI7&lt;$B$5,Hypothèses!$D$45/MAX(1,$B$5-1),0)</f>
        <v/>
      </c>
      <c r="AJ43" s="15">
        <f>IF(AJ7&lt;$B$5,Hypothèses!$D$45/MAX(1,$B$5-1),0)</f>
        <v/>
      </c>
      <c r="AK43" s="15">
        <f>IF(AK7&lt;$B$5,Hypothèses!$D$45/MAX(1,$B$5-1),0)</f>
        <v/>
      </c>
      <c r="AL43" s="15">
        <f>IF(AL7&lt;$B$5,Hypothèses!$D$45/MAX(1,$B$5-1),0)</f>
        <v/>
      </c>
      <c r="AN43" s="15">
        <f>SUM(C43:N43)</f>
        <v/>
      </c>
      <c r="AO43" s="15">
        <f>SUM(O43:Z43)</f>
        <v/>
      </c>
      <c r="AP43" s="15">
        <f>SUM(AA43:AL43)</f>
        <v/>
      </c>
    </row>
    <row r="44">
      <c r="A44" s="9" t="inlineStr">
        <is>
          <t>Outils et SaaS</t>
        </is>
      </c>
      <c r="B44" s="4" t="inlineStr">
        <is>
          <t>€ HT</t>
        </is>
      </c>
      <c r="C44" s="15">
        <f>Hypothèses!$D$46*$G$4</f>
        <v/>
      </c>
      <c r="D44" s="15">
        <f>Hypothèses!$D$46*$G$4</f>
        <v/>
      </c>
      <c r="E44" s="15">
        <f>Hypothèses!$D$46*$G$4</f>
        <v/>
      </c>
      <c r="F44" s="15">
        <f>Hypothèses!$D$46*$G$4</f>
        <v/>
      </c>
      <c r="G44" s="15">
        <f>Hypothèses!$D$46*$G$4</f>
        <v/>
      </c>
      <c r="H44" s="15">
        <f>Hypothèses!$D$46*$G$4</f>
        <v/>
      </c>
      <c r="I44" s="15">
        <f>Hypothèses!$D$46*$G$4</f>
        <v/>
      </c>
      <c r="J44" s="15">
        <f>Hypothèses!$D$46*$G$4</f>
        <v/>
      </c>
      <c r="K44" s="15">
        <f>Hypothèses!$D$46*$G$4</f>
        <v/>
      </c>
      <c r="L44" s="15">
        <f>Hypothèses!$D$46*$G$4</f>
        <v/>
      </c>
      <c r="M44" s="15">
        <f>Hypothèses!$D$46*$G$4</f>
        <v/>
      </c>
      <c r="N44" s="15">
        <f>Hypothèses!$D$46*$G$4</f>
        <v/>
      </c>
      <c r="O44" s="15">
        <f>Hypothèses!$D$46*$G$4</f>
        <v/>
      </c>
      <c r="P44" s="15">
        <f>Hypothèses!$D$46*$G$4</f>
        <v/>
      </c>
      <c r="Q44" s="15">
        <f>Hypothèses!$D$46*$G$4</f>
        <v/>
      </c>
      <c r="R44" s="15">
        <f>Hypothèses!$D$46*$G$4</f>
        <v/>
      </c>
      <c r="S44" s="15">
        <f>Hypothèses!$D$46*$G$4</f>
        <v/>
      </c>
      <c r="T44" s="15">
        <f>Hypothèses!$D$46*$G$4</f>
        <v/>
      </c>
      <c r="U44" s="15">
        <f>Hypothèses!$D$46*$G$4</f>
        <v/>
      </c>
      <c r="V44" s="15">
        <f>Hypothèses!$D$46*$G$4</f>
        <v/>
      </c>
      <c r="W44" s="15">
        <f>Hypothèses!$D$46*$G$4</f>
        <v/>
      </c>
      <c r="X44" s="15">
        <f>Hypothèses!$D$46*$G$4</f>
        <v/>
      </c>
      <c r="Y44" s="15">
        <f>Hypothèses!$D$46*$G$4</f>
        <v/>
      </c>
      <c r="Z44" s="15">
        <f>Hypothèses!$D$46*$G$4</f>
        <v/>
      </c>
      <c r="AA44" s="15">
        <f>Hypothèses!$D$46*$G$4</f>
        <v/>
      </c>
      <c r="AB44" s="15">
        <f>Hypothèses!$D$46*$G$4</f>
        <v/>
      </c>
      <c r="AC44" s="15">
        <f>Hypothèses!$D$46*$G$4</f>
        <v/>
      </c>
      <c r="AD44" s="15">
        <f>Hypothèses!$D$46*$G$4</f>
        <v/>
      </c>
      <c r="AE44" s="15">
        <f>Hypothèses!$D$46*$G$4</f>
        <v/>
      </c>
      <c r="AF44" s="15">
        <f>Hypothèses!$D$46*$G$4</f>
        <v/>
      </c>
      <c r="AG44" s="15">
        <f>Hypothèses!$D$46*$G$4</f>
        <v/>
      </c>
      <c r="AH44" s="15">
        <f>Hypothèses!$D$46*$G$4</f>
        <v/>
      </c>
      <c r="AI44" s="15">
        <f>Hypothèses!$D$46*$G$4</f>
        <v/>
      </c>
      <c r="AJ44" s="15">
        <f>Hypothèses!$D$46*$G$4</f>
        <v/>
      </c>
      <c r="AK44" s="15">
        <f>Hypothèses!$D$46*$G$4</f>
        <v/>
      </c>
      <c r="AL44" s="15">
        <f>Hypothèses!$D$46*$G$4</f>
        <v/>
      </c>
      <c r="AN44" s="15">
        <f>SUM(C44:N44)</f>
        <v/>
      </c>
      <c r="AO44" s="15">
        <f>SUM(O44:Z44)</f>
        <v/>
      </c>
      <c r="AP44" s="15">
        <f>SUM(AA44:AL44)</f>
        <v/>
      </c>
    </row>
    <row r="45">
      <c r="A45" s="9" t="inlineStr">
        <is>
          <t>Juridique et comptabilité</t>
        </is>
      </c>
      <c r="B45" s="4" t="inlineStr">
        <is>
          <t>€ HT</t>
        </is>
      </c>
      <c r="C45" s="15">
        <f>Hypothèses!$D$47*$G$4</f>
        <v/>
      </c>
      <c r="D45" s="15">
        <f>Hypothèses!$D$47*$G$4</f>
        <v/>
      </c>
      <c r="E45" s="15">
        <f>Hypothèses!$D$47*$G$4</f>
        <v/>
      </c>
      <c r="F45" s="15">
        <f>Hypothèses!$D$47*$G$4</f>
        <v/>
      </c>
      <c r="G45" s="15">
        <f>Hypothèses!$D$47*$G$4</f>
        <v/>
      </c>
      <c r="H45" s="15">
        <f>Hypothèses!$D$47*$G$4</f>
        <v/>
      </c>
      <c r="I45" s="15">
        <f>Hypothèses!$D$47*$G$4</f>
        <v/>
      </c>
      <c r="J45" s="15">
        <f>Hypothèses!$D$47*$G$4</f>
        <v/>
      </c>
      <c r="K45" s="15">
        <f>Hypothèses!$D$47*$G$4</f>
        <v/>
      </c>
      <c r="L45" s="15">
        <f>Hypothèses!$D$47*$G$4</f>
        <v/>
      </c>
      <c r="M45" s="15">
        <f>Hypothèses!$D$47*$G$4</f>
        <v/>
      </c>
      <c r="N45" s="15">
        <f>Hypothèses!$D$47*$G$4</f>
        <v/>
      </c>
      <c r="O45" s="15">
        <f>Hypothèses!$D$47*$G$4</f>
        <v/>
      </c>
      <c r="P45" s="15">
        <f>Hypothèses!$D$47*$G$4</f>
        <v/>
      </c>
      <c r="Q45" s="15">
        <f>Hypothèses!$D$47*$G$4</f>
        <v/>
      </c>
      <c r="R45" s="15">
        <f>Hypothèses!$D$47*$G$4</f>
        <v/>
      </c>
      <c r="S45" s="15">
        <f>Hypothèses!$D$47*$G$4</f>
        <v/>
      </c>
      <c r="T45" s="15">
        <f>Hypothèses!$D$47*$G$4</f>
        <v/>
      </c>
      <c r="U45" s="15">
        <f>Hypothèses!$D$47*$G$4</f>
        <v/>
      </c>
      <c r="V45" s="15">
        <f>Hypothèses!$D$47*$G$4</f>
        <v/>
      </c>
      <c r="W45" s="15">
        <f>Hypothèses!$D$47*$G$4</f>
        <v/>
      </c>
      <c r="X45" s="15">
        <f>Hypothèses!$D$47*$G$4</f>
        <v/>
      </c>
      <c r="Y45" s="15">
        <f>Hypothèses!$D$47*$G$4</f>
        <v/>
      </c>
      <c r="Z45" s="15">
        <f>Hypothèses!$D$47*$G$4</f>
        <v/>
      </c>
      <c r="AA45" s="15">
        <f>Hypothèses!$D$47*$G$4</f>
        <v/>
      </c>
      <c r="AB45" s="15">
        <f>Hypothèses!$D$47*$G$4</f>
        <v/>
      </c>
      <c r="AC45" s="15">
        <f>Hypothèses!$D$47*$G$4</f>
        <v/>
      </c>
      <c r="AD45" s="15">
        <f>Hypothèses!$D$47*$G$4</f>
        <v/>
      </c>
      <c r="AE45" s="15">
        <f>Hypothèses!$D$47*$G$4</f>
        <v/>
      </c>
      <c r="AF45" s="15">
        <f>Hypothèses!$D$47*$G$4</f>
        <v/>
      </c>
      <c r="AG45" s="15">
        <f>Hypothèses!$D$47*$G$4</f>
        <v/>
      </c>
      <c r="AH45" s="15">
        <f>Hypothèses!$D$47*$G$4</f>
        <v/>
      </c>
      <c r="AI45" s="15">
        <f>Hypothèses!$D$47*$G$4</f>
        <v/>
      </c>
      <c r="AJ45" s="15">
        <f>Hypothèses!$D$47*$G$4</f>
        <v/>
      </c>
      <c r="AK45" s="15">
        <f>Hypothèses!$D$47*$G$4</f>
        <v/>
      </c>
      <c r="AL45" s="15">
        <f>Hypothèses!$D$47*$G$4</f>
        <v/>
      </c>
      <c r="AN45" s="15">
        <f>SUM(C45:N45)</f>
        <v/>
      </c>
      <c r="AO45" s="15">
        <f>SUM(O45:Z45)</f>
        <v/>
      </c>
      <c r="AP45" s="15">
        <f>SUM(AA45:AL45)</f>
        <v/>
      </c>
    </row>
    <row r="46">
      <c r="A46" s="9" t="inlineStr">
        <is>
          <t>Assurance RC pro</t>
        </is>
      </c>
      <c r="B46" s="4" t="inlineStr">
        <is>
          <t>€</t>
        </is>
      </c>
      <c r="C46" s="15">
        <f>C9*Hypothèses!$D$48*$G$4</f>
        <v/>
      </c>
      <c r="D46" s="15">
        <f>D9*Hypothèses!$D$48*$G$4</f>
        <v/>
      </c>
      <c r="E46" s="15">
        <f>E9*Hypothèses!$D$48*$G$4</f>
        <v/>
      </c>
      <c r="F46" s="15">
        <f>F9*Hypothèses!$D$48*$G$4</f>
        <v/>
      </c>
      <c r="G46" s="15">
        <f>G9*Hypothèses!$D$48*$G$4</f>
        <v/>
      </c>
      <c r="H46" s="15">
        <f>H9*Hypothèses!$D$48*$G$4</f>
        <v/>
      </c>
      <c r="I46" s="15">
        <f>I9*Hypothèses!$D$48*$G$4</f>
        <v/>
      </c>
      <c r="J46" s="15">
        <f>J9*Hypothèses!$D$48*$G$4</f>
        <v/>
      </c>
      <c r="K46" s="15">
        <f>K9*Hypothèses!$D$48*$G$4</f>
        <v/>
      </c>
      <c r="L46" s="15">
        <f>L9*Hypothèses!$D$48*$G$4</f>
        <v/>
      </c>
      <c r="M46" s="15">
        <f>M9*Hypothèses!$D$48*$G$4</f>
        <v/>
      </c>
      <c r="N46" s="15">
        <f>N9*Hypothèses!$D$48*$G$4</f>
        <v/>
      </c>
      <c r="O46" s="15">
        <f>O9*Hypothèses!$D$48*$G$4</f>
        <v/>
      </c>
      <c r="P46" s="15">
        <f>P9*Hypothèses!$D$48*$G$4</f>
        <v/>
      </c>
      <c r="Q46" s="15">
        <f>Q9*Hypothèses!$D$48*$G$4</f>
        <v/>
      </c>
      <c r="R46" s="15">
        <f>R9*Hypothèses!$D$48*$G$4</f>
        <v/>
      </c>
      <c r="S46" s="15">
        <f>S9*Hypothèses!$D$48*$G$4</f>
        <v/>
      </c>
      <c r="T46" s="15">
        <f>T9*Hypothèses!$D$48*$G$4</f>
        <v/>
      </c>
      <c r="U46" s="15">
        <f>U9*Hypothèses!$D$48*$G$4</f>
        <v/>
      </c>
      <c r="V46" s="15">
        <f>V9*Hypothèses!$D$48*$G$4</f>
        <v/>
      </c>
      <c r="W46" s="15">
        <f>W9*Hypothèses!$D$48*$G$4</f>
        <v/>
      </c>
      <c r="X46" s="15">
        <f>X9*Hypothèses!$D$48*$G$4</f>
        <v/>
      </c>
      <c r="Y46" s="15">
        <f>Y9*Hypothèses!$D$48*$G$4</f>
        <v/>
      </c>
      <c r="Z46" s="15">
        <f>Z9*Hypothèses!$D$48*$G$4</f>
        <v/>
      </c>
      <c r="AA46" s="15">
        <f>AA9*Hypothèses!$D$48*$G$4</f>
        <v/>
      </c>
      <c r="AB46" s="15">
        <f>AB9*Hypothèses!$D$48*$G$4</f>
        <v/>
      </c>
      <c r="AC46" s="15">
        <f>AC9*Hypothèses!$D$48*$G$4</f>
        <v/>
      </c>
      <c r="AD46" s="15">
        <f>AD9*Hypothèses!$D$48*$G$4</f>
        <v/>
      </c>
      <c r="AE46" s="15">
        <f>AE9*Hypothèses!$D$48*$G$4</f>
        <v/>
      </c>
      <c r="AF46" s="15">
        <f>AF9*Hypothèses!$D$48*$G$4</f>
        <v/>
      </c>
      <c r="AG46" s="15">
        <f>AG9*Hypothèses!$D$48*$G$4</f>
        <v/>
      </c>
      <c r="AH46" s="15">
        <f>AH9*Hypothèses!$D$48*$G$4</f>
        <v/>
      </c>
      <c r="AI46" s="15">
        <f>AI9*Hypothèses!$D$48*$G$4</f>
        <v/>
      </c>
      <c r="AJ46" s="15">
        <f>AJ9*Hypothèses!$D$48*$G$4</f>
        <v/>
      </c>
      <c r="AK46" s="15">
        <f>AK9*Hypothèses!$D$48*$G$4</f>
        <v/>
      </c>
      <c r="AL46" s="15">
        <f>AL9*Hypothèses!$D$48*$G$4</f>
        <v/>
      </c>
      <c r="AN46" s="15">
        <f>SUM(C46:N46)</f>
        <v/>
      </c>
      <c r="AO46" s="15">
        <f>SUM(O46:Z46)</f>
        <v/>
      </c>
      <c r="AP46" s="15">
        <f>SUM(AA46:AL46)</f>
        <v/>
      </c>
    </row>
    <row r="47">
      <c r="A47" s="9" t="inlineStr">
        <is>
          <t>Marketing fixe</t>
        </is>
      </c>
      <c r="B47" s="4" t="inlineStr">
        <is>
          <t>€ HT</t>
        </is>
      </c>
      <c r="C47" s="15">
        <f>C9*Hypothèses!$D$49*$G$4</f>
        <v/>
      </c>
      <c r="D47" s="15">
        <f>D9*Hypothèses!$D$49*$G$4</f>
        <v/>
      </c>
      <c r="E47" s="15">
        <f>E9*Hypothèses!$D$49*$G$4</f>
        <v/>
      </c>
      <c r="F47" s="15">
        <f>F9*Hypothèses!$D$49*$G$4</f>
        <v/>
      </c>
      <c r="G47" s="15">
        <f>G9*Hypothèses!$D$49*$G$4</f>
        <v/>
      </c>
      <c r="H47" s="15">
        <f>H9*Hypothèses!$D$49*$G$4</f>
        <v/>
      </c>
      <c r="I47" s="15">
        <f>I9*Hypothèses!$D$49*$G$4</f>
        <v/>
      </c>
      <c r="J47" s="15">
        <f>J9*Hypothèses!$D$49*$G$4</f>
        <v/>
      </c>
      <c r="K47" s="15">
        <f>K9*Hypothèses!$D$49*$G$4</f>
        <v/>
      </c>
      <c r="L47" s="15">
        <f>L9*Hypothèses!$D$49*$G$4</f>
        <v/>
      </c>
      <c r="M47" s="15">
        <f>M9*Hypothèses!$D$49*$G$4</f>
        <v/>
      </c>
      <c r="N47" s="15">
        <f>N9*Hypothèses!$D$49*$G$4</f>
        <v/>
      </c>
      <c r="O47" s="15">
        <f>O9*Hypothèses!$D$49*$G$4</f>
        <v/>
      </c>
      <c r="P47" s="15">
        <f>P9*Hypothèses!$D$49*$G$4</f>
        <v/>
      </c>
      <c r="Q47" s="15">
        <f>Q9*Hypothèses!$D$49*$G$4</f>
        <v/>
      </c>
      <c r="R47" s="15">
        <f>R9*Hypothèses!$D$49*$G$4</f>
        <v/>
      </c>
      <c r="S47" s="15">
        <f>S9*Hypothèses!$D$49*$G$4</f>
        <v/>
      </c>
      <c r="T47" s="15">
        <f>T9*Hypothèses!$D$49*$G$4</f>
        <v/>
      </c>
      <c r="U47" s="15">
        <f>U9*Hypothèses!$D$49*$G$4</f>
        <v/>
      </c>
      <c r="V47" s="15">
        <f>V9*Hypothèses!$D$49*$G$4</f>
        <v/>
      </c>
      <c r="W47" s="15">
        <f>W9*Hypothèses!$D$49*$G$4</f>
        <v/>
      </c>
      <c r="X47" s="15">
        <f>X9*Hypothèses!$D$49*$G$4</f>
        <v/>
      </c>
      <c r="Y47" s="15">
        <f>Y9*Hypothèses!$D$49*$G$4</f>
        <v/>
      </c>
      <c r="Z47" s="15">
        <f>Z9*Hypothèses!$D$49*$G$4</f>
        <v/>
      </c>
      <c r="AA47" s="15">
        <f>AA9*Hypothèses!$D$49*$G$4</f>
        <v/>
      </c>
      <c r="AB47" s="15">
        <f>AB9*Hypothèses!$D$49*$G$4</f>
        <v/>
      </c>
      <c r="AC47" s="15">
        <f>AC9*Hypothèses!$D$49*$G$4</f>
        <v/>
      </c>
      <c r="AD47" s="15">
        <f>AD9*Hypothèses!$D$49*$G$4</f>
        <v/>
      </c>
      <c r="AE47" s="15">
        <f>AE9*Hypothèses!$D$49*$G$4</f>
        <v/>
      </c>
      <c r="AF47" s="15">
        <f>AF9*Hypothèses!$D$49*$G$4</f>
        <v/>
      </c>
      <c r="AG47" s="15">
        <f>AG9*Hypothèses!$D$49*$G$4</f>
        <v/>
      </c>
      <c r="AH47" s="15">
        <f>AH9*Hypothèses!$D$49*$G$4</f>
        <v/>
      </c>
      <c r="AI47" s="15">
        <f>AI9*Hypothèses!$D$49*$G$4</f>
        <v/>
      </c>
      <c r="AJ47" s="15">
        <f>AJ9*Hypothèses!$D$49*$G$4</f>
        <v/>
      </c>
      <c r="AK47" s="15">
        <f>AK9*Hypothèses!$D$49*$G$4</f>
        <v/>
      </c>
      <c r="AL47" s="15">
        <f>AL9*Hypothèses!$D$49*$G$4</f>
        <v/>
      </c>
      <c r="AN47" s="15">
        <f>SUM(C47:N47)</f>
        <v/>
      </c>
      <c r="AO47" s="15">
        <f>SUM(O47:Z47)</f>
        <v/>
      </c>
      <c r="AP47" s="15">
        <f>SUM(AA47:AL47)</f>
        <v/>
      </c>
    </row>
    <row r="48">
      <c r="A48" s="9" t="inlineStr">
        <is>
          <t>Frais généraux</t>
        </is>
      </c>
      <c r="B48" s="4" t="inlineStr">
        <is>
          <t>€ HT</t>
        </is>
      </c>
      <c r="C48" s="15">
        <f>Hypothèses!$D$50*$G$4</f>
        <v/>
      </c>
      <c r="D48" s="15">
        <f>Hypothèses!$D$50*$G$4</f>
        <v/>
      </c>
      <c r="E48" s="15">
        <f>Hypothèses!$D$50*$G$4</f>
        <v/>
      </c>
      <c r="F48" s="15">
        <f>Hypothèses!$D$50*$G$4</f>
        <v/>
      </c>
      <c r="G48" s="15">
        <f>Hypothèses!$D$50*$G$4</f>
        <v/>
      </c>
      <c r="H48" s="15">
        <f>Hypothèses!$D$50*$G$4</f>
        <v/>
      </c>
      <c r="I48" s="15">
        <f>Hypothèses!$D$50*$G$4</f>
        <v/>
      </c>
      <c r="J48" s="15">
        <f>Hypothèses!$D$50*$G$4</f>
        <v/>
      </c>
      <c r="K48" s="15">
        <f>Hypothèses!$D$50*$G$4</f>
        <v/>
      </c>
      <c r="L48" s="15">
        <f>Hypothèses!$D$50*$G$4</f>
        <v/>
      </c>
      <c r="M48" s="15">
        <f>Hypothèses!$D$50*$G$4</f>
        <v/>
      </c>
      <c r="N48" s="15">
        <f>Hypothèses!$D$50*$G$4</f>
        <v/>
      </c>
      <c r="O48" s="15">
        <f>Hypothèses!$D$50*$G$4</f>
        <v/>
      </c>
      <c r="P48" s="15">
        <f>Hypothèses!$D$50*$G$4</f>
        <v/>
      </c>
      <c r="Q48" s="15">
        <f>Hypothèses!$D$50*$G$4</f>
        <v/>
      </c>
      <c r="R48" s="15">
        <f>Hypothèses!$D$50*$G$4</f>
        <v/>
      </c>
      <c r="S48" s="15">
        <f>Hypothèses!$D$50*$G$4</f>
        <v/>
      </c>
      <c r="T48" s="15">
        <f>Hypothèses!$D$50*$G$4</f>
        <v/>
      </c>
      <c r="U48" s="15">
        <f>Hypothèses!$D$50*$G$4</f>
        <v/>
      </c>
      <c r="V48" s="15">
        <f>Hypothèses!$D$50*$G$4</f>
        <v/>
      </c>
      <c r="W48" s="15">
        <f>Hypothèses!$D$50*$G$4</f>
        <v/>
      </c>
      <c r="X48" s="15">
        <f>Hypothèses!$D$50*$G$4</f>
        <v/>
      </c>
      <c r="Y48" s="15">
        <f>Hypothèses!$D$50*$G$4</f>
        <v/>
      </c>
      <c r="Z48" s="15">
        <f>Hypothèses!$D$50*$G$4</f>
        <v/>
      </c>
      <c r="AA48" s="15">
        <f>Hypothèses!$D$50*$G$4</f>
        <v/>
      </c>
      <c r="AB48" s="15">
        <f>Hypothèses!$D$50*$G$4</f>
        <v/>
      </c>
      <c r="AC48" s="15">
        <f>Hypothèses!$D$50*$G$4</f>
        <v/>
      </c>
      <c r="AD48" s="15">
        <f>Hypothèses!$D$50*$G$4</f>
        <v/>
      </c>
      <c r="AE48" s="15">
        <f>Hypothèses!$D$50*$G$4</f>
        <v/>
      </c>
      <c r="AF48" s="15">
        <f>Hypothèses!$D$50*$G$4</f>
        <v/>
      </c>
      <c r="AG48" s="15">
        <f>Hypothèses!$D$50*$G$4</f>
        <v/>
      </c>
      <c r="AH48" s="15">
        <f>Hypothèses!$D$50*$G$4</f>
        <v/>
      </c>
      <c r="AI48" s="15">
        <f>Hypothèses!$D$50*$G$4</f>
        <v/>
      </c>
      <c r="AJ48" s="15">
        <f>Hypothèses!$D$50*$G$4</f>
        <v/>
      </c>
      <c r="AK48" s="15">
        <f>Hypothèses!$D$50*$G$4</f>
        <v/>
      </c>
      <c r="AL48" s="15">
        <f>Hypothèses!$D$50*$G$4</f>
        <v/>
      </c>
      <c r="AN48" s="15">
        <f>SUM(C48:N48)</f>
        <v/>
      </c>
      <c r="AO48" s="15">
        <f>SUM(O48:Z48)</f>
        <v/>
      </c>
      <c r="AP48" s="15">
        <f>SUM(AA48:AL48)</f>
        <v/>
      </c>
    </row>
    <row r="49">
      <c r="A49" s="9" t="inlineStr">
        <is>
          <t>Audit de sécurité (annuel, à partir du lancement)</t>
        </is>
      </c>
      <c r="B49" s="4" t="inlineStr">
        <is>
          <t>€ HT</t>
        </is>
      </c>
      <c r="C49" s="15">
        <f>IF(AND(C9=1,MOD(C7-$B$5,12)=0),Hypothèses!$D$51,0)*$G$4</f>
        <v/>
      </c>
      <c r="D49" s="15">
        <f>IF(AND(D9=1,MOD(D7-$B$5,12)=0),Hypothèses!$D$51,0)*$G$4</f>
        <v/>
      </c>
      <c r="E49" s="15">
        <f>IF(AND(E9=1,MOD(E7-$B$5,12)=0),Hypothèses!$D$51,0)*$G$4</f>
        <v/>
      </c>
      <c r="F49" s="15">
        <f>IF(AND(F9=1,MOD(F7-$B$5,12)=0),Hypothèses!$D$51,0)*$G$4</f>
        <v/>
      </c>
      <c r="G49" s="15">
        <f>IF(AND(G9=1,MOD(G7-$B$5,12)=0),Hypothèses!$D$51,0)*$G$4</f>
        <v/>
      </c>
      <c r="H49" s="15">
        <f>IF(AND(H9=1,MOD(H7-$B$5,12)=0),Hypothèses!$D$51,0)*$G$4</f>
        <v/>
      </c>
      <c r="I49" s="15">
        <f>IF(AND(I9=1,MOD(I7-$B$5,12)=0),Hypothèses!$D$51,0)*$G$4</f>
        <v/>
      </c>
      <c r="J49" s="15">
        <f>IF(AND(J9=1,MOD(J7-$B$5,12)=0),Hypothèses!$D$51,0)*$G$4</f>
        <v/>
      </c>
      <c r="K49" s="15">
        <f>IF(AND(K9=1,MOD(K7-$B$5,12)=0),Hypothèses!$D$51,0)*$G$4</f>
        <v/>
      </c>
      <c r="L49" s="15">
        <f>IF(AND(L9=1,MOD(L7-$B$5,12)=0),Hypothèses!$D$51,0)*$G$4</f>
        <v/>
      </c>
      <c r="M49" s="15">
        <f>IF(AND(M9=1,MOD(M7-$B$5,12)=0),Hypothèses!$D$51,0)*$G$4</f>
        <v/>
      </c>
      <c r="N49" s="15">
        <f>IF(AND(N9=1,MOD(N7-$B$5,12)=0),Hypothèses!$D$51,0)*$G$4</f>
        <v/>
      </c>
      <c r="O49" s="15">
        <f>IF(AND(O9=1,MOD(O7-$B$5,12)=0),Hypothèses!$D$51,0)*$G$4</f>
        <v/>
      </c>
      <c r="P49" s="15">
        <f>IF(AND(P9=1,MOD(P7-$B$5,12)=0),Hypothèses!$D$51,0)*$G$4</f>
        <v/>
      </c>
      <c r="Q49" s="15">
        <f>IF(AND(Q9=1,MOD(Q7-$B$5,12)=0),Hypothèses!$D$51,0)*$G$4</f>
        <v/>
      </c>
      <c r="R49" s="15">
        <f>IF(AND(R9=1,MOD(R7-$B$5,12)=0),Hypothèses!$D$51,0)*$G$4</f>
        <v/>
      </c>
      <c r="S49" s="15">
        <f>IF(AND(S9=1,MOD(S7-$B$5,12)=0),Hypothèses!$D$51,0)*$G$4</f>
        <v/>
      </c>
      <c r="T49" s="15">
        <f>IF(AND(T9=1,MOD(T7-$B$5,12)=0),Hypothèses!$D$51,0)*$G$4</f>
        <v/>
      </c>
      <c r="U49" s="15">
        <f>IF(AND(U9=1,MOD(U7-$B$5,12)=0),Hypothèses!$D$51,0)*$G$4</f>
        <v/>
      </c>
      <c r="V49" s="15">
        <f>IF(AND(V9=1,MOD(V7-$B$5,12)=0),Hypothèses!$D$51,0)*$G$4</f>
        <v/>
      </c>
      <c r="W49" s="15">
        <f>IF(AND(W9=1,MOD(W7-$B$5,12)=0),Hypothèses!$D$51,0)*$G$4</f>
        <v/>
      </c>
      <c r="X49" s="15">
        <f>IF(AND(X9=1,MOD(X7-$B$5,12)=0),Hypothèses!$D$51,0)*$G$4</f>
        <v/>
      </c>
      <c r="Y49" s="15">
        <f>IF(AND(Y9=1,MOD(Y7-$B$5,12)=0),Hypothèses!$D$51,0)*$G$4</f>
        <v/>
      </c>
      <c r="Z49" s="15">
        <f>IF(AND(Z9=1,MOD(Z7-$B$5,12)=0),Hypothèses!$D$51,0)*$G$4</f>
        <v/>
      </c>
      <c r="AA49" s="15">
        <f>IF(AND(AA9=1,MOD(AA7-$B$5,12)=0),Hypothèses!$D$51,0)*$G$4</f>
        <v/>
      </c>
      <c r="AB49" s="15">
        <f>IF(AND(AB9=1,MOD(AB7-$B$5,12)=0),Hypothèses!$D$51,0)*$G$4</f>
        <v/>
      </c>
      <c r="AC49" s="15">
        <f>IF(AND(AC9=1,MOD(AC7-$B$5,12)=0),Hypothèses!$D$51,0)*$G$4</f>
        <v/>
      </c>
      <c r="AD49" s="15">
        <f>IF(AND(AD9=1,MOD(AD7-$B$5,12)=0),Hypothèses!$D$51,0)*$G$4</f>
        <v/>
      </c>
      <c r="AE49" s="15">
        <f>IF(AND(AE9=1,MOD(AE7-$B$5,12)=0),Hypothèses!$D$51,0)*$G$4</f>
        <v/>
      </c>
      <c r="AF49" s="15">
        <f>IF(AND(AF9=1,MOD(AF7-$B$5,12)=0),Hypothèses!$D$51,0)*$G$4</f>
        <v/>
      </c>
      <c r="AG49" s="15">
        <f>IF(AND(AG9=1,MOD(AG7-$B$5,12)=0),Hypothèses!$D$51,0)*$G$4</f>
        <v/>
      </c>
      <c r="AH49" s="15">
        <f>IF(AND(AH9=1,MOD(AH7-$B$5,12)=0),Hypothèses!$D$51,0)*$G$4</f>
        <v/>
      </c>
      <c r="AI49" s="15">
        <f>IF(AND(AI9=1,MOD(AI7-$B$5,12)=0),Hypothèses!$D$51,0)*$G$4</f>
        <v/>
      </c>
      <c r="AJ49" s="15">
        <f>IF(AND(AJ9=1,MOD(AJ7-$B$5,12)=0),Hypothèses!$D$51,0)*$G$4</f>
        <v/>
      </c>
      <c r="AK49" s="15">
        <f>IF(AND(AK9=1,MOD(AK7-$B$5,12)=0),Hypothèses!$D$51,0)*$G$4</f>
        <v/>
      </c>
      <c r="AL49" s="15">
        <f>IF(AND(AL9=1,MOD(AL7-$B$5,12)=0),Hypothèses!$D$51,0)*$G$4</f>
        <v/>
      </c>
      <c r="AN49" s="15">
        <f>SUM(C49:N49)</f>
        <v/>
      </c>
      <c r="AO49" s="15">
        <f>SUM(O49:Z49)</f>
        <v/>
      </c>
      <c r="AP49" s="15">
        <f>SUM(AA49:AL49)</f>
        <v/>
      </c>
    </row>
    <row r="50">
      <c r="A50" s="9" t="inlineStr">
        <is>
          <t>Frais de constitution</t>
        </is>
      </c>
      <c r="B50" s="4" t="inlineStr">
        <is>
          <t>€ HT</t>
        </is>
      </c>
      <c r="C50" s="15">
        <f>IF(C7=2,Hypothèses!$D$52,0)</f>
        <v/>
      </c>
      <c r="D50" s="15">
        <f>IF(D7=2,Hypothèses!$D$52,0)</f>
        <v/>
      </c>
      <c r="E50" s="15">
        <f>IF(E7=2,Hypothèses!$D$52,0)</f>
        <v/>
      </c>
      <c r="F50" s="15">
        <f>IF(F7=2,Hypothèses!$D$52,0)</f>
        <v/>
      </c>
      <c r="G50" s="15">
        <f>IF(G7=2,Hypothèses!$D$52,0)</f>
        <v/>
      </c>
      <c r="H50" s="15">
        <f>IF(H7=2,Hypothèses!$D$52,0)</f>
        <v/>
      </c>
      <c r="I50" s="15">
        <f>IF(I7=2,Hypothèses!$D$52,0)</f>
        <v/>
      </c>
      <c r="J50" s="15">
        <f>IF(J7=2,Hypothèses!$D$52,0)</f>
        <v/>
      </c>
      <c r="K50" s="15">
        <f>IF(K7=2,Hypothèses!$D$52,0)</f>
        <v/>
      </c>
      <c r="L50" s="15">
        <f>IF(L7=2,Hypothèses!$D$52,0)</f>
        <v/>
      </c>
      <c r="M50" s="15">
        <f>IF(M7=2,Hypothèses!$D$52,0)</f>
        <v/>
      </c>
      <c r="N50" s="15">
        <f>IF(N7=2,Hypothèses!$D$52,0)</f>
        <v/>
      </c>
      <c r="O50" s="15">
        <f>IF(O7=2,Hypothèses!$D$52,0)</f>
        <v/>
      </c>
      <c r="P50" s="15">
        <f>IF(P7=2,Hypothèses!$D$52,0)</f>
        <v/>
      </c>
      <c r="Q50" s="15">
        <f>IF(Q7=2,Hypothèses!$D$52,0)</f>
        <v/>
      </c>
      <c r="R50" s="15">
        <f>IF(R7=2,Hypothèses!$D$52,0)</f>
        <v/>
      </c>
      <c r="S50" s="15">
        <f>IF(S7=2,Hypothèses!$D$52,0)</f>
        <v/>
      </c>
      <c r="T50" s="15">
        <f>IF(T7=2,Hypothèses!$D$52,0)</f>
        <v/>
      </c>
      <c r="U50" s="15">
        <f>IF(U7=2,Hypothèses!$D$52,0)</f>
        <v/>
      </c>
      <c r="V50" s="15">
        <f>IF(V7=2,Hypothèses!$D$52,0)</f>
        <v/>
      </c>
      <c r="W50" s="15">
        <f>IF(W7=2,Hypothèses!$D$52,0)</f>
        <v/>
      </c>
      <c r="X50" s="15">
        <f>IF(X7=2,Hypothèses!$D$52,0)</f>
        <v/>
      </c>
      <c r="Y50" s="15">
        <f>IF(Y7=2,Hypothèses!$D$52,0)</f>
        <v/>
      </c>
      <c r="Z50" s="15">
        <f>IF(Z7=2,Hypothèses!$D$52,0)</f>
        <v/>
      </c>
      <c r="AA50" s="15">
        <f>IF(AA7=2,Hypothèses!$D$52,0)</f>
        <v/>
      </c>
      <c r="AB50" s="15">
        <f>IF(AB7=2,Hypothèses!$D$52,0)</f>
        <v/>
      </c>
      <c r="AC50" s="15">
        <f>IF(AC7=2,Hypothèses!$D$52,0)</f>
        <v/>
      </c>
      <c r="AD50" s="15">
        <f>IF(AD7=2,Hypothèses!$D$52,0)</f>
        <v/>
      </c>
      <c r="AE50" s="15">
        <f>IF(AE7=2,Hypothèses!$D$52,0)</f>
        <v/>
      </c>
      <c r="AF50" s="15">
        <f>IF(AF7=2,Hypothèses!$D$52,0)</f>
        <v/>
      </c>
      <c r="AG50" s="15">
        <f>IF(AG7=2,Hypothèses!$D$52,0)</f>
        <v/>
      </c>
      <c r="AH50" s="15">
        <f>IF(AH7=2,Hypothèses!$D$52,0)</f>
        <v/>
      </c>
      <c r="AI50" s="15">
        <f>IF(AI7=2,Hypothèses!$D$52,0)</f>
        <v/>
      </c>
      <c r="AJ50" s="15">
        <f>IF(AJ7=2,Hypothèses!$D$52,0)</f>
        <v/>
      </c>
      <c r="AK50" s="15">
        <f>IF(AK7=2,Hypothèses!$D$52,0)</f>
        <v/>
      </c>
      <c r="AL50" s="15">
        <f>IF(AL7=2,Hypothèses!$D$52,0)</f>
        <v/>
      </c>
      <c r="AN50" s="15">
        <f>SUM(C50:N50)</f>
        <v/>
      </c>
      <c r="AO50" s="15">
        <f>SUM(O50:Z50)</f>
        <v/>
      </c>
      <c r="AP50" s="15">
        <f>SUM(AA50:AL50)</f>
        <v/>
      </c>
    </row>
    <row r="51">
      <c r="A51" s="2" t="inlineStr">
        <is>
          <t>Total coûts fixes</t>
        </is>
      </c>
      <c r="B51" s="4" t="inlineStr">
        <is>
          <t>€ HT</t>
        </is>
      </c>
      <c r="C51" s="40">
        <f>SUM(C40:C50)</f>
        <v/>
      </c>
      <c r="D51" s="40">
        <f>SUM(D40:D50)</f>
        <v/>
      </c>
      <c r="E51" s="40">
        <f>SUM(E40:E50)</f>
        <v/>
      </c>
      <c r="F51" s="40">
        <f>SUM(F40:F50)</f>
        <v/>
      </c>
      <c r="G51" s="40">
        <f>SUM(G40:G50)</f>
        <v/>
      </c>
      <c r="H51" s="40">
        <f>SUM(H40:H50)</f>
        <v/>
      </c>
      <c r="I51" s="40">
        <f>SUM(I40:I50)</f>
        <v/>
      </c>
      <c r="J51" s="40">
        <f>SUM(J40:J50)</f>
        <v/>
      </c>
      <c r="K51" s="40">
        <f>SUM(K40:K50)</f>
        <v/>
      </c>
      <c r="L51" s="40">
        <f>SUM(L40:L50)</f>
        <v/>
      </c>
      <c r="M51" s="40">
        <f>SUM(M40:M50)</f>
        <v/>
      </c>
      <c r="N51" s="40">
        <f>SUM(N40:N50)</f>
        <v/>
      </c>
      <c r="O51" s="40">
        <f>SUM(O40:O50)</f>
        <v/>
      </c>
      <c r="P51" s="40">
        <f>SUM(P40:P50)</f>
        <v/>
      </c>
      <c r="Q51" s="40">
        <f>SUM(Q40:Q50)</f>
        <v/>
      </c>
      <c r="R51" s="40">
        <f>SUM(R40:R50)</f>
        <v/>
      </c>
      <c r="S51" s="40">
        <f>SUM(S40:S50)</f>
        <v/>
      </c>
      <c r="T51" s="40">
        <f>SUM(T40:T50)</f>
        <v/>
      </c>
      <c r="U51" s="40">
        <f>SUM(U40:U50)</f>
        <v/>
      </c>
      <c r="V51" s="40">
        <f>SUM(V40:V50)</f>
        <v/>
      </c>
      <c r="W51" s="40">
        <f>SUM(W40:W50)</f>
        <v/>
      </c>
      <c r="X51" s="40">
        <f>SUM(X40:X50)</f>
        <v/>
      </c>
      <c r="Y51" s="40">
        <f>SUM(Y40:Y50)</f>
        <v/>
      </c>
      <c r="Z51" s="40">
        <f>SUM(Z40:Z50)</f>
        <v/>
      </c>
      <c r="AA51" s="40">
        <f>SUM(AA40:AA50)</f>
        <v/>
      </c>
      <c r="AB51" s="40">
        <f>SUM(AB40:AB50)</f>
        <v/>
      </c>
      <c r="AC51" s="40">
        <f>SUM(AC40:AC50)</f>
        <v/>
      </c>
      <c r="AD51" s="40">
        <f>SUM(AD40:AD50)</f>
        <v/>
      </c>
      <c r="AE51" s="40">
        <f>SUM(AE40:AE50)</f>
        <v/>
      </c>
      <c r="AF51" s="40">
        <f>SUM(AF40:AF50)</f>
        <v/>
      </c>
      <c r="AG51" s="40">
        <f>SUM(AG40:AG50)</f>
        <v/>
      </c>
      <c r="AH51" s="40">
        <f>SUM(AH40:AH50)</f>
        <v/>
      </c>
      <c r="AI51" s="40">
        <f>SUM(AI40:AI50)</f>
        <v/>
      </c>
      <c r="AJ51" s="40">
        <f>SUM(AJ40:AJ50)</f>
        <v/>
      </c>
      <c r="AK51" s="40">
        <f>SUM(AK40:AK50)</f>
        <v/>
      </c>
      <c r="AL51" s="40">
        <f>SUM(AL40:AL50)</f>
        <v/>
      </c>
      <c r="AN51" s="40">
        <f>SUM(C51:N51)</f>
        <v/>
      </c>
      <c r="AO51" s="40">
        <f>SUM(O51:Z51)</f>
        <v/>
      </c>
      <c r="AP51" s="40">
        <f>SUM(AA51:AL51)</f>
        <v/>
      </c>
    </row>
    <row r="52">
      <c r="A52" s="2" t="inlineStr">
        <is>
          <t>EBITDA (marge variable − acquisition − fixes)</t>
        </is>
      </c>
      <c r="B52" s="4" t="inlineStr">
        <is>
          <t>€ HT</t>
        </is>
      </c>
      <c r="C52" s="40">
        <f>C37-C39-C51</f>
        <v/>
      </c>
      <c r="D52" s="40">
        <f>D37-D39-D51</f>
        <v/>
      </c>
      <c r="E52" s="40">
        <f>E37-E39-E51</f>
        <v/>
      </c>
      <c r="F52" s="40">
        <f>F37-F39-F51</f>
        <v/>
      </c>
      <c r="G52" s="40">
        <f>G37-G39-G51</f>
        <v/>
      </c>
      <c r="H52" s="40">
        <f>H37-H39-H51</f>
        <v/>
      </c>
      <c r="I52" s="40">
        <f>I37-I39-I51</f>
        <v/>
      </c>
      <c r="J52" s="40">
        <f>J37-J39-J51</f>
        <v/>
      </c>
      <c r="K52" s="40">
        <f>K37-K39-K51</f>
        <v/>
      </c>
      <c r="L52" s="40">
        <f>L37-L39-L51</f>
        <v/>
      </c>
      <c r="M52" s="40">
        <f>M37-M39-M51</f>
        <v/>
      </c>
      <c r="N52" s="40">
        <f>N37-N39-N51</f>
        <v/>
      </c>
      <c r="O52" s="40">
        <f>O37-O39-O51</f>
        <v/>
      </c>
      <c r="P52" s="40">
        <f>P37-P39-P51</f>
        <v/>
      </c>
      <c r="Q52" s="40">
        <f>Q37-Q39-Q51</f>
        <v/>
      </c>
      <c r="R52" s="40">
        <f>R37-R39-R51</f>
        <v/>
      </c>
      <c r="S52" s="40">
        <f>S37-S39-S51</f>
        <v/>
      </c>
      <c r="T52" s="40">
        <f>T37-T39-T51</f>
        <v/>
      </c>
      <c r="U52" s="40">
        <f>U37-U39-U51</f>
        <v/>
      </c>
      <c r="V52" s="40">
        <f>V37-V39-V51</f>
        <v/>
      </c>
      <c r="W52" s="40">
        <f>W37-W39-W51</f>
        <v/>
      </c>
      <c r="X52" s="40">
        <f>X37-X39-X51</f>
        <v/>
      </c>
      <c r="Y52" s="40">
        <f>Y37-Y39-Y51</f>
        <v/>
      </c>
      <c r="Z52" s="40">
        <f>Z37-Z39-Z51</f>
        <v/>
      </c>
      <c r="AA52" s="40">
        <f>AA37-AA39-AA51</f>
        <v/>
      </c>
      <c r="AB52" s="40">
        <f>AB37-AB39-AB51</f>
        <v/>
      </c>
      <c r="AC52" s="40">
        <f>AC37-AC39-AC51</f>
        <v/>
      </c>
      <c r="AD52" s="40">
        <f>AD37-AD39-AD51</f>
        <v/>
      </c>
      <c r="AE52" s="40">
        <f>AE37-AE39-AE51</f>
        <v/>
      </c>
      <c r="AF52" s="40">
        <f>AF37-AF39-AF51</f>
        <v/>
      </c>
      <c r="AG52" s="40">
        <f>AG37-AG39-AG51</f>
        <v/>
      </c>
      <c r="AH52" s="40">
        <f>AH37-AH39-AH51</f>
        <v/>
      </c>
      <c r="AI52" s="40">
        <f>AI37-AI39-AI51</f>
        <v/>
      </c>
      <c r="AJ52" s="40">
        <f>AJ37-AJ39-AJ51</f>
        <v/>
      </c>
      <c r="AK52" s="40">
        <f>AK37-AK39-AK51</f>
        <v/>
      </c>
      <c r="AL52" s="40">
        <f>AL37-AL39-AL51</f>
        <v/>
      </c>
      <c r="AN52" s="40">
        <f>SUM(C52:N52)</f>
        <v/>
      </c>
      <c r="AO52" s="40">
        <f>SUM(O52:Z52)</f>
        <v/>
      </c>
      <c r="AP52" s="40">
        <f>SUM(AA52:AL52)</f>
        <v/>
      </c>
    </row>
    <row r="53">
      <c r="A53" s="9" t="inlineStr">
        <is>
          <t>EBITDA positif ? (1 = oui)</t>
        </is>
      </c>
      <c r="B53" s="4" t="inlineStr">
        <is>
          <t>0/1</t>
        </is>
      </c>
      <c r="C53" s="13">
        <f>IF(C52&gt;0,1,0)</f>
        <v/>
      </c>
      <c r="D53" s="13">
        <f>IF(D52&gt;0,1,0)</f>
        <v/>
      </c>
      <c r="E53" s="13">
        <f>IF(E52&gt;0,1,0)</f>
        <v/>
      </c>
      <c r="F53" s="13">
        <f>IF(F52&gt;0,1,0)</f>
        <v/>
      </c>
      <c r="G53" s="13">
        <f>IF(G52&gt;0,1,0)</f>
        <v/>
      </c>
      <c r="H53" s="13">
        <f>IF(H52&gt;0,1,0)</f>
        <v/>
      </c>
      <c r="I53" s="13">
        <f>IF(I52&gt;0,1,0)</f>
        <v/>
      </c>
      <c r="J53" s="13">
        <f>IF(J52&gt;0,1,0)</f>
        <v/>
      </c>
      <c r="K53" s="13">
        <f>IF(K52&gt;0,1,0)</f>
        <v/>
      </c>
      <c r="L53" s="13">
        <f>IF(L52&gt;0,1,0)</f>
        <v/>
      </c>
      <c r="M53" s="13">
        <f>IF(M52&gt;0,1,0)</f>
        <v/>
      </c>
      <c r="N53" s="13">
        <f>IF(N52&gt;0,1,0)</f>
        <v/>
      </c>
      <c r="O53" s="13">
        <f>IF(O52&gt;0,1,0)</f>
        <v/>
      </c>
      <c r="P53" s="13">
        <f>IF(P52&gt;0,1,0)</f>
        <v/>
      </c>
      <c r="Q53" s="13">
        <f>IF(Q52&gt;0,1,0)</f>
        <v/>
      </c>
      <c r="R53" s="13">
        <f>IF(R52&gt;0,1,0)</f>
        <v/>
      </c>
      <c r="S53" s="13">
        <f>IF(S52&gt;0,1,0)</f>
        <v/>
      </c>
      <c r="T53" s="13">
        <f>IF(T52&gt;0,1,0)</f>
        <v/>
      </c>
      <c r="U53" s="13">
        <f>IF(U52&gt;0,1,0)</f>
        <v/>
      </c>
      <c r="V53" s="13">
        <f>IF(V52&gt;0,1,0)</f>
        <v/>
      </c>
      <c r="W53" s="13">
        <f>IF(W52&gt;0,1,0)</f>
        <v/>
      </c>
      <c r="X53" s="13">
        <f>IF(X52&gt;0,1,0)</f>
        <v/>
      </c>
      <c r="Y53" s="13">
        <f>IF(Y52&gt;0,1,0)</f>
        <v/>
      </c>
      <c r="Z53" s="13">
        <f>IF(Z52&gt;0,1,0)</f>
        <v/>
      </c>
      <c r="AA53" s="13">
        <f>IF(AA52&gt;0,1,0)</f>
        <v/>
      </c>
      <c r="AB53" s="13">
        <f>IF(AB52&gt;0,1,0)</f>
        <v/>
      </c>
      <c r="AC53" s="13">
        <f>IF(AC52&gt;0,1,0)</f>
        <v/>
      </c>
      <c r="AD53" s="13">
        <f>IF(AD52&gt;0,1,0)</f>
        <v/>
      </c>
      <c r="AE53" s="13">
        <f>IF(AE52&gt;0,1,0)</f>
        <v/>
      </c>
      <c r="AF53" s="13">
        <f>IF(AF52&gt;0,1,0)</f>
        <v/>
      </c>
      <c r="AG53" s="13">
        <f>IF(AG52&gt;0,1,0)</f>
        <v/>
      </c>
      <c r="AH53" s="13">
        <f>IF(AH52&gt;0,1,0)</f>
        <v/>
      </c>
      <c r="AI53" s="13">
        <f>IF(AI52&gt;0,1,0)</f>
        <v/>
      </c>
      <c r="AJ53" s="13">
        <f>IF(AJ52&gt;0,1,0)</f>
        <v/>
      </c>
      <c r="AK53" s="13">
        <f>IF(AK52&gt;0,1,0)</f>
        <v/>
      </c>
      <c r="AL53" s="13">
        <f>IF(AL52&gt;0,1,0)</f>
        <v/>
      </c>
    </row>
    <row r="54">
      <c r="A54" s="8" t="inlineStr">
        <is>
          <t>Trésorerie</t>
        </is>
      </c>
    </row>
    <row r="55">
      <c r="A55" s="9" t="inlineStr">
        <is>
          <t>TVA collectée reversée (mois suivant)</t>
        </is>
      </c>
      <c r="B55" s="4" t="inlineStr">
        <is>
          <t>€</t>
        </is>
      </c>
      <c r="C55" s="15">
        <f>0</f>
        <v/>
      </c>
      <c r="D55" s="15">
        <f>C27</f>
        <v/>
      </c>
      <c r="E55" s="15">
        <f>D27</f>
        <v/>
      </c>
      <c r="F55" s="15">
        <f>E27</f>
        <v/>
      </c>
      <c r="G55" s="15">
        <f>F27</f>
        <v/>
      </c>
      <c r="H55" s="15">
        <f>G27</f>
        <v/>
      </c>
      <c r="I55" s="15">
        <f>H27</f>
        <v/>
      </c>
      <c r="J55" s="15">
        <f>I27</f>
        <v/>
      </c>
      <c r="K55" s="15">
        <f>J27</f>
        <v/>
      </c>
      <c r="L55" s="15">
        <f>K27</f>
        <v/>
      </c>
      <c r="M55" s="15">
        <f>L27</f>
        <v/>
      </c>
      <c r="N55" s="15">
        <f>M27</f>
        <v/>
      </c>
      <c r="O55" s="15">
        <f>N27</f>
        <v/>
      </c>
      <c r="P55" s="15">
        <f>O27</f>
        <v/>
      </c>
      <c r="Q55" s="15">
        <f>P27</f>
        <v/>
      </c>
      <c r="R55" s="15">
        <f>Q27</f>
        <v/>
      </c>
      <c r="S55" s="15">
        <f>R27</f>
        <v/>
      </c>
      <c r="T55" s="15">
        <f>S27</f>
        <v/>
      </c>
      <c r="U55" s="15">
        <f>T27</f>
        <v/>
      </c>
      <c r="V55" s="15">
        <f>U27</f>
        <v/>
      </c>
      <c r="W55" s="15">
        <f>V27</f>
        <v/>
      </c>
      <c r="X55" s="15">
        <f>W27</f>
        <v/>
      </c>
      <c r="Y55" s="15">
        <f>X27</f>
        <v/>
      </c>
      <c r="Z55" s="15">
        <f>Y27</f>
        <v/>
      </c>
      <c r="AA55" s="15">
        <f>Z27</f>
        <v/>
      </c>
      <c r="AB55" s="15">
        <f>AA27</f>
        <v/>
      </c>
      <c r="AC55" s="15">
        <f>AB27</f>
        <v/>
      </c>
      <c r="AD55" s="15">
        <f>AC27</f>
        <v/>
      </c>
      <c r="AE55" s="15">
        <f>AD27</f>
        <v/>
      </c>
      <c r="AF55" s="15">
        <f>AE27</f>
        <v/>
      </c>
      <c r="AG55" s="15">
        <f>AF27</f>
        <v/>
      </c>
      <c r="AH55" s="15">
        <f>AG27</f>
        <v/>
      </c>
      <c r="AI55" s="15">
        <f>AH27</f>
        <v/>
      </c>
      <c r="AJ55" s="15">
        <f>AI27</f>
        <v/>
      </c>
      <c r="AK55" s="15">
        <f>AJ27</f>
        <v/>
      </c>
      <c r="AL55" s="15">
        <f>AK27</f>
        <v/>
      </c>
      <c r="AN55" s="15">
        <f>SUM(C55:N55)</f>
        <v/>
      </c>
      <c r="AO55" s="15">
        <f>SUM(O55:Z55)</f>
        <v/>
      </c>
      <c r="AP55" s="15">
        <f>SUM(AA55:AL55)</f>
        <v/>
      </c>
    </row>
    <row r="56">
      <c r="A56" s="9" t="inlineStr">
        <is>
          <t>TVA déductible récupérée (mois suivant, coûts externes)</t>
        </is>
      </c>
      <c r="B56" s="4" t="inlineStr">
        <is>
          <t>€</t>
        </is>
      </c>
      <c r="C56" s="15">
        <f>0</f>
        <v/>
      </c>
      <c r="D56" s="15">
        <f>(C36+C39+C43+C44+C45+C47+C48+C49+C50)*Hypothèses!$D$15</f>
        <v/>
      </c>
      <c r="E56" s="15">
        <f>(D36+D39+D43+D44+D45+D47+D48+D49+D50)*Hypothèses!$D$15</f>
        <v/>
      </c>
      <c r="F56" s="15">
        <f>(E36+E39+E43+E44+E45+E47+E48+E49+E50)*Hypothèses!$D$15</f>
        <v/>
      </c>
      <c r="G56" s="15">
        <f>(F36+F39+F43+F44+F45+F47+F48+F49+F50)*Hypothèses!$D$15</f>
        <v/>
      </c>
      <c r="H56" s="15">
        <f>(G36+G39+G43+G44+G45+G47+G48+G49+G50)*Hypothèses!$D$15</f>
        <v/>
      </c>
      <c r="I56" s="15">
        <f>(H36+H39+H43+H44+H45+H47+H48+H49+H50)*Hypothèses!$D$15</f>
        <v/>
      </c>
      <c r="J56" s="15">
        <f>(I36+I39+I43+I44+I45+I47+I48+I49+I50)*Hypothèses!$D$15</f>
        <v/>
      </c>
      <c r="K56" s="15">
        <f>(J36+J39+J43+J44+J45+J47+J48+J49+J50)*Hypothèses!$D$15</f>
        <v/>
      </c>
      <c r="L56" s="15">
        <f>(K36+K39+K43+K44+K45+K47+K48+K49+K50)*Hypothèses!$D$15</f>
        <v/>
      </c>
      <c r="M56" s="15">
        <f>(L36+L39+L43+L44+L45+L47+L48+L49+L50)*Hypothèses!$D$15</f>
        <v/>
      </c>
      <c r="N56" s="15">
        <f>(M36+M39+M43+M44+M45+M47+M48+M49+M50)*Hypothèses!$D$15</f>
        <v/>
      </c>
      <c r="O56" s="15">
        <f>(N36+N39+N43+N44+N45+N47+N48+N49+N50)*Hypothèses!$D$15</f>
        <v/>
      </c>
      <c r="P56" s="15">
        <f>(O36+O39+O43+O44+O45+O47+O48+O49+O50)*Hypothèses!$D$15</f>
        <v/>
      </c>
      <c r="Q56" s="15">
        <f>(P36+P39+P43+P44+P45+P47+P48+P49+P50)*Hypothèses!$D$15</f>
        <v/>
      </c>
      <c r="R56" s="15">
        <f>(Q36+Q39+Q43+Q44+Q45+Q47+Q48+Q49+Q50)*Hypothèses!$D$15</f>
        <v/>
      </c>
      <c r="S56" s="15">
        <f>(R36+R39+R43+R44+R45+R47+R48+R49+R50)*Hypothèses!$D$15</f>
        <v/>
      </c>
      <c r="T56" s="15">
        <f>(S36+S39+S43+S44+S45+S47+S48+S49+S50)*Hypothèses!$D$15</f>
        <v/>
      </c>
      <c r="U56" s="15">
        <f>(T36+T39+T43+T44+T45+T47+T48+T49+T50)*Hypothèses!$D$15</f>
        <v/>
      </c>
      <c r="V56" s="15">
        <f>(U36+U39+U43+U44+U45+U47+U48+U49+U50)*Hypothèses!$D$15</f>
        <v/>
      </c>
      <c r="W56" s="15">
        <f>(V36+V39+V43+V44+V45+V47+V48+V49+V50)*Hypothèses!$D$15</f>
        <v/>
      </c>
      <c r="X56" s="15">
        <f>(W36+W39+W43+W44+W45+W47+W48+W49+W50)*Hypothèses!$D$15</f>
        <v/>
      </c>
      <c r="Y56" s="15">
        <f>(X36+X39+X43+X44+X45+X47+X48+X49+X50)*Hypothèses!$D$15</f>
        <v/>
      </c>
      <c r="Z56" s="15">
        <f>(Y36+Y39+Y43+Y44+Y45+Y47+Y48+Y49+Y50)*Hypothèses!$D$15</f>
        <v/>
      </c>
      <c r="AA56" s="15">
        <f>(Z36+Z39+Z43+Z44+Z45+Z47+Z48+Z49+Z50)*Hypothèses!$D$15</f>
        <v/>
      </c>
      <c r="AB56" s="15">
        <f>(AA36+AA39+AA43+AA44+AA45+AA47+AA48+AA49+AA50)*Hypothèses!$D$15</f>
        <v/>
      </c>
      <c r="AC56" s="15">
        <f>(AB36+AB39+AB43+AB44+AB45+AB47+AB48+AB49+AB50)*Hypothèses!$D$15</f>
        <v/>
      </c>
      <c r="AD56" s="15">
        <f>(AC36+AC39+AC43+AC44+AC45+AC47+AC48+AC49+AC50)*Hypothèses!$D$15</f>
        <v/>
      </c>
      <c r="AE56" s="15">
        <f>(AD36+AD39+AD43+AD44+AD45+AD47+AD48+AD49+AD50)*Hypothèses!$D$15</f>
        <v/>
      </c>
      <c r="AF56" s="15">
        <f>(AE36+AE39+AE43+AE44+AE45+AE47+AE48+AE49+AE50)*Hypothèses!$D$15</f>
        <v/>
      </c>
      <c r="AG56" s="15">
        <f>(AF36+AF39+AF43+AF44+AF45+AF47+AF48+AF49+AF50)*Hypothèses!$D$15</f>
        <v/>
      </c>
      <c r="AH56" s="15">
        <f>(AG36+AG39+AG43+AG44+AG45+AG47+AG48+AG49+AG50)*Hypothèses!$D$15</f>
        <v/>
      </c>
      <c r="AI56" s="15">
        <f>(AH36+AH39+AH43+AH44+AH45+AH47+AH48+AH49+AH50)*Hypothèses!$D$15</f>
        <v/>
      </c>
      <c r="AJ56" s="15">
        <f>(AI36+AI39+AI43+AI44+AI45+AI47+AI48+AI49+AI50)*Hypothèses!$D$15</f>
        <v/>
      </c>
      <c r="AK56" s="15">
        <f>(AJ36+AJ39+AJ43+AJ44+AJ45+AJ47+AJ48+AJ49+AJ50)*Hypothèses!$D$15</f>
        <v/>
      </c>
      <c r="AL56" s="15">
        <f>(AK36+AK39+AK43+AK44+AK45+AK47+AK48+AK49+AK50)*Hypothèses!$D$15</f>
        <v/>
      </c>
      <c r="AN56" s="15">
        <f>SUM(C56:N56)</f>
        <v/>
      </c>
      <c r="AO56" s="15">
        <f>SUM(O56:Z56)</f>
        <v/>
      </c>
      <c r="AP56" s="15">
        <f>SUM(AA56:AL56)</f>
        <v/>
      </c>
    </row>
    <row r="57">
      <c r="A57" s="9" t="inlineStr">
        <is>
          <t>Financement reçu</t>
        </is>
      </c>
      <c r="B57" s="4" t="inlineStr">
        <is>
          <t>€</t>
        </is>
      </c>
      <c r="C57" s="15">
        <f>Hypothèses!$D$56*(IF(C7=Hypothèses!$D$57,Hypothèses!$D$58,0)+IF(C7=Hypothèses!$D$59,Hypothèses!$D$60,0)+IF(C7=Hypothèses!$D$61,Hypothèses!$D$62,0))</f>
        <v/>
      </c>
      <c r="D57" s="15">
        <f>Hypothèses!$D$56*(IF(D7=Hypothèses!$D$57,Hypothèses!$D$58,0)+IF(D7=Hypothèses!$D$59,Hypothèses!$D$60,0)+IF(D7=Hypothèses!$D$61,Hypothèses!$D$62,0))</f>
        <v/>
      </c>
      <c r="E57" s="15">
        <f>Hypothèses!$D$56*(IF(E7=Hypothèses!$D$57,Hypothèses!$D$58,0)+IF(E7=Hypothèses!$D$59,Hypothèses!$D$60,0)+IF(E7=Hypothèses!$D$61,Hypothèses!$D$62,0))</f>
        <v/>
      </c>
      <c r="F57" s="15">
        <f>Hypothèses!$D$56*(IF(F7=Hypothèses!$D$57,Hypothèses!$D$58,0)+IF(F7=Hypothèses!$D$59,Hypothèses!$D$60,0)+IF(F7=Hypothèses!$D$61,Hypothèses!$D$62,0))</f>
        <v/>
      </c>
      <c r="G57" s="15">
        <f>Hypothèses!$D$56*(IF(G7=Hypothèses!$D$57,Hypothèses!$D$58,0)+IF(G7=Hypothèses!$D$59,Hypothèses!$D$60,0)+IF(G7=Hypothèses!$D$61,Hypothèses!$D$62,0))</f>
        <v/>
      </c>
      <c r="H57" s="15">
        <f>Hypothèses!$D$56*(IF(H7=Hypothèses!$D$57,Hypothèses!$D$58,0)+IF(H7=Hypothèses!$D$59,Hypothèses!$D$60,0)+IF(H7=Hypothèses!$D$61,Hypothèses!$D$62,0))</f>
        <v/>
      </c>
      <c r="I57" s="15">
        <f>Hypothèses!$D$56*(IF(I7=Hypothèses!$D$57,Hypothèses!$D$58,0)+IF(I7=Hypothèses!$D$59,Hypothèses!$D$60,0)+IF(I7=Hypothèses!$D$61,Hypothèses!$D$62,0))</f>
        <v/>
      </c>
      <c r="J57" s="15">
        <f>Hypothèses!$D$56*(IF(J7=Hypothèses!$D$57,Hypothèses!$D$58,0)+IF(J7=Hypothèses!$D$59,Hypothèses!$D$60,0)+IF(J7=Hypothèses!$D$61,Hypothèses!$D$62,0))</f>
        <v/>
      </c>
      <c r="K57" s="15">
        <f>Hypothèses!$D$56*(IF(K7=Hypothèses!$D$57,Hypothèses!$D$58,0)+IF(K7=Hypothèses!$D$59,Hypothèses!$D$60,0)+IF(K7=Hypothèses!$D$61,Hypothèses!$D$62,0))</f>
        <v/>
      </c>
      <c r="L57" s="15">
        <f>Hypothèses!$D$56*(IF(L7=Hypothèses!$D$57,Hypothèses!$D$58,0)+IF(L7=Hypothèses!$D$59,Hypothèses!$D$60,0)+IF(L7=Hypothèses!$D$61,Hypothèses!$D$62,0))</f>
        <v/>
      </c>
      <c r="M57" s="15">
        <f>Hypothèses!$D$56*(IF(M7=Hypothèses!$D$57,Hypothèses!$D$58,0)+IF(M7=Hypothèses!$D$59,Hypothèses!$D$60,0)+IF(M7=Hypothèses!$D$61,Hypothèses!$D$62,0))</f>
        <v/>
      </c>
      <c r="N57" s="15">
        <f>Hypothèses!$D$56*(IF(N7=Hypothèses!$D$57,Hypothèses!$D$58,0)+IF(N7=Hypothèses!$D$59,Hypothèses!$D$60,0)+IF(N7=Hypothèses!$D$61,Hypothèses!$D$62,0))</f>
        <v/>
      </c>
      <c r="O57" s="15">
        <f>Hypothèses!$D$56*(IF(O7=Hypothèses!$D$57,Hypothèses!$D$58,0)+IF(O7=Hypothèses!$D$59,Hypothèses!$D$60,0)+IF(O7=Hypothèses!$D$61,Hypothèses!$D$62,0))</f>
        <v/>
      </c>
      <c r="P57" s="15">
        <f>Hypothèses!$D$56*(IF(P7=Hypothèses!$D$57,Hypothèses!$D$58,0)+IF(P7=Hypothèses!$D$59,Hypothèses!$D$60,0)+IF(P7=Hypothèses!$D$61,Hypothèses!$D$62,0))</f>
        <v/>
      </c>
      <c r="Q57" s="15">
        <f>Hypothèses!$D$56*(IF(Q7=Hypothèses!$D$57,Hypothèses!$D$58,0)+IF(Q7=Hypothèses!$D$59,Hypothèses!$D$60,0)+IF(Q7=Hypothèses!$D$61,Hypothèses!$D$62,0))</f>
        <v/>
      </c>
      <c r="R57" s="15">
        <f>Hypothèses!$D$56*(IF(R7=Hypothèses!$D$57,Hypothèses!$D$58,0)+IF(R7=Hypothèses!$D$59,Hypothèses!$D$60,0)+IF(R7=Hypothèses!$D$61,Hypothèses!$D$62,0))</f>
        <v/>
      </c>
      <c r="S57" s="15">
        <f>Hypothèses!$D$56*(IF(S7=Hypothèses!$D$57,Hypothèses!$D$58,0)+IF(S7=Hypothèses!$D$59,Hypothèses!$D$60,0)+IF(S7=Hypothèses!$D$61,Hypothèses!$D$62,0))</f>
        <v/>
      </c>
      <c r="T57" s="15">
        <f>Hypothèses!$D$56*(IF(T7=Hypothèses!$D$57,Hypothèses!$D$58,0)+IF(T7=Hypothèses!$D$59,Hypothèses!$D$60,0)+IF(T7=Hypothèses!$D$61,Hypothèses!$D$62,0))</f>
        <v/>
      </c>
      <c r="U57" s="15">
        <f>Hypothèses!$D$56*(IF(U7=Hypothèses!$D$57,Hypothèses!$D$58,0)+IF(U7=Hypothèses!$D$59,Hypothèses!$D$60,0)+IF(U7=Hypothèses!$D$61,Hypothèses!$D$62,0))</f>
        <v/>
      </c>
      <c r="V57" s="15">
        <f>Hypothèses!$D$56*(IF(V7=Hypothèses!$D$57,Hypothèses!$D$58,0)+IF(V7=Hypothèses!$D$59,Hypothèses!$D$60,0)+IF(V7=Hypothèses!$D$61,Hypothèses!$D$62,0))</f>
        <v/>
      </c>
      <c r="W57" s="15">
        <f>Hypothèses!$D$56*(IF(W7=Hypothèses!$D$57,Hypothèses!$D$58,0)+IF(W7=Hypothèses!$D$59,Hypothèses!$D$60,0)+IF(W7=Hypothèses!$D$61,Hypothèses!$D$62,0))</f>
        <v/>
      </c>
      <c r="X57" s="15">
        <f>Hypothèses!$D$56*(IF(X7=Hypothèses!$D$57,Hypothèses!$D$58,0)+IF(X7=Hypothèses!$D$59,Hypothèses!$D$60,0)+IF(X7=Hypothèses!$D$61,Hypothèses!$D$62,0))</f>
        <v/>
      </c>
      <c r="Y57" s="15">
        <f>Hypothèses!$D$56*(IF(Y7=Hypothèses!$D$57,Hypothèses!$D$58,0)+IF(Y7=Hypothèses!$D$59,Hypothèses!$D$60,0)+IF(Y7=Hypothèses!$D$61,Hypothèses!$D$62,0))</f>
        <v/>
      </c>
      <c r="Z57" s="15">
        <f>Hypothèses!$D$56*(IF(Z7=Hypothèses!$D$57,Hypothèses!$D$58,0)+IF(Z7=Hypothèses!$D$59,Hypothèses!$D$60,0)+IF(Z7=Hypothèses!$D$61,Hypothèses!$D$62,0))</f>
        <v/>
      </c>
      <c r="AA57" s="15">
        <f>Hypothèses!$D$56*(IF(AA7=Hypothèses!$D$57,Hypothèses!$D$58,0)+IF(AA7=Hypothèses!$D$59,Hypothèses!$D$60,0)+IF(AA7=Hypothèses!$D$61,Hypothèses!$D$62,0))</f>
        <v/>
      </c>
      <c r="AB57" s="15">
        <f>Hypothèses!$D$56*(IF(AB7=Hypothèses!$D$57,Hypothèses!$D$58,0)+IF(AB7=Hypothèses!$D$59,Hypothèses!$D$60,0)+IF(AB7=Hypothèses!$D$61,Hypothèses!$D$62,0))</f>
        <v/>
      </c>
      <c r="AC57" s="15">
        <f>Hypothèses!$D$56*(IF(AC7=Hypothèses!$D$57,Hypothèses!$D$58,0)+IF(AC7=Hypothèses!$D$59,Hypothèses!$D$60,0)+IF(AC7=Hypothèses!$D$61,Hypothèses!$D$62,0))</f>
        <v/>
      </c>
      <c r="AD57" s="15">
        <f>Hypothèses!$D$56*(IF(AD7=Hypothèses!$D$57,Hypothèses!$D$58,0)+IF(AD7=Hypothèses!$D$59,Hypothèses!$D$60,0)+IF(AD7=Hypothèses!$D$61,Hypothèses!$D$62,0))</f>
        <v/>
      </c>
      <c r="AE57" s="15">
        <f>Hypothèses!$D$56*(IF(AE7=Hypothèses!$D$57,Hypothèses!$D$58,0)+IF(AE7=Hypothèses!$D$59,Hypothèses!$D$60,0)+IF(AE7=Hypothèses!$D$61,Hypothèses!$D$62,0))</f>
        <v/>
      </c>
      <c r="AF57" s="15">
        <f>Hypothèses!$D$56*(IF(AF7=Hypothèses!$D$57,Hypothèses!$D$58,0)+IF(AF7=Hypothèses!$D$59,Hypothèses!$D$60,0)+IF(AF7=Hypothèses!$D$61,Hypothèses!$D$62,0))</f>
        <v/>
      </c>
      <c r="AG57" s="15">
        <f>Hypothèses!$D$56*(IF(AG7=Hypothèses!$D$57,Hypothèses!$D$58,0)+IF(AG7=Hypothèses!$D$59,Hypothèses!$D$60,0)+IF(AG7=Hypothèses!$D$61,Hypothèses!$D$62,0))</f>
        <v/>
      </c>
      <c r="AH57" s="15">
        <f>Hypothèses!$D$56*(IF(AH7=Hypothèses!$D$57,Hypothèses!$D$58,0)+IF(AH7=Hypothèses!$D$59,Hypothèses!$D$60,0)+IF(AH7=Hypothèses!$D$61,Hypothèses!$D$62,0))</f>
        <v/>
      </c>
      <c r="AI57" s="15">
        <f>Hypothèses!$D$56*(IF(AI7=Hypothèses!$D$57,Hypothèses!$D$58,0)+IF(AI7=Hypothèses!$D$59,Hypothèses!$D$60,0)+IF(AI7=Hypothèses!$D$61,Hypothèses!$D$62,0))</f>
        <v/>
      </c>
      <c r="AJ57" s="15">
        <f>Hypothèses!$D$56*(IF(AJ7=Hypothèses!$D$57,Hypothèses!$D$58,0)+IF(AJ7=Hypothèses!$D$59,Hypothèses!$D$60,0)+IF(AJ7=Hypothèses!$D$61,Hypothèses!$D$62,0))</f>
        <v/>
      </c>
      <c r="AK57" s="15">
        <f>Hypothèses!$D$56*(IF(AK7=Hypothèses!$D$57,Hypothèses!$D$58,0)+IF(AK7=Hypothèses!$D$59,Hypothèses!$D$60,0)+IF(AK7=Hypothèses!$D$61,Hypothèses!$D$62,0))</f>
        <v/>
      </c>
      <c r="AL57" s="15">
        <f>Hypothèses!$D$56*(IF(AL7=Hypothèses!$D$57,Hypothèses!$D$58,0)+IF(AL7=Hypothèses!$D$59,Hypothèses!$D$60,0)+IF(AL7=Hypothèses!$D$61,Hypothèses!$D$62,0))</f>
        <v/>
      </c>
      <c r="AN57" s="15">
        <f>SUM(C57:N57)</f>
        <v/>
      </c>
      <c r="AO57" s="15">
        <f>SUM(O57:Z57)</f>
        <v/>
      </c>
      <c r="AP57" s="15">
        <f>SUM(AA57:AL57)</f>
        <v/>
      </c>
    </row>
    <row r="58">
      <c r="A58" s="9" t="inlineStr">
        <is>
          <t>Trésorerie d'ouverture</t>
        </is>
      </c>
      <c r="B58" s="4" t="inlineStr">
        <is>
          <t>€</t>
        </is>
      </c>
      <c r="C58" s="15">
        <f>Hypothèses!$D$54</f>
        <v/>
      </c>
      <c r="D58" s="15">
        <f>C60</f>
        <v/>
      </c>
      <c r="E58" s="15">
        <f>D60</f>
        <v/>
      </c>
      <c r="F58" s="15">
        <f>E60</f>
        <v/>
      </c>
      <c r="G58" s="15">
        <f>F60</f>
        <v/>
      </c>
      <c r="H58" s="15">
        <f>G60</f>
        <v/>
      </c>
      <c r="I58" s="15">
        <f>H60</f>
        <v/>
      </c>
      <c r="J58" s="15">
        <f>I60</f>
        <v/>
      </c>
      <c r="K58" s="15">
        <f>J60</f>
        <v/>
      </c>
      <c r="L58" s="15">
        <f>K60</f>
        <v/>
      </c>
      <c r="M58" s="15">
        <f>L60</f>
        <v/>
      </c>
      <c r="N58" s="15">
        <f>M60</f>
        <v/>
      </c>
      <c r="O58" s="15">
        <f>N60</f>
        <v/>
      </c>
      <c r="P58" s="15">
        <f>O60</f>
        <v/>
      </c>
      <c r="Q58" s="15">
        <f>P60</f>
        <v/>
      </c>
      <c r="R58" s="15">
        <f>Q60</f>
        <v/>
      </c>
      <c r="S58" s="15">
        <f>R60</f>
        <v/>
      </c>
      <c r="T58" s="15">
        <f>S60</f>
        <v/>
      </c>
      <c r="U58" s="15">
        <f>T60</f>
        <v/>
      </c>
      <c r="V58" s="15">
        <f>U60</f>
        <v/>
      </c>
      <c r="W58" s="15">
        <f>V60</f>
        <v/>
      </c>
      <c r="X58" s="15">
        <f>W60</f>
        <v/>
      </c>
      <c r="Y58" s="15">
        <f>X60</f>
        <v/>
      </c>
      <c r="Z58" s="15">
        <f>Y60</f>
        <v/>
      </c>
      <c r="AA58" s="15">
        <f>Z60</f>
        <v/>
      </c>
      <c r="AB58" s="15">
        <f>AA60</f>
        <v/>
      </c>
      <c r="AC58" s="15">
        <f>AB60</f>
        <v/>
      </c>
      <c r="AD58" s="15">
        <f>AC60</f>
        <v/>
      </c>
      <c r="AE58" s="15">
        <f>AD60</f>
        <v/>
      </c>
      <c r="AF58" s="15">
        <f>AE60</f>
        <v/>
      </c>
      <c r="AG58" s="15">
        <f>AF60</f>
        <v/>
      </c>
      <c r="AH58" s="15">
        <f>AG60</f>
        <v/>
      </c>
      <c r="AI58" s="15">
        <f>AH60</f>
        <v/>
      </c>
      <c r="AJ58" s="15">
        <f>AI60</f>
        <v/>
      </c>
      <c r="AK58" s="15">
        <f>AJ60</f>
        <v/>
      </c>
      <c r="AL58" s="15">
        <f>AK60</f>
        <v/>
      </c>
    </row>
    <row r="59">
      <c r="A59" s="9" t="inlineStr">
        <is>
          <t>Flux de trésorerie du mois</t>
        </is>
      </c>
      <c r="B59" s="4" t="inlineStr">
        <is>
          <t>€</t>
        </is>
      </c>
      <c r="C59" s="15">
        <f>C31-C36-C39-C51-C55+C56+C57</f>
        <v/>
      </c>
      <c r="D59" s="15">
        <f>D31-D36-D39-D51-D55+D56+D57</f>
        <v/>
      </c>
      <c r="E59" s="15">
        <f>E31-E36-E39-E51-E55+E56+E57</f>
        <v/>
      </c>
      <c r="F59" s="15">
        <f>F31-F36-F39-F51-F55+F56+F57</f>
        <v/>
      </c>
      <c r="G59" s="15">
        <f>G31-G36-G39-G51-G55+G56+G57</f>
        <v/>
      </c>
      <c r="H59" s="15">
        <f>H31-H36-H39-H51-H55+H56+H57</f>
        <v/>
      </c>
      <c r="I59" s="15">
        <f>I31-I36-I39-I51-I55+I56+I57</f>
        <v/>
      </c>
      <c r="J59" s="15">
        <f>J31-J36-J39-J51-J55+J56+J57</f>
        <v/>
      </c>
      <c r="K59" s="15">
        <f>K31-K36-K39-K51-K55+K56+K57</f>
        <v/>
      </c>
      <c r="L59" s="15">
        <f>L31-L36-L39-L51-L55+L56+L57</f>
        <v/>
      </c>
      <c r="M59" s="15">
        <f>M31-M36-M39-M51-M55+M56+M57</f>
        <v/>
      </c>
      <c r="N59" s="15">
        <f>N31-N36-N39-N51-N55+N56+N57</f>
        <v/>
      </c>
      <c r="O59" s="15">
        <f>O31-O36-O39-O51-O55+O56+O57</f>
        <v/>
      </c>
      <c r="P59" s="15">
        <f>P31-P36-P39-P51-P55+P56+P57</f>
        <v/>
      </c>
      <c r="Q59" s="15">
        <f>Q31-Q36-Q39-Q51-Q55+Q56+Q57</f>
        <v/>
      </c>
      <c r="R59" s="15">
        <f>R31-R36-R39-R51-R55+R56+R57</f>
        <v/>
      </c>
      <c r="S59" s="15">
        <f>S31-S36-S39-S51-S55+S56+S57</f>
        <v/>
      </c>
      <c r="T59" s="15">
        <f>T31-T36-T39-T51-T55+T56+T57</f>
        <v/>
      </c>
      <c r="U59" s="15">
        <f>U31-U36-U39-U51-U55+U56+U57</f>
        <v/>
      </c>
      <c r="V59" s="15">
        <f>V31-V36-V39-V51-V55+V56+V57</f>
        <v/>
      </c>
      <c r="W59" s="15">
        <f>W31-W36-W39-W51-W55+W56+W57</f>
        <v/>
      </c>
      <c r="X59" s="15">
        <f>X31-X36-X39-X51-X55+X56+X57</f>
        <v/>
      </c>
      <c r="Y59" s="15">
        <f>Y31-Y36-Y39-Y51-Y55+Y56+Y57</f>
        <v/>
      </c>
      <c r="Z59" s="15">
        <f>Z31-Z36-Z39-Z51-Z55+Z56+Z57</f>
        <v/>
      </c>
      <c r="AA59" s="15">
        <f>AA31-AA36-AA39-AA51-AA55+AA56+AA57</f>
        <v/>
      </c>
      <c r="AB59" s="15">
        <f>AB31-AB36-AB39-AB51-AB55+AB56+AB57</f>
        <v/>
      </c>
      <c r="AC59" s="15">
        <f>AC31-AC36-AC39-AC51-AC55+AC56+AC57</f>
        <v/>
      </c>
      <c r="AD59" s="15">
        <f>AD31-AD36-AD39-AD51-AD55+AD56+AD57</f>
        <v/>
      </c>
      <c r="AE59" s="15">
        <f>AE31-AE36-AE39-AE51-AE55+AE56+AE57</f>
        <v/>
      </c>
      <c r="AF59" s="15">
        <f>AF31-AF36-AF39-AF51-AF55+AF56+AF57</f>
        <v/>
      </c>
      <c r="AG59" s="15">
        <f>AG31-AG36-AG39-AG51-AG55+AG56+AG57</f>
        <v/>
      </c>
      <c r="AH59" s="15">
        <f>AH31-AH36-AH39-AH51-AH55+AH56+AH57</f>
        <v/>
      </c>
      <c r="AI59" s="15">
        <f>AI31-AI36-AI39-AI51-AI55+AI56+AI57</f>
        <v/>
      </c>
      <c r="AJ59" s="15">
        <f>AJ31-AJ36-AJ39-AJ51-AJ55+AJ56+AJ57</f>
        <v/>
      </c>
      <c r="AK59" s="15">
        <f>AK31-AK36-AK39-AK51-AK55+AK56+AK57</f>
        <v/>
      </c>
      <c r="AL59" s="15">
        <f>AL31-AL36-AL39-AL51-AL55+AL56+AL57</f>
        <v/>
      </c>
      <c r="AN59" s="15">
        <f>SUM(C59:N59)</f>
        <v/>
      </c>
      <c r="AO59" s="15">
        <f>SUM(O59:Z59)</f>
        <v/>
      </c>
      <c r="AP59" s="15">
        <f>SUM(AA59:AL59)</f>
        <v/>
      </c>
    </row>
    <row r="60">
      <c r="A60" s="2" t="inlineStr">
        <is>
          <t>Trésorerie de clôture</t>
        </is>
      </c>
      <c r="B60" s="4" t="inlineStr">
        <is>
          <t>€</t>
        </is>
      </c>
      <c r="C60" s="40">
        <f>C58+C59</f>
        <v/>
      </c>
      <c r="D60" s="40">
        <f>D58+D59</f>
        <v/>
      </c>
      <c r="E60" s="40">
        <f>E58+E59</f>
        <v/>
      </c>
      <c r="F60" s="40">
        <f>F58+F59</f>
        <v/>
      </c>
      <c r="G60" s="40">
        <f>G58+G59</f>
        <v/>
      </c>
      <c r="H60" s="40">
        <f>H58+H59</f>
        <v/>
      </c>
      <c r="I60" s="40">
        <f>I58+I59</f>
        <v/>
      </c>
      <c r="J60" s="40">
        <f>J58+J59</f>
        <v/>
      </c>
      <c r="K60" s="40">
        <f>K58+K59</f>
        <v/>
      </c>
      <c r="L60" s="40">
        <f>L58+L59</f>
        <v/>
      </c>
      <c r="M60" s="40">
        <f>M58+M59</f>
        <v/>
      </c>
      <c r="N60" s="40">
        <f>N58+N59</f>
        <v/>
      </c>
      <c r="O60" s="40">
        <f>O58+O59</f>
        <v/>
      </c>
      <c r="P60" s="40">
        <f>P58+P59</f>
        <v/>
      </c>
      <c r="Q60" s="40">
        <f>Q58+Q59</f>
        <v/>
      </c>
      <c r="R60" s="40">
        <f>R58+R59</f>
        <v/>
      </c>
      <c r="S60" s="40">
        <f>S58+S59</f>
        <v/>
      </c>
      <c r="T60" s="40">
        <f>T58+T59</f>
        <v/>
      </c>
      <c r="U60" s="40">
        <f>U58+U59</f>
        <v/>
      </c>
      <c r="V60" s="40">
        <f>V58+V59</f>
        <v/>
      </c>
      <c r="W60" s="40">
        <f>W58+W59</f>
        <v/>
      </c>
      <c r="X60" s="40">
        <f>X58+X59</f>
        <v/>
      </c>
      <c r="Y60" s="40">
        <f>Y58+Y59</f>
        <v/>
      </c>
      <c r="Z60" s="40">
        <f>Z58+Z59</f>
        <v/>
      </c>
      <c r="AA60" s="40">
        <f>AA58+AA59</f>
        <v/>
      </c>
      <c r="AB60" s="40">
        <f>AB58+AB59</f>
        <v/>
      </c>
      <c r="AC60" s="40">
        <f>AC58+AC59</f>
        <v/>
      </c>
      <c r="AD60" s="40">
        <f>AD58+AD59</f>
        <v/>
      </c>
      <c r="AE60" s="40">
        <f>AE58+AE59</f>
        <v/>
      </c>
      <c r="AF60" s="40">
        <f>AF58+AF59</f>
        <v/>
      </c>
      <c r="AG60" s="40">
        <f>AG58+AG59</f>
        <v/>
      </c>
      <c r="AH60" s="40">
        <f>AH58+AH59</f>
        <v/>
      </c>
      <c r="AI60" s="40">
        <f>AI58+AI59</f>
        <v/>
      </c>
      <c r="AJ60" s="40">
        <f>AJ58+AJ59</f>
        <v/>
      </c>
      <c r="AK60" s="40">
        <f>AK58+AK59</f>
        <v/>
      </c>
      <c r="AL60" s="40">
        <f>AL58+AL59</f>
        <v/>
      </c>
      <c r="AN60" s="40">
        <f>N60</f>
        <v/>
      </c>
      <c r="AO60" s="40">
        <f>Z60</f>
        <v/>
      </c>
      <c r="AP60" s="40">
        <f>AL60</f>
        <v/>
      </c>
    </row>
    <row r="61">
      <c r="A61" s="9" t="inlineStr">
        <is>
          <t>Financement cumulé</t>
        </is>
      </c>
      <c r="B61" s="4" t="inlineStr">
        <is>
          <t>€</t>
        </is>
      </c>
      <c r="C61" s="15">
        <f>0+C57</f>
        <v/>
      </c>
      <c r="D61" s="15">
        <f>C61+D57</f>
        <v/>
      </c>
      <c r="E61" s="15">
        <f>D61+E57</f>
        <v/>
      </c>
      <c r="F61" s="15">
        <f>E61+F57</f>
        <v/>
      </c>
      <c r="G61" s="15">
        <f>F61+G57</f>
        <v/>
      </c>
      <c r="H61" s="15">
        <f>G61+H57</f>
        <v/>
      </c>
      <c r="I61" s="15">
        <f>H61+I57</f>
        <v/>
      </c>
      <c r="J61" s="15">
        <f>I61+J57</f>
        <v/>
      </c>
      <c r="K61" s="15">
        <f>J61+K57</f>
        <v/>
      </c>
      <c r="L61" s="15">
        <f>K61+L57</f>
        <v/>
      </c>
      <c r="M61" s="15">
        <f>L61+M57</f>
        <v/>
      </c>
      <c r="N61" s="15">
        <f>M61+N57</f>
        <v/>
      </c>
      <c r="O61" s="15">
        <f>N61+O57</f>
        <v/>
      </c>
      <c r="P61" s="15">
        <f>O61+P57</f>
        <v/>
      </c>
      <c r="Q61" s="15">
        <f>P61+Q57</f>
        <v/>
      </c>
      <c r="R61" s="15">
        <f>Q61+R57</f>
        <v/>
      </c>
      <c r="S61" s="15">
        <f>R61+S57</f>
        <v/>
      </c>
      <c r="T61" s="15">
        <f>S61+T57</f>
        <v/>
      </c>
      <c r="U61" s="15">
        <f>T61+U57</f>
        <v/>
      </c>
      <c r="V61" s="15">
        <f>U61+V57</f>
        <v/>
      </c>
      <c r="W61" s="15">
        <f>V61+W57</f>
        <v/>
      </c>
      <c r="X61" s="15">
        <f>W61+X57</f>
        <v/>
      </c>
      <c r="Y61" s="15">
        <f>X61+Y57</f>
        <v/>
      </c>
      <c r="Z61" s="15">
        <f>Y61+Z57</f>
        <v/>
      </c>
      <c r="AA61" s="15">
        <f>Z61+AA57</f>
        <v/>
      </c>
      <c r="AB61" s="15">
        <f>AA61+AB57</f>
        <v/>
      </c>
      <c r="AC61" s="15">
        <f>AB61+AC57</f>
        <v/>
      </c>
      <c r="AD61" s="15">
        <f>AC61+AD57</f>
        <v/>
      </c>
      <c r="AE61" s="15">
        <f>AD61+AE57</f>
        <v/>
      </c>
      <c r="AF61" s="15">
        <f>AE61+AF57</f>
        <v/>
      </c>
      <c r="AG61" s="15">
        <f>AF61+AG57</f>
        <v/>
      </c>
      <c r="AH61" s="15">
        <f>AG61+AH57</f>
        <v/>
      </c>
      <c r="AI61" s="15">
        <f>AH61+AI57</f>
        <v/>
      </c>
      <c r="AJ61" s="15">
        <f>AI61+AJ57</f>
        <v/>
      </c>
      <c r="AK61" s="15">
        <f>AJ61+AK57</f>
        <v/>
      </c>
      <c r="AL61" s="15">
        <f>AK61+AL57</f>
        <v/>
      </c>
      <c r="AN61" s="15">
        <f>N61</f>
        <v/>
      </c>
      <c r="AO61" s="15">
        <f>Z61</f>
        <v/>
      </c>
      <c r="AP61" s="15">
        <f>AL61</f>
        <v/>
      </c>
    </row>
    <row r="62">
      <c r="A62" s="2" t="inlineStr">
        <is>
          <t>Trésorerie cumulée hors financement</t>
        </is>
      </c>
      <c r="B62" s="4" t="inlineStr">
        <is>
          <t>€</t>
        </is>
      </c>
      <c r="C62" s="40">
        <f>C60-C61</f>
        <v/>
      </c>
      <c r="D62" s="40">
        <f>D60-D61</f>
        <v/>
      </c>
      <c r="E62" s="40">
        <f>E60-E61</f>
        <v/>
      </c>
      <c r="F62" s="40">
        <f>F60-F61</f>
        <v/>
      </c>
      <c r="G62" s="40">
        <f>G60-G61</f>
        <v/>
      </c>
      <c r="H62" s="40">
        <f>H60-H61</f>
        <v/>
      </c>
      <c r="I62" s="40">
        <f>I60-I61</f>
        <v/>
      </c>
      <c r="J62" s="40">
        <f>J60-J61</f>
        <v/>
      </c>
      <c r="K62" s="40">
        <f>K60-K61</f>
        <v/>
      </c>
      <c r="L62" s="40">
        <f>L60-L61</f>
        <v/>
      </c>
      <c r="M62" s="40">
        <f>M60-M61</f>
        <v/>
      </c>
      <c r="N62" s="40">
        <f>N60-N61</f>
        <v/>
      </c>
      <c r="O62" s="40">
        <f>O60-O61</f>
        <v/>
      </c>
      <c r="P62" s="40">
        <f>P60-P61</f>
        <v/>
      </c>
      <c r="Q62" s="40">
        <f>Q60-Q61</f>
        <v/>
      </c>
      <c r="R62" s="40">
        <f>R60-R61</f>
        <v/>
      </c>
      <c r="S62" s="40">
        <f>S60-S61</f>
        <v/>
      </c>
      <c r="T62" s="40">
        <f>T60-T61</f>
        <v/>
      </c>
      <c r="U62" s="40">
        <f>U60-U61</f>
        <v/>
      </c>
      <c r="V62" s="40">
        <f>V60-V61</f>
        <v/>
      </c>
      <c r="W62" s="40">
        <f>W60-W61</f>
        <v/>
      </c>
      <c r="X62" s="40">
        <f>X60-X61</f>
        <v/>
      </c>
      <c r="Y62" s="40">
        <f>Y60-Y61</f>
        <v/>
      </c>
      <c r="Z62" s="40">
        <f>Z60-Z61</f>
        <v/>
      </c>
      <c r="AA62" s="40">
        <f>AA60-AA61</f>
        <v/>
      </c>
      <c r="AB62" s="40">
        <f>AB60-AB61</f>
        <v/>
      </c>
      <c r="AC62" s="40">
        <f>AC60-AC61</f>
        <v/>
      </c>
      <c r="AD62" s="40">
        <f>AD60-AD61</f>
        <v/>
      </c>
      <c r="AE62" s="40">
        <f>AE60-AE61</f>
        <v/>
      </c>
      <c r="AF62" s="40">
        <f>AF60-AF61</f>
        <v/>
      </c>
      <c r="AG62" s="40">
        <f>AG60-AG61</f>
        <v/>
      </c>
      <c r="AH62" s="40">
        <f>AH60-AH61</f>
        <v/>
      </c>
      <c r="AI62" s="40">
        <f>AI60-AI61</f>
        <v/>
      </c>
      <c r="AJ62" s="40">
        <f>AJ60-AJ61</f>
        <v/>
      </c>
      <c r="AK62" s="40">
        <f>AK60-AK61</f>
        <v/>
      </c>
      <c r="AL62" s="40">
        <f>AL60-AL61</f>
        <v/>
      </c>
      <c r="AN62" s="40">
        <f>N62</f>
        <v/>
      </c>
      <c r="AO62" s="40">
        <f>Z62</f>
        <v/>
      </c>
      <c r="AP62" s="40">
        <f>AL62</f>
        <v/>
      </c>
    </row>
    <row r="63">
      <c r="A63" s="9" t="inlineStr">
        <is>
          <t>Point bas glissant hors financement</t>
        </is>
      </c>
      <c r="B63" s="4" t="inlineStr">
        <is>
          <t>€</t>
        </is>
      </c>
      <c r="C63" s="15">
        <f>C62</f>
        <v/>
      </c>
      <c r="D63" s="15">
        <f>MIN(C63,D62)</f>
        <v/>
      </c>
      <c r="E63" s="15">
        <f>MIN(D63,E62)</f>
        <v/>
      </c>
      <c r="F63" s="15">
        <f>MIN(E63,F62)</f>
        <v/>
      </c>
      <c r="G63" s="15">
        <f>MIN(F63,G62)</f>
        <v/>
      </c>
      <c r="H63" s="15">
        <f>MIN(G63,H62)</f>
        <v/>
      </c>
      <c r="I63" s="15">
        <f>MIN(H63,I62)</f>
        <v/>
      </c>
      <c r="J63" s="15">
        <f>MIN(I63,J62)</f>
        <v/>
      </c>
      <c r="K63" s="15">
        <f>MIN(J63,K62)</f>
        <v/>
      </c>
      <c r="L63" s="15">
        <f>MIN(K63,L62)</f>
        <v/>
      </c>
      <c r="M63" s="15">
        <f>MIN(L63,M62)</f>
        <v/>
      </c>
      <c r="N63" s="15">
        <f>MIN(M63,N62)</f>
        <v/>
      </c>
      <c r="O63" s="15">
        <f>MIN(N63,O62)</f>
        <v/>
      </c>
      <c r="P63" s="15">
        <f>MIN(O63,P62)</f>
        <v/>
      </c>
      <c r="Q63" s="15">
        <f>MIN(P63,Q62)</f>
        <v/>
      </c>
      <c r="R63" s="15">
        <f>MIN(Q63,R62)</f>
        <v/>
      </c>
      <c r="S63" s="15">
        <f>MIN(R63,S62)</f>
        <v/>
      </c>
      <c r="T63" s="15">
        <f>MIN(S63,T62)</f>
        <v/>
      </c>
      <c r="U63" s="15">
        <f>MIN(T63,U62)</f>
        <v/>
      </c>
      <c r="V63" s="15">
        <f>MIN(U63,V62)</f>
        <v/>
      </c>
      <c r="W63" s="15">
        <f>MIN(V63,W62)</f>
        <v/>
      </c>
      <c r="X63" s="15">
        <f>MIN(W63,X62)</f>
        <v/>
      </c>
      <c r="Y63" s="15">
        <f>MIN(X63,Y62)</f>
        <v/>
      </c>
      <c r="Z63" s="15">
        <f>MIN(Y63,Z62)</f>
        <v/>
      </c>
      <c r="AA63" s="15">
        <f>MIN(Z63,AA62)</f>
        <v/>
      </c>
      <c r="AB63" s="15">
        <f>MIN(AA63,AB62)</f>
        <v/>
      </c>
      <c r="AC63" s="15">
        <f>MIN(AB63,AC62)</f>
        <v/>
      </c>
      <c r="AD63" s="15">
        <f>MIN(AC63,AD62)</f>
        <v/>
      </c>
      <c r="AE63" s="15">
        <f>MIN(AD63,AE62)</f>
        <v/>
      </c>
      <c r="AF63" s="15">
        <f>MIN(AE63,AF62)</f>
        <v/>
      </c>
      <c r="AG63" s="15">
        <f>MIN(AF63,AG62)</f>
        <v/>
      </c>
      <c r="AH63" s="15">
        <f>MIN(AG63,AH62)</f>
        <v/>
      </c>
      <c r="AI63" s="15">
        <f>MIN(AH63,AI62)</f>
        <v/>
      </c>
      <c r="AJ63" s="15">
        <f>MIN(AI63,AJ62)</f>
        <v/>
      </c>
      <c r="AK63" s="15">
        <f>MIN(AJ63,AK62)</f>
        <v/>
      </c>
      <c r="AL63" s="15">
        <f>MIN(AK63,AL62)</f>
        <v/>
      </c>
      <c r="AN63" s="15">
        <f>N63</f>
        <v/>
      </c>
      <c r="AO63" s="15">
        <f>Z63</f>
        <v/>
      </c>
      <c r="AP63" s="15">
        <f>AL63</f>
        <v/>
      </c>
    </row>
    <row r="64">
      <c r="A64" s="9" t="inlineStr">
        <is>
          <t>Trésorerie cumulée hors financement positive après lancement ? (1 = oui)</t>
        </is>
      </c>
      <c r="B64" s="4" t="inlineStr">
        <is>
          <t>0/1</t>
        </is>
      </c>
      <c r="C64" s="13">
        <f>IF(AND(C9=1,C62&gt;0),1,0)</f>
        <v/>
      </c>
      <c r="D64" s="13">
        <f>IF(AND(D9=1,D62&gt;0),1,0)</f>
        <v/>
      </c>
      <c r="E64" s="13">
        <f>IF(AND(E9=1,E62&gt;0),1,0)</f>
        <v/>
      </c>
      <c r="F64" s="13">
        <f>IF(AND(F9=1,F62&gt;0),1,0)</f>
        <v/>
      </c>
      <c r="G64" s="13">
        <f>IF(AND(G9=1,G62&gt;0),1,0)</f>
        <v/>
      </c>
      <c r="H64" s="13">
        <f>IF(AND(H9=1,H62&gt;0),1,0)</f>
        <v/>
      </c>
      <c r="I64" s="13">
        <f>IF(AND(I9=1,I62&gt;0),1,0)</f>
        <v/>
      </c>
      <c r="J64" s="13">
        <f>IF(AND(J9=1,J62&gt;0),1,0)</f>
        <v/>
      </c>
      <c r="K64" s="13">
        <f>IF(AND(K9=1,K62&gt;0),1,0)</f>
        <v/>
      </c>
      <c r="L64" s="13">
        <f>IF(AND(L9=1,L62&gt;0),1,0)</f>
        <v/>
      </c>
      <c r="M64" s="13">
        <f>IF(AND(M9=1,M62&gt;0),1,0)</f>
        <v/>
      </c>
      <c r="N64" s="13">
        <f>IF(AND(N9=1,N62&gt;0),1,0)</f>
        <v/>
      </c>
      <c r="O64" s="13">
        <f>IF(AND(O9=1,O62&gt;0),1,0)</f>
        <v/>
      </c>
      <c r="P64" s="13">
        <f>IF(AND(P9=1,P62&gt;0),1,0)</f>
        <v/>
      </c>
      <c r="Q64" s="13">
        <f>IF(AND(Q9=1,Q62&gt;0),1,0)</f>
        <v/>
      </c>
      <c r="R64" s="13">
        <f>IF(AND(R9=1,R62&gt;0),1,0)</f>
        <v/>
      </c>
      <c r="S64" s="13">
        <f>IF(AND(S9=1,S62&gt;0),1,0)</f>
        <v/>
      </c>
      <c r="T64" s="13">
        <f>IF(AND(T9=1,T62&gt;0),1,0)</f>
        <v/>
      </c>
      <c r="U64" s="13">
        <f>IF(AND(U9=1,U62&gt;0),1,0)</f>
        <v/>
      </c>
      <c r="V64" s="13">
        <f>IF(AND(V9=1,V62&gt;0),1,0)</f>
        <v/>
      </c>
      <c r="W64" s="13">
        <f>IF(AND(W9=1,W62&gt;0),1,0)</f>
        <v/>
      </c>
      <c r="X64" s="13">
        <f>IF(AND(X9=1,X62&gt;0),1,0)</f>
        <v/>
      </c>
      <c r="Y64" s="13">
        <f>IF(AND(Y9=1,Y62&gt;0),1,0)</f>
        <v/>
      </c>
      <c r="Z64" s="13">
        <f>IF(AND(Z9=1,Z62&gt;0),1,0)</f>
        <v/>
      </c>
      <c r="AA64" s="13">
        <f>IF(AND(AA9=1,AA62&gt;0),1,0)</f>
        <v/>
      </c>
      <c r="AB64" s="13">
        <f>IF(AND(AB9=1,AB62&gt;0),1,0)</f>
        <v/>
      </c>
      <c r="AC64" s="13">
        <f>IF(AND(AC9=1,AC62&gt;0),1,0)</f>
        <v/>
      </c>
      <c r="AD64" s="13">
        <f>IF(AND(AD9=1,AD62&gt;0),1,0)</f>
        <v/>
      </c>
      <c r="AE64" s="13">
        <f>IF(AND(AE9=1,AE62&gt;0),1,0)</f>
        <v/>
      </c>
      <c r="AF64" s="13">
        <f>IF(AND(AF9=1,AF62&gt;0),1,0)</f>
        <v/>
      </c>
      <c r="AG64" s="13">
        <f>IF(AND(AG9=1,AG62&gt;0),1,0)</f>
        <v/>
      </c>
      <c r="AH64" s="13">
        <f>IF(AND(AH9=1,AH62&gt;0),1,0)</f>
        <v/>
      </c>
      <c r="AI64" s="13">
        <f>IF(AND(AI9=1,AI62&gt;0),1,0)</f>
        <v/>
      </c>
      <c r="AJ64" s="13">
        <f>IF(AND(AJ9=1,AJ62&gt;0),1,0)</f>
        <v/>
      </c>
      <c r="AK64" s="13">
        <f>IF(AND(AK9=1,AK62&gt;0),1,0)</f>
        <v/>
      </c>
      <c r="AL64" s="13">
        <f>IF(AND(AL9=1,AL62&gt;0),1,0)</f>
        <v/>
      </c>
    </row>
    <row r="65">
      <c r="A65" s="8" t="inlineStr">
        <is>
          <t>Indicateurs</t>
        </is>
      </c>
    </row>
    <row r="66">
      <c r="A66" s="9" t="inlineStr">
        <is>
          <t>ARR HT instantané (CA HT × 12)</t>
        </is>
      </c>
      <c r="B66" s="4" t="inlineStr">
        <is>
          <t>€ HT</t>
        </is>
      </c>
      <c r="C66" s="15">
        <f>C28*12</f>
        <v/>
      </c>
      <c r="D66" s="15">
        <f>D28*12</f>
        <v/>
      </c>
      <c r="E66" s="15">
        <f>E28*12</f>
        <v/>
      </c>
      <c r="F66" s="15">
        <f>F28*12</f>
        <v/>
      </c>
      <c r="G66" s="15">
        <f>G28*12</f>
        <v/>
      </c>
      <c r="H66" s="15">
        <f>H28*12</f>
        <v/>
      </c>
      <c r="I66" s="15">
        <f>I28*12</f>
        <v/>
      </c>
      <c r="J66" s="15">
        <f>J28*12</f>
        <v/>
      </c>
      <c r="K66" s="15">
        <f>K28*12</f>
        <v/>
      </c>
      <c r="L66" s="15">
        <f>L28*12</f>
        <v/>
      </c>
      <c r="M66" s="15">
        <f>M28*12</f>
        <v/>
      </c>
      <c r="N66" s="15">
        <f>N28*12</f>
        <v/>
      </c>
      <c r="O66" s="15">
        <f>O28*12</f>
        <v/>
      </c>
      <c r="P66" s="15">
        <f>P28*12</f>
        <v/>
      </c>
      <c r="Q66" s="15">
        <f>Q28*12</f>
        <v/>
      </c>
      <c r="R66" s="15">
        <f>R28*12</f>
        <v/>
      </c>
      <c r="S66" s="15">
        <f>S28*12</f>
        <v/>
      </c>
      <c r="T66" s="15">
        <f>T28*12</f>
        <v/>
      </c>
      <c r="U66" s="15">
        <f>U28*12</f>
        <v/>
      </c>
      <c r="V66" s="15">
        <f>V28*12</f>
        <v/>
      </c>
      <c r="W66" s="15">
        <f>W28*12</f>
        <v/>
      </c>
      <c r="X66" s="15">
        <f>X28*12</f>
        <v/>
      </c>
      <c r="Y66" s="15">
        <f>Y28*12</f>
        <v/>
      </c>
      <c r="Z66" s="15">
        <f>Z28*12</f>
        <v/>
      </c>
      <c r="AA66" s="15">
        <f>AA28*12</f>
        <v/>
      </c>
      <c r="AB66" s="15">
        <f>AB28*12</f>
        <v/>
      </c>
      <c r="AC66" s="15">
        <f>AC28*12</f>
        <v/>
      </c>
      <c r="AD66" s="15">
        <f>AD28*12</f>
        <v/>
      </c>
      <c r="AE66" s="15">
        <f>AE28*12</f>
        <v/>
      </c>
      <c r="AF66" s="15">
        <f>AF28*12</f>
        <v/>
      </c>
      <c r="AG66" s="15">
        <f>AG28*12</f>
        <v/>
      </c>
      <c r="AH66" s="15">
        <f>AH28*12</f>
        <v/>
      </c>
      <c r="AI66" s="15">
        <f>AI28*12</f>
        <v/>
      </c>
      <c r="AJ66" s="15">
        <f>AJ28*12</f>
        <v/>
      </c>
      <c r="AK66" s="15">
        <f>AK28*12</f>
        <v/>
      </c>
      <c r="AL66" s="15">
        <f>AL28*12</f>
        <v/>
      </c>
      <c r="AN66" s="15">
        <f>N66</f>
        <v/>
      </c>
      <c r="AO66" s="15">
        <f>Z66</f>
        <v/>
      </c>
      <c r="AP66" s="15">
        <f>AL66</f>
        <v/>
      </c>
    </row>
    <row r="67">
      <c r="A67" s="9" t="inlineStr">
        <is>
          <t>ARPA HT (CA HT / abonnés)</t>
        </is>
      </c>
      <c r="B67" s="4" t="inlineStr">
        <is>
          <t>€ HT</t>
        </is>
      </c>
      <c r="C67" s="19">
        <f>IF(C18&gt;0,C28/C18,0)</f>
        <v/>
      </c>
      <c r="D67" s="19">
        <f>IF(D18&gt;0,D28/D18,0)</f>
        <v/>
      </c>
      <c r="E67" s="19">
        <f>IF(E18&gt;0,E28/E18,0)</f>
        <v/>
      </c>
      <c r="F67" s="19">
        <f>IF(F18&gt;0,F28/F18,0)</f>
        <v/>
      </c>
      <c r="G67" s="19">
        <f>IF(G18&gt;0,G28/G18,0)</f>
        <v/>
      </c>
      <c r="H67" s="19">
        <f>IF(H18&gt;0,H28/H18,0)</f>
        <v/>
      </c>
      <c r="I67" s="19">
        <f>IF(I18&gt;0,I28/I18,0)</f>
        <v/>
      </c>
      <c r="J67" s="19">
        <f>IF(J18&gt;0,J28/J18,0)</f>
        <v/>
      </c>
      <c r="K67" s="19">
        <f>IF(K18&gt;0,K28/K18,0)</f>
        <v/>
      </c>
      <c r="L67" s="19">
        <f>IF(L18&gt;0,L28/L18,0)</f>
        <v/>
      </c>
      <c r="M67" s="19">
        <f>IF(M18&gt;0,M28/M18,0)</f>
        <v/>
      </c>
      <c r="N67" s="19">
        <f>IF(N18&gt;0,N28/N18,0)</f>
        <v/>
      </c>
      <c r="O67" s="19">
        <f>IF(O18&gt;0,O28/O18,0)</f>
        <v/>
      </c>
      <c r="P67" s="19">
        <f>IF(P18&gt;0,P28/P18,0)</f>
        <v/>
      </c>
      <c r="Q67" s="19">
        <f>IF(Q18&gt;0,Q28/Q18,0)</f>
        <v/>
      </c>
      <c r="R67" s="19">
        <f>IF(R18&gt;0,R28/R18,0)</f>
        <v/>
      </c>
      <c r="S67" s="19">
        <f>IF(S18&gt;0,S28/S18,0)</f>
        <v/>
      </c>
      <c r="T67" s="19">
        <f>IF(T18&gt;0,T28/T18,0)</f>
        <v/>
      </c>
      <c r="U67" s="19">
        <f>IF(U18&gt;0,U28/U18,0)</f>
        <v/>
      </c>
      <c r="V67" s="19">
        <f>IF(V18&gt;0,V28/V18,0)</f>
        <v/>
      </c>
      <c r="W67" s="19">
        <f>IF(W18&gt;0,W28/W18,0)</f>
        <v/>
      </c>
      <c r="X67" s="19">
        <f>IF(X18&gt;0,X28/X18,0)</f>
        <v/>
      </c>
      <c r="Y67" s="19">
        <f>IF(Y18&gt;0,Y28/Y18,0)</f>
        <v/>
      </c>
      <c r="Z67" s="19">
        <f>IF(Z18&gt;0,Z28/Z18,0)</f>
        <v/>
      </c>
      <c r="AA67" s="19">
        <f>IF(AA18&gt;0,AA28/AA18,0)</f>
        <v/>
      </c>
      <c r="AB67" s="19">
        <f>IF(AB18&gt;0,AB28/AB18,0)</f>
        <v/>
      </c>
      <c r="AC67" s="19">
        <f>IF(AC18&gt;0,AC28/AC18,0)</f>
        <v/>
      </c>
      <c r="AD67" s="19">
        <f>IF(AD18&gt;0,AD28/AD18,0)</f>
        <v/>
      </c>
      <c r="AE67" s="19">
        <f>IF(AE18&gt;0,AE28/AE18,0)</f>
        <v/>
      </c>
      <c r="AF67" s="19">
        <f>IF(AF18&gt;0,AF28/AF18,0)</f>
        <v/>
      </c>
      <c r="AG67" s="19">
        <f>IF(AG18&gt;0,AG28/AG18,0)</f>
        <v/>
      </c>
      <c r="AH67" s="19">
        <f>IF(AH18&gt;0,AH28/AH18,0)</f>
        <v/>
      </c>
      <c r="AI67" s="19">
        <f>IF(AI18&gt;0,AI28/AI18,0)</f>
        <v/>
      </c>
      <c r="AJ67" s="19">
        <f>IF(AJ18&gt;0,AJ28/AJ18,0)</f>
        <v/>
      </c>
      <c r="AK67" s="19">
        <f>IF(AK18&gt;0,AK28/AK18,0)</f>
        <v/>
      </c>
      <c r="AL67" s="19">
        <f>IF(AL18&gt;0,AL28/AL18,0)</f>
        <v/>
      </c>
      <c r="AN67" s="19">
        <f>N67</f>
        <v/>
      </c>
      <c r="AO67" s="19">
        <f>Z67</f>
        <v/>
      </c>
      <c r="AP67" s="19">
        <f>AL67</f>
        <v/>
      </c>
    </row>
    <row r="68">
      <c r="A68" s="9" t="inlineStr">
        <is>
          <t>Coût variable par abonné</t>
        </is>
      </c>
      <c r="B68" s="4" t="inlineStr">
        <is>
          <t>€ HT</t>
        </is>
      </c>
      <c r="C68" s="19">
        <f>IF(C18&gt;0,C36/C18,0)</f>
        <v/>
      </c>
      <c r="D68" s="19">
        <f>IF(D18&gt;0,D36/D18,0)</f>
        <v/>
      </c>
      <c r="E68" s="19">
        <f>IF(E18&gt;0,E36/E18,0)</f>
        <v/>
      </c>
      <c r="F68" s="19">
        <f>IF(F18&gt;0,F36/F18,0)</f>
        <v/>
      </c>
      <c r="G68" s="19">
        <f>IF(G18&gt;0,G36/G18,0)</f>
        <v/>
      </c>
      <c r="H68" s="19">
        <f>IF(H18&gt;0,H36/H18,0)</f>
        <v/>
      </c>
      <c r="I68" s="19">
        <f>IF(I18&gt;0,I36/I18,0)</f>
        <v/>
      </c>
      <c r="J68" s="19">
        <f>IF(J18&gt;0,J36/J18,0)</f>
        <v/>
      </c>
      <c r="K68" s="19">
        <f>IF(K18&gt;0,K36/K18,0)</f>
        <v/>
      </c>
      <c r="L68" s="19">
        <f>IF(L18&gt;0,L36/L18,0)</f>
        <v/>
      </c>
      <c r="M68" s="19">
        <f>IF(M18&gt;0,M36/M18,0)</f>
        <v/>
      </c>
      <c r="N68" s="19">
        <f>IF(N18&gt;0,N36/N18,0)</f>
        <v/>
      </c>
      <c r="O68" s="19">
        <f>IF(O18&gt;0,O36/O18,0)</f>
        <v/>
      </c>
      <c r="P68" s="19">
        <f>IF(P18&gt;0,P36/P18,0)</f>
        <v/>
      </c>
      <c r="Q68" s="19">
        <f>IF(Q18&gt;0,Q36/Q18,0)</f>
        <v/>
      </c>
      <c r="R68" s="19">
        <f>IF(R18&gt;0,R36/R18,0)</f>
        <v/>
      </c>
      <c r="S68" s="19">
        <f>IF(S18&gt;0,S36/S18,0)</f>
        <v/>
      </c>
      <c r="T68" s="19">
        <f>IF(T18&gt;0,T36/T18,0)</f>
        <v/>
      </c>
      <c r="U68" s="19">
        <f>IF(U18&gt;0,U36/U18,0)</f>
        <v/>
      </c>
      <c r="V68" s="19">
        <f>IF(V18&gt;0,V36/V18,0)</f>
        <v/>
      </c>
      <c r="W68" s="19">
        <f>IF(W18&gt;0,W36/W18,0)</f>
        <v/>
      </c>
      <c r="X68" s="19">
        <f>IF(X18&gt;0,X36/X18,0)</f>
        <v/>
      </c>
      <c r="Y68" s="19">
        <f>IF(Y18&gt;0,Y36/Y18,0)</f>
        <v/>
      </c>
      <c r="Z68" s="19">
        <f>IF(Z18&gt;0,Z36/Z18,0)</f>
        <v/>
      </c>
      <c r="AA68" s="19">
        <f>IF(AA18&gt;0,AA36/AA18,0)</f>
        <v/>
      </c>
      <c r="AB68" s="19">
        <f>IF(AB18&gt;0,AB36/AB18,0)</f>
        <v/>
      </c>
      <c r="AC68" s="19">
        <f>IF(AC18&gt;0,AC36/AC18,0)</f>
        <v/>
      </c>
      <c r="AD68" s="19">
        <f>IF(AD18&gt;0,AD36/AD18,0)</f>
        <v/>
      </c>
      <c r="AE68" s="19">
        <f>IF(AE18&gt;0,AE36/AE18,0)</f>
        <v/>
      </c>
      <c r="AF68" s="19">
        <f>IF(AF18&gt;0,AF36/AF18,0)</f>
        <v/>
      </c>
      <c r="AG68" s="19">
        <f>IF(AG18&gt;0,AG36/AG18,0)</f>
        <v/>
      </c>
      <c r="AH68" s="19">
        <f>IF(AH18&gt;0,AH36/AH18,0)</f>
        <v/>
      </c>
      <c r="AI68" s="19">
        <f>IF(AI18&gt;0,AI36/AI18,0)</f>
        <v/>
      </c>
      <c r="AJ68" s="19">
        <f>IF(AJ18&gt;0,AJ36/AJ18,0)</f>
        <v/>
      </c>
      <c r="AK68" s="19">
        <f>IF(AK18&gt;0,AK36/AK18,0)</f>
        <v/>
      </c>
      <c r="AL68" s="19">
        <f>IF(AL18&gt;0,AL36/AL18,0)</f>
        <v/>
      </c>
      <c r="AN68" s="19">
        <f>N68</f>
        <v/>
      </c>
      <c r="AO68" s="19">
        <f>Z68</f>
        <v/>
      </c>
      <c r="AP68" s="19">
        <f>AL68</f>
        <v/>
      </c>
    </row>
    <row r="69">
      <c r="A69" s="9" t="inlineStr">
        <is>
          <t>Contribution par abonné</t>
        </is>
      </c>
      <c r="B69" s="4" t="inlineStr">
        <is>
          <t>€ HT</t>
        </is>
      </c>
      <c r="C69" s="19">
        <f>IF(C18&gt;0,C37/C18,0)</f>
        <v/>
      </c>
      <c r="D69" s="19">
        <f>IF(D18&gt;0,D37/D18,0)</f>
        <v/>
      </c>
      <c r="E69" s="19">
        <f>IF(E18&gt;0,E37/E18,0)</f>
        <v/>
      </c>
      <c r="F69" s="19">
        <f>IF(F18&gt;0,F37/F18,0)</f>
        <v/>
      </c>
      <c r="G69" s="19">
        <f>IF(G18&gt;0,G37/G18,0)</f>
        <v/>
      </c>
      <c r="H69" s="19">
        <f>IF(H18&gt;0,H37/H18,0)</f>
        <v/>
      </c>
      <c r="I69" s="19">
        <f>IF(I18&gt;0,I37/I18,0)</f>
        <v/>
      </c>
      <c r="J69" s="19">
        <f>IF(J18&gt;0,J37/J18,0)</f>
        <v/>
      </c>
      <c r="K69" s="19">
        <f>IF(K18&gt;0,K37/K18,0)</f>
        <v/>
      </c>
      <c r="L69" s="19">
        <f>IF(L18&gt;0,L37/L18,0)</f>
        <v/>
      </c>
      <c r="M69" s="19">
        <f>IF(M18&gt;0,M37/M18,0)</f>
        <v/>
      </c>
      <c r="N69" s="19">
        <f>IF(N18&gt;0,N37/N18,0)</f>
        <v/>
      </c>
      <c r="O69" s="19">
        <f>IF(O18&gt;0,O37/O18,0)</f>
        <v/>
      </c>
      <c r="P69" s="19">
        <f>IF(P18&gt;0,P37/P18,0)</f>
        <v/>
      </c>
      <c r="Q69" s="19">
        <f>IF(Q18&gt;0,Q37/Q18,0)</f>
        <v/>
      </c>
      <c r="R69" s="19">
        <f>IF(R18&gt;0,R37/R18,0)</f>
        <v/>
      </c>
      <c r="S69" s="19">
        <f>IF(S18&gt;0,S37/S18,0)</f>
        <v/>
      </c>
      <c r="T69" s="19">
        <f>IF(T18&gt;0,T37/T18,0)</f>
        <v/>
      </c>
      <c r="U69" s="19">
        <f>IF(U18&gt;0,U37/U18,0)</f>
        <v/>
      </c>
      <c r="V69" s="19">
        <f>IF(V18&gt;0,V37/V18,0)</f>
        <v/>
      </c>
      <c r="W69" s="19">
        <f>IF(W18&gt;0,W37/W18,0)</f>
        <v/>
      </c>
      <c r="X69" s="19">
        <f>IF(X18&gt;0,X37/X18,0)</f>
        <v/>
      </c>
      <c r="Y69" s="19">
        <f>IF(Y18&gt;0,Y37/Y18,0)</f>
        <v/>
      </c>
      <c r="Z69" s="19">
        <f>IF(Z18&gt;0,Z37/Z18,0)</f>
        <v/>
      </c>
      <c r="AA69" s="19">
        <f>IF(AA18&gt;0,AA37/AA18,0)</f>
        <v/>
      </c>
      <c r="AB69" s="19">
        <f>IF(AB18&gt;0,AB37/AB18,0)</f>
        <v/>
      </c>
      <c r="AC69" s="19">
        <f>IF(AC18&gt;0,AC37/AC18,0)</f>
        <v/>
      </c>
      <c r="AD69" s="19">
        <f>IF(AD18&gt;0,AD37/AD18,0)</f>
        <v/>
      </c>
      <c r="AE69" s="19">
        <f>IF(AE18&gt;0,AE37/AE18,0)</f>
        <v/>
      </c>
      <c r="AF69" s="19">
        <f>IF(AF18&gt;0,AF37/AF18,0)</f>
        <v/>
      </c>
      <c r="AG69" s="19">
        <f>IF(AG18&gt;0,AG37/AG18,0)</f>
        <v/>
      </c>
      <c r="AH69" s="19">
        <f>IF(AH18&gt;0,AH37/AH18,0)</f>
        <v/>
      </c>
      <c r="AI69" s="19">
        <f>IF(AI18&gt;0,AI37/AI18,0)</f>
        <v/>
      </c>
      <c r="AJ69" s="19">
        <f>IF(AJ18&gt;0,AJ37/AJ18,0)</f>
        <v/>
      </c>
      <c r="AK69" s="19">
        <f>IF(AK18&gt;0,AK37/AK18,0)</f>
        <v/>
      </c>
      <c r="AL69" s="19">
        <f>IF(AL18&gt;0,AL37/AL18,0)</f>
        <v/>
      </c>
      <c r="AN69" s="19">
        <f>N69</f>
        <v/>
      </c>
      <c r="AO69" s="19">
        <f>Z69</f>
        <v/>
      </c>
      <c r="AP69" s="19">
        <f>AL69</f>
        <v/>
      </c>
    </row>
    <row r="70">
      <c r="A70" s="9" t="inlineStr">
        <is>
          <t>Marge variable (% du CA HT)</t>
        </is>
      </c>
      <c r="B70" s="4" t="inlineStr">
        <is>
          <t>%</t>
        </is>
      </c>
      <c r="C70" s="17">
        <f>IF(C28&gt;0,C37/C28,0)</f>
        <v/>
      </c>
      <c r="D70" s="17">
        <f>IF(D28&gt;0,D37/D28,0)</f>
        <v/>
      </c>
      <c r="E70" s="17">
        <f>IF(E28&gt;0,E37/E28,0)</f>
        <v/>
      </c>
      <c r="F70" s="17">
        <f>IF(F28&gt;0,F37/F28,0)</f>
        <v/>
      </c>
      <c r="G70" s="17">
        <f>IF(G28&gt;0,G37/G28,0)</f>
        <v/>
      </c>
      <c r="H70" s="17">
        <f>IF(H28&gt;0,H37/H28,0)</f>
        <v/>
      </c>
      <c r="I70" s="17">
        <f>IF(I28&gt;0,I37/I28,0)</f>
        <v/>
      </c>
      <c r="J70" s="17">
        <f>IF(J28&gt;0,J37/J28,0)</f>
        <v/>
      </c>
      <c r="K70" s="17">
        <f>IF(K28&gt;0,K37/K28,0)</f>
        <v/>
      </c>
      <c r="L70" s="17">
        <f>IF(L28&gt;0,L37/L28,0)</f>
        <v/>
      </c>
      <c r="M70" s="17">
        <f>IF(M28&gt;0,M37/M28,0)</f>
        <v/>
      </c>
      <c r="N70" s="17">
        <f>IF(N28&gt;0,N37/N28,0)</f>
        <v/>
      </c>
      <c r="O70" s="17">
        <f>IF(O28&gt;0,O37/O28,0)</f>
        <v/>
      </c>
      <c r="P70" s="17">
        <f>IF(P28&gt;0,P37/P28,0)</f>
        <v/>
      </c>
      <c r="Q70" s="17">
        <f>IF(Q28&gt;0,Q37/Q28,0)</f>
        <v/>
      </c>
      <c r="R70" s="17">
        <f>IF(R28&gt;0,R37/R28,0)</f>
        <v/>
      </c>
      <c r="S70" s="17">
        <f>IF(S28&gt;0,S37/S28,0)</f>
        <v/>
      </c>
      <c r="T70" s="17">
        <f>IF(T28&gt;0,T37/T28,0)</f>
        <v/>
      </c>
      <c r="U70" s="17">
        <f>IF(U28&gt;0,U37/U28,0)</f>
        <v/>
      </c>
      <c r="V70" s="17">
        <f>IF(V28&gt;0,V37/V28,0)</f>
        <v/>
      </c>
      <c r="W70" s="17">
        <f>IF(W28&gt;0,W37/W28,0)</f>
        <v/>
      </c>
      <c r="X70" s="17">
        <f>IF(X28&gt;0,X37/X28,0)</f>
        <v/>
      </c>
      <c r="Y70" s="17">
        <f>IF(Y28&gt;0,Y37/Y28,0)</f>
        <v/>
      </c>
      <c r="Z70" s="17">
        <f>IF(Z28&gt;0,Z37/Z28,0)</f>
        <v/>
      </c>
      <c r="AA70" s="17">
        <f>IF(AA28&gt;0,AA37/AA28,0)</f>
        <v/>
      </c>
      <c r="AB70" s="17">
        <f>IF(AB28&gt;0,AB37/AB28,0)</f>
        <v/>
      </c>
      <c r="AC70" s="17">
        <f>IF(AC28&gt;0,AC37/AC28,0)</f>
        <v/>
      </c>
      <c r="AD70" s="17">
        <f>IF(AD28&gt;0,AD37/AD28,0)</f>
        <v/>
      </c>
      <c r="AE70" s="17">
        <f>IF(AE28&gt;0,AE37/AE28,0)</f>
        <v/>
      </c>
      <c r="AF70" s="17">
        <f>IF(AF28&gt;0,AF37/AF28,0)</f>
        <v/>
      </c>
      <c r="AG70" s="17">
        <f>IF(AG28&gt;0,AG37/AG28,0)</f>
        <v/>
      </c>
      <c r="AH70" s="17">
        <f>IF(AH28&gt;0,AH37/AH28,0)</f>
        <v/>
      </c>
      <c r="AI70" s="17">
        <f>IF(AI28&gt;0,AI37/AI28,0)</f>
        <v/>
      </c>
      <c r="AJ70" s="17">
        <f>IF(AJ28&gt;0,AJ37/AJ28,0)</f>
        <v/>
      </c>
      <c r="AK70" s="17">
        <f>IF(AK28&gt;0,AK37/AK28,0)</f>
        <v/>
      </c>
      <c r="AL70" s="17">
        <f>IF(AL28&gt;0,AL37/AL28,0)</f>
        <v/>
      </c>
      <c r="AN70" s="17">
        <f>N70</f>
        <v/>
      </c>
      <c r="AO70" s="17">
        <f>Z70</f>
        <v/>
      </c>
      <c r="AP70" s="17">
        <f>AL70</f>
        <v/>
      </c>
    </row>
    <row r="71">
      <c r="A71" s="9" t="inlineStr">
        <is>
          <t>CAC effectif</t>
        </is>
      </c>
      <c r="B71" s="4" t="inlineStr">
        <is>
          <t>€</t>
        </is>
      </c>
      <c r="C71" s="15">
        <f>IF(C14&gt;0,C39/C14,0)</f>
        <v/>
      </c>
      <c r="D71" s="15">
        <f>IF(D14&gt;0,D39/D14,0)</f>
        <v/>
      </c>
      <c r="E71" s="15">
        <f>IF(E14&gt;0,E39/E14,0)</f>
        <v/>
      </c>
      <c r="F71" s="15">
        <f>IF(F14&gt;0,F39/F14,0)</f>
        <v/>
      </c>
      <c r="G71" s="15">
        <f>IF(G14&gt;0,G39/G14,0)</f>
        <v/>
      </c>
      <c r="H71" s="15">
        <f>IF(H14&gt;0,H39/H14,0)</f>
        <v/>
      </c>
      <c r="I71" s="15">
        <f>IF(I14&gt;0,I39/I14,0)</f>
        <v/>
      </c>
      <c r="J71" s="15">
        <f>IF(J14&gt;0,J39/J14,0)</f>
        <v/>
      </c>
      <c r="K71" s="15">
        <f>IF(K14&gt;0,K39/K14,0)</f>
        <v/>
      </c>
      <c r="L71" s="15">
        <f>IF(L14&gt;0,L39/L14,0)</f>
        <v/>
      </c>
      <c r="M71" s="15">
        <f>IF(M14&gt;0,M39/M14,0)</f>
        <v/>
      </c>
      <c r="N71" s="15">
        <f>IF(N14&gt;0,N39/N14,0)</f>
        <v/>
      </c>
      <c r="O71" s="15">
        <f>IF(O14&gt;0,O39/O14,0)</f>
        <v/>
      </c>
      <c r="P71" s="15">
        <f>IF(P14&gt;0,P39/P14,0)</f>
        <v/>
      </c>
      <c r="Q71" s="15">
        <f>IF(Q14&gt;0,Q39/Q14,0)</f>
        <v/>
      </c>
      <c r="R71" s="15">
        <f>IF(R14&gt;0,R39/R14,0)</f>
        <v/>
      </c>
      <c r="S71" s="15">
        <f>IF(S14&gt;0,S39/S14,0)</f>
        <v/>
      </c>
      <c r="T71" s="15">
        <f>IF(T14&gt;0,T39/T14,0)</f>
        <v/>
      </c>
      <c r="U71" s="15">
        <f>IF(U14&gt;0,U39/U14,0)</f>
        <v/>
      </c>
      <c r="V71" s="15">
        <f>IF(V14&gt;0,V39/V14,0)</f>
        <v/>
      </c>
      <c r="W71" s="15">
        <f>IF(W14&gt;0,W39/W14,0)</f>
        <v/>
      </c>
      <c r="X71" s="15">
        <f>IF(X14&gt;0,X39/X14,0)</f>
        <v/>
      </c>
      <c r="Y71" s="15">
        <f>IF(Y14&gt;0,Y39/Y14,0)</f>
        <v/>
      </c>
      <c r="Z71" s="15">
        <f>IF(Z14&gt;0,Z39/Z14,0)</f>
        <v/>
      </c>
      <c r="AA71" s="15">
        <f>IF(AA14&gt;0,AA39/AA14,0)</f>
        <v/>
      </c>
      <c r="AB71" s="15">
        <f>IF(AB14&gt;0,AB39/AB14,0)</f>
        <v/>
      </c>
      <c r="AC71" s="15">
        <f>IF(AC14&gt;0,AC39/AC14,0)</f>
        <v/>
      </c>
      <c r="AD71" s="15">
        <f>IF(AD14&gt;0,AD39/AD14,0)</f>
        <v/>
      </c>
      <c r="AE71" s="15">
        <f>IF(AE14&gt;0,AE39/AE14,0)</f>
        <v/>
      </c>
      <c r="AF71" s="15">
        <f>IF(AF14&gt;0,AF39/AF14,0)</f>
        <v/>
      </c>
      <c r="AG71" s="15">
        <f>IF(AG14&gt;0,AG39/AG14,0)</f>
        <v/>
      </c>
      <c r="AH71" s="15">
        <f>IF(AH14&gt;0,AH39/AH14,0)</f>
        <v/>
      </c>
      <c r="AI71" s="15">
        <f>IF(AI14&gt;0,AI39/AI14,0)</f>
        <v/>
      </c>
      <c r="AJ71" s="15">
        <f>IF(AJ14&gt;0,AJ39/AJ14,0)</f>
        <v/>
      </c>
      <c r="AK71" s="15">
        <f>IF(AK14&gt;0,AK39/AK14,0)</f>
        <v/>
      </c>
      <c r="AL71" s="15">
        <f>IF(AL14&gt;0,AL39/AL14,0)</f>
        <v/>
      </c>
      <c r="AN71" s="15">
        <f>N71</f>
        <v/>
      </c>
      <c r="AO71" s="15">
        <f>Z71</f>
        <v/>
      </c>
      <c r="AP71" s="15">
        <f>AL71</f>
        <v/>
      </c>
    </row>
    <row r="72">
      <c r="A72" s="9" t="inlineStr">
        <is>
          <t>Payback du CAC (mois)</t>
        </is>
      </c>
      <c r="B72" s="4" t="inlineStr">
        <is>
          <t>mois</t>
        </is>
      </c>
      <c r="C72" s="38">
        <f>IF(C69&gt;0,Hypothèses!$D$23*$E$4/C69,0)</f>
        <v/>
      </c>
      <c r="D72" s="38">
        <f>IF(D69&gt;0,Hypothèses!$D$23*$E$4/D69,0)</f>
        <v/>
      </c>
      <c r="E72" s="38">
        <f>IF(E69&gt;0,Hypothèses!$D$23*$E$4/E69,0)</f>
        <v/>
      </c>
      <c r="F72" s="38">
        <f>IF(F69&gt;0,Hypothèses!$D$23*$E$4/F69,0)</f>
        <v/>
      </c>
      <c r="G72" s="38">
        <f>IF(G69&gt;0,Hypothèses!$D$23*$E$4/G69,0)</f>
        <v/>
      </c>
      <c r="H72" s="38">
        <f>IF(H69&gt;0,Hypothèses!$D$23*$E$4/H69,0)</f>
        <v/>
      </c>
      <c r="I72" s="38">
        <f>IF(I69&gt;0,Hypothèses!$D$23*$E$4/I69,0)</f>
        <v/>
      </c>
      <c r="J72" s="38">
        <f>IF(J69&gt;0,Hypothèses!$D$23*$E$4/J69,0)</f>
        <v/>
      </c>
      <c r="K72" s="38">
        <f>IF(K69&gt;0,Hypothèses!$D$23*$E$4/K69,0)</f>
        <v/>
      </c>
      <c r="L72" s="38">
        <f>IF(L69&gt;0,Hypothèses!$D$23*$E$4/L69,0)</f>
        <v/>
      </c>
      <c r="M72" s="38">
        <f>IF(M69&gt;0,Hypothèses!$D$23*$E$4/M69,0)</f>
        <v/>
      </c>
      <c r="N72" s="38">
        <f>IF(N69&gt;0,Hypothèses!$D$23*$E$4/N69,0)</f>
        <v/>
      </c>
      <c r="O72" s="38">
        <f>IF(O69&gt;0,Hypothèses!$D$23*$E$4/O69,0)</f>
        <v/>
      </c>
      <c r="P72" s="38">
        <f>IF(P69&gt;0,Hypothèses!$D$23*$E$4/P69,0)</f>
        <v/>
      </c>
      <c r="Q72" s="38">
        <f>IF(Q69&gt;0,Hypothèses!$D$23*$E$4/Q69,0)</f>
        <v/>
      </c>
      <c r="R72" s="38">
        <f>IF(R69&gt;0,Hypothèses!$D$23*$E$4/R69,0)</f>
        <v/>
      </c>
      <c r="S72" s="38">
        <f>IF(S69&gt;0,Hypothèses!$D$23*$E$4/S69,0)</f>
        <v/>
      </c>
      <c r="T72" s="38">
        <f>IF(T69&gt;0,Hypothèses!$D$23*$E$4/T69,0)</f>
        <v/>
      </c>
      <c r="U72" s="38">
        <f>IF(U69&gt;0,Hypothèses!$D$23*$E$4/U69,0)</f>
        <v/>
      </c>
      <c r="V72" s="38">
        <f>IF(V69&gt;0,Hypothèses!$D$23*$E$4/V69,0)</f>
        <v/>
      </c>
      <c r="W72" s="38">
        <f>IF(W69&gt;0,Hypothèses!$D$23*$E$4/W69,0)</f>
        <v/>
      </c>
      <c r="X72" s="38">
        <f>IF(X69&gt;0,Hypothèses!$D$23*$E$4/X69,0)</f>
        <v/>
      </c>
      <c r="Y72" s="38">
        <f>IF(Y69&gt;0,Hypothèses!$D$23*$E$4/Y69,0)</f>
        <v/>
      </c>
      <c r="Z72" s="38">
        <f>IF(Z69&gt;0,Hypothèses!$D$23*$E$4/Z69,0)</f>
        <v/>
      </c>
      <c r="AA72" s="38">
        <f>IF(AA69&gt;0,Hypothèses!$D$23*$E$4/AA69,0)</f>
        <v/>
      </c>
      <c r="AB72" s="38">
        <f>IF(AB69&gt;0,Hypothèses!$D$23*$E$4/AB69,0)</f>
        <v/>
      </c>
      <c r="AC72" s="38">
        <f>IF(AC69&gt;0,Hypothèses!$D$23*$E$4/AC69,0)</f>
        <v/>
      </c>
      <c r="AD72" s="38">
        <f>IF(AD69&gt;0,Hypothèses!$D$23*$E$4/AD69,0)</f>
        <v/>
      </c>
      <c r="AE72" s="38">
        <f>IF(AE69&gt;0,Hypothèses!$D$23*$E$4/AE69,0)</f>
        <v/>
      </c>
      <c r="AF72" s="38">
        <f>IF(AF69&gt;0,Hypothèses!$D$23*$E$4/AF69,0)</f>
        <v/>
      </c>
      <c r="AG72" s="38">
        <f>IF(AG69&gt;0,Hypothèses!$D$23*$E$4/AG69,0)</f>
        <v/>
      </c>
      <c r="AH72" s="38">
        <f>IF(AH69&gt;0,Hypothèses!$D$23*$E$4/AH69,0)</f>
        <v/>
      </c>
      <c r="AI72" s="38">
        <f>IF(AI69&gt;0,Hypothèses!$D$23*$E$4/AI69,0)</f>
        <v/>
      </c>
      <c r="AJ72" s="38">
        <f>IF(AJ69&gt;0,Hypothèses!$D$23*$E$4/AJ69,0)</f>
        <v/>
      </c>
      <c r="AK72" s="38">
        <f>IF(AK69&gt;0,Hypothèses!$D$23*$E$4/AK69,0)</f>
        <v/>
      </c>
      <c r="AL72" s="38">
        <f>IF(AL69&gt;0,Hypothèses!$D$23*$E$4/AL69,0)</f>
        <v/>
      </c>
      <c r="AN72" s="38">
        <f>N72</f>
        <v/>
      </c>
      <c r="AO72" s="38">
        <f>Z72</f>
        <v/>
      </c>
      <c r="AP72" s="38">
        <f>AL72</f>
        <v/>
      </c>
    </row>
    <row r="73">
      <c r="A73" s="9" t="inlineStr">
        <is>
          <t>LTV contributive simplifiée (contribution / churn)</t>
        </is>
      </c>
      <c r="B73" s="4" t="inlineStr">
        <is>
          <t>€ HT</t>
        </is>
      </c>
      <c r="C73" s="15">
        <f>IF(Hypothèses!$D$26*$D$4&gt;0,C69/(Hypothèses!$D$26*$D$4),0)</f>
        <v/>
      </c>
      <c r="D73" s="15">
        <f>IF(Hypothèses!$D$26*$D$4&gt;0,D69/(Hypothèses!$D$26*$D$4),0)</f>
        <v/>
      </c>
      <c r="E73" s="15">
        <f>IF(Hypothèses!$D$26*$D$4&gt;0,E69/(Hypothèses!$D$26*$D$4),0)</f>
        <v/>
      </c>
      <c r="F73" s="15">
        <f>IF(Hypothèses!$D$26*$D$4&gt;0,F69/(Hypothèses!$D$26*$D$4),0)</f>
        <v/>
      </c>
      <c r="G73" s="15">
        <f>IF(Hypothèses!$D$26*$D$4&gt;0,G69/(Hypothèses!$D$26*$D$4),0)</f>
        <v/>
      </c>
      <c r="H73" s="15">
        <f>IF(Hypothèses!$D$26*$D$4&gt;0,H69/(Hypothèses!$D$26*$D$4),0)</f>
        <v/>
      </c>
      <c r="I73" s="15">
        <f>IF(Hypothèses!$D$26*$D$4&gt;0,I69/(Hypothèses!$D$26*$D$4),0)</f>
        <v/>
      </c>
      <c r="J73" s="15">
        <f>IF(Hypothèses!$D$26*$D$4&gt;0,J69/(Hypothèses!$D$26*$D$4),0)</f>
        <v/>
      </c>
      <c r="K73" s="15">
        <f>IF(Hypothèses!$D$26*$D$4&gt;0,K69/(Hypothèses!$D$26*$D$4),0)</f>
        <v/>
      </c>
      <c r="L73" s="15">
        <f>IF(Hypothèses!$D$26*$D$4&gt;0,L69/(Hypothèses!$D$26*$D$4),0)</f>
        <v/>
      </c>
      <c r="M73" s="15">
        <f>IF(Hypothèses!$D$26*$D$4&gt;0,M69/(Hypothèses!$D$26*$D$4),0)</f>
        <v/>
      </c>
      <c r="N73" s="15">
        <f>IF(Hypothèses!$D$26*$D$4&gt;0,N69/(Hypothèses!$D$26*$D$4),0)</f>
        <v/>
      </c>
      <c r="O73" s="15">
        <f>IF(Hypothèses!$D$26*$D$4&gt;0,O69/(Hypothèses!$D$26*$D$4),0)</f>
        <v/>
      </c>
      <c r="P73" s="15">
        <f>IF(Hypothèses!$D$26*$D$4&gt;0,P69/(Hypothèses!$D$26*$D$4),0)</f>
        <v/>
      </c>
      <c r="Q73" s="15">
        <f>IF(Hypothèses!$D$26*$D$4&gt;0,Q69/(Hypothèses!$D$26*$D$4),0)</f>
        <v/>
      </c>
      <c r="R73" s="15">
        <f>IF(Hypothèses!$D$26*$D$4&gt;0,R69/(Hypothèses!$D$26*$D$4),0)</f>
        <v/>
      </c>
      <c r="S73" s="15">
        <f>IF(Hypothèses!$D$26*$D$4&gt;0,S69/(Hypothèses!$D$26*$D$4),0)</f>
        <v/>
      </c>
      <c r="T73" s="15">
        <f>IF(Hypothèses!$D$26*$D$4&gt;0,T69/(Hypothèses!$D$26*$D$4),0)</f>
        <v/>
      </c>
      <c r="U73" s="15">
        <f>IF(Hypothèses!$D$26*$D$4&gt;0,U69/(Hypothèses!$D$26*$D$4),0)</f>
        <v/>
      </c>
      <c r="V73" s="15">
        <f>IF(Hypothèses!$D$26*$D$4&gt;0,V69/(Hypothèses!$D$26*$D$4),0)</f>
        <v/>
      </c>
      <c r="W73" s="15">
        <f>IF(Hypothèses!$D$26*$D$4&gt;0,W69/(Hypothèses!$D$26*$D$4),0)</f>
        <v/>
      </c>
      <c r="X73" s="15">
        <f>IF(Hypothèses!$D$26*$D$4&gt;0,X69/(Hypothèses!$D$26*$D$4),0)</f>
        <v/>
      </c>
      <c r="Y73" s="15">
        <f>IF(Hypothèses!$D$26*$D$4&gt;0,Y69/(Hypothèses!$D$26*$D$4),0)</f>
        <v/>
      </c>
      <c r="Z73" s="15">
        <f>IF(Hypothèses!$D$26*$D$4&gt;0,Z69/(Hypothèses!$D$26*$D$4),0)</f>
        <v/>
      </c>
      <c r="AA73" s="15">
        <f>IF(Hypothèses!$D$26*$D$4&gt;0,AA69/(Hypothèses!$D$26*$D$4),0)</f>
        <v/>
      </c>
      <c r="AB73" s="15">
        <f>IF(Hypothèses!$D$26*$D$4&gt;0,AB69/(Hypothèses!$D$26*$D$4),0)</f>
        <v/>
      </c>
      <c r="AC73" s="15">
        <f>IF(Hypothèses!$D$26*$D$4&gt;0,AC69/(Hypothèses!$D$26*$D$4),0)</f>
        <v/>
      </c>
      <c r="AD73" s="15">
        <f>IF(Hypothèses!$D$26*$D$4&gt;0,AD69/(Hypothèses!$D$26*$D$4),0)</f>
        <v/>
      </c>
      <c r="AE73" s="15">
        <f>IF(Hypothèses!$D$26*$D$4&gt;0,AE69/(Hypothèses!$D$26*$D$4),0)</f>
        <v/>
      </c>
      <c r="AF73" s="15">
        <f>IF(Hypothèses!$D$26*$D$4&gt;0,AF69/(Hypothèses!$D$26*$D$4),0)</f>
        <v/>
      </c>
      <c r="AG73" s="15">
        <f>IF(Hypothèses!$D$26*$D$4&gt;0,AG69/(Hypothèses!$D$26*$D$4),0)</f>
        <v/>
      </c>
      <c r="AH73" s="15">
        <f>IF(Hypothèses!$D$26*$D$4&gt;0,AH69/(Hypothèses!$D$26*$D$4),0)</f>
        <v/>
      </c>
      <c r="AI73" s="15">
        <f>IF(Hypothèses!$D$26*$D$4&gt;0,AI69/(Hypothèses!$D$26*$D$4),0)</f>
        <v/>
      </c>
      <c r="AJ73" s="15">
        <f>IF(Hypothèses!$D$26*$D$4&gt;0,AJ69/(Hypothèses!$D$26*$D$4),0)</f>
        <v/>
      </c>
      <c r="AK73" s="15">
        <f>IF(Hypothèses!$D$26*$D$4&gt;0,AK69/(Hypothèses!$D$26*$D$4),0)</f>
        <v/>
      </c>
      <c r="AL73" s="15">
        <f>IF(Hypothèses!$D$26*$D$4&gt;0,AL69/(Hypothèses!$D$26*$D$4),0)</f>
        <v/>
      </c>
      <c r="AN73" s="15">
        <f>N73</f>
        <v/>
      </c>
      <c r="AO73" s="15">
        <f>Z73</f>
        <v/>
      </c>
      <c r="AP73" s="15">
        <f>AL73</f>
        <v/>
      </c>
    </row>
    <row r="74">
      <c r="A74" s="9" t="inlineStr">
        <is>
          <t>LTV / CAC</t>
        </is>
      </c>
      <c r="B74" s="4" t="inlineStr">
        <is>
          <t>x</t>
        </is>
      </c>
      <c r="C74" s="41">
        <f>IF(Hypothèses!$D$23*$E$4&gt;0,C73/(Hypothèses!$D$23*$E$4),0)</f>
        <v/>
      </c>
      <c r="D74" s="41">
        <f>IF(Hypothèses!$D$23*$E$4&gt;0,D73/(Hypothèses!$D$23*$E$4),0)</f>
        <v/>
      </c>
      <c r="E74" s="41">
        <f>IF(Hypothèses!$D$23*$E$4&gt;0,E73/(Hypothèses!$D$23*$E$4),0)</f>
        <v/>
      </c>
      <c r="F74" s="41">
        <f>IF(Hypothèses!$D$23*$E$4&gt;0,F73/(Hypothèses!$D$23*$E$4),0)</f>
        <v/>
      </c>
      <c r="G74" s="41">
        <f>IF(Hypothèses!$D$23*$E$4&gt;0,G73/(Hypothèses!$D$23*$E$4),0)</f>
        <v/>
      </c>
      <c r="H74" s="41">
        <f>IF(Hypothèses!$D$23*$E$4&gt;0,H73/(Hypothèses!$D$23*$E$4),0)</f>
        <v/>
      </c>
      <c r="I74" s="41">
        <f>IF(Hypothèses!$D$23*$E$4&gt;0,I73/(Hypothèses!$D$23*$E$4),0)</f>
        <v/>
      </c>
      <c r="J74" s="41">
        <f>IF(Hypothèses!$D$23*$E$4&gt;0,J73/(Hypothèses!$D$23*$E$4),0)</f>
        <v/>
      </c>
      <c r="K74" s="41">
        <f>IF(Hypothèses!$D$23*$E$4&gt;0,K73/(Hypothèses!$D$23*$E$4),0)</f>
        <v/>
      </c>
      <c r="L74" s="41">
        <f>IF(Hypothèses!$D$23*$E$4&gt;0,L73/(Hypothèses!$D$23*$E$4),0)</f>
        <v/>
      </c>
      <c r="M74" s="41">
        <f>IF(Hypothèses!$D$23*$E$4&gt;0,M73/(Hypothèses!$D$23*$E$4),0)</f>
        <v/>
      </c>
      <c r="N74" s="41">
        <f>IF(Hypothèses!$D$23*$E$4&gt;0,N73/(Hypothèses!$D$23*$E$4),0)</f>
        <v/>
      </c>
      <c r="O74" s="41">
        <f>IF(Hypothèses!$D$23*$E$4&gt;0,O73/(Hypothèses!$D$23*$E$4),0)</f>
        <v/>
      </c>
      <c r="P74" s="41">
        <f>IF(Hypothèses!$D$23*$E$4&gt;0,P73/(Hypothèses!$D$23*$E$4),0)</f>
        <v/>
      </c>
      <c r="Q74" s="41">
        <f>IF(Hypothèses!$D$23*$E$4&gt;0,Q73/(Hypothèses!$D$23*$E$4),0)</f>
        <v/>
      </c>
      <c r="R74" s="41">
        <f>IF(Hypothèses!$D$23*$E$4&gt;0,R73/(Hypothèses!$D$23*$E$4),0)</f>
        <v/>
      </c>
      <c r="S74" s="41">
        <f>IF(Hypothèses!$D$23*$E$4&gt;0,S73/(Hypothèses!$D$23*$E$4),0)</f>
        <v/>
      </c>
      <c r="T74" s="41">
        <f>IF(Hypothèses!$D$23*$E$4&gt;0,T73/(Hypothèses!$D$23*$E$4),0)</f>
        <v/>
      </c>
      <c r="U74" s="41">
        <f>IF(Hypothèses!$D$23*$E$4&gt;0,U73/(Hypothèses!$D$23*$E$4),0)</f>
        <v/>
      </c>
      <c r="V74" s="41">
        <f>IF(Hypothèses!$D$23*$E$4&gt;0,V73/(Hypothèses!$D$23*$E$4),0)</f>
        <v/>
      </c>
      <c r="W74" s="41">
        <f>IF(Hypothèses!$D$23*$E$4&gt;0,W73/(Hypothèses!$D$23*$E$4),0)</f>
        <v/>
      </c>
      <c r="X74" s="41">
        <f>IF(Hypothèses!$D$23*$E$4&gt;0,X73/(Hypothèses!$D$23*$E$4),0)</f>
        <v/>
      </c>
      <c r="Y74" s="41">
        <f>IF(Hypothèses!$D$23*$E$4&gt;0,Y73/(Hypothèses!$D$23*$E$4),0)</f>
        <v/>
      </c>
      <c r="Z74" s="41">
        <f>IF(Hypothèses!$D$23*$E$4&gt;0,Z73/(Hypothèses!$D$23*$E$4),0)</f>
        <v/>
      </c>
      <c r="AA74" s="41">
        <f>IF(Hypothèses!$D$23*$E$4&gt;0,AA73/(Hypothèses!$D$23*$E$4),0)</f>
        <v/>
      </c>
      <c r="AB74" s="41">
        <f>IF(Hypothèses!$D$23*$E$4&gt;0,AB73/(Hypothèses!$D$23*$E$4),0)</f>
        <v/>
      </c>
      <c r="AC74" s="41">
        <f>IF(Hypothèses!$D$23*$E$4&gt;0,AC73/(Hypothèses!$D$23*$E$4),0)</f>
        <v/>
      </c>
      <c r="AD74" s="41">
        <f>IF(Hypothèses!$D$23*$E$4&gt;0,AD73/(Hypothèses!$D$23*$E$4),0)</f>
        <v/>
      </c>
      <c r="AE74" s="41">
        <f>IF(Hypothèses!$D$23*$E$4&gt;0,AE73/(Hypothèses!$D$23*$E$4),0)</f>
        <v/>
      </c>
      <c r="AF74" s="41">
        <f>IF(Hypothèses!$D$23*$E$4&gt;0,AF73/(Hypothèses!$D$23*$E$4),0)</f>
        <v/>
      </c>
      <c r="AG74" s="41">
        <f>IF(Hypothèses!$D$23*$E$4&gt;0,AG73/(Hypothèses!$D$23*$E$4),0)</f>
        <v/>
      </c>
      <c r="AH74" s="41">
        <f>IF(Hypothèses!$D$23*$E$4&gt;0,AH73/(Hypothèses!$D$23*$E$4),0)</f>
        <v/>
      </c>
      <c r="AI74" s="41">
        <f>IF(Hypothèses!$D$23*$E$4&gt;0,AI73/(Hypothèses!$D$23*$E$4),0)</f>
        <v/>
      </c>
      <c r="AJ74" s="41">
        <f>IF(Hypothèses!$D$23*$E$4&gt;0,AJ73/(Hypothèses!$D$23*$E$4),0)</f>
        <v/>
      </c>
      <c r="AK74" s="41">
        <f>IF(Hypothèses!$D$23*$E$4&gt;0,AK73/(Hypothèses!$D$23*$E$4),0)</f>
        <v/>
      </c>
      <c r="AL74" s="41">
        <f>IF(Hypothèses!$D$23*$E$4&gt;0,AL73/(Hypothèses!$D$23*$E$4),0)</f>
        <v/>
      </c>
      <c r="AN74" s="41">
        <f>N74</f>
        <v/>
      </c>
      <c r="AO74" s="41">
        <f>Z74</f>
        <v/>
      </c>
      <c r="AP74" s="41">
        <f>AL74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4DDD2"/>
    <outlinePr summaryBelow="1" summaryRight="1"/>
    <pageSetUpPr/>
  </sheetPr>
  <dimension ref="A1:AP7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40" max="40"/>
    <col width="13" customWidth="1" min="41" max="41"/>
    <col width="13" customWidth="1" min="42" max="42"/>
  </cols>
  <sheetData>
    <row r="1">
      <c r="A1" s="1" t="inlineStr">
        <is>
          <t>Sensibilité S04 : CAC 105 € (copie du Central)</t>
        </is>
      </c>
    </row>
    <row r="2">
      <c r="A2" s="4" t="inlineStr">
        <is>
          <t>Flux en € HT sauf mention TTC. Formules vivantes ; ne saisir que dans l'onglet Hypothèses et la ligne de chocs ci-dessous.</t>
        </is>
      </c>
    </row>
    <row r="3">
      <c r="A3" s="2" t="inlineStr">
        <is>
          <t>Chocs de sensibilité (1 = aucun ; retard en mois)</t>
        </is>
      </c>
      <c r="C3" s="33" t="inlineStr">
        <is>
          <t>Prix ×</t>
        </is>
      </c>
      <c r="D3" s="33" t="inlineStr">
        <is>
          <t>Churn ×</t>
        </is>
      </c>
      <c r="E3" s="33" t="inlineStr">
        <is>
          <t>CAC ×</t>
        </is>
      </c>
      <c r="F3" s="33" t="inlineStr">
        <is>
          <t>Coût IA ×</t>
        </is>
      </c>
      <c r="G3" s="33" t="inlineStr">
        <is>
          <t>Coûts fixes ×</t>
        </is>
      </c>
      <c r="H3" s="33" t="inlineStr">
        <is>
          <t>Retard lancement (mois)</t>
        </is>
      </c>
    </row>
    <row r="4">
      <c r="C4" s="34" t="n">
        <v>1</v>
      </c>
      <c r="D4" s="34" t="n">
        <v>1</v>
      </c>
      <c r="E4" s="34" t="n">
        <v>0.7</v>
      </c>
      <c r="F4" s="34" t="n">
        <v>1</v>
      </c>
      <c r="G4" s="34" t="n">
        <v>1</v>
      </c>
      <c r="H4" s="35" t="n">
        <v>0</v>
      </c>
    </row>
    <row r="5">
      <c r="A5" s="2" t="inlineStr">
        <is>
          <t>Mois de lancement effectif</t>
        </is>
      </c>
      <c r="B5" s="22">
        <f>Hypothèses!$D$10+$H$4</f>
        <v/>
      </c>
    </row>
    <row r="6">
      <c r="A6" s="28" t="inlineStr">
        <is>
          <t>Ligne</t>
        </is>
      </c>
      <c r="B6" s="28" t="inlineStr">
        <is>
          <t>Unité</t>
        </is>
      </c>
      <c r="C6" s="36" t="inlineStr">
        <is>
          <t>M1</t>
        </is>
      </c>
      <c r="D6" s="36" t="inlineStr">
        <is>
          <t>M2</t>
        </is>
      </c>
      <c r="E6" s="36" t="inlineStr">
        <is>
          <t>M3</t>
        </is>
      </c>
      <c r="F6" s="36" t="inlineStr">
        <is>
          <t>M4</t>
        </is>
      </c>
      <c r="G6" s="36" t="inlineStr">
        <is>
          <t>M5</t>
        </is>
      </c>
      <c r="H6" s="36" t="inlineStr">
        <is>
          <t>M6</t>
        </is>
      </c>
      <c r="I6" s="36" t="inlineStr">
        <is>
          <t>M7</t>
        </is>
      </c>
      <c r="J6" s="36" t="inlineStr">
        <is>
          <t>M8</t>
        </is>
      </c>
      <c r="K6" s="36" t="inlineStr">
        <is>
          <t>M9</t>
        </is>
      </c>
      <c r="L6" s="36" t="inlineStr">
        <is>
          <t>M10</t>
        </is>
      </c>
      <c r="M6" s="36" t="inlineStr">
        <is>
          <t>M11</t>
        </is>
      </c>
      <c r="N6" s="36" t="inlineStr">
        <is>
          <t>M12</t>
        </is>
      </c>
      <c r="O6" s="36" t="inlineStr">
        <is>
          <t>M13</t>
        </is>
      </c>
      <c r="P6" s="36" t="inlineStr">
        <is>
          <t>M14</t>
        </is>
      </c>
      <c r="Q6" s="36" t="inlineStr">
        <is>
          <t>M15</t>
        </is>
      </c>
      <c r="R6" s="36" t="inlineStr">
        <is>
          <t>M16</t>
        </is>
      </c>
      <c r="S6" s="36" t="inlineStr">
        <is>
          <t>M17</t>
        </is>
      </c>
      <c r="T6" s="36" t="inlineStr">
        <is>
          <t>M18</t>
        </is>
      </c>
      <c r="U6" s="36" t="inlineStr">
        <is>
          <t>M19</t>
        </is>
      </c>
      <c r="V6" s="36" t="inlineStr">
        <is>
          <t>M20</t>
        </is>
      </c>
      <c r="W6" s="36" t="inlineStr">
        <is>
          <t>M21</t>
        </is>
      </c>
      <c r="X6" s="36" t="inlineStr">
        <is>
          <t>M22</t>
        </is>
      </c>
      <c r="Y6" s="36" t="inlineStr">
        <is>
          <t>M23</t>
        </is>
      </c>
      <c r="Z6" s="36" t="inlineStr">
        <is>
          <t>M24</t>
        </is>
      </c>
      <c r="AA6" s="36" t="inlineStr">
        <is>
          <t>M25</t>
        </is>
      </c>
      <c r="AB6" s="36" t="inlineStr">
        <is>
          <t>M26</t>
        </is>
      </c>
      <c r="AC6" s="36" t="inlineStr">
        <is>
          <t>M27</t>
        </is>
      </c>
      <c r="AD6" s="36" t="inlineStr">
        <is>
          <t>M28</t>
        </is>
      </c>
      <c r="AE6" s="36" t="inlineStr">
        <is>
          <t>M29</t>
        </is>
      </c>
      <c r="AF6" s="36" t="inlineStr">
        <is>
          <t>M30</t>
        </is>
      </c>
      <c r="AG6" s="36" t="inlineStr">
        <is>
          <t>M31</t>
        </is>
      </c>
      <c r="AH6" s="36" t="inlineStr">
        <is>
          <t>M32</t>
        </is>
      </c>
      <c r="AI6" s="36" t="inlineStr">
        <is>
          <t>M33</t>
        </is>
      </c>
      <c r="AJ6" s="36" t="inlineStr">
        <is>
          <t>M34</t>
        </is>
      </c>
      <c r="AK6" s="36" t="inlineStr">
        <is>
          <t>M35</t>
        </is>
      </c>
      <c r="AL6" s="36" t="inlineStr">
        <is>
          <t>M36</t>
        </is>
      </c>
      <c r="AN6" s="37" t="inlineStr">
        <is>
          <t>Année 1</t>
        </is>
      </c>
      <c r="AO6" s="37" t="inlineStr">
        <is>
          <t>Année 2</t>
        </is>
      </c>
      <c r="AP6" s="37" t="inlineStr">
        <is>
          <t>Année 3</t>
        </is>
      </c>
    </row>
    <row r="7">
      <c r="A7" s="9" t="inlineStr">
        <is>
          <t>Mois</t>
        </is>
      </c>
      <c r="B7" s="4" t="inlineStr">
        <is>
          <t>n°</t>
        </is>
      </c>
      <c r="C7" s="13" t="n">
        <v>1</v>
      </c>
      <c r="D7" s="13" t="n">
        <v>2</v>
      </c>
      <c r="E7" s="13" t="n">
        <v>3</v>
      </c>
      <c r="F7" s="13" t="n">
        <v>4</v>
      </c>
      <c r="G7" s="13" t="n">
        <v>5</v>
      </c>
      <c r="H7" s="13" t="n">
        <v>6</v>
      </c>
      <c r="I7" s="13" t="n">
        <v>7</v>
      </c>
      <c r="J7" s="13" t="n">
        <v>8</v>
      </c>
      <c r="K7" s="13" t="n">
        <v>9</v>
      </c>
      <c r="L7" s="13" t="n">
        <v>10</v>
      </c>
      <c r="M7" s="13" t="n">
        <v>11</v>
      </c>
      <c r="N7" s="13" t="n">
        <v>12</v>
      </c>
      <c r="O7" s="13" t="n">
        <v>13</v>
      </c>
      <c r="P7" s="13" t="n">
        <v>14</v>
      </c>
      <c r="Q7" s="13" t="n">
        <v>15</v>
      </c>
      <c r="R7" s="13" t="n">
        <v>16</v>
      </c>
      <c r="S7" s="13" t="n">
        <v>17</v>
      </c>
      <c r="T7" s="13" t="n">
        <v>18</v>
      </c>
      <c r="U7" s="13" t="n">
        <v>19</v>
      </c>
      <c r="V7" s="13" t="n">
        <v>20</v>
      </c>
      <c r="W7" s="13" t="n">
        <v>21</v>
      </c>
      <c r="X7" s="13" t="n">
        <v>22</v>
      </c>
      <c r="Y7" s="13" t="n">
        <v>23</v>
      </c>
      <c r="Z7" s="13" t="n">
        <v>24</v>
      </c>
      <c r="AA7" s="13" t="n">
        <v>25</v>
      </c>
      <c r="AB7" s="13" t="n">
        <v>26</v>
      </c>
      <c r="AC7" s="13" t="n">
        <v>27</v>
      </c>
      <c r="AD7" s="13" t="n">
        <v>28</v>
      </c>
      <c r="AE7" s="13" t="n">
        <v>29</v>
      </c>
      <c r="AF7" s="13" t="n">
        <v>30</v>
      </c>
      <c r="AG7" s="13" t="n">
        <v>31</v>
      </c>
      <c r="AH7" s="13" t="n">
        <v>32</v>
      </c>
      <c r="AI7" s="13" t="n">
        <v>33</v>
      </c>
      <c r="AJ7" s="13" t="n">
        <v>34</v>
      </c>
      <c r="AK7" s="13" t="n">
        <v>35</v>
      </c>
      <c r="AL7" s="13" t="n">
        <v>36</v>
      </c>
    </row>
    <row r="8">
      <c r="A8" s="9" t="inlineStr">
        <is>
          <t>Date</t>
        </is>
      </c>
      <c r="B8" s="4" t="inlineStr"/>
      <c r="C8" s="11">
        <f>EDATE(Hypothèses!$D$7,C7-1)</f>
        <v/>
      </c>
      <c r="D8" s="11">
        <f>EDATE(Hypothèses!$D$7,D7-1)</f>
        <v/>
      </c>
      <c r="E8" s="11">
        <f>EDATE(Hypothèses!$D$7,E7-1)</f>
        <v/>
      </c>
      <c r="F8" s="11">
        <f>EDATE(Hypothèses!$D$7,F7-1)</f>
        <v/>
      </c>
      <c r="G8" s="11">
        <f>EDATE(Hypothèses!$D$7,G7-1)</f>
        <v/>
      </c>
      <c r="H8" s="11">
        <f>EDATE(Hypothèses!$D$7,H7-1)</f>
        <v/>
      </c>
      <c r="I8" s="11">
        <f>EDATE(Hypothèses!$D$7,I7-1)</f>
        <v/>
      </c>
      <c r="J8" s="11">
        <f>EDATE(Hypothèses!$D$7,J7-1)</f>
        <v/>
      </c>
      <c r="K8" s="11">
        <f>EDATE(Hypothèses!$D$7,K7-1)</f>
        <v/>
      </c>
      <c r="L8" s="11">
        <f>EDATE(Hypothèses!$D$7,L7-1)</f>
        <v/>
      </c>
      <c r="M8" s="11">
        <f>EDATE(Hypothèses!$D$7,M7-1)</f>
        <v/>
      </c>
      <c r="N8" s="11">
        <f>EDATE(Hypothèses!$D$7,N7-1)</f>
        <v/>
      </c>
      <c r="O8" s="11">
        <f>EDATE(Hypothèses!$D$7,O7-1)</f>
        <v/>
      </c>
      <c r="P8" s="11">
        <f>EDATE(Hypothèses!$D$7,P7-1)</f>
        <v/>
      </c>
      <c r="Q8" s="11">
        <f>EDATE(Hypothèses!$D$7,Q7-1)</f>
        <v/>
      </c>
      <c r="R8" s="11">
        <f>EDATE(Hypothèses!$D$7,R7-1)</f>
        <v/>
      </c>
      <c r="S8" s="11">
        <f>EDATE(Hypothèses!$D$7,S7-1)</f>
        <v/>
      </c>
      <c r="T8" s="11">
        <f>EDATE(Hypothèses!$D$7,T7-1)</f>
        <v/>
      </c>
      <c r="U8" s="11">
        <f>EDATE(Hypothèses!$D$7,U7-1)</f>
        <v/>
      </c>
      <c r="V8" s="11">
        <f>EDATE(Hypothèses!$D$7,V7-1)</f>
        <v/>
      </c>
      <c r="W8" s="11">
        <f>EDATE(Hypothèses!$D$7,W7-1)</f>
        <v/>
      </c>
      <c r="X8" s="11">
        <f>EDATE(Hypothèses!$D$7,X7-1)</f>
        <v/>
      </c>
      <c r="Y8" s="11">
        <f>EDATE(Hypothèses!$D$7,Y7-1)</f>
        <v/>
      </c>
      <c r="Z8" s="11">
        <f>EDATE(Hypothèses!$D$7,Z7-1)</f>
        <v/>
      </c>
      <c r="AA8" s="11">
        <f>EDATE(Hypothèses!$D$7,AA7-1)</f>
        <v/>
      </c>
      <c r="AB8" s="11">
        <f>EDATE(Hypothèses!$D$7,AB7-1)</f>
        <v/>
      </c>
      <c r="AC8" s="11">
        <f>EDATE(Hypothèses!$D$7,AC7-1)</f>
        <v/>
      </c>
      <c r="AD8" s="11">
        <f>EDATE(Hypothèses!$D$7,AD7-1)</f>
        <v/>
      </c>
      <c r="AE8" s="11">
        <f>EDATE(Hypothèses!$D$7,AE7-1)</f>
        <v/>
      </c>
      <c r="AF8" s="11">
        <f>EDATE(Hypothèses!$D$7,AF7-1)</f>
        <v/>
      </c>
      <c r="AG8" s="11">
        <f>EDATE(Hypothèses!$D$7,AG7-1)</f>
        <v/>
      </c>
      <c r="AH8" s="11">
        <f>EDATE(Hypothèses!$D$7,AH7-1)</f>
        <v/>
      </c>
      <c r="AI8" s="11">
        <f>EDATE(Hypothèses!$D$7,AI7-1)</f>
        <v/>
      </c>
      <c r="AJ8" s="11">
        <f>EDATE(Hypothèses!$D$7,AJ7-1)</f>
        <v/>
      </c>
      <c r="AK8" s="11">
        <f>EDATE(Hypothèses!$D$7,AK7-1)</f>
        <v/>
      </c>
      <c r="AL8" s="11">
        <f>EDATE(Hypothèses!$D$7,AL7-1)</f>
        <v/>
      </c>
    </row>
    <row r="9">
      <c r="A9" s="9" t="inlineStr">
        <is>
          <t>Lancé ? (1 = oui)</t>
        </is>
      </c>
      <c r="B9" s="4" t="inlineStr">
        <is>
          <t>0/1</t>
        </is>
      </c>
      <c r="C9" s="13">
        <f>IF(C7&gt;=$B$5,1,0)</f>
        <v/>
      </c>
      <c r="D9" s="13">
        <f>IF(D7&gt;=$B$5,1,0)</f>
        <v/>
      </c>
      <c r="E9" s="13">
        <f>IF(E7&gt;=$B$5,1,0)</f>
        <v/>
      </c>
      <c r="F9" s="13">
        <f>IF(F7&gt;=$B$5,1,0)</f>
        <v/>
      </c>
      <c r="G9" s="13">
        <f>IF(G7&gt;=$B$5,1,0)</f>
        <v/>
      </c>
      <c r="H9" s="13">
        <f>IF(H7&gt;=$B$5,1,0)</f>
        <v/>
      </c>
      <c r="I9" s="13">
        <f>IF(I7&gt;=$B$5,1,0)</f>
        <v/>
      </c>
      <c r="J9" s="13">
        <f>IF(J7&gt;=$B$5,1,0)</f>
        <v/>
      </c>
      <c r="K9" s="13">
        <f>IF(K7&gt;=$B$5,1,0)</f>
        <v/>
      </c>
      <c r="L9" s="13">
        <f>IF(L7&gt;=$B$5,1,0)</f>
        <v/>
      </c>
      <c r="M9" s="13">
        <f>IF(M7&gt;=$B$5,1,0)</f>
        <v/>
      </c>
      <c r="N9" s="13">
        <f>IF(N7&gt;=$B$5,1,0)</f>
        <v/>
      </c>
      <c r="O9" s="13">
        <f>IF(O7&gt;=$B$5,1,0)</f>
        <v/>
      </c>
      <c r="P9" s="13">
        <f>IF(P7&gt;=$B$5,1,0)</f>
        <v/>
      </c>
      <c r="Q9" s="13">
        <f>IF(Q7&gt;=$B$5,1,0)</f>
        <v/>
      </c>
      <c r="R9" s="13">
        <f>IF(R7&gt;=$B$5,1,0)</f>
        <v/>
      </c>
      <c r="S9" s="13">
        <f>IF(S7&gt;=$B$5,1,0)</f>
        <v/>
      </c>
      <c r="T9" s="13">
        <f>IF(T7&gt;=$B$5,1,0)</f>
        <v/>
      </c>
      <c r="U9" s="13">
        <f>IF(U7&gt;=$B$5,1,0)</f>
        <v/>
      </c>
      <c r="V9" s="13">
        <f>IF(V7&gt;=$B$5,1,0)</f>
        <v/>
      </c>
      <c r="W9" s="13">
        <f>IF(W7&gt;=$B$5,1,0)</f>
        <v/>
      </c>
      <c r="X9" s="13">
        <f>IF(X7&gt;=$B$5,1,0)</f>
        <v/>
      </c>
      <c r="Y9" s="13">
        <f>IF(Y7&gt;=$B$5,1,0)</f>
        <v/>
      </c>
      <c r="Z9" s="13">
        <f>IF(Z7&gt;=$B$5,1,0)</f>
        <v/>
      </c>
      <c r="AA9" s="13">
        <f>IF(AA7&gt;=$B$5,1,0)</f>
        <v/>
      </c>
      <c r="AB9" s="13">
        <f>IF(AB7&gt;=$B$5,1,0)</f>
        <v/>
      </c>
      <c r="AC9" s="13">
        <f>IF(AC7&gt;=$B$5,1,0)</f>
        <v/>
      </c>
      <c r="AD9" s="13">
        <f>IF(AD7&gt;=$B$5,1,0)</f>
        <v/>
      </c>
      <c r="AE9" s="13">
        <f>IF(AE7&gt;=$B$5,1,0)</f>
        <v/>
      </c>
      <c r="AF9" s="13">
        <f>IF(AF7&gt;=$B$5,1,0)</f>
        <v/>
      </c>
      <c r="AG9" s="13">
        <f>IF(AG7&gt;=$B$5,1,0)</f>
        <v/>
      </c>
      <c r="AH9" s="13">
        <f>IF(AH7&gt;=$B$5,1,0)</f>
        <v/>
      </c>
      <c r="AI9" s="13">
        <f>IF(AI7&gt;=$B$5,1,0)</f>
        <v/>
      </c>
      <c r="AJ9" s="13">
        <f>IF(AJ7&gt;=$B$5,1,0)</f>
        <v/>
      </c>
      <c r="AK9" s="13">
        <f>IF(AK7&gt;=$B$5,1,0)</f>
        <v/>
      </c>
      <c r="AL9" s="13">
        <f>IF(AL7&gt;=$B$5,1,0)</f>
        <v/>
      </c>
    </row>
    <row r="10">
      <c r="A10" s="9" t="inlineStr">
        <is>
          <t>Pilote en cours ? (1 = oui)</t>
        </is>
      </c>
      <c r="B10" s="4" t="inlineStr">
        <is>
          <t>0/1</t>
        </is>
      </c>
      <c r="C10" s="13">
        <f>IF(AND(C7&gt;=Hypothèses!$D$8,C7&lt;$B$5),1,0)</f>
        <v/>
      </c>
      <c r="D10" s="13">
        <f>IF(AND(D7&gt;=Hypothèses!$D$8,D7&lt;$B$5),1,0)</f>
        <v/>
      </c>
      <c r="E10" s="13">
        <f>IF(AND(E7&gt;=Hypothèses!$D$8,E7&lt;$B$5),1,0)</f>
        <v/>
      </c>
      <c r="F10" s="13">
        <f>IF(AND(F7&gt;=Hypothèses!$D$8,F7&lt;$B$5),1,0)</f>
        <v/>
      </c>
      <c r="G10" s="13">
        <f>IF(AND(G7&gt;=Hypothèses!$D$8,G7&lt;$B$5),1,0)</f>
        <v/>
      </c>
      <c r="H10" s="13">
        <f>IF(AND(H7&gt;=Hypothèses!$D$8,H7&lt;$B$5),1,0)</f>
        <v/>
      </c>
      <c r="I10" s="13">
        <f>IF(AND(I7&gt;=Hypothèses!$D$8,I7&lt;$B$5),1,0)</f>
        <v/>
      </c>
      <c r="J10" s="13">
        <f>IF(AND(J7&gt;=Hypothèses!$D$8,J7&lt;$B$5),1,0)</f>
        <v/>
      </c>
      <c r="K10" s="13">
        <f>IF(AND(K7&gt;=Hypothèses!$D$8,K7&lt;$B$5),1,0)</f>
        <v/>
      </c>
      <c r="L10" s="13">
        <f>IF(AND(L7&gt;=Hypothèses!$D$8,L7&lt;$B$5),1,0)</f>
        <v/>
      </c>
      <c r="M10" s="13">
        <f>IF(AND(M7&gt;=Hypothèses!$D$8,M7&lt;$B$5),1,0)</f>
        <v/>
      </c>
      <c r="N10" s="13">
        <f>IF(AND(N7&gt;=Hypothèses!$D$8,N7&lt;$B$5),1,0)</f>
        <v/>
      </c>
      <c r="O10" s="13">
        <f>IF(AND(O7&gt;=Hypothèses!$D$8,O7&lt;$B$5),1,0)</f>
        <v/>
      </c>
      <c r="P10" s="13">
        <f>IF(AND(P7&gt;=Hypothèses!$D$8,P7&lt;$B$5),1,0)</f>
        <v/>
      </c>
      <c r="Q10" s="13">
        <f>IF(AND(Q7&gt;=Hypothèses!$D$8,Q7&lt;$B$5),1,0)</f>
        <v/>
      </c>
      <c r="R10" s="13">
        <f>IF(AND(R7&gt;=Hypothèses!$D$8,R7&lt;$B$5),1,0)</f>
        <v/>
      </c>
      <c r="S10" s="13">
        <f>IF(AND(S7&gt;=Hypothèses!$D$8,S7&lt;$B$5),1,0)</f>
        <v/>
      </c>
      <c r="T10" s="13">
        <f>IF(AND(T7&gt;=Hypothèses!$D$8,T7&lt;$B$5),1,0)</f>
        <v/>
      </c>
      <c r="U10" s="13">
        <f>IF(AND(U7&gt;=Hypothèses!$D$8,U7&lt;$B$5),1,0)</f>
        <v/>
      </c>
      <c r="V10" s="13">
        <f>IF(AND(V7&gt;=Hypothèses!$D$8,V7&lt;$B$5),1,0)</f>
        <v/>
      </c>
      <c r="W10" s="13">
        <f>IF(AND(W7&gt;=Hypothèses!$D$8,W7&lt;$B$5),1,0)</f>
        <v/>
      </c>
      <c r="X10" s="13">
        <f>IF(AND(X7&gt;=Hypothèses!$D$8,X7&lt;$B$5),1,0)</f>
        <v/>
      </c>
      <c r="Y10" s="13">
        <f>IF(AND(Y7&gt;=Hypothèses!$D$8,Y7&lt;$B$5),1,0)</f>
        <v/>
      </c>
      <c r="Z10" s="13">
        <f>IF(AND(Z7&gt;=Hypothèses!$D$8,Z7&lt;$B$5),1,0)</f>
        <v/>
      </c>
      <c r="AA10" s="13">
        <f>IF(AND(AA7&gt;=Hypothèses!$D$8,AA7&lt;$B$5),1,0)</f>
        <v/>
      </c>
      <c r="AB10" s="13">
        <f>IF(AND(AB7&gt;=Hypothèses!$D$8,AB7&lt;$B$5),1,0)</f>
        <v/>
      </c>
      <c r="AC10" s="13">
        <f>IF(AND(AC7&gt;=Hypothèses!$D$8,AC7&lt;$B$5),1,0)</f>
        <v/>
      </c>
      <c r="AD10" s="13">
        <f>IF(AND(AD7&gt;=Hypothèses!$D$8,AD7&lt;$B$5),1,0)</f>
        <v/>
      </c>
      <c r="AE10" s="13">
        <f>IF(AND(AE7&gt;=Hypothèses!$D$8,AE7&lt;$B$5),1,0)</f>
        <v/>
      </c>
      <c r="AF10" s="13">
        <f>IF(AND(AF7&gt;=Hypothèses!$D$8,AF7&lt;$B$5),1,0)</f>
        <v/>
      </c>
      <c r="AG10" s="13">
        <f>IF(AND(AG7&gt;=Hypothèses!$D$8,AG7&lt;$B$5),1,0)</f>
        <v/>
      </c>
      <c r="AH10" s="13">
        <f>IF(AND(AH7&gt;=Hypothèses!$D$8,AH7&lt;$B$5),1,0)</f>
        <v/>
      </c>
      <c r="AI10" s="13">
        <f>IF(AND(AI7&gt;=Hypothèses!$D$8,AI7&lt;$B$5),1,0)</f>
        <v/>
      </c>
      <c r="AJ10" s="13">
        <f>IF(AND(AJ7&gt;=Hypothèses!$D$8,AJ7&lt;$B$5),1,0)</f>
        <v/>
      </c>
      <c r="AK10" s="13">
        <f>IF(AND(AK7&gt;=Hypothèses!$D$8,AK7&lt;$B$5),1,0)</f>
        <v/>
      </c>
      <c r="AL10" s="13">
        <f>IF(AND(AL7&gt;=Hypothèses!$D$8,AL7&lt;$B$5),1,0)</f>
        <v/>
      </c>
    </row>
    <row r="11">
      <c r="A11" s="9" t="inlineStr">
        <is>
          <t>Budget d'acquisition du mois</t>
        </is>
      </c>
      <c r="B11" s="4" t="inlineStr">
        <is>
          <t>€ HT</t>
        </is>
      </c>
      <c r="C11" s="15">
        <f>IF(C9=1,IF(C7&lt;=12,Hypothèses!$D$20,IF(C7&lt;=24,Hypothèses!$D$21,Hypothèses!$D$22)),0)</f>
        <v/>
      </c>
      <c r="D11" s="15">
        <f>IF(D9=1,IF(D7&lt;=12,Hypothèses!$D$20,IF(D7&lt;=24,Hypothèses!$D$21,Hypothèses!$D$22)),0)</f>
        <v/>
      </c>
      <c r="E11" s="15">
        <f>IF(E9=1,IF(E7&lt;=12,Hypothèses!$D$20,IF(E7&lt;=24,Hypothèses!$D$21,Hypothèses!$D$22)),0)</f>
        <v/>
      </c>
      <c r="F11" s="15">
        <f>IF(F9=1,IF(F7&lt;=12,Hypothèses!$D$20,IF(F7&lt;=24,Hypothèses!$D$21,Hypothèses!$D$22)),0)</f>
        <v/>
      </c>
      <c r="G11" s="15">
        <f>IF(G9=1,IF(G7&lt;=12,Hypothèses!$D$20,IF(G7&lt;=24,Hypothèses!$D$21,Hypothèses!$D$22)),0)</f>
        <v/>
      </c>
      <c r="H11" s="15">
        <f>IF(H9=1,IF(H7&lt;=12,Hypothèses!$D$20,IF(H7&lt;=24,Hypothèses!$D$21,Hypothèses!$D$22)),0)</f>
        <v/>
      </c>
      <c r="I11" s="15">
        <f>IF(I9=1,IF(I7&lt;=12,Hypothèses!$D$20,IF(I7&lt;=24,Hypothèses!$D$21,Hypothèses!$D$22)),0)</f>
        <v/>
      </c>
      <c r="J11" s="15">
        <f>IF(J9=1,IF(J7&lt;=12,Hypothèses!$D$20,IF(J7&lt;=24,Hypothèses!$D$21,Hypothèses!$D$22)),0)</f>
        <v/>
      </c>
      <c r="K11" s="15">
        <f>IF(K9=1,IF(K7&lt;=12,Hypothèses!$D$20,IF(K7&lt;=24,Hypothèses!$D$21,Hypothèses!$D$22)),0)</f>
        <v/>
      </c>
      <c r="L11" s="15">
        <f>IF(L9=1,IF(L7&lt;=12,Hypothèses!$D$20,IF(L7&lt;=24,Hypothèses!$D$21,Hypothèses!$D$22)),0)</f>
        <v/>
      </c>
      <c r="M11" s="15">
        <f>IF(M9=1,IF(M7&lt;=12,Hypothèses!$D$20,IF(M7&lt;=24,Hypothèses!$D$21,Hypothèses!$D$22)),0)</f>
        <v/>
      </c>
      <c r="N11" s="15">
        <f>IF(N9=1,IF(N7&lt;=12,Hypothèses!$D$20,IF(N7&lt;=24,Hypothèses!$D$21,Hypothèses!$D$22)),0)</f>
        <v/>
      </c>
      <c r="O11" s="15">
        <f>IF(O9=1,IF(O7&lt;=12,Hypothèses!$D$20,IF(O7&lt;=24,Hypothèses!$D$21,Hypothèses!$D$22)),0)</f>
        <v/>
      </c>
      <c r="P11" s="15">
        <f>IF(P9=1,IF(P7&lt;=12,Hypothèses!$D$20,IF(P7&lt;=24,Hypothèses!$D$21,Hypothèses!$D$22)),0)</f>
        <v/>
      </c>
      <c r="Q11" s="15">
        <f>IF(Q9=1,IF(Q7&lt;=12,Hypothèses!$D$20,IF(Q7&lt;=24,Hypothèses!$D$21,Hypothèses!$D$22)),0)</f>
        <v/>
      </c>
      <c r="R11" s="15">
        <f>IF(R9=1,IF(R7&lt;=12,Hypothèses!$D$20,IF(R7&lt;=24,Hypothèses!$D$21,Hypothèses!$D$22)),0)</f>
        <v/>
      </c>
      <c r="S11" s="15">
        <f>IF(S9=1,IF(S7&lt;=12,Hypothèses!$D$20,IF(S7&lt;=24,Hypothèses!$D$21,Hypothèses!$D$22)),0)</f>
        <v/>
      </c>
      <c r="T11" s="15">
        <f>IF(T9=1,IF(T7&lt;=12,Hypothèses!$D$20,IF(T7&lt;=24,Hypothèses!$D$21,Hypothèses!$D$22)),0)</f>
        <v/>
      </c>
      <c r="U11" s="15">
        <f>IF(U9=1,IF(U7&lt;=12,Hypothèses!$D$20,IF(U7&lt;=24,Hypothèses!$D$21,Hypothèses!$D$22)),0)</f>
        <v/>
      </c>
      <c r="V11" s="15">
        <f>IF(V9=1,IF(V7&lt;=12,Hypothèses!$D$20,IF(V7&lt;=24,Hypothèses!$D$21,Hypothèses!$D$22)),0)</f>
        <v/>
      </c>
      <c r="W11" s="15">
        <f>IF(W9=1,IF(W7&lt;=12,Hypothèses!$D$20,IF(W7&lt;=24,Hypothèses!$D$21,Hypothèses!$D$22)),0)</f>
        <v/>
      </c>
      <c r="X11" s="15">
        <f>IF(X9=1,IF(X7&lt;=12,Hypothèses!$D$20,IF(X7&lt;=24,Hypothèses!$D$21,Hypothèses!$D$22)),0)</f>
        <v/>
      </c>
      <c r="Y11" s="15">
        <f>IF(Y9=1,IF(Y7&lt;=12,Hypothèses!$D$20,IF(Y7&lt;=24,Hypothèses!$D$21,Hypothèses!$D$22)),0)</f>
        <v/>
      </c>
      <c r="Z11" s="15">
        <f>IF(Z9=1,IF(Z7&lt;=12,Hypothèses!$D$20,IF(Z7&lt;=24,Hypothèses!$D$21,Hypothèses!$D$22)),0)</f>
        <v/>
      </c>
      <c r="AA11" s="15">
        <f>IF(AA9=1,IF(AA7&lt;=12,Hypothèses!$D$20,IF(AA7&lt;=24,Hypothèses!$D$21,Hypothèses!$D$22)),0)</f>
        <v/>
      </c>
      <c r="AB11" s="15">
        <f>IF(AB9=1,IF(AB7&lt;=12,Hypothèses!$D$20,IF(AB7&lt;=24,Hypothèses!$D$21,Hypothèses!$D$22)),0)</f>
        <v/>
      </c>
      <c r="AC11" s="15">
        <f>IF(AC9=1,IF(AC7&lt;=12,Hypothèses!$D$20,IF(AC7&lt;=24,Hypothèses!$D$21,Hypothèses!$D$22)),0)</f>
        <v/>
      </c>
      <c r="AD11" s="15">
        <f>IF(AD9=1,IF(AD7&lt;=12,Hypothèses!$D$20,IF(AD7&lt;=24,Hypothèses!$D$21,Hypothèses!$D$22)),0)</f>
        <v/>
      </c>
      <c r="AE11" s="15">
        <f>IF(AE9=1,IF(AE7&lt;=12,Hypothèses!$D$20,IF(AE7&lt;=24,Hypothèses!$D$21,Hypothèses!$D$22)),0)</f>
        <v/>
      </c>
      <c r="AF11" s="15">
        <f>IF(AF9=1,IF(AF7&lt;=12,Hypothèses!$D$20,IF(AF7&lt;=24,Hypothèses!$D$21,Hypothèses!$D$22)),0)</f>
        <v/>
      </c>
      <c r="AG11" s="15">
        <f>IF(AG9=1,IF(AG7&lt;=12,Hypothèses!$D$20,IF(AG7&lt;=24,Hypothèses!$D$21,Hypothèses!$D$22)),0)</f>
        <v/>
      </c>
      <c r="AH11" s="15">
        <f>IF(AH9=1,IF(AH7&lt;=12,Hypothèses!$D$20,IF(AH7&lt;=24,Hypothèses!$D$21,Hypothèses!$D$22)),0)</f>
        <v/>
      </c>
      <c r="AI11" s="15">
        <f>IF(AI9=1,IF(AI7&lt;=12,Hypothèses!$D$20,IF(AI7&lt;=24,Hypothèses!$D$21,Hypothèses!$D$22)),0)</f>
        <v/>
      </c>
      <c r="AJ11" s="15">
        <f>IF(AJ9=1,IF(AJ7&lt;=12,Hypothèses!$D$20,IF(AJ7&lt;=24,Hypothèses!$D$21,Hypothèses!$D$22)),0)</f>
        <v/>
      </c>
      <c r="AK11" s="15">
        <f>IF(AK9=1,IF(AK7&lt;=12,Hypothèses!$D$20,IF(AK7&lt;=24,Hypothèses!$D$21,Hypothèses!$D$22)),0)</f>
        <v/>
      </c>
      <c r="AL11" s="15">
        <f>IF(AL9=1,IF(AL7&lt;=12,Hypothèses!$D$20,IF(AL7&lt;=24,Hypothèses!$D$21,Hypothèses!$D$22)),0)</f>
        <v/>
      </c>
      <c r="AN11" s="15">
        <f>SUM(C11:N11)</f>
        <v/>
      </c>
      <c r="AO11" s="15">
        <f>SUM(O11:Z11)</f>
        <v/>
      </c>
      <c r="AP11" s="15">
        <f>SUM(AA11:AL11)</f>
        <v/>
      </c>
    </row>
    <row r="12">
      <c r="A12" s="8" t="inlineStr">
        <is>
          <t>Abonnés</t>
        </is>
      </c>
    </row>
    <row r="13">
      <c r="A13" s="9" t="inlineStr">
        <is>
          <t>Abonnés en début de mois</t>
        </is>
      </c>
      <c r="B13" s="4" t="inlineStr">
        <is>
          <t>abonnés</t>
        </is>
      </c>
      <c r="C13" s="38">
        <f>0</f>
        <v/>
      </c>
      <c r="D13" s="38">
        <f>C18</f>
        <v/>
      </c>
      <c r="E13" s="38">
        <f>D18</f>
        <v/>
      </c>
      <c r="F13" s="38">
        <f>E18</f>
        <v/>
      </c>
      <c r="G13" s="38">
        <f>F18</f>
        <v/>
      </c>
      <c r="H13" s="38">
        <f>G18</f>
        <v/>
      </c>
      <c r="I13" s="38">
        <f>H18</f>
        <v/>
      </c>
      <c r="J13" s="38">
        <f>I18</f>
        <v/>
      </c>
      <c r="K13" s="38">
        <f>J18</f>
        <v/>
      </c>
      <c r="L13" s="38">
        <f>K18</f>
        <v/>
      </c>
      <c r="M13" s="38">
        <f>L18</f>
        <v/>
      </c>
      <c r="N13" s="38">
        <f>M18</f>
        <v/>
      </c>
      <c r="O13" s="38">
        <f>N18</f>
        <v/>
      </c>
      <c r="P13" s="38">
        <f>O18</f>
        <v/>
      </c>
      <c r="Q13" s="38">
        <f>P18</f>
        <v/>
      </c>
      <c r="R13" s="38">
        <f>Q18</f>
        <v/>
      </c>
      <c r="S13" s="38">
        <f>R18</f>
        <v/>
      </c>
      <c r="T13" s="38">
        <f>S18</f>
        <v/>
      </c>
      <c r="U13" s="38">
        <f>T18</f>
        <v/>
      </c>
      <c r="V13" s="38">
        <f>U18</f>
        <v/>
      </c>
      <c r="W13" s="38">
        <f>V18</f>
        <v/>
      </c>
      <c r="X13" s="38">
        <f>W18</f>
        <v/>
      </c>
      <c r="Y13" s="38">
        <f>X18</f>
        <v/>
      </c>
      <c r="Z13" s="38">
        <f>Y18</f>
        <v/>
      </c>
      <c r="AA13" s="38">
        <f>Z18</f>
        <v/>
      </c>
      <c r="AB13" s="38">
        <f>AA18</f>
        <v/>
      </c>
      <c r="AC13" s="38">
        <f>AB18</f>
        <v/>
      </c>
      <c r="AD13" s="38">
        <f>AC18</f>
        <v/>
      </c>
      <c r="AE13" s="38">
        <f>AD18</f>
        <v/>
      </c>
      <c r="AF13" s="38">
        <f>AE18</f>
        <v/>
      </c>
      <c r="AG13" s="38">
        <f>AF18</f>
        <v/>
      </c>
      <c r="AH13" s="38">
        <f>AG18</f>
        <v/>
      </c>
      <c r="AI13" s="38">
        <f>AH18</f>
        <v/>
      </c>
      <c r="AJ13" s="38">
        <f>AI18</f>
        <v/>
      </c>
      <c r="AK13" s="38">
        <f>AJ18</f>
        <v/>
      </c>
      <c r="AL13" s="38">
        <f>AK18</f>
        <v/>
      </c>
    </row>
    <row r="14">
      <c r="A14" s="9" t="inlineStr">
        <is>
          <t>Nouveaux abonnés par acquisition payante</t>
        </is>
      </c>
      <c r="B14" s="4" t="inlineStr">
        <is>
          <t>abonnés</t>
        </is>
      </c>
      <c r="C14" s="38">
        <f>C11/(Hypothèses!$D$23*$E$4)</f>
        <v/>
      </c>
      <c r="D14" s="38">
        <f>D11/(Hypothèses!$D$23*$E$4)</f>
        <v/>
      </c>
      <c r="E14" s="38">
        <f>E11/(Hypothèses!$D$23*$E$4)</f>
        <v/>
      </c>
      <c r="F14" s="38">
        <f>F11/(Hypothèses!$D$23*$E$4)</f>
        <v/>
      </c>
      <c r="G14" s="38">
        <f>G11/(Hypothèses!$D$23*$E$4)</f>
        <v/>
      </c>
      <c r="H14" s="38">
        <f>H11/(Hypothèses!$D$23*$E$4)</f>
        <v/>
      </c>
      <c r="I14" s="38">
        <f>I11/(Hypothèses!$D$23*$E$4)</f>
        <v/>
      </c>
      <c r="J14" s="38">
        <f>J11/(Hypothèses!$D$23*$E$4)</f>
        <v/>
      </c>
      <c r="K14" s="38">
        <f>K11/(Hypothèses!$D$23*$E$4)</f>
        <v/>
      </c>
      <c r="L14" s="38">
        <f>L11/(Hypothèses!$D$23*$E$4)</f>
        <v/>
      </c>
      <c r="M14" s="38">
        <f>M11/(Hypothèses!$D$23*$E$4)</f>
        <v/>
      </c>
      <c r="N14" s="38">
        <f>N11/(Hypothèses!$D$23*$E$4)</f>
        <v/>
      </c>
      <c r="O14" s="38">
        <f>O11/(Hypothèses!$D$23*$E$4)</f>
        <v/>
      </c>
      <c r="P14" s="38">
        <f>P11/(Hypothèses!$D$23*$E$4)</f>
        <v/>
      </c>
      <c r="Q14" s="38">
        <f>Q11/(Hypothèses!$D$23*$E$4)</f>
        <v/>
      </c>
      <c r="R14" s="38">
        <f>R11/(Hypothèses!$D$23*$E$4)</f>
        <v/>
      </c>
      <c r="S14" s="38">
        <f>S11/(Hypothèses!$D$23*$E$4)</f>
        <v/>
      </c>
      <c r="T14" s="38">
        <f>T11/(Hypothèses!$D$23*$E$4)</f>
        <v/>
      </c>
      <c r="U14" s="38">
        <f>U11/(Hypothèses!$D$23*$E$4)</f>
        <v/>
      </c>
      <c r="V14" s="38">
        <f>V11/(Hypothèses!$D$23*$E$4)</f>
        <v/>
      </c>
      <c r="W14" s="38">
        <f>W11/(Hypothèses!$D$23*$E$4)</f>
        <v/>
      </c>
      <c r="X14" s="38">
        <f>X11/(Hypothèses!$D$23*$E$4)</f>
        <v/>
      </c>
      <c r="Y14" s="38">
        <f>Y11/(Hypothèses!$D$23*$E$4)</f>
        <v/>
      </c>
      <c r="Z14" s="38">
        <f>Z11/(Hypothèses!$D$23*$E$4)</f>
        <v/>
      </c>
      <c r="AA14" s="38">
        <f>AA11/(Hypothèses!$D$23*$E$4)</f>
        <v/>
      </c>
      <c r="AB14" s="38">
        <f>AB11/(Hypothèses!$D$23*$E$4)</f>
        <v/>
      </c>
      <c r="AC14" s="38">
        <f>AC11/(Hypothèses!$D$23*$E$4)</f>
        <v/>
      </c>
      <c r="AD14" s="38">
        <f>AD11/(Hypothèses!$D$23*$E$4)</f>
        <v/>
      </c>
      <c r="AE14" s="38">
        <f>AE11/(Hypothèses!$D$23*$E$4)</f>
        <v/>
      </c>
      <c r="AF14" s="38">
        <f>AF11/(Hypothèses!$D$23*$E$4)</f>
        <v/>
      </c>
      <c r="AG14" s="38">
        <f>AG11/(Hypothèses!$D$23*$E$4)</f>
        <v/>
      </c>
      <c r="AH14" s="38">
        <f>AH11/(Hypothèses!$D$23*$E$4)</f>
        <v/>
      </c>
      <c r="AI14" s="38">
        <f>AI11/(Hypothèses!$D$23*$E$4)</f>
        <v/>
      </c>
      <c r="AJ14" s="38">
        <f>AJ11/(Hypothèses!$D$23*$E$4)</f>
        <v/>
      </c>
      <c r="AK14" s="38">
        <f>AK11/(Hypothèses!$D$23*$E$4)</f>
        <v/>
      </c>
      <c r="AL14" s="38">
        <f>AL11/(Hypothèses!$D$23*$E$4)</f>
        <v/>
      </c>
      <c r="AN14" s="38">
        <f>SUM(C14:N14)</f>
        <v/>
      </c>
      <c r="AO14" s="38">
        <f>SUM(O14:Z14)</f>
        <v/>
      </c>
      <c r="AP14" s="38">
        <f>SUM(AA14:AL14)</f>
        <v/>
      </c>
    </row>
    <row r="15">
      <c r="A15" s="9" t="inlineStr">
        <is>
          <t>Nouveaux abonnés pilote</t>
        </is>
      </c>
      <c r="B15" s="4" t="inlineStr">
        <is>
          <t>abonnés</t>
        </is>
      </c>
      <c r="C15" s="38">
        <f>IF(C7=Hypothèses!$D$8,Hypothèses!$D$9,0)</f>
        <v/>
      </c>
      <c r="D15" s="38">
        <f>IF(D7=Hypothèses!$D$8,Hypothèses!$D$9,0)</f>
        <v/>
      </c>
      <c r="E15" s="38">
        <f>IF(E7=Hypothèses!$D$8,Hypothèses!$D$9,0)</f>
        <v/>
      </c>
      <c r="F15" s="38">
        <f>IF(F7=Hypothèses!$D$8,Hypothèses!$D$9,0)</f>
        <v/>
      </c>
      <c r="G15" s="38">
        <f>IF(G7=Hypothèses!$D$8,Hypothèses!$D$9,0)</f>
        <v/>
      </c>
      <c r="H15" s="38">
        <f>IF(H7=Hypothèses!$D$8,Hypothèses!$D$9,0)</f>
        <v/>
      </c>
      <c r="I15" s="38">
        <f>IF(I7=Hypothèses!$D$8,Hypothèses!$D$9,0)</f>
        <v/>
      </c>
      <c r="J15" s="38">
        <f>IF(J7=Hypothèses!$D$8,Hypothèses!$D$9,0)</f>
        <v/>
      </c>
      <c r="K15" s="38">
        <f>IF(K7=Hypothèses!$D$8,Hypothèses!$D$9,0)</f>
        <v/>
      </c>
      <c r="L15" s="38">
        <f>IF(L7=Hypothèses!$D$8,Hypothèses!$D$9,0)</f>
        <v/>
      </c>
      <c r="M15" s="38">
        <f>IF(M7=Hypothèses!$D$8,Hypothèses!$D$9,0)</f>
        <v/>
      </c>
      <c r="N15" s="38">
        <f>IF(N7=Hypothèses!$D$8,Hypothèses!$D$9,0)</f>
        <v/>
      </c>
      <c r="O15" s="38">
        <f>IF(O7=Hypothèses!$D$8,Hypothèses!$D$9,0)</f>
        <v/>
      </c>
      <c r="P15" s="38">
        <f>IF(P7=Hypothèses!$D$8,Hypothèses!$D$9,0)</f>
        <v/>
      </c>
      <c r="Q15" s="38">
        <f>IF(Q7=Hypothèses!$D$8,Hypothèses!$D$9,0)</f>
        <v/>
      </c>
      <c r="R15" s="38">
        <f>IF(R7=Hypothèses!$D$8,Hypothèses!$D$9,0)</f>
        <v/>
      </c>
      <c r="S15" s="38">
        <f>IF(S7=Hypothèses!$D$8,Hypothèses!$D$9,0)</f>
        <v/>
      </c>
      <c r="T15" s="38">
        <f>IF(T7=Hypothèses!$D$8,Hypothèses!$D$9,0)</f>
        <v/>
      </c>
      <c r="U15" s="38">
        <f>IF(U7=Hypothèses!$D$8,Hypothèses!$D$9,0)</f>
        <v/>
      </c>
      <c r="V15" s="38">
        <f>IF(V7=Hypothèses!$D$8,Hypothèses!$D$9,0)</f>
        <v/>
      </c>
      <c r="W15" s="38">
        <f>IF(W7=Hypothèses!$D$8,Hypothèses!$D$9,0)</f>
        <v/>
      </c>
      <c r="X15" s="38">
        <f>IF(X7=Hypothèses!$D$8,Hypothèses!$D$9,0)</f>
        <v/>
      </c>
      <c r="Y15" s="38">
        <f>IF(Y7=Hypothèses!$D$8,Hypothèses!$D$9,0)</f>
        <v/>
      </c>
      <c r="Z15" s="38">
        <f>IF(Z7=Hypothèses!$D$8,Hypothèses!$D$9,0)</f>
        <v/>
      </c>
      <c r="AA15" s="38">
        <f>IF(AA7=Hypothèses!$D$8,Hypothèses!$D$9,0)</f>
        <v/>
      </c>
      <c r="AB15" s="38">
        <f>IF(AB7=Hypothèses!$D$8,Hypothèses!$D$9,0)</f>
        <v/>
      </c>
      <c r="AC15" s="38">
        <f>IF(AC7=Hypothèses!$D$8,Hypothèses!$D$9,0)</f>
        <v/>
      </c>
      <c r="AD15" s="38">
        <f>IF(AD7=Hypothèses!$D$8,Hypothèses!$D$9,0)</f>
        <v/>
      </c>
      <c r="AE15" s="38">
        <f>IF(AE7=Hypothèses!$D$8,Hypothèses!$D$9,0)</f>
        <v/>
      </c>
      <c r="AF15" s="38">
        <f>IF(AF7=Hypothèses!$D$8,Hypothèses!$D$9,0)</f>
        <v/>
      </c>
      <c r="AG15" s="38">
        <f>IF(AG7=Hypothèses!$D$8,Hypothèses!$D$9,0)</f>
        <v/>
      </c>
      <c r="AH15" s="38">
        <f>IF(AH7=Hypothèses!$D$8,Hypothèses!$D$9,0)</f>
        <v/>
      </c>
      <c r="AI15" s="38">
        <f>IF(AI7=Hypothèses!$D$8,Hypothèses!$D$9,0)</f>
        <v/>
      </c>
      <c r="AJ15" s="38">
        <f>IF(AJ7=Hypothèses!$D$8,Hypothèses!$D$9,0)</f>
        <v/>
      </c>
      <c r="AK15" s="38">
        <f>IF(AK7=Hypothèses!$D$8,Hypothèses!$D$9,0)</f>
        <v/>
      </c>
      <c r="AL15" s="38">
        <f>IF(AL7=Hypothèses!$D$8,Hypothèses!$D$9,0)</f>
        <v/>
      </c>
      <c r="AN15" s="38">
        <f>SUM(C15:N15)</f>
        <v/>
      </c>
      <c r="AO15" s="38">
        <f>SUM(O15:Z15)</f>
        <v/>
      </c>
      <c r="AP15" s="38">
        <f>SUM(AA15:AL15)</f>
        <v/>
      </c>
    </row>
    <row r="16">
      <c r="A16" s="9" t="inlineStr">
        <is>
          <t>Nouveaux abonnés organiques (parrainage)</t>
        </is>
      </c>
      <c r="B16" s="4" t="inlineStr">
        <is>
          <t>abonnés</t>
        </is>
      </c>
      <c r="C16" s="38">
        <f>C9*C13*Hypothèses!$D$24</f>
        <v/>
      </c>
      <c r="D16" s="38">
        <f>D9*D13*Hypothèses!$D$24</f>
        <v/>
      </c>
      <c r="E16" s="38">
        <f>E9*E13*Hypothèses!$D$24</f>
        <v/>
      </c>
      <c r="F16" s="38">
        <f>F9*F13*Hypothèses!$D$24</f>
        <v/>
      </c>
      <c r="G16" s="38">
        <f>G9*G13*Hypothèses!$D$24</f>
        <v/>
      </c>
      <c r="H16" s="38">
        <f>H9*H13*Hypothèses!$D$24</f>
        <v/>
      </c>
      <c r="I16" s="38">
        <f>I9*I13*Hypothèses!$D$24</f>
        <v/>
      </c>
      <c r="J16" s="38">
        <f>J9*J13*Hypothèses!$D$24</f>
        <v/>
      </c>
      <c r="K16" s="38">
        <f>K9*K13*Hypothèses!$D$24</f>
        <v/>
      </c>
      <c r="L16" s="38">
        <f>L9*L13*Hypothèses!$D$24</f>
        <v/>
      </c>
      <c r="M16" s="38">
        <f>M9*M13*Hypothèses!$D$24</f>
        <v/>
      </c>
      <c r="N16" s="38">
        <f>N9*N13*Hypothèses!$D$24</f>
        <v/>
      </c>
      <c r="O16" s="38">
        <f>O9*O13*Hypothèses!$D$24</f>
        <v/>
      </c>
      <c r="P16" s="38">
        <f>P9*P13*Hypothèses!$D$24</f>
        <v/>
      </c>
      <c r="Q16" s="38">
        <f>Q9*Q13*Hypothèses!$D$24</f>
        <v/>
      </c>
      <c r="R16" s="38">
        <f>R9*R13*Hypothèses!$D$24</f>
        <v/>
      </c>
      <c r="S16" s="38">
        <f>S9*S13*Hypothèses!$D$24</f>
        <v/>
      </c>
      <c r="T16" s="38">
        <f>T9*T13*Hypothèses!$D$24</f>
        <v/>
      </c>
      <c r="U16" s="38">
        <f>U9*U13*Hypothèses!$D$24</f>
        <v/>
      </c>
      <c r="V16" s="38">
        <f>V9*V13*Hypothèses!$D$24</f>
        <v/>
      </c>
      <c r="W16" s="38">
        <f>W9*W13*Hypothèses!$D$24</f>
        <v/>
      </c>
      <c r="X16" s="38">
        <f>X9*X13*Hypothèses!$D$24</f>
        <v/>
      </c>
      <c r="Y16" s="38">
        <f>Y9*Y13*Hypothèses!$D$24</f>
        <v/>
      </c>
      <c r="Z16" s="38">
        <f>Z9*Z13*Hypothèses!$D$24</f>
        <v/>
      </c>
      <c r="AA16" s="38">
        <f>AA9*AA13*Hypothèses!$D$24</f>
        <v/>
      </c>
      <c r="AB16" s="38">
        <f>AB9*AB13*Hypothèses!$D$24</f>
        <v/>
      </c>
      <c r="AC16" s="38">
        <f>AC9*AC13*Hypothèses!$D$24</f>
        <v/>
      </c>
      <c r="AD16" s="38">
        <f>AD9*AD13*Hypothèses!$D$24</f>
        <v/>
      </c>
      <c r="AE16" s="38">
        <f>AE9*AE13*Hypothèses!$D$24</f>
        <v/>
      </c>
      <c r="AF16" s="38">
        <f>AF9*AF13*Hypothèses!$D$24</f>
        <v/>
      </c>
      <c r="AG16" s="38">
        <f>AG9*AG13*Hypothèses!$D$24</f>
        <v/>
      </c>
      <c r="AH16" s="38">
        <f>AH9*AH13*Hypothèses!$D$24</f>
        <v/>
      </c>
      <c r="AI16" s="38">
        <f>AI9*AI13*Hypothèses!$D$24</f>
        <v/>
      </c>
      <c r="AJ16" s="38">
        <f>AJ9*AJ13*Hypothèses!$D$24</f>
        <v/>
      </c>
      <c r="AK16" s="38">
        <f>AK9*AK13*Hypothèses!$D$24</f>
        <v/>
      </c>
      <c r="AL16" s="38">
        <f>AL9*AL13*Hypothèses!$D$24</f>
        <v/>
      </c>
      <c r="AN16" s="38">
        <f>SUM(C16:N16)</f>
        <v/>
      </c>
      <c r="AO16" s="38">
        <f>SUM(O16:Z16)</f>
        <v/>
      </c>
      <c r="AP16" s="38">
        <f>SUM(AA16:AL16)</f>
        <v/>
      </c>
    </row>
    <row r="17">
      <c r="A17" s="9" t="inlineStr">
        <is>
          <t>Résiliations</t>
        </is>
      </c>
      <c r="B17" s="4" t="inlineStr">
        <is>
          <t>abonnés</t>
        </is>
      </c>
      <c r="C17" s="38">
        <f>C13*Hypothèses!$D$26*$D$4</f>
        <v/>
      </c>
      <c r="D17" s="38">
        <f>D13*Hypothèses!$D$26*$D$4</f>
        <v/>
      </c>
      <c r="E17" s="38">
        <f>E13*Hypothèses!$D$26*$D$4</f>
        <v/>
      </c>
      <c r="F17" s="38">
        <f>F13*Hypothèses!$D$26*$D$4</f>
        <v/>
      </c>
      <c r="G17" s="38">
        <f>G13*Hypothèses!$D$26*$D$4</f>
        <v/>
      </c>
      <c r="H17" s="38">
        <f>H13*Hypothèses!$D$26*$D$4</f>
        <v/>
      </c>
      <c r="I17" s="38">
        <f>I13*Hypothèses!$D$26*$D$4</f>
        <v/>
      </c>
      <c r="J17" s="38">
        <f>J13*Hypothèses!$D$26*$D$4</f>
        <v/>
      </c>
      <c r="K17" s="38">
        <f>K13*Hypothèses!$D$26*$D$4</f>
        <v/>
      </c>
      <c r="L17" s="38">
        <f>L13*Hypothèses!$D$26*$D$4</f>
        <v/>
      </c>
      <c r="M17" s="38">
        <f>M13*Hypothèses!$D$26*$D$4</f>
        <v/>
      </c>
      <c r="N17" s="38">
        <f>N13*Hypothèses!$D$26*$D$4</f>
        <v/>
      </c>
      <c r="O17" s="38">
        <f>O13*Hypothèses!$D$26*$D$4</f>
        <v/>
      </c>
      <c r="P17" s="38">
        <f>P13*Hypothèses!$D$26*$D$4</f>
        <v/>
      </c>
      <c r="Q17" s="38">
        <f>Q13*Hypothèses!$D$26*$D$4</f>
        <v/>
      </c>
      <c r="R17" s="38">
        <f>R13*Hypothèses!$D$26*$D$4</f>
        <v/>
      </c>
      <c r="S17" s="38">
        <f>S13*Hypothèses!$D$26*$D$4</f>
        <v/>
      </c>
      <c r="T17" s="38">
        <f>T13*Hypothèses!$D$26*$D$4</f>
        <v/>
      </c>
      <c r="U17" s="38">
        <f>U13*Hypothèses!$D$26*$D$4</f>
        <v/>
      </c>
      <c r="V17" s="38">
        <f>V13*Hypothèses!$D$26*$D$4</f>
        <v/>
      </c>
      <c r="W17" s="38">
        <f>W13*Hypothèses!$D$26*$D$4</f>
        <v/>
      </c>
      <c r="X17" s="38">
        <f>X13*Hypothèses!$D$26*$D$4</f>
        <v/>
      </c>
      <c r="Y17" s="38">
        <f>Y13*Hypothèses!$D$26*$D$4</f>
        <v/>
      </c>
      <c r="Z17" s="38">
        <f>Z13*Hypothèses!$D$26*$D$4</f>
        <v/>
      </c>
      <c r="AA17" s="38">
        <f>AA13*Hypothèses!$D$26*$D$4</f>
        <v/>
      </c>
      <c r="AB17" s="38">
        <f>AB13*Hypothèses!$D$26*$D$4</f>
        <v/>
      </c>
      <c r="AC17" s="38">
        <f>AC13*Hypothèses!$D$26*$D$4</f>
        <v/>
      </c>
      <c r="AD17" s="38">
        <f>AD13*Hypothèses!$D$26*$D$4</f>
        <v/>
      </c>
      <c r="AE17" s="38">
        <f>AE13*Hypothèses!$D$26*$D$4</f>
        <v/>
      </c>
      <c r="AF17" s="38">
        <f>AF13*Hypothèses!$D$26*$D$4</f>
        <v/>
      </c>
      <c r="AG17" s="38">
        <f>AG13*Hypothèses!$D$26*$D$4</f>
        <v/>
      </c>
      <c r="AH17" s="38">
        <f>AH13*Hypothèses!$D$26*$D$4</f>
        <v/>
      </c>
      <c r="AI17" s="38">
        <f>AI13*Hypothèses!$D$26*$D$4</f>
        <v/>
      </c>
      <c r="AJ17" s="38">
        <f>AJ13*Hypothèses!$D$26*$D$4</f>
        <v/>
      </c>
      <c r="AK17" s="38">
        <f>AK13*Hypothèses!$D$26*$D$4</f>
        <v/>
      </c>
      <c r="AL17" s="38">
        <f>AL13*Hypothèses!$D$26*$D$4</f>
        <v/>
      </c>
      <c r="AN17" s="38">
        <f>SUM(C17:N17)</f>
        <v/>
      </c>
      <c r="AO17" s="38">
        <f>SUM(O17:Z17)</f>
        <v/>
      </c>
      <c r="AP17" s="38">
        <f>SUM(AA17:AL17)</f>
        <v/>
      </c>
    </row>
    <row r="18">
      <c r="A18" s="2" t="inlineStr">
        <is>
          <t>Abonnés en fin de mois</t>
        </is>
      </c>
      <c r="B18" s="4" t="inlineStr">
        <is>
          <t>abonnés</t>
        </is>
      </c>
      <c r="C18" s="39">
        <f>C13+C14+C15+C16-C17</f>
        <v/>
      </c>
      <c r="D18" s="39">
        <f>D13+D14+D15+D16-D17</f>
        <v/>
      </c>
      <c r="E18" s="39">
        <f>E13+E14+E15+E16-E17</f>
        <v/>
      </c>
      <c r="F18" s="39">
        <f>F13+F14+F15+F16-F17</f>
        <v/>
      </c>
      <c r="G18" s="39">
        <f>G13+G14+G15+G16-G17</f>
        <v/>
      </c>
      <c r="H18" s="39">
        <f>H13+H14+H15+H16-H17</f>
        <v/>
      </c>
      <c r="I18" s="39">
        <f>I13+I14+I15+I16-I17</f>
        <v/>
      </c>
      <c r="J18" s="39">
        <f>J13+J14+J15+J16-J17</f>
        <v/>
      </c>
      <c r="K18" s="39">
        <f>K13+K14+K15+K16-K17</f>
        <v/>
      </c>
      <c r="L18" s="39">
        <f>L13+L14+L15+L16-L17</f>
        <v/>
      </c>
      <c r="M18" s="39">
        <f>M13+M14+M15+M16-M17</f>
        <v/>
      </c>
      <c r="N18" s="39">
        <f>N13+N14+N15+N16-N17</f>
        <v/>
      </c>
      <c r="O18" s="39">
        <f>O13+O14+O15+O16-O17</f>
        <v/>
      </c>
      <c r="P18" s="39">
        <f>P13+P14+P15+P16-P17</f>
        <v/>
      </c>
      <c r="Q18" s="39">
        <f>Q13+Q14+Q15+Q16-Q17</f>
        <v/>
      </c>
      <c r="R18" s="39">
        <f>R13+R14+R15+R16-R17</f>
        <v/>
      </c>
      <c r="S18" s="39">
        <f>S13+S14+S15+S16-S17</f>
        <v/>
      </c>
      <c r="T18" s="39">
        <f>T13+T14+T15+T16-T17</f>
        <v/>
      </c>
      <c r="U18" s="39">
        <f>U13+U14+U15+U16-U17</f>
        <v/>
      </c>
      <c r="V18" s="39">
        <f>V13+V14+V15+V16-V17</f>
        <v/>
      </c>
      <c r="W18" s="39">
        <f>W13+W14+W15+W16-W17</f>
        <v/>
      </c>
      <c r="X18" s="39">
        <f>X13+X14+X15+X16-X17</f>
        <v/>
      </c>
      <c r="Y18" s="39">
        <f>Y13+Y14+Y15+Y16-Y17</f>
        <v/>
      </c>
      <c r="Z18" s="39">
        <f>Z13+Z14+Z15+Z16-Z17</f>
        <v/>
      </c>
      <c r="AA18" s="39">
        <f>AA13+AA14+AA15+AA16-AA17</f>
        <v/>
      </c>
      <c r="AB18" s="39">
        <f>AB13+AB14+AB15+AB16-AB17</f>
        <v/>
      </c>
      <c r="AC18" s="39">
        <f>AC13+AC14+AC15+AC16-AC17</f>
        <v/>
      </c>
      <c r="AD18" s="39">
        <f>AD13+AD14+AD15+AD16-AD17</f>
        <v/>
      </c>
      <c r="AE18" s="39">
        <f>AE13+AE14+AE15+AE16-AE17</f>
        <v/>
      </c>
      <c r="AF18" s="39">
        <f>AF13+AF14+AF15+AF16-AF17</f>
        <v/>
      </c>
      <c r="AG18" s="39">
        <f>AG13+AG14+AG15+AG16-AG17</f>
        <v/>
      </c>
      <c r="AH18" s="39">
        <f>AH13+AH14+AH15+AH16-AH17</f>
        <v/>
      </c>
      <c r="AI18" s="39">
        <f>AI13+AI14+AI15+AI16-AI17</f>
        <v/>
      </c>
      <c r="AJ18" s="39">
        <f>AJ13+AJ14+AJ15+AJ16-AJ17</f>
        <v/>
      </c>
      <c r="AK18" s="39">
        <f>AK13+AK14+AK15+AK16-AK17</f>
        <v/>
      </c>
      <c r="AL18" s="39">
        <f>AL13+AL14+AL15+AL16-AL17</f>
        <v/>
      </c>
      <c r="AN18" s="39">
        <f>N18</f>
        <v/>
      </c>
      <c r="AO18" s="39">
        <f>Z18</f>
        <v/>
      </c>
      <c r="AP18" s="39">
        <f>AL18</f>
        <v/>
      </c>
    </row>
    <row r="19">
      <c r="A19" s="9" t="inlineStr">
        <is>
          <t>dont Personal</t>
        </is>
      </c>
      <c r="B19" s="4" t="inlineStr">
        <is>
          <t>abonnés</t>
        </is>
      </c>
      <c r="C19" s="38">
        <f>C18*Hypothèses!$D$16</f>
        <v/>
      </c>
      <c r="D19" s="38">
        <f>D18*Hypothèses!$D$16</f>
        <v/>
      </c>
      <c r="E19" s="38">
        <f>E18*Hypothèses!$D$16</f>
        <v/>
      </c>
      <c r="F19" s="38">
        <f>F18*Hypothèses!$D$16</f>
        <v/>
      </c>
      <c r="G19" s="38">
        <f>G18*Hypothèses!$D$16</f>
        <v/>
      </c>
      <c r="H19" s="38">
        <f>H18*Hypothèses!$D$16</f>
        <v/>
      </c>
      <c r="I19" s="38">
        <f>I18*Hypothèses!$D$16</f>
        <v/>
      </c>
      <c r="J19" s="38">
        <f>J18*Hypothèses!$D$16</f>
        <v/>
      </c>
      <c r="K19" s="38">
        <f>K18*Hypothèses!$D$16</f>
        <v/>
      </c>
      <c r="L19" s="38">
        <f>L18*Hypothèses!$D$16</f>
        <v/>
      </c>
      <c r="M19" s="38">
        <f>M18*Hypothèses!$D$16</f>
        <v/>
      </c>
      <c r="N19" s="38">
        <f>N18*Hypothèses!$D$16</f>
        <v/>
      </c>
      <c r="O19" s="38">
        <f>O18*Hypothèses!$D$16</f>
        <v/>
      </c>
      <c r="P19" s="38">
        <f>P18*Hypothèses!$D$16</f>
        <v/>
      </c>
      <c r="Q19" s="38">
        <f>Q18*Hypothèses!$D$16</f>
        <v/>
      </c>
      <c r="R19" s="38">
        <f>R18*Hypothèses!$D$16</f>
        <v/>
      </c>
      <c r="S19" s="38">
        <f>S18*Hypothèses!$D$16</f>
        <v/>
      </c>
      <c r="T19" s="38">
        <f>T18*Hypothèses!$D$16</f>
        <v/>
      </c>
      <c r="U19" s="38">
        <f>U18*Hypothèses!$D$16</f>
        <v/>
      </c>
      <c r="V19" s="38">
        <f>V18*Hypothèses!$D$16</f>
        <v/>
      </c>
      <c r="W19" s="38">
        <f>W18*Hypothèses!$D$16</f>
        <v/>
      </c>
      <c r="X19" s="38">
        <f>X18*Hypothèses!$D$16</f>
        <v/>
      </c>
      <c r="Y19" s="38">
        <f>Y18*Hypothèses!$D$16</f>
        <v/>
      </c>
      <c r="Z19" s="38">
        <f>Z18*Hypothèses!$D$16</f>
        <v/>
      </c>
      <c r="AA19" s="38">
        <f>AA18*Hypothèses!$D$16</f>
        <v/>
      </c>
      <c r="AB19" s="38">
        <f>AB18*Hypothèses!$D$16</f>
        <v/>
      </c>
      <c r="AC19" s="38">
        <f>AC18*Hypothèses!$D$16</f>
        <v/>
      </c>
      <c r="AD19" s="38">
        <f>AD18*Hypothèses!$D$16</f>
        <v/>
      </c>
      <c r="AE19" s="38">
        <f>AE18*Hypothèses!$D$16</f>
        <v/>
      </c>
      <c r="AF19" s="38">
        <f>AF18*Hypothèses!$D$16</f>
        <v/>
      </c>
      <c r="AG19" s="38">
        <f>AG18*Hypothèses!$D$16</f>
        <v/>
      </c>
      <c r="AH19" s="38">
        <f>AH18*Hypothèses!$D$16</f>
        <v/>
      </c>
      <c r="AI19" s="38">
        <f>AI18*Hypothèses!$D$16</f>
        <v/>
      </c>
      <c r="AJ19" s="38">
        <f>AJ18*Hypothèses!$D$16</f>
        <v/>
      </c>
      <c r="AK19" s="38">
        <f>AK18*Hypothèses!$D$16</f>
        <v/>
      </c>
      <c r="AL19" s="38">
        <f>AL18*Hypothèses!$D$16</f>
        <v/>
      </c>
      <c r="AN19" s="38">
        <f>N19</f>
        <v/>
      </c>
      <c r="AO19" s="38">
        <f>Z19</f>
        <v/>
      </c>
      <c r="AP19" s="38">
        <f>AL19</f>
        <v/>
      </c>
    </row>
    <row r="20">
      <c r="A20" s="9" t="inlineStr">
        <is>
          <t>dont Premium</t>
        </is>
      </c>
      <c r="B20" s="4" t="inlineStr">
        <is>
          <t>abonnés</t>
        </is>
      </c>
      <c r="C20" s="38">
        <f>C18*Hypothèses!$D$17</f>
        <v/>
      </c>
      <c r="D20" s="38">
        <f>D18*Hypothèses!$D$17</f>
        <v/>
      </c>
      <c r="E20" s="38">
        <f>E18*Hypothèses!$D$17</f>
        <v/>
      </c>
      <c r="F20" s="38">
        <f>F18*Hypothèses!$D$17</f>
        <v/>
      </c>
      <c r="G20" s="38">
        <f>G18*Hypothèses!$D$17</f>
        <v/>
      </c>
      <c r="H20" s="38">
        <f>H18*Hypothèses!$D$17</f>
        <v/>
      </c>
      <c r="I20" s="38">
        <f>I18*Hypothèses!$D$17</f>
        <v/>
      </c>
      <c r="J20" s="38">
        <f>J18*Hypothèses!$D$17</f>
        <v/>
      </c>
      <c r="K20" s="38">
        <f>K18*Hypothèses!$D$17</f>
        <v/>
      </c>
      <c r="L20" s="38">
        <f>L18*Hypothèses!$D$17</f>
        <v/>
      </c>
      <c r="M20" s="38">
        <f>M18*Hypothèses!$D$17</f>
        <v/>
      </c>
      <c r="N20" s="38">
        <f>N18*Hypothèses!$D$17</f>
        <v/>
      </c>
      <c r="O20" s="38">
        <f>O18*Hypothèses!$D$17</f>
        <v/>
      </c>
      <c r="P20" s="38">
        <f>P18*Hypothèses!$D$17</f>
        <v/>
      </c>
      <c r="Q20" s="38">
        <f>Q18*Hypothèses!$D$17</f>
        <v/>
      </c>
      <c r="R20" s="38">
        <f>R18*Hypothèses!$D$17</f>
        <v/>
      </c>
      <c r="S20" s="38">
        <f>S18*Hypothèses!$D$17</f>
        <v/>
      </c>
      <c r="T20" s="38">
        <f>T18*Hypothèses!$D$17</f>
        <v/>
      </c>
      <c r="U20" s="38">
        <f>U18*Hypothèses!$D$17</f>
        <v/>
      </c>
      <c r="V20" s="38">
        <f>V18*Hypothèses!$D$17</f>
        <v/>
      </c>
      <c r="W20" s="38">
        <f>W18*Hypothèses!$D$17</f>
        <v/>
      </c>
      <c r="X20" s="38">
        <f>X18*Hypothèses!$D$17</f>
        <v/>
      </c>
      <c r="Y20" s="38">
        <f>Y18*Hypothèses!$D$17</f>
        <v/>
      </c>
      <c r="Z20" s="38">
        <f>Z18*Hypothèses!$D$17</f>
        <v/>
      </c>
      <c r="AA20" s="38">
        <f>AA18*Hypothèses!$D$17</f>
        <v/>
      </c>
      <c r="AB20" s="38">
        <f>AB18*Hypothèses!$D$17</f>
        <v/>
      </c>
      <c r="AC20" s="38">
        <f>AC18*Hypothèses!$D$17</f>
        <v/>
      </c>
      <c r="AD20" s="38">
        <f>AD18*Hypothèses!$D$17</f>
        <v/>
      </c>
      <c r="AE20" s="38">
        <f>AE18*Hypothèses!$D$17</f>
        <v/>
      </c>
      <c r="AF20" s="38">
        <f>AF18*Hypothèses!$D$17</f>
        <v/>
      </c>
      <c r="AG20" s="38">
        <f>AG18*Hypothèses!$D$17</f>
        <v/>
      </c>
      <c r="AH20" s="38">
        <f>AH18*Hypothèses!$D$17</f>
        <v/>
      </c>
      <c r="AI20" s="38">
        <f>AI18*Hypothèses!$D$17</f>
        <v/>
      </c>
      <c r="AJ20" s="38">
        <f>AJ18*Hypothèses!$D$17</f>
        <v/>
      </c>
      <c r="AK20" s="38">
        <f>AK18*Hypothèses!$D$17</f>
        <v/>
      </c>
      <c r="AL20" s="38">
        <f>AL18*Hypothèses!$D$17</f>
        <v/>
      </c>
      <c r="AN20" s="38">
        <f>N20</f>
        <v/>
      </c>
      <c r="AO20" s="38">
        <f>Z20</f>
        <v/>
      </c>
      <c r="AP20" s="38">
        <f>AL20</f>
        <v/>
      </c>
    </row>
    <row r="21">
      <c r="A21" s="9" t="inlineStr">
        <is>
          <t>dont Family</t>
        </is>
      </c>
      <c r="B21" s="4" t="inlineStr">
        <is>
          <t>abonnés</t>
        </is>
      </c>
      <c r="C21" s="38">
        <f>C18*Hypothèses!$D$18</f>
        <v/>
      </c>
      <c r="D21" s="38">
        <f>D18*Hypothèses!$D$18</f>
        <v/>
      </c>
      <c r="E21" s="38">
        <f>E18*Hypothèses!$D$18</f>
        <v/>
      </c>
      <c r="F21" s="38">
        <f>F18*Hypothèses!$D$18</f>
        <v/>
      </c>
      <c r="G21" s="38">
        <f>G18*Hypothèses!$D$18</f>
        <v/>
      </c>
      <c r="H21" s="38">
        <f>H18*Hypothèses!$D$18</f>
        <v/>
      </c>
      <c r="I21" s="38">
        <f>I18*Hypothèses!$D$18</f>
        <v/>
      </c>
      <c r="J21" s="38">
        <f>J18*Hypothèses!$D$18</f>
        <v/>
      </c>
      <c r="K21" s="38">
        <f>K18*Hypothèses!$D$18</f>
        <v/>
      </c>
      <c r="L21" s="38">
        <f>L18*Hypothèses!$D$18</f>
        <v/>
      </c>
      <c r="M21" s="38">
        <f>M18*Hypothèses!$D$18</f>
        <v/>
      </c>
      <c r="N21" s="38">
        <f>N18*Hypothèses!$D$18</f>
        <v/>
      </c>
      <c r="O21" s="38">
        <f>O18*Hypothèses!$D$18</f>
        <v/>
      </c>
      <c r="P21" s="38">
        <f>P18*Hypothèses!$D$18</f>
        <v/>
      </c>
      <c r="Q21" s="38">
        <f>Q18*Hypothèses!$D$18</f>
        <v/>
      </c>
      <c r="R21" s="38">
        <f>R18*Hypothèses!$D$18</f>
        <v/>
      </c>
      <c r="S21" s="38">
        <f>S18*Hypothèses!$D$18</f>
        <v/>
      </c>
      <c r="T21" s="38">
        <f>T18*Hypothèses!$D$18</f>
        <v/>
      </c>
      <c r="U21" s="38">
        <f>U18*Hypothèses!$D$18</f>
        <v/>
      </c>
      <c r="V21" s="38">
        <f>V18*Hypothèses!$D$18</f>
        <v/>
      </c>
      <c r="W21" s="38">
        <f>W18*Hypothèses!$D$18</f>
        <v/>
      </c>
      <c r="X21" s="38">
        <f>X18*Hypothèses!$D$18</f>
        <v/>
      </c>
      <c r="Y21" s="38">
        <f>Y18*Hypothèses!$D$18</f>
        <v/>
      </c>
      <c r="Z21" s="38">
        <f>Z18*Hypothèses!$D$18</f>
        <v/>
      </c>
      <c r="AA21" s="38">
        <f>AA18*Hypothèses!$D$18</f>
        <v/>
      </c>
      <c r="AB21" s="38">
        <f>AB18*Hypothèses!$D$18</f>
        <v/>
      </c>
      <c r="AC21" s="38">
        <f>AC18*Hypothèses!$D$18</f>
        <v/>
      </c>
      <c r="AD21" s="38">
        <f>AD18*Hypothèses!$D$18</f>
        <v/>
      </c>
      <c r="AE21" s="38">
        <f>AE18*Hypothèses!$D$18</f>
        <v/>
      </c>
      <c r="AF21" s="38">
        <f>AF18*Hypothèses!$D$18</f>
        <v/>
      </c>
      <c r="AG21" s="38">
        <f>AG18*Hypothèses!$D$18</f>
        <v/>
      </c>
      <c r="AH21" s="38">
        <f>AH18*Hypothèses!$D$18</f>
        <v/>
      </c>
      <c r="AI21" s="38">
        <f>AI18*Hypothèses!$D$18</f>
        <v/>
      </c>
      <c r="AJ21" s="38">
        <f>AJ18*Hypothèses!$D$18</f>
        <v/>
      </c>
      <c r="AK21" s="38">
        <f>AK18*Hypothèses!$D$18</f>
        <v/>
      </c>
      <c r="AL21" s="38">
        <f>AL18*Hypothèses!$D$18</f>
        <v/>
      </c>
      <c r="AN21" s="38">
        <f>N21</f>
        <v/>
      </c>
      <c r="AO21" s="38">
        <f>Z21</f>
        <v/>
      </c>
      <c r="AP21" s="38">
        <f>AL21</f>
        <v/>
      </c>
    </row>
    <row r="22">
      <c r="A22" s="8" t="inlineStr">
        <is>
          <t>Revenus</t>
        </is>
      </c>
    </row>
    <row r="23">
      <c r="A23" s="9" t="inlineStr">
        <is>
          <t>Facturation Personal TTC</t>
        </is>
      </c>
      <c r="B23" s="4" t="inlineStr">
        <is>
          <t>€ TTC</t>
        </is>
      </c>
      <c r="C23" s="15">
        <f>C19*Hypothèses!$D$12*$C$4</f>
        <v/>
      </c>
      <c r="D23" s="15">
        <f>D19*Hypothèses!$D$12*$C$4</f>
        <v/>
      </c>
      <c r="E23" s="15">
        <f>E19*Hypothèses!$D$12*$C$4</f>
        <v/>
      </c>
      <c r="F23" s="15">
        <f>F19*Hypothèses!$D$12*$C$4</f>
        <v/>
      </c>
      <c r="G23" s="15">
        <f>G19*Hypothèses!$D$12*$C$4</f>
        <v/>
      </c>
      <c r="H23" s="15">
        <f>H19*Hypothèses!$D$12*$C$4</f>
        <v/>
      </c>
      <c r="I23" s="15">
        <f>I19*Hypothèses!$D$12*$C$4</f>
        <v/>
      </c>
      <c r="J23" s="15">
        <f>J19*Hypothèses!$D$12*$C$4</f>
        <v/>
      </c>
      <c r="K23" s="15">
        <f>K19*Hypothèses!$D$12*$C$4</f>
        <v/>
      </c>
      <c r="L23" s="15">
        <f>L19*Hypothèses!$D$12*$C$4</f>
        <v/>
      </c>
      <c r="M23" s="15">
        <f>M19*Hypothèses!$D$12*$C$4</f>
        <v/>
      </c>
      <c r="N23" s="15">
        <f>N19*Hypothèses!$D$12*$C$4</f>
        <v/>
      </c>
      <c r="O23" s="15">
        <f>O19*Hypothèses!$D$12*$C$4</f>
        <v/>
      </c>
      <c r="P23" s="15">
        <f>P19*Hypothèses!$D$12*$C$4</f>
        <v/>
      </c>
      <c r="Q23" s="15">
        <f>Q19*Hypothèses!$D$12*$C$4</f>
        <v/>
      </c>
      <c r="R23" s="15">
        <f>R19*Hypothèses!$D$12*$C$4</f>
        <v/>
      </c>
      <c r="S23" s="15">
        <f>S19*Hypothèses!$D$12*$C$4</f>
        <v/>
      </c>
      <c r="T23" s="15">
        <f>T19*Hypothèses!$D$12*$C$4</f>
        <v/>
      </c>
      <c r="U23" s="15">
        <f>U19*Hypothèses!$D$12*$C$4</f>
        <v/>
      </c>
      <c r="V23" s="15">
        <f>V19*Hypothèses!$D$12*$C$4</f>
        <v/>
      </c>
      <c r="W23" s="15">
        <f>W19*Hypothèses!$D$12*$C$4</f>
        <v/>
      </c>
      <c r="X23" s="15">
        <f>X19*Hypothèses!$D$12*$C$4</f>
        <v/>
      </c>
      <c r="Y23" s="15">
        <f>Y19*Hypothèses!$D$12*$C$4</f>
        <v/>
      </c>
      <c r="Z23" s="15">
        <f>Z19*Hypothèses!$D$12*$C$4</f>
        <v/>
      </c>
      <c r="AA23" s="15">
        <f>AA19*Hypothèses!$D$12*$C$4</f>
        <v/>
      </c>
      <c r="AB23" s="15">
        <f>AB19*Hypothèses!$D$12*$C$4</f>
        <v/>
      </c>
      <c r="AC23" s="15">
        <f>AC19*Hypothèses!$D$12*$C$4</f>
        <v/>
      </c>
      <c r="AD23" s="15">
        <f>AD19*Hypothèses!$D$12*$C$4</f>
        <v/>
      </c>
      <c r="AE23" s="15">
        <f>AE19*Hypothèses!$D$12*$C$4</f>
        <v/>
      </c>
      <c r="AF23" s="15">
        <f>AF19*Hypothèses!$D$12*$C$4</f>
        <v/>
      </c>
      <c r="AG23" s="15">
        <f>AG19*Hypothèses!$D$12*$C$4</f>
        <v/>
      </c>
      <c r="AH23" s="15">
        <f>AH19*Hypothèses!$D$12*$C$4</f>
        <v/>
      </c>
      <c r="AI23" s="15">
        <f>AI19*Hypothèses!$D$12*$C$4</f>
        <v/>
      </c>
      <c r="AJ23" s="15">
        <f>AJ19*Hypothèses!$D$12*$C$4</f>
        <v/>
      </c>
      <c r="AK23" s="15">
        <f>AK19*Hypothèses!$D$12*$C$4</f>
        <v/>
      </c>
      <c r="AL23" s="15">
        <f>AL19*Hypothèses!$D$12*$C$4</f>
        <v/>
      </c>
      <c r="AN23" s="15">
        <f>SUM(C23:N23)</f>
        <v/>
      </c>
      <c r="AO23" s="15">
        <f>SUM(O23:Z23)</f>
        <v/>
      </c>
      <c r="AP23" s="15">
        <f>SUM(AA23:AL23)</f>
        <v/>
      </c>
    </row>
    <row r="24">
      <c r="A24" s="9" t="inlineStr">
        <is>
          <t>Facturation Premium TTC</t>
        </is>
      </c>
      <c r="B24" s="4" t="inlineStr">
        <is>
          <t>€ TTC</t>
        </is>
      </c>
      <c r="C24" s="15">
        <f>C20*Hypothèses!$D$13*$C$4</f>
        <v/>
      </c>
      <c r="D24" s="15">
        <f>D20*Hypothèses!$D$13*$C$4</f>
        <v/>
      </c>
      <c r="E24" s="15">
        <f>E20*Hypothèses!$D$13*$C$4</f>
        <v/>
      </c>
      <c r="F24" s="15">
        <f>F20*Hypothèses!$D$13*$C$4</f>
        <v/>
      </c>
      <c r="G24" s="15">
        <f>G20*Hypothèses!$D$13*$C$4</f>
        <v/>
      </c>
      <c r="H24" s="15">
        <f>H20*Hypothèses!$D$13*$C$4</f>
        <v/>
      </c>
      <c r="I24" s="15">
        <f>I20*Hypothèses!$D$13*$C$4</f>
        <v/>
      </c>
      <c r="J24" s="15">
        <f>J20*Hypothèses!$D$13*$C$4</f>
        <v/>
      </c>
      <c r="K24" s="15">
        <f>K20*Hypothèses!$D$13*$C$4</f>
        <v/>
      </c>
      <c r="L24" s="15">
        <f>L20*Hypothèses!$D$13*$C$4</f>
        <v/>
      </c>
      <c r="M24" s="15">
        <f>M20*Hypothèses!$D$13*$C$4</f>
        <v/>
      </c>
      <c r="N24" s="15">
        <f>N20*Hypothèses!$D$13*$C$4</f>
        <v/>
      </c>
      <c r="O24" s="15">
        <f>O20*Hypothèses!$D$13*$C$4</f>
        <v/>
      </c>
      <c r="P24" s="15">
        <f>P20*Hypothèses!$D$13*$C$4</f>
        <v/>
      </c>
      <c r="Q24" s="15">
        <f>Q20*Hypothèses!$D$13*$C$4</f>
        <v/>
      </c>
      <c r="R24" s="15">
        <f>R20*Hypothèses!$D$13*$C$4</f>
        <v/>
      </c>
      <c r="S24" s="15">
        <f>S20*Hypothèses!$D$13*$C$4</f>
        <v/>
      </c>
      <c r="T24" s="15">
        <f>T20*Hypothèses!$D$13*$C$4</f>
        <v/>
      </c>
      <c r="U24" s="15">
        <f>U20*Hypothèses!$D$13*$C$4</f>
        <v/>
      </c>
      <c r="V24" s="15">
        <f>V20*Hypothèses!$D$13*$C$4</f>
        <v/>
      </c>
      <c r="W24" s="15">
        <f>W20*Hypothèses!$D$13*$C$4</f>
        <v/>
      </c>
      <c r="X24" s="15">
        <f>X20*Hypothèses!$D$13*$C$4</f>
        <v/>
      </c>
      <c r="Y24" s="15">
        <f>Y20*Hypothèses!$D$13*$C$4</f>
        <v/>
      </c>
      <c r="Z24" s="15">
        <f>Z20*Hypothèses!$D$13*$C$4</f>
        <v/>
      </c>
      <c r="AA24" s="15">
        <f>AA20*Hypothèses!$D$13*$C$4</f>
        <v/>
      </c>
      <c r="AB24" s="15">
        <f>AB20*Hypothèses!$D$13*$C$4</f>
        <v/>
      </c>
      <c r="AC24" s="15">
        <f>AC20*Hypothèses!$D$13*$C$4</f>
        <v/>
      </c>
      <c r="AD24" s="15">
        <f>AD20*Hypothèses!$D$13*$C$4</f>
        <v/>
      </c>
      <c r="AE24" s="15">
        <f>AE20*Hypothèses!$D$13*$C$4</f>
        <v/>
      </c>
      <c r="AF24" s="15">
        <f>AF20*Hypothèses!$D$13*$C$4</f>
        <v/>
      </c>
      <c r="AG24" s="15">
        <f>AG20*Hypothèses!$D$13*$C$4</f>
        <v/>
      </c>
      <c r="AH24" s="15">
        <f>AH20*Hypothèses!$D$13*$C$4</f>
        <v/>
      </c>
      <c r="AI24" s="15">
        <f>AI20*Hypothèses!$D$13*$C$4</f>
        <v/>
      </c>
      <c r="AJ24" s="15">
        <f>AJ20*Hypothèses!$D$13*$C$4</f>
        <v/>
      </c>
      <c r="AK24" s="15">
        <f>AK20*Hypothèses!$D$13*$C$4</f>
        <v/>
      </c>
      <c r="AL24" s="15">
        <f>AL20*Hypothèses!$D$13*$C$4</f>
        <v/>
      </c>
      <c r="AN24" s="15">
        <f>SUM(C24:N24)</f>
        <v/>
      </c>
      <c r="AO24" s="15">
        <f>SUM(O24:Z24)</f>
        <v/>
      </c>
      <c r="AP24" s="15">
        <f>SUM(AA24:AL24)</f>
        <v/>
      </c>
    </row>
    <row r="25">
      <c r="A25" s="9" t="inlineStr">
        <is>
          <t>Facturation Family TTC</t>
        </is>
      </c>
      <c r="B25" s="4" t="inlineStr">
        <is>
          <t>€ TTC</t>
        </is>
      </c>
      <c r="C25" s="15">
        <f>C21*Hypothèses!$D$14*$C$4</f>
        <v/>
      </c>
      <c r="D25" s="15">
        <f>D21*Hypothèses!$D$14*$C$4</f>
        <v/>
      </c>
      <c r="E25" s="15">
        <f>E21*Hypothèses!$D$14*$C$4</f>
        <v/>
      </c>
      <c r="F25" s="15">
        <f>F21*Hypothèses!$D$14*$C$4</f>
        <v/>
      </c>
      <c r="G25" s="15">
        <f>G21*Hypothèses!$D$14*$C$4</f>
        <v/>
      </c>
      <c r="H25" s="15">
        <f>H21*Hypothèses!$D$14*$C$4</f>
        <v/>
      </c>
      <c r="I25" s="15">
        <f>I21*Hypothèses!$D$14*$C$4</f>
        <v/>
      </c>
      <c r="J25" s="15">
        <f>J21*Hypothèses!$D$14*$C$4</f>
        <v/>
      </c>
      <c r="K25" s="15">
        <f>K21*Hypothèses!$D$14*$C$4</f>
        <v/>
      </c>
      <c r="L25" s="15">
        <f>L21*Hypothèses!$D$14*$C$4</f>
        <v/>
      </c>
      <c r="M25" s="15">
        <f>M21*Hypothèses!$D$14*$C$4</f>
        <v/>
      </c>
      <c r="N25" s="15">
        <f>N21*Hypothèses!$D$14*$C$4</f>
        <v/>
      </c>
      <c r="O25" s="15">
        <f>O21*Hypothèses!$D$14*$C$4</f>
        <v/>
      </c>
      <c r="P25" s="15">
        <f>P21*Hypothèses!$D$14*$C$4</f>
        <v/>
      </c>
      <c r="Q25" s="15">
        <f>Q21*Hypothèses!$D$14*$C$4</f>
        <v/>
      </c>
      <c r="R25" s="15">
        <f>R21*Hypothèses!$D$14*$C$4</f>
        <v/>
      </c>
      <c r="S25" s="15">
        <f>S21*Hypothèses!$D$14*$C$4</f>
        <v/>
      </c>
      <c r="T25" s="15">
        <f>T21*Hypothèses!$D$14*$C$4</f>
        <v/>
      </c>
      <c r="U25" s="15">
        <f>U21*Hypothèses!$D$14*$C$4</f>
        <v/>
      </c>
      <c r="V25" s="15">
        <f>V21*Hypothèses!$D$14*$C$4</f>
        <v/>
      </c>
      <c r="W25" s="15">
        <f>W21*Hypothèses!$D$14*$C$4</f>
        <v/>
      </c>
      <c r="X25" s="15">
        <f>X21*Hypothèses!$D$14*$C$4</f>
        <v/>
      </c>
      <c r="Y25" s="15">
        <f>Y21*Hypothèses!$D$14*$C$4</f>
        <v/>
      </c>
      <c r="Z25" s="15">
        <f>Z21*Hypothèses!$D$14*$C$4</f>
        <v/>
      </c>
      <c r="AA25" s="15">
        <f>AA21*Hypothèses!$D$14*$C$4</f>
        <v/>
      </c>
      <c r="AB25" s="15">
        <f>AB21*Hypothèses!$D$14*$C$4</f>
        <v/>
      </c>
      <c r="AC25" s="15">
        <f>AC21*Hypothèses!$D$14*$C$4</f>
        <v/>
      </c>
      <c r="AD25" s="15">
        <f>AD21*Hypothèses!$D$14*$C$4</f>
        <v/>
      </c>
      <c r="AE25" s="15">
        <f>AE21*Hypothèses!$D$14*$C$4</f>
        <v/>
      </c>
      <c r="AF25" s="15">
        <f>AF21*Hypothèses!$D$14*$C$4</f>
        <v/>
      </c>
      <c r="AG25" s="15">
        <f>AG21*Hypothèses!$D$14*$C$4</f>
        <v/>
      </c>
      <c r="AH25" s="15">
        <f>AH21*Hypothèses!$D$14*$C$4</f>
        <v/>
      </c>
      <c r="AI25" s="15">
        <f>AI21*Hypothèses!$D$14*$C$4</f>
        <v/>
      </c>
      <c r="AJ25" s="15">
        <f>AJ21*Hypothèses!$D$14*$C$4</f>
        <v/>
      </c>
      <c r="AK25" s="15">
        <f>AK21*Hypothèses!$D$14*$C$4</f>
        <v/>
      </c>
      <c r="AL25" s="15">
        <f>AL21*Hypothèses!$D$14*$C$4</f>
        <v/>
      </c>
      <c r="AN25" s="15">
        <f>SUM(C25:N25)</f>
        <v/>
      </c>
      <c r="AO25" s="15">
        <f>SUM(O25:Z25)</f>
        <v/>
      </c>
      <c r="AP25" s="15">
        <f>SUM(AA25:AL25)</f>
        <v/>
      </c>
    </row>
    <row r="26">
      <c r="A26" s="2" t="inlineStr">
        <is>
          <t>Facturation totale TTC (MRR TTC)</t>
        </is>
      </c>
      <c r="B26" s="4" t="inlineStr">
        <is>
          <t>€ TTC</t>
        </is>
      </c>
      <c r="C26" s="40">
        <f>C23+C24+C25</f>
        <v/>
      </c>
      <c r="D26" s="40">
        <f>D23+D24+D25</f>
        <v/>
      </c>
      <c r="E26" s="40">
        <f>E23+E24+E25</f>
        <v/>
      </c>
      <c r="F26" s="40">
        <f>F23+F24+F25</f>
        <v/>
      </c>
      <c r="G26" s="40">
        <f>G23+G24+G25</f>
        <v/>
      </c>
      <c r="H26" s="40">
        <f>H23+H24+H25</f>
        <v/>
      </c>
      <c r="I26" s="40">
        <f>I23+I24+I25</f>
        <v/>
      </c>
      <c r="J26" s="40">
        <f>J23+J24+J25</f>
        <v/>
      </c>
      <c r="K26" s="40">
        <f>K23+K24+K25</f>
        <v/>
      </c>
      <c r="L26" s="40">
        <f>L23+L24+L25</f>
        <v/>
      </c>
      <c r="M26" s="40">
        <f>M23+M24+M25</f>
        <v/>
      </c>
      <c r="N26" s="40">
        <f>N23+N24+N25</f>
        <v/>
      </c>
      <c r="O26" s="40">
        <f>O23+O24+O25</f>
        <v/>
      </c>
      <c r="P26" s="40">
        <f>P23+P24+P25</f>
        <v/>
      </c>
      <c r="Q26" s="40">
        <f>Q23+Q24+Q25</f>
        <v/>
      </c>
      <c r="R26" s="40">
        <f>R23+R24+R25</f>
        <v/>
      </c>
      <c r="S26" s="40">
        <f>S23+S24+S25</f>
        <v/>
      </c>
      <c r="T26" s="40">
        <f>T23+T24+T25</f>
        <v/>
      </c>
      <c r="U26" s="40">
        <f>U23+U24+U25</f>
        <v/>
      </c>
      <c r="V26" s="40">
        <f>V23+V24+V25</f>
        <v/>
      </c>
      <c r="W26" s="40">
        <f>W23+W24+W25</f>
        <v/>
      </c>
      <c r="X26" s="40">
        <f>X23+X24+X25</f>
        <v/>
      </c>
      <c r="Y26" s="40">
        <f>Y23+Y24+Y25</f>
        <v/>
      </c>
      <c r="Z26" s="40">
        <f>Z23+Z24+Z25</f>
        <v/>
      </c>
      <c r="AA26" s="40">
        <f>AA23+AA24+AA25</f>
        <v/>
      </c>
      <c r="AB26" s="40">
        <f>AB23+AB24+AB25</f>
        <v/>
      </c>
      <c r="AC26" s="40">
        <f>AC23+AC24+AC25</f>
        <v/>
      </c>
      <c r="AD26" s="40">
        <f>AD23+AD24+AD25</f>
        <v/>
      </c>
      <c r="AE26" s="40">
        <f>AE23+AE24+AE25</f>
        <v/>
      </c>
      <c r="AF26" s="40">
        <f>AF23+AF24+AF25</f>
        <v/>
      </c>
      <c r="AG26" s="40">
        <f>AG23+AG24+AG25</f>
        <v/>
      </c>
      <c r="AH26" s="40">
        <f>AH23+AH24+AH25</f>
        <v/>
      </c>
      <c r="AI26" s="40">
        <f>AI23+AI24+AI25</f>
        <v/>
      </c>
      <c r="AJ26" s="40">
        <f>AJ23+AJ24+AJ25</f>
        <v/>
      </c>
      <c r="AK26" s="40">
        <f>AK23+AK24+AK25</f>
        <v/>
      </c>
      <c r="AL26" s="40">
        <f>AL23+AL24+AL25</f>
        <v/>
      </c>
      <c r="AN26" s="40">
        <f>SUM(C26:N26)</f>
        <v/>
      </c>
      <c r="AO26" s="40">
        <f>SUM(O26:Z26)</f>
        <v/>
      </c>
      <c r="AP26" s="40">
        <f>SUM(AA26:AL26)</f>
        <v/>
      </c>
    </row>
    <row r="27">
      <c r="A27" s="9" t="inlineStr">
        <is>
          <t>TVA collectée</t>
        </is>
      </c>
      <c r="B27" s="4" t="inlineStr">
        <is>
          <t>€</t>
        </is>
      </c>
      <c r="C27" s="15">
        <f>C26*Hypothèses!$D$15/(1+Hypothèses!$D$15)</f>
        <v/>
      </c>
      <c r="D27" s="15">
        <f>D26*Hypothèses!$D$15/(1+Hypothèses!$D$15)</f>
        <v/>
      </c>
      <c r="E27" s="15">
        <f>E26*Hypothèses!$D$15/(1+Hypothèses!$D$15)</f>
        <v/>
      </c>
      <c r="F27" s="15">
        <f>F26*Hypothèses!$D$15/(1+Hypothèses!$D$15)</f>
        <v/>
      </c>
      <c r="G27" s="15">
        <f>G26*Hypothèses!$D$15/(1+Hypothèses!$D$15)</f>
        <v/>
      </c>
      <c r="H27" s="15">
        <f>H26*Hypothèses!$D$15/(1+Hypothèses!$D$15)</f>
        <v/>
      </c>
      <c r="I27" s="15">
        <f>I26*Hypothèses!$D$15/(1+Hypothèses!$D$15)</f>
        <v/>
      </c>
      <c r="J27" s="15">
        <f>J26*Hypothèses!$D$15/(1+Hypothèses!$D$15)</f>
        <v/>
      </c>
      <c r="K27" s="15">
        <f>K26*Hypothèses!$D$15/(1+Hypothèses!$D$15)</f>
        <v/>
      </c>
      <c r="L27" s="15">
        <f>L26*Hypothèses!$D$15/(1+Hypothèses!$D$15)</f>
        <v/>
      </c>
      <c r="M27" s="15">
        <f>M26*Hypothèses!$D$15/(1+Hypothèses!$D$15)</f>
        <v/>
      </c>
      <c r="N27" s="15">
        <f>N26*Hypothèses!$D$15/(1+Hypothèses!$D$15)</f>
        <v/>
      </c>
      <c r="O27" s="15">
        <f>O26*Hypothèses!$D$15/(1+Hypothèses!$D$15)</f>
        <v/>
      </c>
      <c r="P27" s="15">
        <f>P26*Hypothèses!$D$15/(1+Hypothèses!$D$15)</f>
        <v/>
      </c>
      <c r="Q27" s="15">
        <f>Q26*Hypothèses!$D$15/(1+Hypothèses!$D$15)</f>
        <v/>
      </c>
      <c r="R27" s="15">
        <f>R26*Hypothèses!$D$15/(1+Hypothèses!$D$15)</f>
        <v/>
      </c>
      <c r="S27" s="15">
        <f>S26*Hypothèses!$D$15/(1+Hypothèses!$D$15)</f>
        <v/>
      </c>
      <c r="T27" s="15">
        <f>T26*Hypothèses!$D$15/(1+Hypothèses!$D$15)</f>
        <v/>
      </c>
      <c r="U27" s="15">
        <f>U26*Hypothèses!$D$15/(1+Hypothèses!$D$15)</f>
        <v/>
      </c>
      <c r="V27" s="15">
        <f>V26*Hypothèses!$D$15/(1+Hypothèses!$D$15)</f>
        <v/>
      </c>
      <c r="W27" s="15">
        <f>W26*Hypothèses!$D$15/(1+Hypothèses!$D$15)</f>
        <v/>
      </c>
      <c r="X27" s="15">
        <f>X26*Hypothèses!$D$15/(1+Hypothèses!$D$15)</f>
        <v/>
      </c>
      <c r="Y27" s="15">
        <f>Y26*Hypothèses!$D$15/(1+Hypothèses!$D$15)</f>
        <v/>
      </c>
      <c r="Z27" s="15">
        <f>Z26*Hypothèses!$D$15/(1+Hypothèses!$D$15)</f>
        <v/>
      </c>
      <c r="AA27" s="15">
        <f>AA26*Hypothèses!$D$15/(1+Hypothèses!$D$15)</f>
        <v/>
      </c>
      <c r="AB27" s="15">
        <f>AB26*Hypothèses!$D$15/(1+Hypothèses!$D$15)</f>
        <v/>
      </c>
      <c r="AC27" s="15">
        <f>AC26*Hypothèses!$D$15/(1+Hypothèses!$D$15)</f>
        <v/>
      </c>
      <c r="AD27" s="15">
        <f>AD26*Hypothèses!$D$15/(1+Hypothèses!$D$15)</f>
        <v/>
      </c>
      <c r="AE27" s="15">
        <f>AE26*Hypothèses!$D$15/(1+Hypothèses!$D$15)</f>
        <v/>
      </c>
      <c r="AF27" s="15">
        <f>AF26*Hypothèses!$D$15/(1+Hypothèses!$D$15)</f>
        <v/>
      </c>
      <c r="AG27" s="15">
        <f>AG26*Hypothèses!$D$15/(1+Hypothèses!$D$15)</f>
        <v/>
      </c>
      <c r="AH27" s="15">
        <f>AH26*Hypothèses!$D$15/(1+Hypothèses!$D$15)</f>
        <v/>
      </c>
      <c r="AI27" s="15">
        <f>AI26*Hypothèses!$D$15/(1+Hypothèses!$D$15)</f>
        <v/>
      </c>
      <c r="AJ27" s="15">
        <f>AJ26*Hypothèses!$D$15/(1+Hypothèses!$D$15)</f>
        <v/>
      </c>
      <c r="AK27" s="15">
        <f>AK26*Hypothèses!$D$15/(1+Hypothèses!$D$15)</f>
        <v/>
      </c>
      <c r="AL27" s="15">
        <f>AL26*Hypothèses!$D$15/(1+Hypothèses!$D$15)</f>
        <v/>
      </c>
      <c r="AN27" s="15">
        <f>SUM(C27:N27)</f>
        <v/>
      </c>
      <c r="AO27" s="15">
        <f>SUM(O27:Z27)</f>
        <v/>
      </c>
      <c r="AP27" s="15">
        <f>SUM(AA27:AL27)</f>
        <v/>
      </c>
    </row>
    <row r="28">
      <c r="A28" s="2" t="inlineStr">
        <is>
          <t>Chiffre d'affaires HT</t>
        </is>
      </c>
      <c r="B28" s="4" t="inlineStr">
        <is>
          <t>€ HT</t>
        </is>
      </c>
      <c r="C28" s="40">
        <f>C26-C27</f>
        <v/>
      </c>
      <c r="D28" s="40">
        <f>D26-D27</f>
        <v/>
      </c>
      <c r="E28" s="40">
        <f>E26-E27</f>
        <v/>
      </c>
      <c r="F28" s="40">
        <f>F26-F27</f>
        <v/>
      </c>
      <c r="G28" s="40">
        <f>G26-G27</f>
        <v/>
      </c>
      <c r="H28" s="40">
        <f>H26-H27</f>
        <v/>
      </c>
      <c r="I28" s="40">
        <f>I26-I27</f>
        <v/>
      </c>
      <c r="J28" s="40">
        <f>J26-J27</f>
        <v/>
      </c>
      <c r="K28" s="40">
        <f>K26-K27</f>
        <v/>
      </c>
      <c r="L28" s="40">
        <f>L26-L27</f>
        <v/>
      </c>
      <c r="M28" s="40">
        <f>M26-M27</f>
        <v/>
      </c>
      <c r="N28" s="40">
        <f>N26-N27</f>
        <v/>
      </c>
      <c r="O28" s="40">
        <f>O26-O27</f>
        <v/>
      </c>
      <c r="P28" s="40">
        <f>P26-P27</f>
        <v/>
      </c>
      <c r="Q28" s="40">
        <f>Q26-Q27</f>
        <v/>
      </c>
      <c r="R28" s="40">
        <f>R26-R27</f>
        <v/>
      </c>
      <c r="S28" s="40">
        <f>S26-S27</f>
        <v/>
      </c>
      <c r="T28" s="40">
        <f>T26-T27</f>
        <v/>
      </c>
      <c r="U28" s="40">
        <f>U26-U27</f>
        <v/>
      </c>
      <c r="V28" s="40">
        <f>V26-V27</f>
        <v/>
      </c>
      <c r="W28" s="40">
        <f>W26-W27</f>
        <v/>
      </c>
      <c r="X28" s="40">
        <f>X26-X27</f>
        <v/>
      </c>
      <c r="Y28" s="40">
        <f>Y26-Y27</f>
        <v/>
      </c>
      <c r="Z28" s="40">
        <f>Z26-Z27</f>
        <v/>
      </c>
      <c r="AA28" s="40">
        <f>AA26-AA27</f>
        <v/>
      </c>
      <c r="AB28" s="40">
        <f>AB26-AB27</f>
        <v/>
      </c>
      <c r="AC28" s="40">
        <f>AC26-AC27</f>
        <v/>
      </c>
      <c r="AD28" s="40">
        <f>AD26-AD27</f>
        <v/>
      </c>
      <c r="AE28" s="40">
        <f>AE26-AE27</f>
        <v/>
      </c>
      <c r="AF28" s="40">
        <f>AF26-AF27</f>
        <v/>
      </c>
      <c r="AG28" s="40">
        <f>AG26-AG27</f>
        <v/>
      </c>
      <c r="AH28" s="40">
        <f>AH26-AH27</f>
        <v/>
      </c>
      <c r="AI28" s="40">
        <f>AI26-AI27</f>
        <v/>
      </c>
      <c r="AJ28" s="40">
        <f>AJ26-AJ27</f>
        <v/>
      </c>
      <c r="AK28" s="40">
        <f>AK26-AK27</f>
        <v/>
      </c>
      <c r="AL28" s="40">
        <f>AL26-AL27</f>
        <v/>
      </c>
      <c r="AN28" s="40">
        <f>SUM(C28:N28)</f>
        <v/>
      </c>
      <c r="AO28" s="40">
        <f>SUM(O28:Z28)</f>
        <v/>
      </c>
      <c r="AP28" s="40">
        <f>SUM(AA28:AL28)</f>
        <v/>
      </c>
    </row>
    <row r="29">
      <c r="A29" s="9" t="inlineStr">
        <is>
          <t>Impayés (TTC)</t>
        </is>
      </c>
      <c r="B29" s="4" t="inlineStr">
        <is>
          <t>€ TTC</t>
        </is>
      </c>
      <c r="C29" s="15">
        <f>C26*Hypothèses!$D$27</f>
        <v/>
      </c>
      <c r="D29" s="15">
        <f>D26*Hypothèses!$D$27</f>
        <v/>
      </c>
      <c r="E29" s="15">
        <f>E26*Hypothèses!$D$27</f>
        <v/>
      </c>
      <c r="F29" s="15">
        <f>F26*Hypothèses!$D$27</f>
        <v/>
      </c>
      <c r="G29" s="15">
        <f>G26*Hypothèses!$D$27</f>
        <v/>
      </c>
      <c r="H29" s="15">
        <f>H26*Hypothèses!$D$27</f>
        <v/>
      </c>
      <c r="I29" s="15">
        <f>I26*Hypothèses!$D$27</f>
        <v/>
      </c>
      <c r="J29" s="15">
        <f>J26*Hypothèses!$D$27</f>
        <v/>
      </c>
      <c r="K29" s="15">
        <f>K26*Hypothèses!$D$27</f>
        <v/>
      </c>
      <c r="L29" s="15">
        <f>L26*Hypothèses!$D$27</f>
        <v/>
      </c>
      <c r="M29" s="15">
        <f>M26*Hypothèses!$D$27</f>
        <v/>
      </c>
      <c r="N29" s="15">
        <f>N26*Hypothèses!$D$27</f>
        <v/>
      </c>
      <c r="O29" s="15">
        <f>O26*Hypothèses!$D$27</f>
        <v/>
      </c>
      <c r="P29" s="15">
        <f>P26*Hypothèses!$D$27</f>
        <v/>
      </c>
      <c r="Q29" s="15">
        <f>Q26*Hypothèses!$D$27</f>
        <v/>
      </c>
      <c r="R29" s="15">
        <f>R26*Hypothèses!$D$27</f>
        <v/>
      </c>
      <c r="S29" s="15">
        <f>S26*Hypothèses!$D$27</f>
        <v/>
      </c>
      <c r="T29" s="15">
        <f>T26*Hypothèses!$D$27</f>
        <v/>
      </c>
      <c r="U29" s="15">
        <f>U26*Hypothèses!$D$27</f>
        <v/>
      </c>
      <c r="V29" s="15">
        <f>V26*Hypothèses!$D$27</f>
        <v/>
      </c>
      <c r="W29" s="15">
        <f>W26*Hypothèses!$D$27</f>
        <v/>
      </c>
      <c r="X29" s="15">
        <f>X26*Hypothèses!$D$27</f>
        <v/>
      </c>
      <c r="Y29" s="15">
        <f>Y26*Hypothèses!$D$27</f>
        <v/>
      </c>
      <c r="Z29" s="15">
        <f>Z26*Hypothèses!$D$27</f>
        <v/>
      </c>
      <c r="AA29" s="15">
        <f>AA26*Hypothèses!$D$27</f>
        <v/>
      </c>
      <c r="AB29" s="15">
        <f>AB26*Hypothèses!$D$27</f>
        <v/>
      </c>
      <c r="AC29" s="15">
        <f>AC26*Hypothèses!$D$27</f>
        <v/>
      </c>
      <c r="AD29" s="15">
        <f>AD26*Hypothèses!$D$27</f>
        <v/>
      </c>
      <c r="AE29" s="15">
        <f>AE26*Hypothèses!$D$27</f>
        <v/>
      </c>
      <c r="AF29" s="15">
        <f>AF26*Hypothèses!$D$27</f>
        <v/>
      </c>
      <c r="AG29" s="15">
        <f>AG26*Hypothèses!$D$27</f>
        <v/>
      </c>
      <c r="AH29" s="15">
        <f>AH26*Hypothèses!$D$27</f>
        <v/>
      </c>
      <c r="AI29" s="15">
        <f>AI26*Hypothèses!$D$27</f>
        <v/>
      </c>
      <c r="AJ29" s="15">
        <f>AJ26*Hypothèses!$D$27</f>
        <v/>
      </c>
      <c r="AK29" s="15">
        <f>AK26*Hypothèses!$D$27</f>
        <v/>
      </c>
      <c r="AL29" s="15">
        <f>AL26*Hypothèses!$D$27</f>
        <v/>
      </c>
      <c r="AN29" s="15">
        <f>SUM(C29:N29)</f>
        <v/>
      </c>
      <c r="AO29" s="15">
        <f>SUM(O29:Z29)</f>
        <v/>
      </c>
      <c r="AP29" s="15">
        <f>SUM(AA29:AL29)</f>
        <v/>
      </c>
    </row>
    <row r="30">
      <c r="A30" s="9" t="inlineStr">
        <is>
          <t>Frais de paiement</t>
        </is>
      </c>
      <c r="B30" s="4" t="inlineStr">
        <is>
          <t>€</t>
        </is>
      </c>
      <c r="C30" s="15">
        <f>(C26-C29)*Hypothèses!$D$28+C18*Hypothèses!$D$29</f>
        <v/>
      </c>
      <c r="D30" s="15">
        <f>(D26-D29)*Hypothèses!$D$28+D18*Hypothèses!$D$29</f>
        <v/>
      </c>
      <c r="E30" s="15">
        <f>(E26-E29)*Hypothèses!$D$28+E18*Hypothèses!$D$29</f>
        <v/>
      </c>
      <c r="F30" s="15">
        <f>(F26-F29)*Hypothèses!$D$28+F18*Hypothèses!$D$29</f>
        <v/>
      </c>
      <c r="G30" s="15">
        <f>(G26-G29)*Hypothèses!$D$28+G18*Hypothèses!$D$29</f>
        <v/>
      </c>
      <c r="H30" s="15">
        <f>(H26-H29)*Hypothèses!$D$28+H18*Hypothèses!$D$29</f>
        <v/>
      </c>
      <c r="I30" s="15">
        <f>(I26-I29)*Hypothèses!$D$28+I18*Hypothèses!$D$29</f>
        <v/>
      </c>
      <c r="J30" s="15">
        <f>(J26-J29)*Hypothèses!$D$28+J18*Hypothèses!$D$29</f>
        <v/>
      </c>
      <c r="K30" s="15">
        <f>(K26-K29)*Hypothèses!$D$28+K18*Hypothèses!$D$29</f>
        <v/>
      </c>
      <c r="L30" s="15">
        <f>(L26-L29)*Hypothèses!$D$28+L18*Hypothèses!$D$29</f>
        <v/>
      </c>
      <c r="M30" s="15">
        <f>(M26-M29)*Hypothèses!$D$28+M18*Hypothèses!$D$29</f>
        <v/>
      </c>
      <c r="N30" s="15">
        <f>(N26-N29)*Hypothèses!$D$28+N18*Hypothèses!$D$29</f>
        <v/>
      </c>
      <c r="O30" s="15">
        <f>(O26-O29)*Hypothèses!$D$28+O18*Hypothèses!$D$29</f>
        <v/>
      </c>
      <c r="P30" s="15">
        <f>(P26-P29)*Hypothèses!$D$28+P18*Hypothèses!$D$29</f>
        <v/>
      </c>
      <c r="Q30" s="15">
        <f>(Q26-Q29)*Hypothèses!$D$28+Q18*Hypothèses!$D$29</f>
        <v/>
      </c>
      <c r="R30" s="15">
        <f>(R26-R29)*Hypothèses!$D$28+R18*Hypothèses!$D$29</f>
        <v/>
      </c>
      <c r="S30" s="15">
        <f>(S26-S29)*Hypothèses!$D$28+S18*Hypothèses!$D$29</f>
        <v/>
      </c>
      <c r="T30" s="15">
        <f>(T26-T29)*Hypothèses!$D$28+T18*Hypothèses!$D$29</f>
        <v/>
      </c>
      <c r="U30" s="15">
        <f>(U26-U29)*Hypothèses!$D$28+U18*Hypothèses!$D$29</f>
        <v/>
      </c>
      <c r="V30" s="15">
        <f>(V26-V29)*Hypothèses!$D$28+V18*Hypothèses!$D$29</f>
        <v/>
      </c>
      <c r="W30" s="15">
        <f>(W26-W29)*Hypothèses!$D$28+W18*Hypothèses!$D$29</f>
        <v/>
      </c>
      <c r="X30" s="15">
        <f>(X26-X29)*Hypothèses!$D$28+X18*Hypothèses!$D$29</f>
        <v/>
      </c>
      <c r="Y30" s="15">
        <f>(Y26-Y29)*Hypothèses!$D$28+Y18*Hypothèses!$D$29</f>
        <v/>
      </c>
      <c r="Z30" s="15">
        <f>(Z26-Z29)*Hypothèses!$D$28+Z18*Hypothèses!$D$29</f>
        <v/>
      </c>
      <c r="AA30" s="15">
        <f>(AA26-AA29)*Hypothèses!$D$28+AA18*Hypothèses!$D$29</f>
        <v/>
      </c>
      <c r="AB30" s="15">
        <f>(AB26-AB29)*Hypothèses!$D$28+AB18*Hypothèses!$D$29</f>
        <v/>
      </c>
      <c r="AC30" s="15">
        <f>(AC26-AC29)*Hypothèses!$D$28+AC18*Hypothèses!$D$29</f>
        <v/>
      </c>
      <c r="AD30" s="15">
        <f>(AD26-AD29)*Hypothèses!$D$28+AD18*Hypothèses!$D$29</f>
        <v/>
      </c>
      <c r="AE30" s="15">
        <f>(AE26-AE29)*Hypothèses!$D$28+AE18*Hypothèses!$D$29</f>
        <v/>
      </c>
      <c r="AF30" s="15">
        <f>(AF26-AF29)*Hypothèses!$D$28+AF18*Hypothèses!$D$29</f>
        <v/>
      </c>
      <c r="AG30" s="15">
        <f>(AG26-AG29)*Hypothèses!$D$28+AG18*Hypothèses!$D$29</f>
        <v/>
      </c>
      <c r="AH30" s="15">
        <f>(AH26-AH29)*Hypothèses!$D$28+AH18*Hypothèses!$D$29</f>
        <v/>
      </c>
      <c r="AI30" s="15">
        <f>(AI26-AI29)*Hypothèses!$D$28+AI18*Hypothèses!$D$29</f>
        <v/>
      </c>
      <c r="AJ30" s="15">
        <f>(AJ26-AJ29)*Hypothèses!$D$28+AJ18*Hypothèses!$D$29</f>
        <v/>
      </c>
      <c r="AK30" s="15">
        <f>(AK26-AK29)*Hypothèses!$D$28+AK18*Hypothèses!$D$29</f>
        <v/>
      </c>
      <c r="AL30" s="15">
        <f>(AL26-AL29)*Hypothèses!$D$28+AL18*Hypothèses!$D$29</f>
        <v/>
      </c>
      <c r="AN30" s="15">
        <f>SUM(C30:N30)</f>
        <v/>
      </c>
      <c r="AO30" s="15">
        <f>SUM(O30:Z30)</f>
        <v/>
      </c>
      <c r="AP30" s="15">
        <f>SUM(AA30:AL30)</f>
        <v/>
      </c>
    </row>
    <row r="31">
      <c r="A31" s="2" t="inlineStr">
        <is>
          <t>Encaissements nets TTC</t>
        </is>
      </c>
      <c r="B31" s="4" t="inlineStr">
        <is>
          <t>€ TTC</t>
        </is>
      </c>
      <c r="C31" s="40">
        <f>C26-C29-C30</f>
        <v/>
      </c>
      <c r="D31" s="40">
        <f>D26-D29-D30</f>
        <v/>
      </c>
      <c r="E31" s="40">
        <f>E26-E29-E30</f>
        <v/>
      </c>
      <c r="F31" s="40">
        <f>F26-F29-F30</f>
        <v/>
      </c>
      <c r="G31" s="40">
        <f>G26-G29-G30</f>
        <v/>
      </c>
      <c r="H31" s="40">
        <f>H26-H29-H30</f>
        <v/>
      </c>
      <c r="I31" s="40">
        <f>I26-I29-I30</f>
        <v/>
      </c>
      <c r="J31" s="40">
        <f>J26-J29-J30</f>
        <v/>
      </c>
      <c r="K31" s="40">
        <f>K26-K29-K30</f>
        <v/>
      </c>
      <c r="L31" s="40">
        <f>L26-L29-L30</f>
        <v/>
      </c>
      <c r="M31" s="40">
        <f>M26-M29-M30</f>
        <v/>
      </c>
      <c r="N31" s="40">
        <f>N26-N29-N30</f>
        <v/>
      </c>
      <c r="O31" s="40">
        <f>O26-O29-O30</f>
        <v/>
      </c>
      <c r="P31" s="40">
        <f>P26-P29-P30</f>
        <v/>
      </c>
      <c r="Q31" s="40">
        <f>Q26-Q29-Q30</f>
        <v/>
      </c>
      <c r="R31" s="40">
        <f>R26-R29-R30</f>
        <v/>
      </c>
      <c r="S31" s="40">
        <f>S26-S29-S30</f>
        <v/>
      </c>
      <c r="T31" s="40">
        <f>T26-T29-T30</f>
        <v/>
      </c>
      <c r="U31" s="40">
        <f>U26-U29-U30</f>
        <v/>
      </c>
      <c r="V31" s="40">
        <f>V26-V29-V30</f>
        <v/>
      </c>
      <c r="W31" s="40">
        <f>W26-W29-W30</f>
        <v/>
      </c>
      <c r="X31" s="40">
        <f>X26-X29-X30</f>
        <v/>
      </c>
      <c r="Y31" s="40">
        <f>Y26-Y29-Y30</f>
        <v/>
      </c>
      <c r="Z31" s="40">
        <f>Z26-Z29-Z30</f>
        <v/>
      </c>
      <c r="AA31" s="40">
        <f>AA26-AA29-AA30</f>
        <v/>
      </c>
      <c r="AB31" s="40">
        <f>AB26-AB29-AB30</f>
        <v/>
      </c>
      <c r="AC31" s="40">
        <f>AC26-AC29-AC30</f>
        <v/>
      </c>
      <c r="AD31" s="40">
        <f>AD26-AD29-AD30</f>
        <v/>
      </c>
      <c r="AE31" s="40">
        <f>AE26-AE29-AE30</f>
        <v/>
      </c>
      <c r="AF31" s="40">
        <f>AF26-AF29-AF30</f>
        <v/>
      </c>
      <c r="AG31" s="40">
        <f>AG26-AG29-AG30</f>
        <v/>
      </c>
      <c r="AH31" s="40">
        <f>AH26-AH29-AH30</f>
        <v/>
      </c>
      <c r="AI31" s="40">
        <f>AI26-AI29-AI30</f>
        <v/>
      </c>
      <c r="AJ31" s="40">
        <f>AJ26-AJ29-AJ30</f>
        <v/>
      </c>
      <c r="AK31" s="40">
        <f>AK26-AK29-AK30</f>
        <v/>
      </c>
      <c r="AL31" s="40">
        <f>AL26-AL29-AL30</f>
        <v/>
      </c>
      <c r="AN31" s="40">
        <f>SUM(C31:N31)</f>
        <v/>
      </c>
      <c r="AO31" s="40">
        <f>SUM(O31:Z31)</f>
        <v/>
      </c>
      <c r="AP31" s="40">
        <f>SUM(AA31:AL31)</f>
        <v/>
      </c>
    </row>
    <row r="32">
      <c r="A32" s="8" t="inlineStr">
        <is>
          <t>Coûts variables</t>
        </is>
      </c>
    </row>
    <row r="33">
      <c r="A33" s="9" t="inlineStr">
        <is>
          <t>Coût IA et outils (missions × coût par mission)</t>
        </is>
      </c>
      <c r="B33" s="4" t="inlineStr">
        <is>
          <t>€ HT</t>
        </is>
      </c>
      <c r="C33" s="15">
        <f>(C19*Hypothèses!$D$31+C20*Hypothèses!$D$32+C21*Hypothèses!$D$33)*Hypothèses!$D$34*$F$4</f>
        <v/>
      </c>
      <c r="D33" s="15">
        <f>(D19*Hypothèses!$D$31+D20*Hypothèses!$D$32+D21*Hypothèses!$D$33)*Hypothèses!$D$34*$F$4</f>
        <v/>
      </c>
      <c r="E33" s="15">
        <f>(E19*Hypothèses!$D$31+E20*Hypothèses!$D$32+E21*Hypothèses!$D$33)*Hypothèses!$D$34*$F$4</f>
        <v/>
      </c>
      <c r="F33" s="15">
        <f>(F19*Hypothèses!$D$31+F20*Hypothèses!$D$32+F21*Hypothèses!$D$33)*Hypothèses!$D$34*$F$4</f>
        <v/>
      </c>
      <c r="G33" s="15">
        <f>(G19*Hypothèses!$D$31+G20*Hypothèses!$D$32+G21*Hypothèses!$D$33)*Hypothèses!$D$34*$F$4</f>
        <v/>
      </c>
      <c r="H33" s="15">
        <f>(H19*Hypothèses!$D$31+H20*Hypothèses!$D$32+H21*Hypothèses!$D$33)*Hypothèses!$D$34*$F$4</f>
        <v/>
      </c>
      <c r="I33" s="15">
        <f>(I19*Hypothèses!$D$31+I20*Hypothèses!$D$32+I21*Hypothèses!$D$33)*Hypothèses!$D$34*$F$4</f>
        <v/>
      </c>
      <c r="J33" s="15">
        <f>(J19*Hypothèses!$D$31+J20*Hypothèses!$D$32+J21*Hypothèses!$D$33)*Hypothèses!$D$34*$F$4</f>
        <v/>
      </c>
      <c r="K33" s="15">
        <f>(K19*Hypothèses!$D$31+K20*Hypothèses!$D$32+K21*Hypothèses!$D$33)*Hypothèses!$D$34*$F$4</f>
        <v/>
      </c>
      <c r="L33" s="15">
        <f>(L19*Hypothèses!$D$31+L20*Hypothèses!$D$32+L21*Hypothèses!$D$33)*Hypothèses!$D$34*$F$4</f>
        <v/>
      </c>
      <c r="M33" s="15">
        <f>(M19*Hypothèses!$D$31+M20*Hypothèses!$D$32+M21*Hypothèses!$D$33)*Hypothèses!$D$34*$F$4</f>
        <v/>
      </c>
      <c r="N33" s="15">
        <f>(N19*Hypothèses!$D$31+N20*Hypothèses!$D$32+N21*Hypothèses!$D$33)*Hypothèses!$D$34*$F$4</f>
        <v/>
      </c>
      <c r="O33" s="15">
        <f>(O19*Hypothèses!$D$31+O20*Hypothèses!$D$32+O21*Hypothèses!$D$33)*Hypothèses!$D$34*$F$4</f>
        <v/>
      </c>
      <c r="P33" s="15">
        <f>(P19*Hypothèses!$D$31+P20*Hypothèses!$D$32+P21*Hypothèses!$D$33)*Hypothèses!$D$34*$F$4</f>
        <v/>
      </c>
      <c r="Q33" s="15">
        <f>(Q19*Hypothèses!$D$31+Q20*Hypothèses!$D$32+Q21*Hypothèses!$D$33)*Hypothèses!$D$34*$F$4</f>
        <v/>
      </c>
      <c r="R33" s="15">
        <f>(R19*Hypothèses!$D$31+R20*Hypothèses!$D$32+R21*Hypothèses!$D$33)*Hypothèses!$D$34*$F$4</f>
        <v/>
      </c>
      <c r="S33" s="15">
        <f>(S19*Hypothèses!$D$31+S20*Hypothèses!$D$32+S21*Hypothèses!$D$33)*Hypothèses!$D$34*$F$4</f>
        <v/>
      </c>
      <c r="T33" s="15">
        <f>(T19*Hypothèses!$D$31+T20*Hypothèses!$D$32+T21*Hypothèses!$D$33)*Hypothèses!$D$34*$F$4</f>
        <v/>
      </c>
      <c r="U33" s="15">
        <f>(U19*Hypothèses!$D$31+U20*Hypothèses!$D$32+U21*Hypothèses!$D$33)*Hypothèses!$D$34*$F$4</f>
        <v/>
      </c>
      <c r="V33" s="15">
        <f>(V19*Hypothèses!$D$31+V20*Hypothèses!$D$32+V21*Hypothèses!$D$33)*Hypothèses!$D$34*$F$4</f>
        <v/>
      </c>
      <c r="W33" s="15">
        <f>(W19*Hypothèses!$D$31+W20*Hypothèses!$D$32+W21*Hypothèses!$D$33)*Hypothèses!$D$34*$F$4</f>
        <v/>
      </c>
      <c r="X33" s="15">
        <f>(X19*Hypothèses!$D$31+X20*Hypothèses!$D$32+X21*Hypothèses!$D$33)*Hypothèses!$D$34*$F$4</f>
        <v/>
      </c>
      <c r="Y33" s="15">
        <f>(Y19*Hypothèses!$D$31+Y20*Hypothèses!$D$32+Y21*Hypothèses!$D$33)*Hypothèses!$D$34*$F$4</f>
        <v/>
      </c>
      <c r="Z33" s="15">
        <f>(Z19*Hypothèses!$D$31+Z20*Hypothèses!$D$32+Z21*Hypothèses!$D$33)*Hypothèses!$D$34*$F$4</f>
        <v/>
      </c>
      <c r="AA33" s="15">
        <f>(AA19*Hypothèses!$D$31+AA20*Hypothèses!$D$32+AA21*Hypothèses!$D$33)*Hypothèses!$D$34*$F$4</f>
        <v/>
      </c>
      <c r="AB33" s="15">
        <f>(AB19*Hypothèses!$D$31+AB20*Hypothèses!$D$32+AB21*Hypothèses!$D$33)*Hypothèses!$D$34*$F$4</f>
        <v/>
      </c>
      <c r="AC33" s="15">
        <f>(AC19*Hypothèses!$D$31+AC20*Hypothèses!$D$32+AC21*Hypothèses!$D$33)*Hypothèses!$D$34*$F$4</f>
        <v/>
      </c>
      <c r="AD33" s="15">
        <f>(AD19*Hypothèses!$D$31+AD20*Hypothèses!$D$32+AD21*Hypothèses!$D$33)*Hypothèses!$D$34*$F$4</f>
        <v/>
      </c>
      <c r="AE33" s="15">
        <f>(AE19*Hypothèses!$D$31+AE20*Hypothèses!$D$32+AE21*Hypothèses!$D$33)*Hypothèses!$D$34*$F$4</f>
        <v/>
      </c>
      <c r="AF33" s="15">
        <f>(AF19*Hypothèses!$D$31+AF20*Hypothèses!$D$32+AF21*Hypothèses!$D$33)*Hypothèses!$D$34*$F$4</f>
        <v/>
      </c>
      <c r="AG33" s="15">
        <f>(AG19*Hypothèses!$D$31+AG20*Hypothèses!$D$32+AG21*Hypothèses!$D$33)*Hypothèses!$D$34*$F$4</f>
        <v/>
      </c>
      <c r="AH33" s="15">
        <f>(AH19*Hypothèses!$D$31+AH20*Hypothèses!$D$32+AH21*Hypothèses!$D$33)*Hypothèses!$D$34*$F$4</f>
        <v/>
      </c>
      <c r="AI33" s="15">
        <f>(AI19*Hypothèses!$D$31+AI20*Hypothèses!$D$32+AI21*Hypothèses!$D$33)*Hypothèses!$D$34*$F$4</f>
        <v/>
      </c>
      <c r="AJ33" s="15">
        <f>(AJ19*Hypothèses!$D$31+AJ20*Hypothèses!$D$32+AJ21*Hypothèses!$D$33)*Hypothèses!$D$34*$F$4</f>
        <v/>
      </c>
      <c r="AK33" s="15">
        <f>(AK19*Hypothèses!$D$31+AK20*Hypothèses!$D$32+AK21*Hypothèses!$D$33)*Hypothèses!$D$34*$F$4</f>
        <v/>
      </c>
      <c r="AL33" s="15">
        <f>(AL19*Hypothèses!$D$31+AL20*Hypothèses!$D$32+AL21*Hypothèses!$D$33)*Hypothèses!$D$34*$F$4</f>
        <v/>
      </c>
      <c r="AN33" s="15">
        <f>SUM(C33:N33)</f>
        <v/>
      </c>
      <c r="AO33" s="15">
        <f>SUM(O33:Z33)</f>
        <v/>
      </c>
      <c r="AP33" s="15">
        <f>SUM(AA33:AL33)</f>
        <v/>
      </c>
    </row>
    <row r="34">
      <c r="A34" s="9" t="inlineStr">
        <is>
          <t>Hébergement, stockage, connecteurs</t>
        </is>
      </c>
      <c r="B34" s="4" t="inlineStr">
        <is>
          <t>€ HT</t>
        </is>
      </c>
      <c r="C34" s="15">
        <f>C18*Hypothèses!$D$35</f>
        <v/>
      </c>
      <c r="D34" s="15">
        <f>D18*Hypothèses!$D$35</f>
        <v/>
      </c>
      <c r="E34" s="15">
        <f>E18*Hypothèses!$D$35</f>
        <v/>
      </c>
      <c r="F34" s="15">
        <f>F18*Hypothèses!$D$35</f>
        <v/>
      </c>
      <c r="G34" s="15">
        <f>G18*Hypothèses!$D$35</f>
        <v/>
      </c>
      <c r="H34" s="15">
        <f>H18*Hypothèses!$D$35</f>
        <v/>
      </c>
      <c r="I34" s="15">
        <f>I18*Hypothèses!$D$35</f>
        <v/>
      </c>
      <c r="J34" s="15">
        <f>J18*Hypothèses!$D$35</f>
        <v/>
      </c>
      <c r="K34" s="15">
        <f>K18*Hypothèses!$D$35</f>
        <v/>
      </c>
      <c r="L34" s="15">
        <f>L18*Hypothèses!$D$35</f>
        <v/>
      </c>
      <c r="M34" s="15">
        <f>M18*Hypothèses!$D$35</f>
        <v/>
      </c>
      <c r="N34" s="15">
        <f>N18*Hypothèses!$D$35</f>
        <v/>
      </c>
      <c r="O34" s="15">
        <f>O18*Hypothèses!$D$35</f>
        <v/>
      </c>
      <c r="P34" s="15">
        <f>P18*Hypothèses!$D$35</f>
        <v/>
      </c>
      <c r="Q34" s="15">
        <f>Q18*Hypothèses!$D$35</f>
        <v/>
      </c>
      <c r="R34" s="15">
        <f>R18*Hypothèses!$D$35</f>
        <v/>
      </c>
      <c r="S34" s="15">
        <f>S18*Hypothèses!$D$35</f>
        <v/>
      </c>
      <c r="T34" s="15">
        <f>T18*Hypothèses!$D$35</f>
        <v/>
      </c>
      <c r="U34" s="15">
        <f>U18*Hypothèses!$D$35</f>
        <v/>
      </c>
      <c r="V34" s="15">
        <f>V18*Hypothèses!$D$35</f>
        <v/>
      </c>
      <c r="W34" s="15">
        <f>W18*Hypothèses!$D$35</f>
        <v/>
      </c>
      <c r="X34" s="15">
        <f>X18*Hypothèses!$D$35</f>
        <v/>
      </c>
      <c r="Y34" s="15">
        <f>Y18*Hypothèses!$D$35</f>
        <v/>
      </c>
      <c r="Z34" s="15">
        <f>Z18*Hypothèses!$D$35</f>
        <v/>
      </c>
      <c r="AA34" s="15">
        <f>AA18*Hypothèses!$D$35</f>
        <v/>
      </c>
      <c r="AB34" s="15">
        <f>AB18*Hypothèses!$D$35</f>
        <v/>
      </c>
      <c r="AC34" s="15">
        <f>AC18*Hypothèses!$D$35</f>
        <v/>
      </c>
      <c r="AD34" s="15">
        <f>AD18*Hypothèses!$D$35</f>
        <v/>
      </c>
      <c r="AE34" s="15">
        <f>AE18*Hypothèses!$D$35</f>
        <v/>
      </c>
      <c r="AF34" s="15">
        <f>AF18*Hypothèses!$D$35</f>
        <v/>
      </c>
      <c r="AG34" s="15">
        <f>AG18*Hypothèses!$D$35</f>
        <v/>
      </c>
      <c r="AH34" s="15">
        <f>AH18*Hypothèses!$D$35</f>
        <v/>
      </c>
      <c r="AI34" s="15">
        <f>AI18*Hypothèses!$D$35</f>
        <v/>
      </c>
      <c r="AJ34" s="15">
        <f>AJ18*Hypothèses!$D$35</f>
        <v/>
      </c>
      <c r="AK34" s="15">
        <f>AK18*Hypothèses!$D$35</f>
        <v/>
      </c>
      <c r="AL34" s="15">
        <f>AL18*Hypothèses!$D$35</f>
        <v/>
      </c>
      <c r="AN34" s="15">
        <f>SUM(C34:N34)</f>
        <v/>
      </c>
      <c r="AO34" s="15">
        <f>SUM(O34:Z34)</f>
        <v/>
      </c>
      <c r="AP34" s="15">
        <f>SUM(AA34:AL34)</f>
        <v/>
      </c>
    </row>
    <row r="35">
      <c r="A35" s="9" t="inlineStr">
        <is>
          <t>Support humain</t>
        </is>
      </c>
      <c r="B35" s="4" t="inlineStr">
        <is>
          <t>€ HT</t>
        </is>
      </c>
      <c r="C35" s="15">
        <f>C18*Hypothèses!$D$36</f>
        <v/>
      </c>
      <c r="D35" s="15">
        <f>D18*Hypothèses!$D$36</f>
        <v/>
      </c>
      <c r="E35" s="15">
        <f>E18*Hypothèses!$D$36</f>
        <v/>
      </c>
      <c r="F35" s="15">
        <f>F18*Hypothèses!$D$36</f>
        <v/>
      </c>
      <c r="G35" s="15">
        <f>G18*Hypothèses!$D$36</f>
        <v/>
      </c>
      <c r="H35" s="15">
        <f>H18*Hypothèses!$D$36</f>
        <v/>
      </c>
      <c r="I35" s="15">
        <f>I18*Hypothèses!$D$36</f>
        <v/>
      </c>
      <c r="J35" s="15">
        <f>J18*Hypothèses!$D$36</f>
        <v/>
      </c>
      <c r="K35" s="15">
        <f>K18*Hypothèses!$D$36</f>
        <v/>
      </c>
      <c r="L35" s="15">
        <f>L18*Hypothèses!$D$36</f>
        <v/>
      </c>
      <c r="M35" s="15">
        <f>M18*Hypothèses!$D$36</f>
        <v/>
      </c>
      <c r="N35" s="15">
        <f>N18*Hypothèses!$D$36</f>
        <v/>
      </c>
      <c r="O35" s="15">
        <f>O18*Hypothèses!$D$36</f>
        <v/>
      </c>
      <c r="P35" s="15">
        <f>P18*Hypothèses!$D$36</f>
        <v/>
      </c>
      <c r="Q35" s="15">
        <f>Q18*Hypothèses!$D$36</f>
        <v/>
      </c>
      <c r="R35" s="15">
        <f>R18*Hypothèses!$D$36</f>
        <v/>
      </c>
      <c r="S35" s="15">
        <f>S18*Hypothèses!$D$36</f>
        <v/>
      </c>
      <c r="T35" s="15">
        <f>T18*Hypothèses!$D$36</f>
        <v/>
      </c>
      <c r="U35" s="15">
        <f>U18*Hypothèses!$D$36</f>
        <v/>
      </c>
      <c r="V35" s="15">
        <f>V18*Hypothèses!$D$36</f>
        <v/>
      </c>
      <c r="W35" s="15">
        <f>W18*Hypothèses!$D$36</f>
        <v/>
      </c>
      <c r="X35" s="15">
        <f>X18*Hypothèses!$D$36</f>
        <v/>
      </c>
      <c r="Y35" s="15">
        <f>Y18*Hypothèses!$D$36</f>
        <v/>
      </c>
      <c r="Z35" s="15">
        <f>Z18*Hypothèses!$D$36</f>
        <v/>
      </c>
      <c r="AA35" s="15">
        <f>AA18*Hypothèses!$D$36</f>
        <v/>
      </c>
      <c r="AB35" s="15">
        <f>AB18*Hypothèses!$D$36</f>
        <v/>
      </c>
      <c r="AC35" s="15">
        <f>AC18*Hypothèses!$D$36</f>
        <v/>
      </c>
      <c r="AD35" s="15">
        <f>AD18*Hypothèses!$D$36</f>
        <v/>
      </c>
      <c r="AE35" s="15">
        <f>AE18*Hypothèses!$D$36</f>
        <v/>
      </c>
      <c r="AF35" s="15">
        <f>AF18*Hypothèses!$D$36</f>
        <v/>
      </c>
      <c r="AG35" s="15">
        <f>AG18*Hypothèses!$D$36</f>
        <v/>
      </c>
      <c r="AH35" s="15">
        <f>AH18*Hypothèses!$D$36</f>
        <v/>
      </c>
      <c r="AI35" s="15">
        <f>AI18*Hypothèses!$D$36</f>
        <v/>
      </c>
      <c r="AJ35" s="15">
        <f>AJ18*Hypothèses!$D$36</f>
        <v/>
      </c>
      <c r="AK35" s="15">
        <f>AK18*Hypothèses!$D$36</f>
        <v/>
      </c>
      <c r="AL35" s="15">
        <f>AL18*Hypothèses!$D$36</f>
        <v/>
      </c>
      <c r="AN35" s="15">
        <f>SUM(C35:N35)</f>
        <v/>
      </c>
      <c r="AO35" s="15">
        <f>SUM(O35:Z35)</f>
        <v/>
      </c>
      <c r="AP35" s="15">
        <f>SUM(AA35:AL35)</f>
        <v/>
      </c>
    </row>
    <row r="36">
      <c r="A36" s="2" t="inlineStr">
        <is>
          <t>Total coûts variables</t>
        </is>
      </c>
      <c r="B36" s="4" t="inlineStr">
        <is>
          <t>€ HT</t>
        </is>
      </c>
      <c r="C36" s="40">
        <f>C33+C34+C35</f>
        <v/>
      </c>
      <c r="D36" s="40">
        <f>D33+D34+D35</f>
        <v/>
      </c>
      <c r="E36" s="40">
        <f>E33+E34+E35</f>
        <v/>
      </c>
      <c r="F36" s="40">
        <f>F33+F34+F35</f>
        <v/>
      </c>
      <c r="G36" s="40">
        <f>G33+G34+G35</f>
        <v/>
      </c>
      <c r="H36" s="40">
        <f>H33+H34+H35</f>
        <v/>
      </c>
      <c r="I36" s="40">
        <f>I33+I34+I35</f>
        <v/>
      </c>
      <c r="J36" s="40">
        <f>J33+J34+J35</f>
        <v/>
      </c>
      <c r="K36" s="40">
        <f>K33+K34+K35</f>
        <v/>
      </c>
      <c r="L36" s="40">
        <f>L33+L34+L35</f>
        <v/>
      </c>
      <c r="M36" s="40">
        <f>M33+M34+M35</f>
        <v/>
      </c>
      <c r="N36" s="40">
        <f>N33+N34+N35</f>
        <v/>
      </c>
      <c r="O36" s="40">
        <f>O33+O34+O35</f>
        <v/>
      </c>
      <c r="P36" s="40">
        <f>P33+P34+P35</f>
        <v/>
      </c>
      <c r="Q36" s="40">
        <f>Q33+Q34+Q35</f>
        <v/>
      </c>
      <c r="R36" s="40">
        <f>R33+R34+R35</f>
        <v/>
      </c>
      <c r="S36" s="40">
        <f>S33+S34+S35</f>
        <v/>
      </c>
      <c r="T36" s="40">
        <f>T33+T34+T35</f>
        <v/>
      </c>
      <c r="U36" s="40">
        <f>U33+U34+U35</f>
        <v/>
      </c>
      <c r="V36" s="40">
        <f>V33+V34+V35</f>
        <v/>
      </c>
      <c r="W36" s="40">
        <f>W33+W34+W35</f>
        <v/>
      </c>
      <c r="X36" s="40">
        <f>X33+X34+X35</f>
        <v/>
      </c>
      <c r="Y36" s="40">
        <f>Y33+Y34+Y35</f>
        <v/>
      </c>
      <c r="Z36" s="40">
        <f>Z33+Z34+Z35</f>
        <v/>
      </c>
      <c r="AA36" s="40">
        <f>AA33+AA34+AA35</f>
        <v/>
      </c>
      <c r="AB36" s="40">
        <f>AB33+AB34+AB35</f>
        <v/>
      </c>
      <c r="AC36" s="40">
        <f>AC33+AC34+AC35</f>
        <v/>
      </c>
      <c r="AD36" s="40">
        <f>AD33+AD34+AD35</f>
        <v/>
      </c>
      <c r="AE36" s="40">
        <f>AE33+AE34+AE35</f>
        <v/>
      </c>
      <c r="AF36" s="40">
        <f>AF33+AF34+AF35</f>
        <v/>
      </c>
      <c r="AG36" s="40">
        <f>AG33+AG34+AG35</f>
        <v/>
      </c>
      <c r="AH36" s="40">
        <f>AH33+AH34+AH35</f>
        <v/>
      </c>
      <c r="AI36" s="40">
        <f>AI33+AI34+AI35</f>
        <v/>
      </c>
      <c r="AJ36" s="40">
        <f>AJ33+AJ34+AJ35</f>
        <v/>
      </c>
      <c r="AK36" s="40">
        <f>AK33+AK34+AK35</f>
        <v/>
      </c>
      <c r="AL36" s="40">
        <f>AL33+AL34+AL35</f>
        <v/>
      </c>
      <c r="AN36" s="40">
        <f>SUM(C36:N36)</f>
        <v/>
      </c>
      <c r="AO36" s="40">
        <f>SUM(O36:Z36)</f>
        <v/>
      </c>
      <c r="AP36" s="40">
        <f>SUM(AA36:AL36)</f>
        <v/>
      </c>
    </row>
    <row r="37">
      <c r="A37" s="2" t="inlineStr">
        <is>
          <t>Marge sur coûts variables (CA HT − variables − frais − impayés HT)</t>
        </is>
      </c>
      <c r="B37" s="4" t="inlineStr">
        <is>
          <t>€ HT</t>
        </is>
      </c>
      <c r="C37" s="40">
        <f>C28-C36-C30-C29/(1+Hypothèses!$D$15)</f>
        <v/>
      </c>
      <c r="D37" s="40">
        <f>D28-D36-D30-D29/(1+Hypothèses!$D$15)</f>
        <v/>
      </c>
      <c r="E37" s="40">
        <f>E28-E36-E30-E29/(1+Hypothèses!$D$15)</f>
        <v/>
      </c>
      <c r="F37" s="40">
        <f>F28-F36-F30-F29/(1+Hypothèses!$D$15)</f>
        <v/>
      </c>
      <c r="G37" s="40">
        <f>G28-G36-G30-G29/(1+Hypothèses!$D$15)</f>
        <v/>
      </c>
      <c r="H37" s="40">
        <f>H28-H36-H30-H29/(1+Hypothèses!$D$15)</f>
        <v/>
      </c>
      <c r="I37" s="40">
        <f>I28-I36-I30-I29/(1+Hypothèses!$D$15)</f>
        <v/>
      </c>
      <c r="J37" s="40">
        <f>J28-J36-J30-J29/(1+Hypothèses!$D$15)</f>
        <v/>
      </c>
      <c r="K37" s="40">
        <f>K28-K36-K30-K29/(1+Hypothèses!$D$15)</f>
        <v/>
      </c>
      <c r="L37" s="40">
        <f>L28-L36-L30-L29/(1+Hypothèses!$D$15)</f>
        <v/>
      </c>
      <c r="M37" s="40">
        <f>M28-M36-M30-M29/(1+Hypothèses!$D$15)</f>
        <v/>
      </c>
      <c r="N37" s="40">
        <f>N28-N36-N30-N29/(1+Hypothèses!$D$15)</f>
        <v/>
      </c>
      <c r="O37" s="40">
        <f>O28-O36-O30-O29/(1+Hypothèses!$D$15)</f>
        <v/>
      </c>
      <c r="P37" s="40">
        <f>P28-P36-P30-P29/(1+Hypothèses!$D$15)</f>
        <v/>
      </c>
      <c r="Q37" s="40">
        <f>Q28-Q36-Q30-Q29/(1+Hypothèses!$D$15)</f>
        <v/>
      </c>
      <c r="R37" s="40">
        <f>R28-R36-R30-R29/(1+Hypothèses!$D$15)</f>
        <v/>
      </c>
      <c r="S37" s="40">
        <f>S28-S36-S30-S29/(1+Hypothèses!$D$15)</f>
        <v/>
      </c>
      <c r="T37" s="40">
        <f>T28-T36-T30-T29/(1+Hypothèses!$D$15)</f>
        <v/>
      </c>
      <c r="U37" s="40">
        <f>U28-U36-U30-U29/(1+Hypothèses!$D$15)</f>
        <v/>
      </c>
      <c r="V37" s="40">
        <f>V28-V36-V30-V29/(1+Hypothèses!$D$15)</f>
        <v/>
      </c>
      <c r="W37" s="40">
        <f>W28-W36-W30-W29/(1+Hypothèses!$D$15)</f>
        <v/>
      </c>
      <c r="X37" s="40">
        <f>X28-X36-X30-X29/(1+Hypothèses!$D$15)</f>
        <v/>
      </c>
      <c r="Y37" s="40">
        <f>Y28-Y36-Y30-Y29/(1+Hypothèses!$D$15)</f>
        <v/>
      </c>
      <c r="Z37" s="40">
        <f>Z28-Z36-Z30-Z29/(1+Hypothèses!$D$15)</f>
        <v/>
      </c>
      <c r="AA37" s="40">
        <f>AA28-AA36-AA30-AA29/(1+Hypothèses!$D$15)</f>
        <v/>
      </c>
      <c r="AB37" s="40">
        <f>AB28-AB36-AB30-AB29/(1+Hypothèses!$D$15)</f>
        <v/>
      </c>
      <c r="AC37" s="40">
        <f>AC28-AC36-AC30-AC29/(1+Hypothèses!$D$15)</f>
        <v/>
      </c>
      <c r="AD37" s="40">
        <f>AD28-AD36-AD30-AD29/(1+Hypothèses!$D$15)</f>
        <v/>
      </c>
      <c r="AE37" s="40">
        <f>AE28-AE36-AE30-AE29/(1+Hypothèses!$D$15)</f>
        <v/>
      </c>
      <c r="AF37" s="40">
        <f>AF28-AF36-AF30-AF29/(1+Hypothèses!$D$15)</f>
        <v/>
      </c>
      <c r="AG37" s="40">
        <f>AG28-AG36-AG30-AG29/(1+Hypothèses!$D$15)</f>
        <v/>
      </c>
      <c r="AH37" s="40">
        <f>AH28-AH36-AH30-AH29/(1+Hypothèses!$D$15)</f>
        <v/>
      </c>
      <c r="AI37" s="40">
        <f>AI28-AI36-AI30-AI29/(1+Hypothèses!$D$15)</f>
        <v/>
      </c>
      <c r="AJ37" s="40">
        <f>AJ28-AJ36-AJ30-AJ29/(1+Hypothèses!$D$15)</f>
        <v/>
      </c>
      <c r="AK37" s="40">
        <f>AK28-AK36-AK30-AK29/(1+Hypothèses!$D$15)</f>
        <v/>
      </c>
      <c r="AL37" s="40">
        <f>AL28-AL36-AL30-AL29/(1+Hypothèses!$D$15)</f>
        <v/>
      </c>
      <c r="AN37" s="40">
        <f>SUM(C37:N37)</f>
        <v/>
      </c>
      <c r="AO37" s="40">
        <f>SUM(O37:Z37)</f>
        <v/>
      </c>
      <c r="AP37" s="40">
        <f>SUM(AA37:AL37)</f>
        <v/>
      </c>
    </row>
    <row r="38">
      <c r="A38" s="8" t="inlineStr">
        <is>
          <t>Acquisition et coûts fixes</t>
        </is>
      </c>
    </row>
    <row r="39">
      <c r="A39" s="9" t="inlineStr">
        <is>
          <t>Dépenses d'acquisition</t>
        </is>
      </c>
      <c r="B39" s="4" t="inlineStr">
        <is>
          <t>€ HT</t>
        </is>
      </c>
      <c r="C39" s="15">
        <f>C11</f>
        <v/>
      </c>
      <c r="D39" s="15">
        <f>D11</f>
        <v/>
      </c>
      <c r="E39" s="15">
        <f>E11</f>
        <v/>
      </c>
      <c r="F39" s="15">
        <f>F11</f>
        <v/>
      </c>
      <c r="G39" s="15">
        <f>G11</f>
        <v/>
      </c>
      <c r="H39" s="15">
        <f>H11</f>
        <v/>
      </c>
      <c r="I39" s="15">
        <f>I11</f>
        <v/>
      </c>
      <c r="J39" s="15">
        <f>J11</f>
        <v/>
      </c>
      <c r="K39" s="15">
        <f>K11</f>
        <v/>
      </c>
      <c r="L39" s="15">
        <f>L11</f>
        <v/>
      </c>
      <c r="M39" s="15">
        <f>M11</f>
        <v/>
      </c>
      <c r="N39" s="15">
        <f>N11</f>
        <v/>
      </c>
      <c r="O39" s="15">
        <f>O11</f>
        <v/>
      </c>
      <c r="P39" s="15">
        <f>P11</f>
        <v/>
      </c>
      <c r="Q39" s="15">
        <f>Q11</f>
        <v/>
      </c>
      <c r="R39" s="15">
        <f>R11</f>
        <v/>
      </c>
      <c r="S39" s="15">
        <f>S11</f>
        <v/>
      </c>
      <c r="T39" s="15">
        <f>T11</f>
        <v/>
      </c>
      <c r="U39" s="15">
        <f>U11</f>
        <v/>
      </c>
      <c r="V39" s="15">
        <f>V11</f>
        <v/>
      </c>
      <c r="W39" s="15">
        <f>W11</f>
        <v/>
      </c>
      <c r="X39" s="15">
        <f>X11</f>
        <v/>
      </c>
      <c r="Y39" s="15">
        <f>Y11</f>
        <v/>
      </c>
      <c r="Z39" s="15">
        <f>Z11</f>
        <v/>
      </c>
      <c r="AA39" s="15">
        <f>AA11</f>
        <v/>
      </c>
      <c r="AB39" s="15">
        <f>AB11</f>
        <v/>
      </c>
      <c r="AC39" s="15">
        <f>AC11</f>
        <v/>
      </c>
      <c r="AD39" s="15">
        <f>AD11</f>
        <v/>
      </c>
      <c r="AE39" s="15">
        <f>AE11</f>
        <v/>
      </c>
      <c r="AF39" s="15">
        <f>AF11</f>
        <v/>
      </c>
      <c r="AG39" s="15">
        <f>AG11</f>
        <v/>
      </c>
      <c r="AH39" s="15">
        <f>AH11</f>
        <v/>
      </c>
      <c r="AI39" s="15">
        <f>AI11</f>
        <v/>
      </c>
      <c r="AJ39" s="15">
        <f>AJ11</f>
        <v/>
      </c>
      <c r="AK39" s="15">
        <f>AK11</f>
        <v/>
      </c>
      <c r="AL39" s="15">
        <f>AL11</f>
        <v/>
      </c>
      <c r="AN39" s="15">
        <f>SUM(C39:N39)</f>
        <v/>
      </c>
      <c r="AO39" s="15">
        <f>SUM(O39:Z39)</f>
        <v/>
      </c>
      <c r="AP39" s="15">
        <f>SUM(AA39:AL39)</f>
        <v/>
      </c>
    </row>
    <row r="40">
      <c r="A40" s="9" t="inlineStr">
        <is>
          <t>Rémunération des fondateurs</t>
        </is>
      </c>
      <c r="B40" s="4" t="inlineStr">
        <is>
          <t>€ HT</t>
        </is>
      </c>
      <c r="C40" s="15">
        <f>IF(C7&gt;=Hypothèses!$D$39,Hypothèses!$D$38*Hypothèses!$D$40,0)*$G$4</f>
        <v/>
      </c>
      <c r="D40" s="15">
        <f>IF(D7&gt;=Hypothèses!$D$39,Hypothèses!$D$38*Hypothèses!$D$40,0)*$G$4</f>
        <v/>
      </c>
      <c r="E40" s="15">
        <f>IF(E7&gt;=Hypothèses!$D$39,Hypothèses!$D$38*Hypothèses!$D$40,0)*$G$4</f>
        <v/>
      </c>
      <c r="F40" s="15">
        <f>IF(F7&gt;=Hypothèses!$D$39,Hypothèses!$D$38*Hypothèses!$D$40,0)*$G$4</f>
        <v/>
      </c>
      <c r="G40" s="15">
        <f>IF(G7&gt;=Hypothèses!$D$39,Hypothèses!$D$38*Hypothèses!$D$40,0)*$G$4</f>
        <v/>
      </c>
      <c r="H40" s="15">
        <f>IF(H7&gt;=Hypothèses!$D$39,Hypothèses!$D$38*Hypothèses!$D$40,0)*$G$4</f>
        <v/>
      </c>
      <c r="I40" s="15">
        <f>IF(I7&gt;=Hypothèses!$D$39,Hypothèses!$D$38*Hypothèses!$D$40,0)*$G$4</f>
        <v/>
      </c>
      <c r="J40" s="15">
        <f>IF(J7&gt;=Hypothèses!$D$39,Hypothèses!$D$38*Hypothèses!$D$40,0)*$G$4</f>
        <v/>
      </c>
      <c r="K40" s="15">
        <f>IF(K7&gt;=Hypothèses!$D$39,Hypothèses!$D$38*Hypothèses!$D$40,0)*$G$4</f>
        <v/>
      </c>
      <c r="L40" s="15">
        <f>IF(L7&gt;=Hypothèses!$D$39,Hypothèses!$D$38*Hypothèses!$D$40,0)*$G$4</f>
        <v/>
      </c>
      <c r="M40" s="15">
        <f>IF(M7&gt;=Hypothèses!$D$39,Hypothèses!$D$38*Hypothèses!$D$40,0)*$G$4</f>
        <v/>
      </c>
      <c r="N40" s="15">
        <f>IF(N7&gt;=Hypothèses!$D$39,Hypothèses!$D$38*Hypothèses!$D$40,0)*$G$4</f>
        <v/>
      </c>
      <c r="O40" s="15">
        <f>IF(O7&gt;=Hypothèses!$D$39,Hypothèses!$D$38*Hypothèses!$D$40,0)*$G$4</f>
        <v/>
      </c>
      <c r="P40" s="15">
        <f>IF(P7&gt;=Hypothèses!$D$39,Hypothèses!$D$38*Hypothèses!$D$40,0)*$G$4</f>
        <v/>
      </c>
      <c r="Q40" s="15">
        <f>IF(Q7&gt;=Hypothèses!$D$39,Hypothèses!$D$38*Hypothèses!$D$40,0)*$G$4</f>
        <v/>
      </c>
      <c r="R40" s="15">
        <f>IF(R7&gt;=Hypothèses!$D$39,Hypothèses!$D$38*Hypothèses!$D$40,0)*$G$4</f>
        <v/>
      </c>
      <c r="S40" s="15">
        <f>IF(S7&gt;=Hypothèses!$D$39,Hypothèses!$D$38*Hypothèses!$D$40,0)*$G$4</f>
        <v/>
      </c>
      <c r="T40" s="15">
        <f>IF(T7&gt;=Hypothèses!$D$39,Hypothèses!$D$38*Hypothèses!$D$40,0)*$G$4</f>
        <v/>
      </c>
      <c r="U40" s="15">
        <f>IF(U7&gt;=Hypothèses!$D$39,Hypothèses!$D$38*Hypothèses!$D$40,0)*$G$4</f>
        <v/>
      </c>
      <c r="V40" s="15">
        <f>IF(V7&gt;=Hypothèses!$D$39,Hypothèses!$D$38*Hypothèses!$D$40,0)*$G$4</f>
        <v/>
      </c>
      <c r="W40" s="15">
        <f>IF(W7&gt;=Hypothèses!$D$39,Hypothèses!$D$38*Hypothèses!$D$40,0)*$G$4</f>
        <v/>
      </c>
      <c r="X40" s="15">
        <f>IF(X7&gt;=Hypothèses!$D$39,Hypothèses!$D$38*Hypothèses!$D$40,0)*$G$4</f>
        <v/>
      </c>
      <c r="Y40" s="15">
        <f>IF(Y7&gt;=Hypothèses!$D$39,Hypothèses!$D$38*Hypothèses!$D$40,0)*$G$4</f>
        <v/>
      </c>
      <c r="Z40" s="15">
        <f>IF(Z7&gt;=Hypothèses!$D$39,Hypothèses!$D$38*Hypothèses!$D$40,0)*$G$4</f>
        <v/>
      </c>
      <c r="AA40" s="15">
        <f>IF(AA7&gt;=Hypothèses!$D$39,Hypothèses!$D$38*Hypothèses!$D$40,0)*$G$4</f>
        <v/>
      </c>
      <c r="AB40" s="15">
        <f>IF(AB7&gt;=Hypothèses!$D$39,Hypothèses!$D$38*Hypothèses!$D$40,0)*$G$4</f>
        <v/>
      </c>
      <c r="AC40" s="15">
        <f>IF(AC7&gt;=Hypothèses!$D$39,Hypothèses!$D$38*Hypothèses!$D$40,0)*$G$4</f>
        <v/>
      </c>
      <c r="AD40" s="15">
        <f>IF(AD7&gt;=Hypothèses!$D$39,Hypothèses!$D$38*Hypothèses!$D$40,0)*$G$4</f>
        <v/>
      </c>
      <c r="AE40" s="15">
        <f>IF(AE7&gt;=Hypothèses!$D$39,Hypothèses!$D$38*Hypothèses!$D$40,0)*$G$4</f>
        <v/>
      </c>
      <c r="AF40" s="15">
        <f>IF(AF7&gt;=Hypothèses!$D$39,Hypothèses!$D$38*Hypothèses!$D$40,0)*$G$4</f>
        <v/>
      </c>
      <c r="AG40" s="15">
        <f>IF(AG7&gt;=Hypothèses!$D$39,Hypothèses!$D$38*Hypothèses!$D$40,0)*$G$4</f>
        <v/>
      </c>
      <c r="AH40" s="15">
        <f>IF(AH7&gt;=Hypothèses!$D$39,Hypothèses!$D$38*Hypothèses!$D$40,0)*$G$4</f>
        <v/>
      </c>
      <c r="AI40" s="15">
        <f>IF(AI7&gt;=Hypothèses!$D$39,Hypothèses!$D$38*Hypothèses!$D$40,0)*$G$4</f>
        <v/>
      </c>
      <c r="AJ40" s="15">
        <f>IF(AJ7&gt;=Hypothèses!$D$39,Hypothèses!$D$38*Hypothèses!$D$40,0)*$G$4</f>
        <v/>
      </c>
      <c r="AK40" s="15">
        <f>IF(AK7&gt;=Hypothèses!$D$39,Hypothèses!$D$38*Hypothèses!$D$40,0)*$G$4</f>
        <v/>
      </c>
      <c r="AL40" s="15">
        <f>IF(AL7&gt;=Hypothèses!$D$39,Hypothèses!$D$38*Hypothèses!$D$40,0)*$G$4</f>
        <v/>
      </c>
      <c r="AN40" s="15">
        <f>SUM(C40:N40)</f>
        <v/>
      </c>
      <c r="AO40" s="15">
        <f>SUM(O40:Z40)</f>
        <v/>
      </c>
      <c r="AP40" s="15">
        <f>SUM(AA40:AL40)</f>
        <v/>
      </c>
    </row>
    <row r="41">
      <c r="A41" s="9" t="inlineStr">
        <is>
          <t>Salarié 1 (growth / customer success)</t>
        </is>
      </c>
      <c r="B41" s="4" t="inlineStr">
        <is>
          <t>€ HT</t>
        </is>
      </c>
      <c r="C41" s="15">
        <f>IF(C7&gt;=Hypothèses!$D$41,Hypothèses!$D$42,0)*$G$4</f>
        <v/>
      </c>
      <c r="D41" s="15">
        <f>IF(D7&gt;=Hypothèses!$D$41,Hypothèses!$D$42,0)*$G$4</f>
        <v/>
      </c>
      <c r="E41" s="15">
        <f>IF(E7&gt;=Hypothèses!$D$41,Hypothèses!$D$42,0)*$G$4</f>
        <v/>
      </c>
      <c r="F41" s="15">
        <f>IF(F7&gt;=Hypothèses!$D$41,Hypothèses!$D$42,0)*$G$4</f>
        <v/>
      </c>
      <c r="G41" s="15">
        <f>IF(G7&gt;=Hypothèses!$D$41,Hypothèses!$D$42,0)*$G$4</f>
        <v/>
      </c>
      <c r="H41" s="15">
        <f>IF(H7&gt;=Hypothèses!$D$41,Hypothèses!$D$42,0)*$G$4</f>
        <v/>
      </c>
      <c r="I41" s="15">
        <f>IF(I7&gt;=Hypothèses!$D$41,Hypothèses!$D$42,0)*$G$4</f>
        <v/>
      </c>
      <c r="J41" s="15">
        <f>IF(J7&gt;=Hypothèses!$D$41,Hypothèses!$D$42,0)*$G$4</f>
        <v/>
      </c>
      <c r="K41" s="15">
        <f>IF(K7&gt;=Hypothèses!$D$41,Hypothèses!$D$42,0)*$G$4</f>
        <v/>
      </c>
      <c r="L41" s="15">
        <f>IF(L7&gt;=Hypothèses!$D$41,Hypothèses!$D$42,0)*$G$4</f>
        <v/>
      </c>
      <c r="M41" s="15">
        <f>IF(M7&gt;=Hypothèses!$D$41,Hypothèses!$D$42,0)*$G$4</f>
        <v/>
      </c>
      <c r="N41" s="15">
        <f>IF(N7&gt;=Hypothèses!$D$41,Hypothèses!$D$42,0)*$G$4</f>
        <v/>
      </c>
      <c r="O41" s="15">
        <f>IF(O7&gt;=Hypothèses!$D$41,Hypothèses!$D$42,0)*$G$4</f>
        <v/>
      </c>
      <c r="P41" s="15">
        <f>IF(P7&gt;=Hypothèses!$D$41,Hypothèses!$D$42,0)*$G$4</f>
        <v/>
      </c>
      <c r="Q41" s="15">
        <f>IF(Q7&gt;=Hypothèses!$D$41,Hypothèses!$D$42,0)*$G$4</f>
        <v/>
      </c>
      <c r="R41" s="15">
        <f>IF(R7&gt;=Hypothèses!$D$41,Hypothèses!$D$42,0)*$G$4</f>
        <v/>
      </c>
      <c r="S41" s="15">
        <f>IF(S7&gt;=Hypothèses!$D$41,Hypothèses!$D$42,0)*$G$4</f>
        <v/>
      </c>
      <c r="T41" s="15">
        <f>IF(T7&gt;=Hypothèses!$D$41,Hypothèses!$D$42,0)*$G$4</f>
        <v/>
      </c>
      <c r="U41" s="15">
        <f>IF(U7&gt;=Hypothèses!$D$41,Hypothèses!$D$42,0)*$G$4</f>
        <v/>
      </c>
      <c r="V41" s="15">
        <f>IF(V7&gt;=Hypothèses!$D$41,Hypothèses!$D$42,0)*$G$4</f>
        <v/>
      </c>
      <c r="W41" s="15">
        <f>IF(W7&gt;=Hypothèses!$D$41,Hypothèses!$D$42,0)*$G$4</f>
        <v/>
      </c>
      <c r="X41" s="15">
        <f>IF(X7&gt;=Hypothèses!$D$41,Hypothèses!$D$42,0)*$G$4</f>
        <v/>
      </c>
      <c r="Y41" s="15">
        <f>IF(Y7&gt;=Hypothèses!$D$41,Hypothèses!$D$42,0)*$G$4</f>
        <v/>
      </c>
      <c r="Z41" s="15">
        <f>IF(Z7&gt;=Hypothèses!$D$41,Hypothèses!$D$42,0)*$G$4</f>
        <v/>
      </c>
      <c r="AA41" s="15">
        <f>IF(AA7&gt;=Hypothèses!$D$41,Hypothèses!$D$42,0)*$G$4</f>
        <v/>
      </c>
      <c r="AB41" s="15">
        <f>IF(AB7&gt;=Hypothèses!$D$41,Hypothèses!$D$42,0)*$G$4</f>
        <v/>
      </c>
      <c r="AC41" s="15">
        <f>IF(AC7&gt;=Hypothèses!$D$41,Hypothèses!$D$42,0)*$G$4</f>
        <v/>
      </c>
      <c r="AD41" s="15">
        <f>IF(AD7&gt;=Hypothèses!$D$41,Hypothèses!$D$42,0)*$G$4</f>
        <v/>
      </c>
      <c r="AE41" s="15">
        <f>IF(AE7&gt;=Hypothèses!$D$41,Hypothèses!$D$42,0)*$G$4</f>
        <v/>
      </c>
      <c r="AF41" s="15">
        <f>IF(AF7&gt;=Hypothèses!$D$41,Hypothèses!$D$42,0)*$G$4</f>
        <v/>
      </c>
      <c r="AG41" s="15">
        <f>IF(AG7&gt;=Hypothèses!$D$41,Hypothèses!$D$42,0)*$G$4</f>
        <v/>
      </c>
      <c r="AH41" s="15">
        <f>IF(AH7&gt;=Hypothèses!$D$41,Hypothèses!$D$42,0)*$G$4</f>
        <v/>
      </c>
      <c r="AI41" s="15">
        <f>IF(AI7&gt;=Hypothèses!$D$41,Hypothèses!$D$42,0)*$G$4</f>
        <v/>
      </c>
      <c r="AJ41" s="15">
        <f>IF(AJ7&gt;=Hypothèses!$D$41,Hypothèses!$D$42,0)*$G$4</f>
        <v/>
      </c>
      <c r="AK41" s="15">
        <f>IF(AK7&gt;=Hypothèses!$D$41,Hypothèses!$D$42,0)*$G$4</f>
        <v/>
      </c>
      <c r="AL41" s="15">
        <f>IF(AL7&gt;=Hypothèses!$D$41,Hypothèses!$D$42,0)*$G$4</f>
        <v/>
      </c>
      <c r="AN41" s="15">
        <f>SUM(C41:N41)</f>
        <v/>
      </c>
      <c r="AO41" s="15">
        <f>SUM(O41:Z41)</f>
        <v/>
      </c>
      <c r="AP41" s="15">
        <f>SUM(AA41:AL41)</f>
        <v/>
      </c>
    </row>
    <row r="42">
      <c r="A42" s="9" t="inlineStr">
        <is>
          <t>Salarié 2 (ingénieur)</t>
        </is>
      </c>
      <c r="B42" s="4" t="inlineStr">
        <is>
          <t>€ HT</t>
        </is>
      </c>
      <c r="C42" s="15">
        <f>IF(C7&gt;=Hypothèses!$D$43,Hypothèses!$D$44,0)*$G$4</f>
        <v/>
      </c>
      <c r="D42" s="15">
        <f>IF(D7&gt;=Hypothèses!$D$43,Hypothèses!$D$44,0)*$G$4</f>
        <v/>
      </c>
      <c r="E42" s="15">
        <f>IF(E7&gt;=Hypothèses!$D$43,Hypothèses!$D$44,0)*$G$4</f>
        <v/>
      </c>
      <c r="F42" s="15">
        <f>IF(F7&gt;=Hypothèses!$D$43,Hypothèses!$D$44,0)*$G$4</f>
        <v/>
      </c>
      <c r="G42" s="15">
        <f>IF(G7&gt;=Hypothèses!$D$43,Hypothèses!$D$44,0)*$G$4</f>
        <v/>
      </c>
      <c r="H42" s="15">
        <f>IF(H7&gt;=Hypothèses!$D$43,Hypothèses!$D$44,0)*$G$4</f>
        <v/>
      </c>
      <c r="I42" s="15">
        <f>IF(I7&gt;=Hypothèses!$D$43,Hypothèses!$D$44,0)*$G$4</f>
        <v/>
      </c>
      <c r="J42" s="15">
        <f>IF(J7&gt;=Hypothèses!$D$43,Hypothèses!$D$44,0)*$G$4</f>
        <v/>
      </c>
      <c r="K42" s="15">
        <f>IF(K7&gt;=Hypothèses!$D$43,Hypothèses!$D$44,0)*$G$4</f>
        <v/>
      </c>
      <c r="L42" s="15">
        <f>IF(L7&gt;=Hypothèses!$D$43,Hypothèses!$D$44,0)*$G$4</f>
        <v/>
      </c>
      <c r="M42" s="15">
        <f>IF(M7&gt;=Hypothèses!$D$43,Hypothèses!$D$44,0)*$G$4</f>
        <v/>
      </c>
      <c r="N42" s="15">
        <f>IF(N7&gt;=Hypothèses!$D$43,Hypothèses!$D$44,0)*$G$4</f>
        <v/>
      </c>
      <c r="O42" s="15">
        <f>IF(O7&gt;=Hypothèses!$D$43,Hypothèses!$D$44,0)*$G$4</f>
        <v/>
      </c>
      <c r="P42" s="15">
        <f>IF(P7&gt;=Hypothèses!$D$43,Hypothèses!$D$44,0)*$G$4</f>
        <v/>
      </c>
      <c r="Q42" s="15">
        <f>IF(Q7&gt;=Hypothèses!$D$43,Hypothèses!$D$44,0)*$G$4</f>
        <v/>
      </c>
      <c r="R42" s="15">
        <f>IF(R7&gt;=Hypothèses!$D$43,Hypothèses!$D$44,0)*$G$4</f>
        <v/>
      </c>
      <c r="S42" s="15">
        <f>IF(S7&gt;=Hypothèses!$D$43,Hypothèses!$D$44,0)*$G$4</f>
        <v/>
      </c>
      <c r="T42" s="15">
        <f>IF(T7&gt;=Hypothèses!$D$43,Hypothèses!$D$44,0)*$G$4</f>
        <v/>
      </c>
      <c r="U42" s="15">
        <f>IF(U7&gt;=Hypothèses!$D$43,Hypothèses!$D$44,0)*$G$4</f>
        <v/>
      </c>
      <c r="V42" s="15">
        <f>IF(V7&gt;=Hypothèses!$D$43,Hypothèses!$D$44,0)*$G$4</f>
        <v/>
      </c>
      <c r="W42" s="15">
        <f>IF(W7&gt;=Hypothèses!$D$43,Hypothèses!$D$44,0)*$G$4</f>
        <v/>
      </c>
      <c r="X42" s="15">
        <f>IF(X7&gt;=Hypothèses!$D$43,Hypothèses!$D$44,0)*$G$4</f>
        <v/>
      </c>
      <c r="Y42" s="15">
        <f>IF(Y7&gt;=Hypothèses!$D$43,Hypothèses!$D$44,0)*$G$4</f>
        <v/>
      </c>
      <c r="Z42" s="15">
        <f>IF(Z7&gt;=Hypothèses!$D$43,Hypothèses!$D$44,0)*$G$4</f>
        <v/>
      </c>
      <c r="AA42" s="15">
        <f>IF(AA7&gt;=Hypothèses!$D$43,Hypothèses!$D$44,0)*$G$4</f>
        <v/>
      </c>
      <c r="AB42" s="15">
        <f>IF(AB7&gt;=Hypothèses!$D$43,Hypothèses!$D$44,0)*$G$4</f>
        <v/>
      </c>
      <c r="AC42" s="15">
        <f>IF(AC7&gt;=Hypothèses!$D$43,Hypothèses!$D$44,0)*$G$4</f>
        <v/>
      </c>
      <c r="AD42" s="15">
        <f>IF(AD7&gt;=Hypothèses!$D$43,Hypothèses!$D$44,0)*$G$4</f>
        <v/>
      </c>
      <c r="AE42" s="15">
        <f>IF(AE7&gt;=Hypothèses!$D$43,Hypothèses!$D$44,0)*$G$4</f>
        <v/>
      </c>
      <c r="AF42" s="15">
        <f>IF(AF7&gt;=Hypothèses!$D$43,Hypothèses!$D$44,0)*$G$4</f>
        <v/>
      </c>
      <c r="AG42" s="15">
        <f>IF(AG7&gt;=Hypothèses!$D$43,Hypothèses!$D$44,0)*$G$4</f>
        <v/>
      </c>
      <c r="AH42" s="15">
        <f>IF(AH7&gt;=Hypothèses!$D$43,Hypothèses!$D$44,0)*$G$4</f>
        <v/>
      </c>
      <c r="AI42" s="15">
        <f>IF(AI7&gt;=Hypothèses!$D$43,Hypothèses!$D$44,0)*$G$4</f>
        <v/>
      </c>
      <c r="AJ42" s="15">
        <f>IF(AJ7&gt;=Hypothèses!$D$43,Hypothèses!$D$44,0)*$G$4</f>
        <v/>
      </c>
      <c r="AK42" s="15">
        <f>IF(AK7&gt;=Hypothèses!$D$43,Hypothèses!$D$44,0)*$G$4</f>
        <v/>
      </c>
      <c r="AL42" s="15">
        <f>IF(AL7&gt;=Hypothèses!$D$43,Hypothèses!$D$44,0)*$G$4</f>
        <v/>
      </c>
      <c r="AN42" s="15">
        <f>SUM(C42:N42)</f>
        <v/>
      </c>
      <c r="AO42" s="15">
        <f>SUM(O42:Z42)</f>
        <v/>
      </c>
      <c r="AP42" s="15">
        <f>SUM(AA42:AL42)</f>
        <v/>
      </c>
    </row>
    <row r="43">
      <c r="A43" s="9" t="inlineStr">
        <is>
          <t>Développement MVP externe (étalé jusqu'au lancement)</t>
        </is>
      </c>
      <c r="B43" s="4" t="inlineStr">
        <is>
          <t>€ HT</t>
        </is>
      </c>
      <c r="C43" s="15">
        <f>IF(C7&lt;$B$5,Hypothèses!$D$45/MAX(1,$B$5-1),0)</f>
        <v/>
      </c>
      <c r="D43" s="15">
        <f>IF(D7&lt;$B$5,Hypothèses!$D$45/MAX(1,$B$5-1),0)</f>
        <v/>
      </c>
      <c r="E43" s="15">
        <f>IF(E7&lt;$B$5,Hypothèses!$D$45/MAX(1,$B$5-1),0)</f>
        <v/>
      </c>
      <c r="F43" s="15">
        <f>IF(F7&lt;$B$5,Hypothèses!$D$45/MAX(1,$B$5-1),0)</f>
        <v/>
      </c>
      <c r="G43" s="15">
        <f>IF(G7&lt;$B$5,Hypothèses!$D$45/MAX(1,$B$5-1),0)</f>
        <v/>
      </c>
      <c r="H43" s="15">
        <f>IF(H7&lt;$B$5,Hypothèses!$D$45/MAX(1,$B$5-1),0)</f>
        <v/>
      </c>
      <c r="I43" s="15">
        <f>IF(I7&lt;$B$5,Hypothèses!$D$45/MAX(1,$B$5-1),0)</f>
        <v/>
      </c>
      <c r="J43" s="15">
        <f>IF(J7&lt;$B$5,Hypothèses!$D$45/MAX(1,$B$5-1),0)</f>
        <v/>
      </c>
      <c r="K43" s="15">
        <f>IF(K7&lt;$B$5,Hypothèses!$D$45/MAX(1,$B$5-1),0)</f>
        <v/>
      </c>
      <c r="L43" s="15">
        <f>IF(L7&lt;$B$5,Hypothèses!$D$45/MAX(1,$B$5-1),0)</f>
        <v/>
      </c>
      <c r="M43" s="15">
        <f>IF(M7&lt;$B$5,Hypothèses!$D$45/MAX(1,$B$5-1),0)</f>
        <v/>
      </c>
      <c r="N43" s="15">
        <f>IF(N7&lt;$B$5,Hypothèses!$D$45/MAX(1,$B$5-1),0)</f>
        <v/>
      </c>
      <c r="O43" s="15">
        <f>IF(O7&lt;$B$5,Hypothèses!$D$45/MAX(1,$B$5-1),0)</f>
        <v/>
      </c>
      <c r="P43" s="15">
        <f>IF(P7&lt;$B$5,Hypothèses!$D$45/MAX(1,$B$5-1),0)</f>
        <v/>
      </c>
      <c r="Q43" s="15">
        <f>IF(Q7&lt;$B$5,Hypothèses!$D$45/MAX(1,$B$5-1),0)</f>
        <v/>
      </c>
      <c r="R43" s="15">
        <f>IF(R7&lt;$B$5,Hypothèses!$D$45/MAX(1,$B$5-1),0)</f>
        <v/>
      </c>
      <c r="S43" s="15">
        <f>IF(S7&lt;$B$5,Hypothèses!$D$45/MAX(1,$B$5-1),0)</f>
        <v/>
      </c>
      <c r="T43" s="15">
        <f>IF(T7&lt;$B$5,Hypothèses!$D$45/MAX(1,$B$5-1),0)</f>
        <v/>
      </c>
      <c r="U43" s="15">
        <f>IF(U7&lt;$B$5,Hypothèses!$D$45/MAX(1,$B$5-1),0)</f>
        <v/>
      </c>
      <c r="V43" s="15">
        <f>IF(V7&lt;$B$5,Hypothèses!$D$45/MAX(1,$B$5-1),0)</f>
        <v/>
      </c>
      <c r="W43" s="15">
        <f>IF(W7&lt;$B$5,Hypothèses!$D$45/MAX(1,$B$5-1),0)</f>
        <v/>
      </c>
      <c r="X43" s="15">
        <f>IF(X7&lt;$B$5,Hypothèses!$D$45/MAX(1,$B$5-1),0)</f>
        <v/>
      </c>
      <c r="Y43" s="15">
        <f>IF(Y7&lt;$B$5,Hypothèses!$D$45/MAX(1,$B$5-1),0)</f>
        <v/>
      </c>
      <c r="Z43" s="15">
        <f>IF(Z7&lt;$B$5,Hypothèses!$D$45/MAX(1,$B$5-1),0)</f>
        <v/>
      </c>
      <c r="AA43" s="15">
        <f>IF(AA7&lt;$B$5,Hypothèses!$D$45/MAX(1,$B$5-1),0)</f>
        <v/>
      </c>
      <c r="AB43" s="15">
        <f>IF(AB7&lt;$B$5,Hypothèses!$D$45/MAX(1,$B$5-1),0)</f>
        <v/>
      </c>
      <c r="AC43" s="15">
        <f>IF(AC7&lt;$B$5,Hypothèses!$D$45/MAX(1,$B$5-1),0)</f>
        <v/>
      </c>
      <c r="AD43" s="15">
        <f>IF(AD7&lt;$B$5,Hypothèses!$D$45/MAX(1,$B$5-1),0)</f>
        <v/>
      </c>
      <c r="AE43" s="15">
        <f>IF(AE7&lt;$B$5,Hypothèses!$D$45/MAX(1,$B$5-1),0)</f>
        <v/>
      </c>
      <c r="AF43" s="15">
        <f>IF(AF7&lt;$B$5,Hypothèses!$D$45/MAX(1,$B$5-1),0)</f>
        <v/>
      </c>
      <c r="AG43" s="15">
        <f>IF(AG7&lt;$B$5,Hypothèses!$D$45/MAX(1,$B$5-1),0)</f>
        <v/>
      </c>
      <c r="AH43" s="15">
        <f>IF(AH7&lt;$B$5,Hypothèses!$D$45/MAX(1,$B$5-1),0)</f>
        <v/>
      </c>
      <c r="AI43" s="15">
        <f>IF(AI7&lt;$B$5,Hypothèses!$D$45/MAX(1,$B$5-1),0)</f>
        <v/>
      </c>
      <c r="AJ43" s="15">
        <f>IF(AJ7&lt;$B$5,Hypothèses!$D$45/MAX(1,$B$5-1),0)</f>
        <v/>
      </c>
      <c r="AK43" s="15">
        <f>IF(AK7&lt;$B$5,Hypothèses!$D$45/MAX(1,$B$5-1),0)</f>
        <v/>
      </c>
      <c r="AL43" s="15">
        <f>IF(AL7&lt;$B$5,Hypothèses!$D$45/MAX(1,$B$5-1),0)</f>
        <v/>
      </c>
      <c r="AN43" s="15">
        <f>SUM(C43:N43)</f>
        <v/>
      </c>
      <c r="AO43" s="15">
        <f>SUM(O43:Z43)</f>
        <v/>
      </c>
      <c r="AP43" s="15">
        <f>SUM(AA43:AL43)</f>
        <v/>
      </c>
    </row>
    <row r="44">
      <c r="A44" s="9" t="inlineStr">
        <is>
          <t>Outils et SaaS</t>
        </is>
      </c>
      <c r="B44" s="4" t="inlineStr">
        <is>
          <t>€ HT</t>
        </is>
      </c>
      <c r="C44" s="15">
        <f>Hypothèses!$D$46*$G$4</f>
        <v/>
      </c>
      <c r="D44" s="15">
        <f>Hypothèses!$D$46*$G$4</f>
        <v/>
      </c>
      <c r="E44" s="15">
        <f>Hypothèses!$D$46*$G$4</f>
        <v/>
      </c>
      <c r="F44" s="15">
        <f>Hypothèses!$D$46*$G$4</f>
        <v/>
      </c>
      <c r="G44" s="15">
        <f>Hypothèses!$D$46*$G$4</f>
        <v/>
      </c>
      <c r="H44" s="15">
        <f>Hypothèses!$D$46*$G$4</f>
        <v/>
      </c>
      <c r="I44" s="15">
        <f>Hypothèses!$D$46*$G$4</f>
        <v/>
      </c>
      <c r="J44" s="15">
        <f>Hypothèses!$D$46*$G$4</f>
        <v/>
      </c>
      <c r="K44" s="15">
        <f>Hypothèses!$D$46*$G$4</f>
        <v/>
      </c>
      <c r="L44" s="15">
        <f>Hypothèses!$D$46*$G$4</f>
        <v/>
      </c>
      <c r="M44" s="15">
        <f>Hypothèses!$D$46*$G$4</f>
        <v/>
      </c>
      <c r="N44" s="15">
        <f>Hypothèses!$D$46*$G$4</f>
        <v/>
      </c>
      <c r="O44" s="15">
        <f>Hypothèses!$D$46*$G$4</f>
        <v/>
      </c>
      <c r="P44" s="15">
        <f>Hypothèses!$D$46*$G$4</f>
        <v/>
      </c>
      <c r="Q44" s="15">
        <f>Hypothèses!$D$46*$G$4</f>
        <v/>
      </c>
      <c r="R44" s="15">
        <f>Hypothèses!$D$46*$G$4</f>
        <v/>
      </c>
      <c r="S44" s="15">
        <f>Hypothèses!$D$46*$G$4</f>
        <v/>
      </c>
      <c r="T44" s="15">
        <f>Hypothèses!$D$46*$G$4</f>
        <v/>
      </c>
      <c r="U44" s="15">
        <f>Hypothèses!$D$46*$G$4</f>
        <v/>
      </c>
      <c r="V44" s="15">
        <f>Hypothèses!$D$46*$G$4</f>
        <v/>
      </c>
      <c r="W44" s="15">
        <f>Hypothèses!$D$46*$G$4</f>
        <v/>
      </c>
      <c r="X44" s="15">
        <f>Hypothèses!$D$46*$G$4</f>
        <v/>
      </c>
      <c r="Y44" s="15">
        <f>Hypothèses!$D$46*$G$4</f>
        <v/>
      </c>
      <c r="Z44" s="15">
        <f>Hypothèses!$D$46*$G$4</f>
        <v/>
      </c>
      <c r="AA44" s="15">
        <f>Hypothèses!$D$46*$G$4</f>
        <v/>
      </c>
      <c r="AB44" s="15">
        <f>Hypothèses!$D$46*$G$4</f>
        <v/>
      </c>
      <c r="AC44" s="15">
        <f>Hypothèses!$D$46*$G$4</f>
        <v/>
      </c>
      <c r="AD44" s="15">
        <f>Hypothèses!$D$46*$G$4</f>
        <v/>
      </c>
      <c r="AE44" s="15">
        <f>Hypothèses!$D$46*$G$4</f>
        <v/>
      </c>
      <c r="AF44" s="15">
        <f>Hypothèses!$D$46*$G$4</f>
        <v/>
      </c>
      <c r="AG44" s="15">
        <f>Hypothèses!$D$46*$G$4</f>
        <v/>
      </c>
      <c r="AH44" s="15">
        <f>Hypothèses!$D$46*$G$4</f>
        <v/>
      </c>
      <c r="AI44" s="15">
        <f>Hypothèses!$D$46*$G$4</f>
        <v/>
      </c>
      <c r="AJ44" s="15">
        <f>Hypothèses!$D$46*$G$4</f>
        <v/>
      </c>
      <c r="AK44" s="15">
        <f>Hypothèses!$D$46*$G$4</f>
        <v/>
      </c>
      <c r="AL44" s="15">
        <f>Hypothèses!$D$46*$G$4</f>
        <v/>
      </c>
      <c r="AN44" s="15">
        <f>SUM(C44:N44)</f>
        <v/>
      </c>
      <c r="AO44" s="15">
        <f>SUM(O44:Z44)</f>
        <v/>
      </c>
      <c r="AP44" s="15">
        <f>SUM(AA44:AL44)</f>
        <v/>
      </c>
    </row>
    <row r="45">
      <c r="A45" s="9" t="inlineStr">
        <is>
          <t>Juridique et comptabilité</t>
        </is>
      </c>
      <c r="B45" s="4" t="inlineStr">
        <is>
          <t>€ HT</t>
        </is>
      </c>
      <c r="C45" s="15">
        <f>Hypothèses!$D$47*$G$4</f>
        <v/>
      </c>
      <c r="D45" s="15">
        <f>Hypothèses!$D$47*$G$4</f>
        <v/>
      </c>
      <c r="E45" s="15">
        <f>Hypothèses!$D$47*$G$4</f>
        <v/>
      </c>
      <c r="F45" s="15">
        <f>Hypothèses!$D$47*$G$4</f>
        <v/>
      </c>
      <c r="G45" s="15">
        <f>Hypothèses!$D$47*$G$4</f>
        <v/>
      </c>
      <c r="H45" s="15">
        <f>Hypothèses!$D$47*$G$4</f>
        <v/>
      </c>
      <c r="I45" s="15">
        <f>Hypothèses!$D$47*$G$4</f>
        <v/>
      </c>
      <c r="J45" s="15">
        <f>Hypothèses!$D$47*$G$4</f>
        <v/>
      </c>
      <c r="K45" s="15">
        <f>Hypothèses!$D$47*$G$4</f>
        <v/>
      </c>
      <c r="L45" s="15">
        <f>Hypothèses!$D$47*$G$4</f>
        <v/>
      </c>
      <c r="M45" s="15">
        <f>Hypothèses!$D$47*$G$4</f>
        <v/>
      </c>
      <c r="N45" s="15">
        <f>Hypothèses!$D$47*$G$4</f>
        <v/>
      </c>
      <c r="O45" s="15">
        <f>Hypothèses!$D$47*$G$4</f>
        <v/>
      </c>
      <c r="P45" s="15">
        <f>Hypothèses!$D$47*$G$4</f>
        <v/>
      </c>
      <c r="Q45" s="15">
        <f>Hypothèses!$D$47*$G$4</f>
        <v/>
      </c>
      <c r="R45" s="15">
        <f>Hypothèses!$D$47*$G$4</f>
        <v/>
      </c>
      <c r="S45" s="15">
        <f>Hypothèses!$D$47*$G$4</f>
        <v/>
      </c>
      <c r="T45" s="15">
        <f>Hypothèses!$D$47*$G$4</f>
        <v/>
      </c>
      <c r="U45" s="15">
        <f>Hypothèses!$D$47*$G$4</f>
        <v/>
      </c>
      <c r="V45" s="15">
        <f>Hypothèses!$D$47*$G$4</f>
        <v/>
      </c>
      <c r="W45" s="15">
        <f>Hypothèses!$D$47*$G$4</f>
        <v/>
      </c>
      <c r="X45" s="15">
        <f>Hypothèses!$D$47*$G$4</f>
        <v/>
      </c>
      <c r="Y45" s="15">
        <f>Hypothèses!$D$47*$G$4</f>
        <v/>
      </c>
      <c r="Z45" s="15">
        <f>Hypothèses!$D$47*$G$4</f>
        <v/>
      </c>
      <c r="AA45" s="15">
        <f>Hypothèses!$D$47*$G$4</f>
        <v/>
      </c>
      <c r="AB45" s="15">
        <f>Hypothèses!$D$47*$G$4</f>
        <v/>
      </c>
      <c r="AC45" s="15">
        <f>Hypothèses!$D$47*$G$4</f>
        <v/>
      </c>
      <c r="AD45" s="15">
        <f>Hypothèses!$D$47*$G$4</f>
        <v/>
      </c>
      <c r="AE45" s="15">
        <f>Hypothèses!$D$47*$G$4</f>
        <v/>
      </c>
      <c r="AF45" s="15">
        <f>Hypothèses!$D$47*$G$4</f>
        <v/>
      </c>
      <c r="AG45" s="15">
        <f>Hypothèses!$D$47*$G$4</f>
        <v/>
      </c>
      <c r="AH45" s="15">
        <f>Hypothèses!$D$47*$G$4</f>
        <v/>
      </c>
      <c r="AI45" s="15">
        <f>Hypothèses!$D$47*$G$4</f>
        <v/>
      </c>
      <c r="AJ45" s="15">
        <f>Hypothèses!$D$47*$G$4</f>
        <v/>
      </c>
      <c r="AK45" s="15">
        <f>Hypothèses!$D$47*$G$4</f>
        <v/>
      </c>
      <c r="AL45" s="15">
        <f>Hypothèses!$D$47*$G$4</f>
        <v/>
      </c>
      <c r="AN45" s="15">
        <f>SUM(C45:N45)</f>
        <v/>
      </c>
      <c r="AO45" s="15">
        <f>SUM(O45:Z45)</f>
        <v/>
      </c>
      <c r="AP45" s="15">
        <f>SUM(AA45:AL45)</f>
        <v/>
      </c>
    </row>
    <row r="46">
      <c r="A46" s="9" t="inlineStr">
        <is>
          <t>Assurance RC pro</t>
        </is>
      </c>
      <c r="B46" s="4" t="inlineStr">
        <is>
          <t>€</t>
        </is>
      </c>
      <c r="C46" s="15">
        <f>C9*Hypothèses!$D$48*$G$4</f>
        <v/>
      </c>
      <c r="D46" s="15">
        <f>D9*Hypothèses!$D$48*$G$4</f>
        <v/>
      </c>
      <c r="E46" s="15">
        <f>E9*Hypothèses!$D$48*$G$4</f>
        <v/>
      </c>
      <c r="F46" s="15">
        <f>F9*Hypothèses!$D$48*$G$4</f>
        <v/>
      </c>
      <c r="G46" s="15">
        <f>G9*Hypothèses!$D$48*$G$4</f>
        <v/>
      </c>
      <c r="H46" s="15">
        <f>H9*Hypothèses!$D$48*$G$4</f>
        <v/>
      </c>
      <c r="I46" s="15">
        <f>I9*Hypothèses!$D$48*$G$4</f>
        <v/>
      </c>
      <c r="J46" s="15">
        <f>J9*Hypothèses!$D$48*$G$4</f>
        <v/>
      </c>
      <c r="K46" s="15">
        <f>K9*Hypothèses!$D$48*$G$4</f>
        <v/>
      </c>
      <c r="L46" s="15">
        <f>L9*Hypothèses!$D$48*$G$4</f>
        <v/>
      </c>
      <c r="M46" s="15">
        <f>M9*Hypothèses!$D$48*$G$4</f>
        <v/>
      </c>
      <c r="N46" s="15">
        <f>N9*Hypothèses!$D$48*$G$4</f>
        <v/>
      </c>
      <c r="O46" s="15">
        <f>O9*Hypothèses!$D$48*$G$4</f>
        <v/>
      </c>
      <c r="P46" s="15">
        <f>P9*Hypothèses!$D$48*$G$4</f>
        <v/>
      </c>
      <c r="Q46" s="15">
        <f>Q9*Hypothèses!$D$48*$G$4</f>
        <v/>
      </c>
      <c r="R46" s="15">
        <f>R9*Hypothèses!$D$48*$G$4</f>
        <v/>
      </c>
      <c r="S46" s="15">
        <f>S9*Hypothèses!$D$48*$G$4</f>
        <v/>
      </c>
      <c r="T46" s="15">
        <f>T9*Hypothèses!$D$48*$G$4</f>
        <v/>
      </c>
      <c r="U46" s="15">
        <f>U9*Hypothèses!$D$48*$G$4</f>
        <v/>
      </c>
      <c r="V46" s="15">
        <f>V9*Hypothèses!$D$48*$G$4</f>
        <v/>
      </c>
      <c r="W46" s="15">
        <f>W9*Hypothèses!$D$48*$G$4</f>
        <v/>
      </c>
      <c r="X46" s="15">
        <f>X9*Hypothèses!$D$48*$G$4</f>
        <v/>
      </c>
      <c r="Y46" s="15">
        <f>Y9*Hypothèses!$D$48*$G$4</f>
        <v/>
      </c>
      <c r="Z46" s="15">
        <f>Z9*Hypothèses!$D$48*$G$4</f>
        <v/>
      </c>
      <c r="AA46" s="15">
        <f>AA9*Hypothèses!$D$48*$G$4</f>
        <v/>
      </c>
      <c r="AB46" s="15">
        <f>AB9*Hypothèses!$D$48*$G$4</f>
        <v/>
      </c>
      <c r="AC46" s="15">
        <f>AC9*Hypothèses!$D$48*$G$4</f>
        <v/>
      </c>
      <c r="AD46" s="15">
        <f>AD9*Hypothèses!$D$48*$G$4</f>
        <v/>
      </c>
      <c r="AE46" s="15">
        <f>AE9*Hypothèses!$D$48*$G$4</f>
        <v/>
      </c>
      <c r="AF46" s="15">
        <f>AF9*Hypothèses!$D$48*$G$4</f>
        <v/>
      </c>
      <c r="AG46" s="15">
        <f>AG9*Hypothèses!$D$48*$G$4</f>
        <v/>
      </c>
      <c r="AH46" s="15">
        <f>AH9*Hypothèses!$D$48*$G$4</f>
        <v/>
      </c>
      <c r="AI46" s="15">
        <f>AI9*Hypothèses!$D$48*$G$4</f>
        <v/>
      </c>
      <c r="AJ46" s="15">
        <f>AJ9*Hypothèses!$D$48*$G$4</f>
        <v/>
      </c>
      <c r="AK46" s="15">
        <f>AK9*Hypothèses!$D$48*$G$4</f>
        <v/>
      </c>
      <c r="AL46" s="15">
        <f>AL9*Hypothèses!$D$48*$G$4</f>
        <v/>
      </c>
      <c r="AN46" s="15">
        <f>SUM(C46:N46)</f>
        <v/>
      </c>
      <c r="AO46" s="15">
        <f>SUM(O46:Z46)</f>
        <v/>
      </c>
      <c r="AP46" s="15">
        <f>SUM(AA46:AL46)</f>
        <v/>
      </c>
    </row>
    <row r="47">
      <c r="A47" s="9" t="inlineStr">
        <is>
          <t>Marketing fixe</t>
        </is>
      </c>
      <c r="B47" s="4" t="inlineStr">
        <is>
          <t>€ HT</t>
        </is>
      </c>
      <c r="C47" s="15">
        <f>C9*Hypothèses!$D$49*$G$4</f>
        <v/>
      </c>
      <c r="D47" s="15">
        <f>D9*Hypothèses!$D$49*$G$4</f>
        <v/>
      </c>
      <c r="E47" s="15">
        <f>E9*Hypothèses!$D$49*$G$4</f>
        <v/>
      </c>
      <c r="F47" s="15">
        <f>F9*Hypothèses!$D$49*$G$4</f>
        <v/>
      </c>
      <c r="G47" s="15">
        <f>G9*Hypothèses!$D$49*$G$4</f>
        <v/>
      </c>
      <c r="H47" s="15">
        <f>H9*Hypothèses!$D$49*$G$4</f>
        <v/>
      </c>
      <c r="I47" s="15">
        <f>I9*Hypothèses!$D$49*$G$4</f>
        <v/>
      </c>
      <c r="J47" s="15">
        <f>J9*Hypothèses!$D$49*$G$4</f>
        <v/>
      </c>
      <c r="K47" s="15">
        <f>K9*Hypothèses!$D$49*$G$4</f>
        <v/>
      </c>
      <c r="L47" s="15">
        <f>L9*Hypothèses!$D$49*$G$4</f>
        <v/>
      </c>
      <c r="M47" s="15">
        <f>M9*Hypothèses!$D$49*$G$4</f>
        <v/>
      </c>
      <c r="N47" s="15">
        <f>N9*Hypothèses!$D$49*$G$4</f>
        <v/>
      </c>
      <c r="O47" s="15">
        <f>O9*Hypothèses!$D$49*$G$4</f>
        <v/>
      </c>
      <c r="P47" s="15">
        <f>P9*Hypothèses!$D$49*$G$4</f>
        <v/>
      </c>
      <c r="Q47" s="15">
        <f>Q9*Hypothèses!$D$49*$G$4</f>
        <v/>
      </c>
      <c r="R47" s="15">
        <f>R9*Hypothèses!$D$49*$G$4</f>
        <v/>
      </c>
      <c r="S47" s="15">
        <f>S9*Hypothèses!$D$49*$G$4</f>
        <v/>
      </c>
      <c r="T47" s="15">
        <f>T9*Hypothèses!$D$49*$G$4</f>
        <v/>
      </c>
      <c r="U47" s="15">
        <f>U9*Hypothèses!$D$49*$G$4</f>
        <v/>
      </c>
      <c r="V47" s="15">
        <f>V9*Hypothèses!$D$49*$G$4</f>
        <v/>
      </c>
      <c r="W47" s="15">
        <f>W9*Hypothèses!$D$49*$G$4</f>
        <v/>
      </c>
      <c r="X47" s="15">
        <f>X9*Hypothèses!$D$49*$G$4</f>
        <v/>
      </c>
      <c r="Y47" s="15">
        <f>Y9*Hypothèses!$D$49*$G$4</f>
        <v/>
      </c>
      <c r="Z47" s="15">
        <f>Z9*Hypothèses!$D$49*$G$4</f>
        <v/>
      </c>
      <c r="AA47" s="15">
        <f>AA9*Hypothèses!$D$49*$G$4</f>
        <v/>
      </c>
      <c r="AB47" s="15">
        <f>AB9*Hypothèses!$D$49*$G$4</f>
        <v/>
      </c>
      <c r="AC47" s="15">
        <f>AC9*Hypothèses!$D$49*$G$4</f>
        <v/>
      </c>
      <c r="AD47" s="15">
        <f>AD9*Hypothèses!$D$49*$G$4</f>
        <v/>
      </c>
      <c r="AE47" s="15">
        <f>AE9*Hypothèses!$D$49*$G$4</f>
        <v/>
      </c>
      <c r="AF47" s="15">
        <f>AF9*Hypothèses!$D$49*$G$4</f>
        <v/>
      </c>
      <c r="AG47" s="15">
        <f>AG9*Hypothèses!$D$49*$G$4</f>
        <v/>
      </c>
      <c r="AH47" s="15">
        <f>AH9*Hypothèses!$D$49*$G$4</f>
        <v/>
      </c>
      <c r="AI47" s="15">
        <f>AI9*Hypothèses!$D$49*$G$4</f>
        <v/>
      </c>
      <c r="AJ47" s="15">
        <f>AJ9*Hypothèses!$D$49*$G$4</f>
        <v/>
      </c>
      <c r="AK47" s="15">
        <f>AK9*Hypothèses!$D$49*$G$4</f>
        <v/>
      </c>
      <c r="AL47" s="15">
        <f>AL9*Hypothèses!$D$49*$G$4</f>
        <v/>
      </c>
      <c r="AN47" s="15">
        <f>SUM(C47:N47)</f>
        <v/>
      </c>
      <c r="AO47" s="15">
        <f>SUM(O47:Z47)</f>
        <v/>
      </c>
      <c r="AP47" s="15">
        <f>SUM(AA47:AL47)</f>
        <v/>
      </c>
    </row>
    <row r="48">
      <c r="A48" s="9" t="inlineStr">
        <is>
          <t>Frais généraux</t>
        </is>
      </c>
      <c r="B48" s="4" t="inlineStr">
        <is>
          <t>€ HT</t>
        </is>
      </c>
      <c r="C48" s="15">
        <f>Hypothèses!$D$50*$G$4</f>
        <v/>
      </c>
      <c r="D48" s="15">
        <f>Hypothèses!$D$50*$G$4</f>
        <v/>
      </c>
      <c r="E48" s="15">
        <f>Hypothèses!$D$50*$G$4</f>
        <v/>
      </c>
      <c r="F48" s="15">
        <f>Hypothèses!$D$50*$G$4</f>
        <v/>
      </c>
      <c r="G48" s="15">
        <f>Hypothèses!$D$50*$G$4</f>
        <v/>
      </c>
      <c r="H48" s="15">
        <f>Hypothèses!$D$50*$G$4</f>
        <v/>
      </c>
      <c r="I48" s="15">
        <f>Hypothèses!$D$50*$G$4</f>
        <v/>
      </c>
      <c r="J48" s="15">
        <f>Hypothèses!$D$50*$G$4</f>
        <v/>
      </c>
      <c r="K48" s="15">
        <f>Hypothèses!$D$50*$G$4</f>
        <v/>
      </c>
      <c r="L48" s="15">
        <f>Hypothèses!$D$50*$G$4</f>
        <v/>
      </c>
      <c r="M48" s="15">
        <f>Hypothèses!$D$50*$G$4</f>
        <v/>
      </c>
      <c r="N48" s="15">
        <f>Hypothèses!$D$50*$G$4</f>
        <v/>
      </c>
      <c r="O48" s="15">
        <f>Hypothèses!$D$50*$G$4</f>
        <v/>
      </c>
      <c r="P48" s="15">
        <f>Hypothèses!$D$50*$G$4</f>
        <v/>
      </c>
      <c r="Q48" s="15">
        <f>Hypothèses!$D$50*$G$4</f>
        <v/>
      </c>
      <c r="R48" s="15">
        <f>Hypothèses!$D$50*$G$4</f>
        <v/>
      </c>
      <c r="S48" s="15">
        <f>Hypothèses!$D$50*$G$4</f>
        <v/>
      </c>
      <c r="T48" s="15">
        <f>Hypothèses!$D$50*$G$4</f>
        <v/>
      </c>
      <c r="U48" s="15">
        <f>Hypothèses!$D$50*$G$4</f>
        <v/>
      </c>
      <c r="V48" s="15">
        <f>Hypothèses!$D$50*$G$4</f>
        <v/>
      </c>
      <c r="W48" s="15">
        <f>Hypothèses!$D$50*$G$4</f>
        <v/>
      </c>
      <c r="X48" s="15">
        <f>Hypothèses!$D$50*$G$4</f>
        <v/>
      </c>
      <c r="Y48" s="15">
        <f>Hypothèses!$D$50*$G$4</f>
        <v/>
      </c>
      <c r="Z48" s="15">
        <f>Hypothèses!$D$50*$G$4</f>
        <v/>
      </c>
      <c r="AA48" s="15">
        <f>Hypothèses!$D$50*$G$4</f>
        <v/>
      </c>
      <c r="AB48" s="15">
        <f>Hypothèses!$D$50*$G$4</f>
        <v/>
      </c>
      <c r="AC48" s="15">
        <f>Hypothèses!$D$50*$G$4</f>
        <v/>
      </c>
      <c r="AD48" s="15">
        <f>Hypothèses!$D$50*$G$4</f>
        <v/>
      </c>
      <c r="AE48" s="15">
        <f>Hypothèses!$D$50*$G$4</f>
        <v/>
      </c>
      <c r="AF48" s="15">
        <f>Hypothèses!$D$50*$G$4</f>
        <v/>
      </c>
      <c r="AG48" s="15">
        <f>Hypothèses!$D$50*$G$4</f>
        <v/>
      </c>
      <c r="AH48" s="15">
        <f>Hypothèses!$D$50*$G$4</f>
        <v/>
      </c>
      <c r="AI48" s="15">
        <f>Hypothèses!$D$50*$G$4</f>
        <v/>
      </c>
      <c r="AJ48" s="15">
        <f>Hypothèses!$D$50*$G$4</f>
        <v/>
      </c>
      <c r="AK48" s="15">
        <f>Hypothèses!$D$50*$G$4</f>
        <v/>
      </c>
      <c r="AL48" s="15">
        <f>Hypothèses!$D$50*$G$4</f>
        <v/>
      </c>
      <c r="AN48" s="15">
        <f>SUM(C48:N48)</f>
        <v/>
      </c>
      <c r="AO48" s="15">
        <f>SUM(O48:Z48)</f>
        <v/>
      </c>
      <c r="AP48" s="15">
        <f>SUM(AA48:AL48)</f>
        <v/>
      </c>
    </row>
    <row r="49">
      <c r="A49" s="9" t="inlineStr">
        <is>
          <t>Audit de sécurité (annuel, à partir du lancement)</t>
        </is>
      </c>
      <c r="B49" s="4" t="inlineStr">
        <is>
          <t>€ HT</t>
        </is>
      </c>
      <c r="C49" s="15">
        <f>IF(AND(C9=1,MOD(C7-$B$5,12)=0),Hypothèses!$D$51,0)*$G$4</f>
        <v/>
      </c>
      <c r="D49" s="15">
        <f>IF(AND(D9=1,MOD(D7-$B$5,12)=0),Hypothèses!$D$51,0)*$G$4</f>
        <v/>
      </c>
      <c r="E49" s="15">
        <f>IF(AND(E9=1,MOD(E7-$B$5,12)=0),Hypothèses!$D$51,0)*$G$4</f>
        <v/>
      </c>
      <c r="F49" s="15">
        <f>IF(AND(F9=1,MOD(F7-$B$5,12)=0),Hypothèses!$D$51,0)*$G$4</f>
        <v/>
      </c>
      <c r="G49" s="15">
        <f>IF(AND(G9=1,MOD(G7-$B$5,12)=0),Hypothèses!$D$51,0)*$G$4</f>
        <v/>
      </c>
      <c r="H49" s="15">
        <f>IF(AND(H9=1,MOD(H7-$B$5,12)=0),Hypothèses!$D$51,0)*$G$4</f>
        <v/>
      </c>
      <c r="I49" s="15">
        <f>IF(AND(I9=1,MOD(I7-$B$5,12)=0),Hypothèses!$D$51,0)*$G$4</f>
        <v/>
      </c>
      <c r="J49" s="15">
        <f>IF(AND(J9=1,MOD(J7-$B$5,12)=0),Hypothèses!$D$51,0)*$G$4</f>
        <v/>
      </c>
      <c r="K49" s="15">
        <f>IF(AND(K9=1,MOD(K7-$B$5,12)=0),Hypothèses!$D$51,0)*$G$4</f>
        <v/>
      </c>
      <c r="L49" s="15">
        <f>IF(AND(L9=1,MOD(L7-$B$5,12)=0),Hypothèses!$D$51,0)*$G$4</f>
        <v/>
      </c>
      <c r="M49" s="15">
        <f>IF(AND(M9=1,MOD(M7-$B$5,12)=0),Hypothèses!$D$51,0)*$G$4</f>
        <v/>
      </c>
      <c r="N49" s="15">
        <f>IF(AND(N9=1,MOD(N7-$B$5,12)=0),Hypothèses!$D$51,0)*$G$4</f>
        <v/>
      </c>
      <c r="O49" s="15">
        <f>IF(AND(O9=1,MOD(O7-$B$5,12)=0),Hypothèses!$D$51,0)*$G$4</f>
        <v/>
      </c>
      <c r="P49" s="15">
        <f>IF(AND(P9=1,MOD(P7-$B$5,12)=0),Hypothèses!$D$51,0)*$G$4</f>
        <v/>
      </c>
      <c r="Q49" s="15">
        <f>IF(AND(Q9=1,MOD(Q7-$B$5,12)=0),Hypothèses!$D$51,0)*$G$4</f>
        <v/>
      </c>
      <c r="R49" s="15">
        <f>IF(AND(R9=1,MOD(R7-$B$5,12)=0),Hypothèses!$D$51,0)*$G$4</f>
        <v/>
      </c>
      <c r="S49" s="15">
        <f>IF(AND(S9=1,MOD(S7-$B$5,12)=0),Hypothèses!$D$51,0)*$G$4</f>
        <v/>
      </c>
      <c r="T49" s="15">
        <f>IF(AND(T9=1,MOD(T7-$B$5,12)=0),Hypothèses!$D$51,0)*$G$4</f>
        <v/>
      </c>
      <c r="U49" s="15">
        <f>IF(AND(U9=1,MOD(U7-$B$5,12)=0),Hypothèses!$D$51,0)*$G$4</f>
        <v/>
      </c>
      <c r="V49" s="15">
        <f>IF(AND(V9=1,MOD(V7-$B$5,12)=0),Hypothèses!$D$51,0)*$G$4</f>
        <v/>
      </c>
      <c r="W49" s="15">
        <f>IF(AND(W9=1,MOD(W7-$B$5,12)=0),Hypothèses!$D$51,0)*$G$4</f>
        <v/>
      </c>
      <c r="X49" s="15">
        <f>IF(AND(X9=1,MOD(X7-$B$5,12)=0),Hypothèses!$D$51,0)*$G$4</f>
        <v/>
      </c>
      <c r="Y49" s="15">
        <f>IF(AND(Y9=1,MOD(Y7-$B$5,12)=0),Hypothèses!$D$51,0)*$G$4</f>
        <v/>
      </c>
      <c r="Z49" s="15">
        <f>IF(AND(Z9=1,MOD(Z7-$B$5,12)=0),Hypothèses!$D$51,0)*$G$4</f>
        <v/>
      </c>
      <c r="AA49" s="15">
        <f>IF(AND(AA9=1,MOD(AA7-$B$5,12)=0),Hypothèses!$D$51,0)*$G$4</f>
        <v/>
      </c>
      <c r="AB49" s="15">
        <f>IF(AND(AB9=1,MOD(AB7-$B$5,12)=0),Hypothèses!$D$51,0)*$G$4</f>
        <v/>
      </c>
      <c r="AC49" s="15">
        <f>IF(AND(AC9=1,MOD(AC7-$B$5,12)=0),Hypothèses!$D$51,0)*$G$4</f>
        <v/>
      </c>
      <c r="AD49" s="15">
        <f>IF(AND(AD9=1,MOD(AD7-$B$5,12)=0),Hypothèses!$D$51,0)*$G$4</f>
        <v/>
      </c>
      <c r="AE49" s="15">
        <f>IF(AND(AE9=1,MOD(AE7-$B$5,12)=0),Hypothèses!$D$51,0)*$G$4</f>
        <v/>
      </c>
      <c r="AF49" s="15">
        <f>IF(AND(AF9=1,MOD(AF7-$B$5,12)=0),Hypothèses!$D$51,0)*$G$4</f>
        <v/>
      </c>
      <c r="AG49" s="15">
        <f>IF(AND(AG9=1,MOD(AG7-$B$5,12)=0),Hypothèses!$D$51,0)*$G$4</f>
        <v/>
      </c>
      <c r="AH49" s="15">
        <f>IF(AND(AH9=1,MOD(AH7-$B$5,12)=0),Hypothèses!$D$51,0)*$G$4</f>
        <v/>
      </c>
      <c r="AI49" s="15">
        <f>IF(AND(AI9=1,MOD(AI7-$B$5,12)=0),Hypothèses!$D$51,0)*$G$4</f>
        <v/>
      </c>
      <c r="AJ49" s="15">
        <f>IF(AND(AJ9=1,MOD(AJ7-$B$5,12)=0),Hypothèses!$D$51,0)*$G$4</f>
        <v/>
      </c>
      <c r="AK49" s="15">
        <f>IF(AND(AK9=1,MOD(AK7-$B$5,12)=0),Hypothèses!$D$51,0)*$G$4</f>
        <v/>
      </c>
      <c r="AL49" s="15">
        <f>IF(AND(AL9=1,MOD(AL7-$B$5,12)=0),Hypothèses!$D$51,0)*$G$4</f>
        <v/>
      </c>
      <c r="AN49" s="15">
        <f>SUM(C49:N49)</f>
        <v/>
      </c>
      <c r="AO49" s="15">
        <f>SUM(O49:Z49)</f>
        <v/>
      </c>
      <c r="AP49" s="15">
        <f>SUM(AA49:AL49)</f>
        <v/>
      </c>
    </row>
    <row r="50">
      <c r="A50" s="9" t="inlineStr">
        <is>
          <t>Frais de constitution</t>
        </is>
      </c>
      <c r="B50" s="4" t="inlineStr">
        <is>
          <t>€ HT</t>
        </is>
      </c>
      <c r="C50" s="15">
        <f>IF(C7=2,Hypothèses!$D$52,0)</f>
        <v/>
      </c>
      <c r="D50" s="15">
        <f>IF(D7=2,Hypothèses!$D$52,0)</f>
        <v/>
      </c>
      <c r="E50" s="15">
        <f>IF(E7=2,Hypothèses!$D$52,0)</f>
        <v/>
      </c>
      <c r="F50" s="15">
        <f>IF(F7=2,Hypothèses!$D$52,0)</f>
        <v/>
      </c>
      <c r="G50" s="15">
        <f>IF(G7=2,Hypothèses!$D$52,0)</f>
        <v/>
      </c>
      <c r="H50" s="15">
        <f>IF(H7=2,Hypothèses!$D$52,0)</f>
        <v/>
      </c>
      <c r="I50" s="15">
        <f>IF(I7=2,Hypothèses!$D$52,0)</f>
        <v/>
      </c>
      <c r="J50" s="15">
        <f>IF(J7=2,Hypothèses!$D$52,0)</f>
        <v/>
      </c>
      <c r="K50" s="15">
        <f>IF(K7=2,Hypothèses!$D$52,0)</f>
        <v/>
      </c>
      <c r="L50" s="15">
        <f>IF(L7=2,Hypothèses!$D$52,0)</f>
        <v/>
      </c>
      <c r="M50" s="15">
        <f>IF(M7=2,Hypothèses!$D$52,0)</f>
        <v/>
      </c>
      <c r="N50" s="15">
        <f>IF(N7=2,Hypothèses!$D$52,0)</f>
        <v/>
      </c>
      <c r="O50" s="15">
        <f>IF(O7=2,Hypothèses!$D$52,0)</f>
        <v/>
      </c>
      <c r="P50" s="15">
        <f>IF(P7=2,Hypothèses!$D$52,0)</f>
        <v/>
      </c>
      <c r="Q50" s="15">
        <f>IF(Q7=2,Hypothèses!$D$52,0)</f>
        <v/>
      </c>
      <c r="R50" s="15">
        <f>IF(R7=2,Hypothèses!$D$52,0)</f>
        <v/>
      </c>
      <c r="S50" s="15">
        <f>IF(S7=2,Hypothèses!$D$52,0)</f>
        <v/>
      </c>
      <c r="T50" s="15">
        <f>IF(T7=2,Hypothèses!$D$52,0)</f>
        <v/>
      </c>
      <c r="U50" s="15">
        <f>IF(U7=2,Hypothèses!$D$52,0)</f>
        <v/>
      </c>
      <c r="V50" s="15">
        <f>IF(V7=2,Hypothèses!$D$52,0)</f>
        <v/>
      </c>
      <c r="W50" s="15">
        <f>IF(W7=2,Hypothèses!$D$52,0)</f>
        <v/>
      </c>
      <c r="X50" s="15">
        <f>IF(X7=2,Hypothèses!$D$52,0)</f>
        <v/>
      </c>
      <c r="Y50" s="15">
        <f>IF(Y7=2,Hypothèses!$D$52,0)</f>
        <v/>
      </c>
      <c r="Z50" s="15">
        <f>IF(Z7=2,Hypothèses!$D$52,0)</f>
        <v/>
      </c>
      <c r="AA50" s="15">
        <f>IF(AA7=2,Hypothèses!$D$52,0)</f>
        <v/>
      </c>
      <c r="AB50" s="15">
        <f>IF(AB7=2,Hypothèses!$D$52,0)</f>
        <v/>
      </c>
      <c r="AC50" s="15">
        <f>IF(AC7=2,Hypothèses!$D$52,0)</f>
        <v/>
      </c>
      <c r="AD50" s="15">
        <f>IF(AD7=2,Hypothèses!$D$52,0)</f>
        <v/>
      </c>
      <c r="AE50" s="15">
        <f>IF(AE7=2,Hypothèses!$D$52,0)</f>
        <v/>
      </c>
      <c r="AF50" s="15">
        <f>IF(AF7=2,Hypothèses!$D$52,0)</f>
        <v/>
      </c>
      <c r="AG50" s="15">
        <f>IF(AG7=2,Hypothèses!$D$52,0)</f>
        <v/>
      </c>
      <c r="AH50" s="15">
        <f>IF(AH7=2,Hypothèses!$D$52,0)</f>
        <v/>
      </c>
      <c r="AI50" s="15">
        <f>IF(AI7=2,Hypothèses!$D$52,0)</f>
        <v/>
      </c>
      <c r="AJ50" s="15">
        <f>IF(AJ7=2,Hypothèses!$D$52,0)</f>
        <v/>
      </c>
      <c r="AK50" s="15">
        <f>IF(AK7=2,Hypothèses!$D$52,0)</f>
        <v/>
      </c>
      <c r="AL50" s="15">
        <f>IF(AL7=2,Hypothèses!$D$52,0)</f>
        <v/>
      </c>
      <c r="AN50" s="15">
        <f>SUM(C50:N50)</f>
        <v/>
      </c>
      <c r="AO50" s="15">
        <f>SUM(O50:Z50)</f>
        <v/>
      </c>
      <c r="AP50" s="15">
        <f>SUM(AA50:AL50)</f>
        <v/>
      </c>
    </row>
    <row r="51">
      <c r="A51" s="2" t="inlineStr">
        <is>
          <t>Total coûts fixes</t>
        </is>
      </c>
      <c r="B51" s="4" t="inlineStr">
        <is>
          <t>€ HT</t>
        </is>
      </c>
      <c r="C51" s="40">
        <f>SUM(C40:C50)</f>
        <v/>
      </c>
      <c r="D51" s="40">
        <f>SUM(D40:D50)</f>
        <v/>
      </c>
      <c r="E51" s="40">
        <f>SUM(E40:E50)</f>
        <v/>
      </c>
      <c r="F51" s="40">
        <f>SUM(F40:F50)</f>
        <v/>
      </c>
      <c r="G51" s="40">
        <f>SUM(G40:G50)</f>
        <v/>
      </c>
      <c r="H51" s="40">
        <f>SUM(H40:H50)</f>
        <v/>
      </c>
      <c r="I51" s="40">
        <f>SUM(I40:I50)</f>
        <v/>
      </c>
      <c r="J51" s="40">
        <f>SUM(J40:J50)</f>
        <v/>
      </c>
      <c r="K51" s="40">
        <f>SUM(K40:K50)</f>
        <v/>
      </c>
      <c r="L51" s="40">
        <f>SUM(L40:L50)</f>
        <v/>
      </c>
      <c r="M51" s="40">
        <f>SUM(M40:M50)</f>
        <v/>
      </c>
      <c r="N51" s="40">
        <f>SUM(N40:N50)</f>
        <v/>
      </c>
      <c r="O51" s="40">
        <f>SUM(O40:O50)</f>
        <v/>
      </c>
      <c r="P51" s="40">
        <f>SUM(P40:P50)</f>
        <v/>
      </c>
      <c r="Q51" s="40">
        <f>SUM(Q40:Q50)</f>
        <v/>
      </c>
      <c r="R51" s="40">
        <f>SUM(R40:R50)</f>
        <v/>
      </c>
      <c r="S51" s="40">
        <f>SUM(S40:S50)</f>
        <v/>
      </c>
      <c r="T51" s="40">
        <f>SUM(T40:T50)</f>
        <v/>
      </c>
      <c r="U51" s="40">
        <f>SUM(U40:U50)</f>
        <v/>
      </c>
      <c r="V51" s="40">
        <f>SUM(V40:V50)</f>
        <v/>
      </c>
      <c r="W51" s="40">
        <f>SUM(W40:W50)</f>
        <v/>
      </c>
      <c r="X51" s="40">
        <f>SUM(X40:X50)</f>
        <v/>
      </c>
      <c r="Y51" s="40">
        <f>SUM(Y40:Y50)</f>
        <v/>
      </c>
      <c r="Z51" s="40">
        <f>SUM(Z40:Z50)</f>
        <v/>
      </c>
      <c r="AA51" s="40">
        <f>SUM(AA40:AA50)</f>
        <v/>
      </c>
      <c r="AB51" s="40">
        <f>SUM(AB40:AB50)</f>
        <v/>
      </c>
      <c r="AC51" s="40">
        <f>SUM(AC40:AC50)</f>
        <v/>
      </c>
      <c r="AD51" s="40">
        <f>SUM(AD40:AD50)</f>
        <v/>
      </c>
      <c r="AE51" s="40">
        <f>SUM(AE40:AE50)</f>
        <v/>
      </c>
      <c r="AF51" s="40">
        <f>SUM(AF40:AF50)</f>
        <v/>
      </c>
      <c r="AG51" s="40">
        <f>SUM(AG40:AG50)</f>
        <v/>
      </c>
      <c r="AH51" s="40">
        <f>SUM(AH40:AH50)</f>
        <v/>
      </c>
      <c r="AI51" s="40">
        <f>SUM(AI40:AI50)</f>
        <v/>
      </c>
      <c r="AJ51" s="40">
        <f>SUM(AJ40:AJ50)</f>
        <v/>
      </c>
      <c r="AK51" s="40">
        <f>SUM(AK40:AK50)</f>
        <v/>
      </c>
      <c r="AL51" s="40">
        <f>SUM(AL40:AL50)</f>
        <v/>
      </c>
      <c r="AN51" s="40">
        <f>SUM(C51:N51)</f>
        <v/>
      </c>
      <c r="AO51" s="40">
        <f>SUM(O51:Z51)</f>
        <v/>
      </c>
      <c r="AP51" s="40">
        <f>SUM(AA51:AL51)</f>
        <v/>
      </c>
    </row>
    <row r="52">
      <c r="A52" s="2" t="inlineStr">
        <is>
          <t>EBITDA (marge variable − acquisition − fixes)</t>
        </is>
      </c>
      <c r="B52" s="4" t="inlineStr">
        <is>
          <t>€ HT</t>
        </is>
      </c>
      <c r="C52" s="40">
        <f>C37-C39-C51</f>
        <v/>
      </c>
      <c r="D52" s="40">
        <f>D37-D39-D51</f>
        <v/>
      </c>
      <c r="E52" s="40">
        <f>E37-E39-E51</f>
        <v/>
      </c>
      <c r="F52" s="40">
        <f>F37-F39-F51</f>
        <v/>
      </c>
      <c r="G52" s="40">
        <f>G37-G39-G51</f>
        <v/>
      </c>
      <c r="H52" s="40">
        <f>H37-H39-H51</f>
        <v/>
      </c>
      <c r="I52" s="40">
        <f>I37-I39-I51</f>
        <v/>
      </c>
      <c r="J52" s="40">
        <f>J37-J39-J51</f>
        <v/>
      </c>
      <c r="K52" s="40">
        <f>K37-K39-K51</f>
        <v/>
      </c>
      <c r="L52" s="40">
        <f>L37-L39-L51</f>
        <v/>
      </c>
      <c r="M52" s="40">
        <f>M37-M39-M51</f>
        <v/>
      </c>
      <c r="N52" s="40">
        <f>N37-N39-N51</f>
        <v/>
      </c>
      <c r="O52" s="40">
        <f>O37-O39-O51</f>
        <v/>
      </c>
      <c r="P52" s="40">
        <f>P37-P39-P51</f>
        <v/>
      </c>
      <c r="Q52" s="40">
        <f>Q37-Q39-Q51</f>
        <v/>
      </c>
      <c r="R52" s="40">
        <f>R37-R39-R51</f>
        <v/>
      </c>
      <c r="S52" s="40">
        <f>S37-S39-S51</f>
        <v/>
      </c>
      <c r="T52" s="40">
        <f>T37-T39-T51</f>
        <v/>
      </c>
      <c r="U52" s="40">
        <f>U37-U39-U51</f>
        <v/>
      </c>
      <c r="V52" s="40">
        <f>V37-V39-V51</f>
        <v/>
      </c>
      <c r="W52" s="40">
        <f>W37-W39-W51</f>
        <v/>
      </c>
      <c r="X52" s="40">
        <f>X37-X39-X51</f>
        <v/>
      </c>
      <c r="Y52" s="40">
        <f>Y37-Y39-Y51</f>
        <v/>
      </c>
      <c r="Z52" s="40">
        <f>Z37-Z39-Z51</f>
        <v/>
      </c>
      <c r="AA52" s="40">
        <f>AA37-AA39-AA51</f>
        <v/>
      </c>
      <c r="AB52" s="40">
        <f>AB37-AB39-AB51</f>
        <v/>
      </c>
      <c r="AC52" s="40">
        <f>AC37-AC39-AC51</f>
        <v/>
      </c>
      <c r="AD52" s="40">
        <f>AD37-AD39-AD51</f>
        <v/>
      </c>
      <c r="AE52" s="40">
        <f>AE37-AE39-AE51</f>
        <v/>
      </c>
      <c r="AF52" s="40">
        <f>AF37-AF39-AF51</f>
        <v/>
      </c>
      <c r="AG52" s="40">
        <f>AG37-AG39-AG51</f>
        <v/>
      </c>
      <c r="AH52" s="40">
        <f>AH37-AH39-AH51</f>
        <v/>
      </c>
      <c r="AI52" s="40">
        <f>AI37-AI39-AI51</f>
        <v/>
      </c>
      <c r="AJ52" s="40">
        <f>AJ37-AJ39-AJ51</f>
        <v/>
      </c>
      <c r="AK52" s="40">
        <f>AK37-AK39-AK51</f>
        <v/>
      </c>
      <c r="AL52" s="40">
        <f>AL37-AL39-AL51</f>
        <v/>
      </c>
      <c r="AN52" s="40">
        <f>SUM(C52:N52)</f>
        <v/>
      </c>
      <c r="AO52" s="40">
        <f>SUM(O52:Z52)</f>
        <v/>
      </c>
      <c r="AP52" s="40">
        <f>SUM(AA52:AL52)</f>
        <v/>
      </c>
    </row>
    <row r="53">
      <c r="A53" s="9" t="inlineStr">
        <is>
          <t>EBITDA positif ? (1 = oui)</t>
        </is>
      </c>
      <c r="B53" s="4" t="inlineStr">
        <is>
          <t>0/1</t>
        </is>
      </c>
      <c r="C53" s="13">
        <f>IF(C52&gt;0,1,0)</f>
        <v/>
      </c>
      <c r="D53" s="13">
        <f>IF(D52&gt;0,1,0)</f>
        <v/>
      </c>
      <c r="E53" s="13">
        <f>IF(E52&gt;0,1,0)</f>
        <v/>
      </c>
      <c r="F53" s="13">
        <f>IF(F52&gt;0,1,0)</f>
        <v/>
      </c>
      <c r="G53" s="13">
        <f>IF(G52&gt;0,1,0)</f>
        <v/>
      </c>
      <c r="H53" s="13">
        <f>IF(H52&gt;0,1,0)</f>
        <v/>
      </c>
      <c r="I53" s="13">
        <f>IF(I52&gt;0,1,0)</f>
        <v/>
      </c>
      <c r="J53" s="13">
        <f>IF(J52&gt;0,1,0)</f>
        <v/>
      </c>
      <c r="K53" s="13">
        <f>IF(K52&gt;0,1,0)</f>
        <v/>
      </c>
      <c r="L53" s="13">
        <f>IF(L52&gt;0,1,0)</f>
        <v/>
      </c>
      <c r="M53" s="13">
        <f>IF(M52&gt;0,1,0)</f>
        <v/>
      </c>
      <c r="N53" s="13">
        <f>IF(N52&gt;0,1,0)</f>
        <v/>
      </c>
      <c r="O53" s="13">
        <f>IF(O52&gt;0,1,0)</f>
        <v/>
      </c>
      <c r="P53" s="13">
        <f>IF(P52&gt;0,1,0)</f>
        <v/>
      </c>
      <c r="Q53" s="13">
        <f>IF(Q52&gt;0,1,0)</f>
        <v/>
      </c>
      <c r="R53" s="13">
        <f>IF(R52&gt;0,1,0)</f>
        <v/>
      </c>
      <c r="S53" s="13">
        <f>IF(S52&gt;0,1,0)</f>
        <v/>
      </c>
      <c r="T53" s="13">
        <f>IF(T52&gt;0,1,0)</f>
        <v/>
      </c>
      <c r="U53" s="13">
        <f>IF(U52&gt;0,1,0)</f>
        <v/>
      </c>
      <c r="V53" s="13">
        <f>IF(V52&gt;0,1,0)</f>
        <v/>
      </c>
      <c r="W53" s="13">
        <f>IF(W52&gt;0,1,0)</f>
        <v/>
      </c>
      <c r="X53" s="13">
        <f>IF(X52&gt;0,1,0)</f>
        <v/>
      </c>
      <c r="Y53" s="13">
        <f>IF(Y52&gt;0,1,0)</f>
        <v/>
      </c>
      <c r="Z53" s="13">
        <f>IF(Z52&gt;0,1,0)</f>
        <v/>
      </c>
      <c r="AA53" s="13">
        <f>IF(AA52&gt;0,1,0)</f>
        <v/>
      </c>
      <c r="AB53" s="13">
        <f>IF(AB52&gt;0,1,0)</f>
        <v/>
      </c>
      <c r="AC53" s="13">
        <f>IF(AC52&gt;0,1,0)</f>
        <v/>
      </c>
      <c r="AD53" s="13">
        <f>IF(AD52&gt;0,1,0)</f>
        <v/>
      </c>
      <c r="AE53" s="13">
        <f>IF(AE52&gt;0,1,0)</f>
        <v/>
      </c>
      <c r="AF53" s="13">
        <f>IF(AF52&gt;0,1,0)</f>
        <v/>
      </c>
      <c r="AG53" s="13">
        <f>IF(AG52&gt;0,1,0)</f>
        <v/>
      </c>
      <c r="AH53" s="13">
        <f>IF(AH52&gt;0,1,0)</f>
        <v/>
      </c>
      <c r="AI53" s="13">
        <f>IF(AI52&gt;0,1,0)</f>
        <v/>
      </c>
      <c r="AJ53" s="13">
        <f>IF(AJ52&gt;0,1,0)</f>
        <v/>
      </c>
      <c r="AK53" s="13">
        <f>IF(AK52&gt;0,1,0)</f>
        <v/>
      </c>
      <c r="AL53" s="13">
        <f>IF(AL52&gt;0,1,0)</f>
        <v/>
      </c>
    </row>
    <row r="54">
      <c r="A54" s="8" t="inlineStr">
        <is>
          <t>Trésorerie</t>
        </is>
      </c>
    </row>
    <row r="55">
      <c r="A55" s="9" t="inlineStr">
        <is>
          <t>TVA collectée reversée (mois suivant)</t>
        </is>
      </c>
      <c r="B55" s="4" t="inlineStr">
        <is>
          <t>€</t>
        </is>
      </c>
      <c r="C55" s="15">
        <f>0</f>
        <v/>
      </c>
      <c r="D55" s="15">
        <f>C27</f>
        <v/>
      </c>
      <c r="E55" s="15">
        <f>D27</f>
        <v/>
      </c>
      <c r="F55" s="15">
        <f>E27</f>
        <v/>
      </c>
      <c r="G55" s="15">
        <f>F27</f>
        <v/>
      </c>
      <c r="H55" s="15">
        <f>G27</f>
        <v/>
      </c>
      <c r="I55" s="15">
        <f>H27</f>
        <v/>
      </c>
      <c r="J55" s="15">
        <f>I27</f>
        <v/>
      </c>
      <c r="K55" s="15">
        <f>J27</f>
        <v/>
      </c>
      <c r="L55" s="15">
        <f>K27</f>
        <v/>
      </c>
      <c r="M55" s="15">
        <f>L27</f>
        <v/>
      </c>
      <c r="N55" s="15">
        <f>M27</f>
        <v/>
      </c>
      <c r="O55" s="15">
        <f>N27</f>
        <v/>
      </c>
      <c r="P55" s="15">
        <f>O27</f>
        <v/>
      </c>
      <c r="Q55" s="15">
        <f>P27</f>
        <v/>
      </c>
      <c r="R55" s="15">
        <f>Q27</f>
        <v/>
      </c>
      <c r="S55" s="15">
        <f>R27</f>
        <v/>
      </c>
      <c r="T55" s="15">
        <f>S27</f>
        <v/>
      </c>
      <c r="U55" s="15">
        <f>T27</f>
        <v/>
      </c>
      <c r="V55" s="15">
        <f>U27</f>
        <v/>
      </c>
      <c r="W55" s="15">
        <f>V27</f>
        <v/>
      </c>
      <c r="X55" s="15">
        <f>W27</f>
        <v/>
      </c>
      <c r="Y55" s="15">
        <f>X27</f>
        <v/>
      </c>
      <c r="Z55" s="15">
        <f>Y27</f>
        <v/>
      </c>
      <c r="AA55" s="15">
        <f>Z27</f>
        <v/>
      </c>
      <c r="AB55" s="15">
        <f>AA27</f>
        <v/>
      </c>
      <c r="AC55" s="15">
        <f>AB27</f>
        <v/>
      </c>
      <c r="AD55" s="15">
        <f>AC27</f>
        <v/>
      </c>
      <c r="AE55" s="15">
        <f>AD27</f>
        <v/>
      </c>
      <c r="AF55" s="15">
        <f>AE27</f>
        <v/>
      </c>
      <c r="AG55" s="15">
        <f>AF27</f>
        <v/>
      </c>
      <c r="AH55" s="15">
        <f>AG27</f>
        <v/>
      </c>
      <c r="AI55" s="15">
        <f>AH27</f>
        <v/>
      </c>
      <c r="AJ55" s="15">
        <f>AI27</f>
        <v/>
      </c>
      <c r="AK55" s="15">
        <f>AJ27</f>
        <v/>
      </c>
      <c r="AL55" s="15">
        <f>AK27</f>
        <v/>
      </c>
      <c r="AN55" s="15">
        <f>SUM(C55:N55)</f>
        <v/>
      </c>
      <c r="AO55" s="15">
        <f>SUM(O55:Z55)</f>
        <v/>
      </c>
      <c r="AP55" s="15">
        <f>SUM(AA55:AL55)</f>
        <v/>
      </c>
    </row>
    <row r="56">
      <c r="A56" s="9" t="inlineStr">
        <is>
          <t>TVA déductible récupérée (mois suivant, coûts externes)</t>
        </is>
      </c>
      <c r="B56" s="4" t="inlineStr">
        <is>
          <t>€</t>
        </is>
      </c>
      <c r="C56" s="15">
        <f>0</f>
        <v/>
      </c>
      <c r="D56" s="15">
        <f>(C36+C39+C43+C44+C45+C47+C48+C49+C50)*Hypothèses!$D$15</f>
        <v/>
      </c>
      <c r="E56" s="15">
        <f>(D36+D39+D43+D44+D45+D47+D48+D49+D50)*Hypothèses!$D$15</f>
        <v/>
      </c>
      <c r="F56" s="15">
        <f>(E36+E39+E43+E44+E45+E47+E48+E49+E50)*Hypothèses!$D$15</f>
        <v/>
      </c>
      <c r="G56" s="15">
        <f>(F36+F39+F43+F44+F45+F47+F48+F49+F50)*Hypothèses!$D$15</f>
        <v/>
      </c>
      <c r="H56" s="15">
        <f>(G36+G39+G43+G44+G45+G47+G48+G49+G50)*Hypothèses!$D$15</f>
        <v/>
      </c>
      <c r="I56" s="15">
        <f>(H36+H39+H43+H44+H45+H47+H48+H49+H50)*Hypothèses!$D$15</f>
        <v/>
      </c>
      <c r="J56" s="15">
        <f>(I36+I39+I43+I44+I45+I47+I48+I49+I50)*Hypothèses!$D$15</f>
        <v/>
      </c>
      <c r="K56" s="15">
        <f>(J36+J39+J43+J44+J45+J47+J48+J49+J50)*Hypothèses!$D$15</f>
        <v/>
      </c>
      <c r="L56" s="15">
        <f>(K36+K39+K43+K44+K45+K47+K48+K49+K50)*Hypothèses!$D$15</f>
        <v/>
      </c>
      <c r="M56" s="15">
        <f>(L36+L39+L43+L44+L45+L47+L48+L49+L50)*Hypothèses!$D$15</f>
        <v/>
      </c>
      <c r="N56" s="15">
        <f>(M36+M39+M43+M44+M45+M47+M48+M49+M50)*Hypothèses!$D$15</f>
        <v/>
      </c>
      <c r="O56" s="15">
        <f>(N36+N39+N43+N44+N45+N47+N48+N49+N50)*Hypothèses!$D$15</f>
        <v/>
      </c>
      <c r="P56" s="15">
        <f>(O36+O39+O43+O44+O45+O47+O48+O49+O50)*Hypothèses!$D$15</f>
        <v/>
      </c>
      <c r="Q56" s="15">
        <f>(P36+P39+P43+P44+P45+P47+P48+P49+P50)*Hypothèses!$D$15</f>
        <v/>
      </c>
      <c r="R56" s="15">
        <f>(Q36+Q39+Q43+Q44+Q45+Q47+Q48+Q49+Q50)*Hypothèses!$D$15</f>
        <v/>
      </c>
      <c r="S56" s="15">
        <f>(R36+R39+R43+R44+R45+R47+R48+R49+R50)*Hypothèses!$D$15</f>
        <v/>
      </c>
      <c r="T56" s="15">
        <f>(S36+S39+S43+S44+S45+S47+S48+S49+S50)*Hypothèses!$D$15</f>
        <v/>
      </c>
      <c r="U56" s="15">
        <f>(T36+T39+T43+T44+T45+T47+T48+T49+T50)*Hypothèses!$D$15</f>
        <v/>
      </c>
      <c r="V56" s="15">
        <f>(U36+U39+U43+U44+U45+U47+U48+U49+U50)*Hypothèses!$D$15</f>
        <v/>
      </c>
      <c r="W56" s="15">
        <f>(V36+V39+V43+V44+V45+V47+V48+V49+V50)*Hypothèses!$D$15</f>
        <v/>
      </c>
      <c r="X56" s="15">
        <f>(W36+W39+W43+W44+W45+W47+W48+W49+W50)*Hypothèses!$D$15</f>
        <v/>
      </c>
      <c r="Y56" s="15">
        <f>(X36+X39+X43+X44+X45+X47+X48+X49+X50)*Hypothèses!$D$15</f>
        <v/>
      </c>
      <c r="Z56" s="15">
        <f>(Y36+Y39+Y43+Y44+Y45+Y47+Y48+Y49+Y50)*Hypothèses!$D$15</f>
        <v/>
      </c>
      <c r="AA56" s="15">
        <f>(Z36+Z39+Z43+Z44+Z45+Z47+Z48+Z49+Z50)*Hypothèses!$D$15</f>
        <v/>
      </c>
      <c r="AB56" s="15">
        <f>(AA36+AA39+AA43+AA44+AA45+AA47+AA48+AA49+AA50)*Hypothèses!$D$15</f>
        <v/>
      </c>
      <c r="AC56" s="15">
        <f>(AB36+AB39+AB43+AB44+AB45+AB47+AB48+AB49+AB50)*Hypothèses!$D$15</f>
        <v/>
      </c>
      <c r="AD56" s="15">
        <f>(AC36+AC39+AC43+AC44+AC45+AC47+AC48+AC49+AC50)*Hypothèses!$D$15</f>
        <v/>
      </c>
      <c r="AE56" s="15">
        <f>(AD36+AD39+AD43+AD44+AD45+AD47+AD48+AD49+AD50)*Hypothèses!$D$15</f>
        <v/>
      </c>
      <c r="AF56" s="15">
        <f>(AE36+AE39+AE43+AE44+AE45+AE47+AE48+AE49+AE50)*Hypothèses!$D$15</f>
        <v/>
      </c>
      <c r="AG56" s="15">
        <f>(AF36+AF39+AF43+AF44+AF45+AF47+AF48+AF49+AF50)*Hypothèses!$D$15</f>
        <v/>
      </c>
      <c r="AH56" s="15">
        <f>(AG36+AG39+AG43+AG44+AG45+AG47+AG48+AG49+AG50)*Hypothèses!$D$15</f>
        <v/>
      </c>
      <c r="AI56" s="15">
        <f>(AH36+AH39+AH43+AH44+AH45+AH47+AH48+AH49+AH50)*Hypothèses!$D$15</f>
        <v/>
      </c>
      <c r="AJ56" s="15">
        <f>(AI36+AI39+AI43+AI44+AI45+AI47+AI48+AI49+AI50)*Hypothèses!$D$15</f>
        <v/>
      </c>
      <c r="AK56" s="15">
        <f>(AJ36+AJ39+AJ43+AJ44+AJ45+AJ47+AJ48+AJ49+AJ50)*Hypothèses!$D$15</f>
        <v/>
      </c>
      <c r="AL56" s="15">
        <f>(AK36+AK39+AK43+AK44+AK45+AK47+AK48+AK49+AK50)*Hypothèses!$D$15</f>
        <v/>
      </c>
      <c r="AN56" s="15">
        <f>SUM(C56:N56)</f>
        <v/>
      </c>
      <c r="AO56" s="15">
        <f>SUM(O56:Z56)</f>
        <v/>
      </c>
      <c r="AP56" s="15">
        <f>SUM(AA56:AL56)</f>
        <v/>
      </c>
    </row>
    <row r="57">
      <c r="A57" s="9" t="inlineStr">
        <is>
          <t>Financement reçu</t>
        </is>
      </c>
      <c r="B57" s="4" t="inlineStr">
        <is>
          <t>€</t>
        </is>
      </c>
      <c r="C57" s="15">
        <f>Hypothèses!$D$56*(IF(C7=Hypothèses!$D$57,Hypothèses!$D$58,0)+IF(C7=Hypothèses!$D$59,Hypothèses!$D$60,0)+IF(C7=Hypothèses!$D$61,Hypothèses!$D$62,0))</f>
        <v/>
      </c>
      <c r="D57" s="15">
        <f>Hypothèses!$D$56*(IF(D7=Hypothèses!$D$57,Hypothèses!$D$58,0)+IF(D7=Hypothèses!$D$59,Hypothèses!$D$60,0)+IF(D7=Hypothèses!$D$61,Hypothèses!$D$62,0))</f>
        <v/>
      </c>
      <c r="E57" s="15">
        <f>Hypothèses!$D$56*(IF(E7=Hypothèses!$D$57,Hypothèses!$D$58,0)+IF(E7=Hypothèses!$D$59,Hypothèses!$D$60,0)+IF(E7=Hypothèses!$D$61,Hypothèses!$D$62,0))</f>
        <v/>
      </c>
      <c r="F57" s="15">
        <f>Hypothèses!$D$56*(IF(F7=Hypothèses!$D$57,Hypothèses!$D$58,0)+IF(F7=Hypothèses!$D$59,Hypothèses!$D$60,0)+IF(F7=Hypothèses!$D$61,Hypothèses!$D$62,0))</f>
        <v/>
      </c>
      <c r="G57" s="15">
        <f>Hypothèses!$D$56*(IF(G7=Hypothèses!$D$57,Hypothèses!$D$58,0)+IF(G7=Hypothèses!$D$59,Hypothèses!$D$60,0)+IF(G7=Hypothèses!$D$61,Hypothèses!$D$62,0))</f>
        <v/>
      </c>
      <c r="H57" s="15">
        <f>Hypothèses!$D$56*(IF(H7=Hypothèses!$D$57,Hypothèses!$D$58,0)+IF(H7=Hypothèses!$D$59,Hypothèses!$D$60,0)+IF(H7=Hypothèses!$D$61,Hypothèses!$D$62,0))</f>
        <v/>
      </c>
      <c r="I57" s="15">
        <f>Hypothèses!$D$56*(IF(I7=Hypothèses!$D$57,Hypothèses!$D$58,0)+IF(I7=Hypothèses!$D$59,Hypothèses!$D$60,0)+IF(I7=Hypothèses!$D$61,Hypothèses!$D$62,0))</f>
        <v/>
      </c>
      <c r="J57" s="15">
        <f>Hypothèses!$D$56*(IF(J7=Hypothèses!$D$57,Hypothèses!$D$58,0)+IF(J7=Hypothèses!$D$59,Hypothèses!$D$60,0)+IF(J7=Hypothèses!$D$61,Hypothèses!$D$62,0))</f>
        <v/>
      </c>
      <c r="K57" s="15">
        <f>Hypothèses!$D$56*(IF(K7=Hypothèses!$D$57,Hypothèses!$D$58,0)+IF(K7=Hypothèses!$D$59,Hypothèses!$D$60,0)+IF(K7=Hypothèses!$D$61,Hypothèses!$D$62,0))</f>
        <v/>
      </c>
      <c r="L57" s="15">
        <f>Hypothèses!$D$56*(IF(L7=Hypothèses!$D$57,Hypothèses!$D$58,0)+IF(L7=Hypothèses!$D$59,Hypothèses!$D$60,0)+IF(L7=Hypothèses!$D$61,Hypothèses!$D$62,0))</f>
        <v/>
      </c>
      <c r="M57" s="15">
        <f>Hypothèses!$D$56*(IF(M7=Hypothèses!$D$57,Hypothèses!$D$58,0)+IF(M7=Hypothèses!$D$59,Hypothèses!$D$60,0)+IF(M7=Hypothèses!$D$61,Hypothèses!$D$62,0))</f>
        <v/>
      </c>
      <c r="N57" s="15">
        <f>Hypothèses!$D$56*(IF(N7=Hypothèses!$D$57,Hypothèses!$D$58,0)+IF(N7=Hypothèses!$D$59,Hypothèses!$D$60,0)+IF(N7=Hypothèses!$D$61,Hypothèses!$D$62,0))</f>
        <v/>
      </c>
      <c r="O57" s="15">
        <f>Hypothèses!$D$56*(IF(O7=Hypothèses!$D$57,Hypothèses!$D$58,0)+IF(O7=Hypothèses!$D$59,Hypothèses!$D$60,0)+IF(O7=Hypothèses!$D$61,Hypothèses!$D$62,0))</f>
        <v/>
      </c>
      <c r="P57" s="15">
        <f>Hypothèses!$D$56*(IF(P7=Hypothèses!$D$57,Hypothèses!$D$58,0)+IF(P7=Hypothèses!$D$59,Hypothèses!$D$60,0)+IF(P7=Hypothèses!$D$61,Hypothèses!$D$62,0))</f>
        <v/>
      </c>
      <c r="Q57" s="15">
        <f>Hypothèses!$D$56*(IF(Q7=Hypothèses!$D$57,Hypothèses!$D$58,0)+IF(Q7=Hypothèses!$D$59,Hypothèses!$D$60,0)+IF(Q7=Hypothèses!$D$61,Hypothèses!$D$62,0))</f>
        <v/>
      </c>
      <c r="R57" s="15">
        <f>Hypothèses!$D$56*(IF(R7=Hypothèses!$D$57,Hypothèses!$D$58,0)+IF(R7=Hypothèses!$D$59,Hypothèses!$D$60,0)+IF(R7=Hypothèses!$D$61,Hypothèses!$D$62,0))</f>
        <v/>
      </c>
      <c r="S57" s="15">
        <f>Hypothèses!$D$56*(IF(S7=Hypothèses!$D$57,Hypothèses!$D$58,0)+IF(S7=Hypothèses!$D$59,Hypothèses!$D$60,0)+IF(S7=Hypothèses!$D$61,Hypothèses!$D$62,0))</f>
        <v/>
      </c>
      <c r="T57" s="15">
        <f>Hypothèses!$D$56*(IF(T7=Hypothèses!$D$57,Hypothèses!$D$58,0)+IF(T7=Hypothèses!$D$59,Hypothèses!$D$60,0)+IF(T7=Hypothèses!$D$61,Hypothèses!$D$62,0))</f>
        <v/>
      </c>
      <c r="U57" s="15">
        <f>Hypothèses!$D$56*(IF(U7=Hypothèses!$D$57,Hypothèses!$D$58,0)+IF(U7=Hypothèses!$D$59,Hypothèses!$D$60,0)+IF(U7=Hypothèses!$D$61,Hypothèses!$D$62,0))</f>
        <v/>
      </c>
      <c r="V57" s="15">
        <f>Hypothèses!$D$56*(IF(V7=Hypothèses!$D$57,Hypothèses!$D$58,0)+IF(V7=Hypothèses!$D$59,Hypothèses!$D$60,0)+IF(V7=Hypothèses!$D$61,Hypothèses!$D$62,0))</f>
        <v/>
      </c>
      <c r="W57" s="15">
        <f>Hypothèses!$D$56*(IF(W7=Hypothèses!$D$57,Hypothèses!$D$58,0)+IF(W7=Hypothèses!$D$59,Hypothèses!$D$60,0)+IF(W7=Hypothèses!$D$61,Hypothèses!$D$62,0))</f>
        <v/>
      </c>
      <c r="X57" s="15">
        <f>Hypothèses!$D$56*(IF(X7=Hypothèses!$D$57,Hypothèses!$D$58,0)+IF(X7=Hypothèses!$D$59,Hypothèses!$D$60,0)+IF(X7=Hypothèses!$D$61,Hypothèses!$D$62,0))</f>
        <v/>
      </c>
      <c r="Y57" s="15">
        <f>Hypothèses!$D$56*(IF(Y7=Hypothèses!$D$57,Hypothèses!$D$58,0)+IF(Y7=Hypothèses!$D$59,Hypothèses!$D$60,0)+IF(Y7=Hypothèses!$D$61,Hypothèses!$D$62,0))</f>
        <v/>
      </c>
      <c r="Z57" s="15">
        <f>Hypothèses!$D$56*(IF(Z7=Hypothèses!$D$57,Hypothèses!$D$58,0)+IF(Z7=Hypothèses!$D$59,Hypothèses!$D$60,0)+IF(Z7=Hypothèses!$D$61,Hypothèses!$D$62,0))</f>
        <v/>
      </c>
      <c r="AA57" s="15">
        <f>Hypothèses!$D$56*(IF(AA7=Hypothèses!$D$57,Hypothèses!$D$58,0)+IF(AA7=Hypothèses!$D$59,Hypothèses!$D$60,0)+IF(AA7=Hypothèses!$D$61,Hypothèses!$D$62,0))</f>
        <v/>
      </c>
      <c r="AB57" s="15">
        <f>Hypothèses!$D$56*(IF(AB7=Hypothèses!$D$57,Hypothèses!$D$58,0)+IF(AB7=Hypothèses!$D$59,Hypothèses!$D$60,0)+IF(AB7=Hypothèses!$D$61,Hypothèses!$D$62,0))</f>
        <v/>
      </c>
      <c r="AC57" s="15">
        <f>Hypothèses!$D$56*(IF(AC7=Hypothèses!$D$57,Hypothèses!$D$58,0)+IF(AC7=Hypothèses!$D$59,Hypothèses!$D$60,0)+IF(AC7=Hypothèses!$D$61,Hypothèses!$D$62,0))</f>
        <v/>
      </c>
      <c r="AD57" s="15">
        <f>Hypothèses!$D$56*(IF(AD7=Hypothèses!$D$57,Hypothèses!$D$58,0)+IF(AD7=Hypothèses!$D$59,Hypothèses!$D$60,0)+IF(AD7=Hypothèses!$D$61,Hypothèses!$D$62,0))</f>
        <v/>
      </c>
      <c r="AE57" s="15">
        <f>Hypothèses!$D$56*(IF(AE7=Hypothèses!$D$57,Hypothèses!$D$58,0)+IF(AE7=Hypothèses!$D$59,Hypothèses!$D$60,0)+IF(AE7=Hypothèses!$D$61,Hypothèses!$D$62,0))</f>
        <v/>
      </c>
      <c r="AF57" s="15">
        <f>Hypothèses!$D$56*(IF(AF7=Hypothèses!$D$57,Hypothèses!$D$58,0)+IF(AF7=Hypothèses!$D$59,Hypothèses!$D$60,0)+IF(AF7=Hypothèses!$D$61,Hypothèses!$D$62,0))</f>
        <v/>
      </c>
      <c r="AG57" s="15">
        <f>Hypothèses!$D$56*(IF(AG7=Hypothèses!$D$57,Hypothèses!$D$58,0)+IF(AG7=Hypothèses!$D$59,Hypothèses!$D$60,0)+IF(AG7=Hypothèses!$D$61,Hypothèses!$D$62,0))</f>
        <v/>
      </c>
      <c r="AH57" s="15">
        <f>Hypothèses!$D$56*(IF(AH7=Hypothèses!$D$57,Hypothèses!$D$58,0)+IF(AH7=Hypothèses!$D$59,Hypothèses!$D$60,0)+IF(AH7=Hypothèses!$D$61,Hypothèses!$D$62,0))</f>
        <v/>
      </c>
      <c r="AI57" s="15">
        <f>Hypothèses!$D$56*(IF(AI7=Hypothèses!$D$57,Hypothèses!$D$58,0)+IF(AI7=Hypothèses!$D$59,Hypothèses!$D$60,0)+IF(AI7=Hypothèses!$D$61,Hypothèses!$D$62,0))</f>
        <v/>
      </c>
      <c r="AJ57" s="15">
        <f>Hypothèses!$D$56*(IF(AJ7=Hypothèses!$D$57,Hypothèses!$D$58,0)+IF(AJ7=Hypothèses!$D$59,Hypothèses!$D$60,0)+IF(AJ7=Hypothèses!$D$61,Hypothèses!$D$62,0))</f>
        <v/>
      </c>
      <c r="AK57" s="15">
        <f>Hypothèses!$D$56*(IF(AK7=Hypothèses!$D$57,Hypothèses!$D$58,0)+IF(AK7=Hypothèses!$D$59,Hypothèses!$D$60,0)+IF(AK7=Hypothèses!$D$61,Hypothèses!$D$62,0))</f>
        <v/>
      </c>
      <c r="AL57" s="15">
        <f>Hypothèses!$D$56*(IF(AL7=Hypothèses!$D$57,Hypothèses!$D$58,0)+IF(AL7=Hypothèses!$D$59,Hypothèses!$D$60,0)+IF(AL7=Hypothèses!$D$61,Hypothèses!$D$62,0))</f>
        <v/>
      </c>
      <c r="AN57" s="15">
        <f>SUM(C57:N57)</f>
        <v/>
      </c>
      <c r="AO57" s="15">
        <f>SUM(O57:Z57)</f>
        <v/>
      </c>
      <c r="AP57" s="15">
        <f>SUM(AA57:AL57)</f>
        <v/>
      </c>
    </row>
    <row r="58">
      <c r="A58" s="9" t="inlineStr">
        <is>
          <t>Trésorerie d'ouverture</t>
        </is>
      </c>
      <c r="B58" s="4" t="inlineStr">
        <is>
          <t>€</t>
        </is>
      </c>
      <c r="C58" s="15">
        <f>Hypothèses!$D$54</f>
        <v/>
      </c>
      <c r="D58" s="15">
        <f>C60</f>
        <v/>
      </c>
      <c r="E58" s="15">
        <f>D60</f>
        <v/>
      </c>
      <c r="F58" s="15">
        <f>E60</f>
        <v/>
      </c>
      <c r="G58" s="15">
        <f>F60</f>
        <v/>
      </c>
      <c r="H58" s="15">
        <f>G60</f>
        <v/>
      </c>
      <c r="I58" s="15">
        <f>H60</f>
        <v/>
      </c>
      <c r="J58" s="15">
        <f>I60</f>
        <v/>
      </c>
      <c r="K58" s="15">
        <f>J60</f>
        <v/>
      </c>
      <c r="L58" s="15">
        <f>K60</f>
        <v/>
      </c>
      <c r="M58" s="15">
        <f>L60</f>
        <v/>
      </c>
      <c r="N58" s="15">
        <f>M60</f>
        <v/>
      </c>
      <c r="O58" s="15">
        <f>N60</f>
        <v/>
      </c>
      <c r="P58" s="15">
        <f>O60</f>
        <v/>
      </c>
      <c r="Q58" s="15">
        <f>P60</f>
        <v/>
      </c>
      <c r="R58" s="15">
        <f>Q60</f>
        <v/>
      </c>
      <c r="S58" s="15">
        <f>R60</f>
        <v/>
      </c>
      <c r="T58" s="15">
        <f>S60</f>
        <v/>
      </c>
      <c r="U58" s="15">
        <f>T60</f>
        <v/>
      </c>
      <c r="V58" s="15">
        <f>U60</f>
        <v/>
      </c>
      <c r="W58" s="15">
        <f>V60</f>
        <v/>
      </c>
      <c r="X58" s="15">
        <f>W60</f>
        <v/>
      </c>
      <c r="Y58" s="15">
        <f>X60</f>
        <v/>
      </c>
      <c r="Z58" s="15">
        <f>Y60</f>
        <v/>
      </c>
      <c r="AA58" s="15">
        <f>Z60</f>
        <v/>
      </c>
      <c r="AB58" s="15">
        <f>AA60</f>
        <v/>
      </c>
      <c r="AC58" s="15">
        <f>AB60</f>
        <v/>
      </c>
      <c r="AD58" s="15">
        <f>AC60</f>
        <v/>
      </c>
      <c r="AE58" s="15">
        <f>AD60</f>
        <v/>
      </c>
      <c r="AF58" s="15">
        <f>AE60</f>
        <v/>
      </c>
      <c r="AG58" s="15">
        <f>AF60</f>
        <v/>
      </c>
      <c r="AH58" s="15">
        <f>AG60</f>
        <v/>
      </c>
      <c r="AI58" s="15">
        <f>AH60</f>
        <v/>
      </c>
      <c r="AJ58" s="15">
        <f>AI60</f>
        <v/>
      </c>
      <c r="AK58" s="15">
        <f>AJ60</f>
        <v/>
      </c>
      <c r="AL58" s="15">
        <f>AK60</f>
        <v/>
      </c>
    </row>
    <row r="59">
      <c r="A59" s="9" t="inlineStr">
        <is>
          <t>Flux de trésorerie du mois</t>
        </is>
      </c>
      <c r="B59" s="4" t="inlineStr">
        <is>
          <t>€</t>
        </is>
      </c>
      <c r="C59" s="15">
        <f>C31-C36-C39-C51-C55+C56+C57</f>
        <v/>
      </c>
      <c r="D59" s="15">
        <f>D31-D36-D39-D51-D55+D56+D57</f>
        <v/>
      </c>
      <c r="E59" s="15">
        <f>E31-E36-E39-E51-E55+E56+E57</f>
        <v/>
      </c>
      <c r="F59" s="15">
        <f>F31-F36-F39-F51-F55+F56+F57</f>
        <v/>
      </c>
      <c r="G59" s="15">
        <f>G31-G36-G39-G51-G55+G56+G57</f>
        <v/>
      </c>
      <c r="H59" s="15">
        <f>H31-H36-H39-H51-H55+H56+H57</f>
        <v/>
      </c>
      <c r="I59" s="15">
        <f>I31-I36-I39-I51-I55+I56+I57</f>
        <v/>
      </c>
      <c r="J59" s="15">
        <f>J31-J36-J39-J51-J55+J56+J57</f>
        <v/>
      </c>
      <c r="K59" s="15">
        <f>K31-K36-K39-K51-K55+K56+K57</f>
        <v/>
      </c>
      <c r="L59" s="15">
        <f>L31-L36-L39-L51-L55+L56+L57</f>
        <v/>
      </c>
      <c r="M59" s="15">
        <f>M31-M36-M39-M51-M55+M56+M57</f>
        <v/>
      </c>
      <c r="N59" s="15">
        <f>N31-N36-N39-N51-N55+N56+N57</f>
        <v/>
      </c>
      <c r="O59" s="15">
        <f>O31-O36-O39-O51-O55+O56+O57</f>
        <v/>
      </c>
      <c r="P59" s="15">
        <f>P31-P36-P39-P51-P55+P56+P57</f>
        <v/>
      </c>
      <c r="Q59" s="15">
        <f>Q31-Q36-Q39-Q51-Q55+Q56+Q57</f>
        <v/>
      </c>
      <c r="R59" s="15">
        <f>R31-R36-R39-R51-R55+R56+R57</f>
        <v/>
      </c>
      <c r="S59" s="15">
        <f>S31-S36-S39-S51-S55+S56+S57</f>
        <v/>
      </c>
      <c r="T59" s="15">
        <f>T31-T36-T39-T51-T55+T56+T57</f>
        <v/>
      </c>
      <c r="U59" s="15">
        <f>U31-U36-U39-U51-U55+U56+U57</f>
        <v/>
      </c>
      <c r="V59" s="15">
        <f>V31-V36-V39-V51-V55+V56+V57</f>
        <v/>
      </c>
      <c r="W59" s="15">
        <f>W31-W36-W39-W51-W55+W56+W57</f>
        <v/>
      </c>
      <c r="X59" s="15">
        <f>X31-X36-X39-X51-X55+X56+X57</f>
        <v/>
      </c>
      <c r="Y59" s="15">
        <f>Y31-Y36-Y39-Y51-Y55+Y56+Y57</f>
        <v/>
      </c>
      <c r="Z59" s="15">
        <f>Z31-Z36-Z39-Z51-Z55+Z56+Z57</f>
        <v/>
      </c>
      <c r="AA59" s="15">
        <f>AA31-AA36-AA39-AA51-AA55+AA56+AA57</f>
        <v/>
      </c>
      <c r="AB59" s="15">
        <f>AB31-AB36-AB39-AB51-AB55+AB56+AB57</f>
        <v/>
      </c>
      <c r="AC59" s="15">
        <f>AC31-AC36-AC39-AC51-AC55+AC56+AC57</f>
        <v/>
      </c>
      <c r="AD59" s="15">
        <f>AD31-AD36-AD39-AD51-AD55+AD56+AD57</f>
        <v/>
      </c>
      <c r="AE59" s="15">
        <f>AE31-AE36-AE39-AE51-AE55+AE56+AE57</f>
        <v/>
      </c>
      <c r="AF59" s="15">
        <f>AF31-AF36-AF39-AF51-AF55+AF56+AF57</f>
        <v/>
      </c>
      <c r="AG59" s="15">
        <f>AG31-AG36-AG39-AG51-AG55+AG56+AG57</f>
        <v/>
      </c>
      <c r="AH59" s="15">
        <f>AH31-AH36-AH39-AH51-AH55+AH56+AH57</f>
        <v/>
      </c>
      <c r="AI59" s="15">
        <f>AI31-AI36-AI39-AI51-AI55+AI56+AI57</f>
        <v/>
      </c>
      <c r="AJ59" s="15">
        <f>AJ31-AJ36-AJ39-AJ51-AJ55+AJ56+AJ57</f>
        <v/>
      </c>
      <c r="AK59" s="15">
        <f>AK31-AK36-AK39-AK51-AK55+AK56+AK57</f>
        <v/>
      </c>
      <c r="AL59" s="15">
        <f>AL31-AL36-AL39-AL51-AL55+AL56+AL57</f>
        <v/>
      </c>
      <c r="AN59" s="15">
        <f>SUM(C59:N59)</f>
        <v/>
      </c>
      <c r="AO59" s="15">
        <f>SUM(O59:Z59)</f>
        <v/>
      </c>
      <c r="AP59" s="15">
        <f>SUM(AA59:AL59)</f>
        <v/>
      </c>
    </row>
    <row r="60">
      <c r="A60" s="2" t="inlineStr">
        <is>
          <t>Trésorerie de clôture</t>
        </is>
      </c>
      <c r="B60" s="4" t="inlineStr">
        <is>
          <t>€</t>
        </is>
      </c>
      <c r="C60" s="40">
        <f>C58+C59</f>
        <v/>
      </c>
      <c r="D60" s="40">
        <f>D58+D59</f>
        <v/>
      </c>
      <c r="E60" s="40">
        <f>E58+E59</f>
        <v/>
      </c>
      <c r="F60" s="40">
        <f>F58+F59</f>
        <v/>
      </c>
      <c r="G60" s="40">
        <f>G58+G59</f>
        <v/>
      </c>
      <c r="H60" s="40">
        <f>H58+H59</f>
        <v/>
      </c>
      <c r="I60" s="40">
        <f>I58+I59</f>
        <v/>
      </c>
      <c r="J60" s="40">
        <f>J58+J59</f>
        <v/>
      </c>
      <c r="K60" s="40">
        <f>K58+K59</f>
        <v/>
      </c>
      <c r="L60" s="40">
        <f>L58+L59</f>
        <v/>
      </c>
      <c r="M60" s="40">
        <f>M58+M59</f>
        <v/>
      </c>
      <c r="N60" s="40">
        <f>N58+N59</f>
        <v/>
      </c>
      <c r="O60" s="40">
        <f>O58+O59</f>
        <v/>
      </c>
      <c r="P60" s="40">
        <f>P58+P59</f>
        <v/>
      </c>
      <c r="Q60" s="40">
        <f>Q58+Q59</f>
        <v/>
      </c>
      <c r="R60" s="40">
        <f>R58+R59</f>
        <v/>
      </c>
      <c r="S60" s="40">
        <f>S58+S59</f>
        <v/>
      </c>
      <c r="T60" s="40">
        <f>T58+T59</f>
        <v/>
      </c>
      <c r="U60" s="40">
        <f>U58+U59</f>
        <v/>
      </c>
      <c r="V60" s="40">
        <f>V58+V59</f>
        <v/>
      </c>
      <c r="W60" s="40">
        <f>W58+W59</f>
        <v/>
      </c>
      <c r="X60" s="40">
        <f>X58+X59</f>
        <v/>
      </c>
      <c r="Y60" s="40">
        <f>Y58+Y59</f>
        <v/>
      </c>
      <c r="Z60" s="40">
        <f>Z58+Z59</f>
        <v/>
      </c>
      <c r="AA60" s="40">
        <f>AA58+AA59</f>
        <v/>
      </c>
      <c r="AB60" s="40">
        <f>AB58+AB59</f>
        <v/>
      </c>
      <c r="AC60" s="40">
        <f>AC58+AC59</f>
        <v/>
      </c>
      <c r="AD60" s="40">
        <f>AD58+AD59</f>
        <v/>
      </c>
      <c r="AE60" s="40">
        <f>AE58+AE59</f>
        <v/>
      </c>
      <c r="AF60" s="40">
        <f>AF58+AF59</f>
        <v/>
      </c>
      <c r="AG60" s="40">
        <f>AG58+AG59</f>
        <v/>
      </c>
      <c r="AH60" s="40">
        <f>AH58+AH59</f>
        <v/>
      </c>
      <c r="AI60" s="40">
        <f>AI58+AI59</f>
        <v/>
      </c>
      <c r="AJ60" s="40">
        <f>AJ58+AJ59</f>
        <v/>
      </c>
      <c r="AK60" s="40">
        <f>AK58+AK59</f>
        <v/>
      </c>
      <c r="AL60" s="40">
        <f>AL58+AL59</f>
        <v/>
      </c>
      <c r="AN60" s="40">
        <f>N60</f>
        <v/>
      </c>
      <c r="AO60" s="40">
        <f>Z60</f>
        <v/>
      </c>
      <c r="AP60" s="40">
        <f>AL60</f>
        <v/>
      </c>
    </row>
    <row r="61">
      <c r="A61" s="9" t="inlineStr">
        <is>
          <t>Financement cumulé</t>
        </is>
      </c>
      <c r="B61" s="4" t="inlineStr">
        <is>
          <t>€</t>
        </is>
      </c>
      <c r="C61" s="15">
        <f>0+C57</f>
        <v/>
      </c>
      <c r="D61" s="15">
        <f>C61+D57</f>
        <v/>
      </c>
      <c r="E61" s="15">
        <f>D61+E57</f>
        <v/>
      </c>
      <c r="F61" s="15">
        <f>E61+F57</f>
        <v/>
      </c>
      <c r="G61" s="15">
        <f>F61+G57</f>
        <v/>
      </c>
      <c r="H61" s="15">
        <f>G61+H57</f>
        <v/>
      </c>
      <c r="I61" s="15">
        <f>H61+I57</f>
        <v/>
      </c>
      <c r="J61" s="15">
        <f>I61+J57</f>
        <v/>
      </c>
      <c r="K61" s="15">
        <f>J61+K57</f>
        <v/>
      </c>
      <c r="L61" s="15">
        <f>K61+L57</f>
        <v/>
      </c>
      <c r="M61" s="15">
        <f>L61+M57</f>
        <v/>
      </c>
      <c r="N61" s="15">
        <f>M61+N57</f>
        <v/>
      </c>
      <c r="O61" s="15">
        <f>N61+O57</f>
        <v/>
      </c>
      <c r="P61" s="15">
        <f>O61+P57</f>
        <v/>
      </c>
      <c r="Q61" s="15">
        <f>P61+Q57</f>
        <v/>
      </c>
      <c r="R61" s="15">
        <f>Q61+R57</f>
        <v/>
      </c>
      <c r="S61" s="15">
        <f>R61+S57</f>
        <v/>
      </c>
      <c r="T61" s="15">
        <f>S61+T57</f>
        <v/>
      </c>
      <c r="U61" s="15">
        <f>T61+U57</f>
        <v/>
      </c>
      <c r="V61" s="15">
        <f>U61+V57</f>
        <v/>
      </c>
      <c r="W61" s="15">
        <f>V61+W57</f>
        <v/>
      </c>
      <c r="X61" s="15">
        <f>W61+X57</f>
        <v/>
      </c>
      <c r="Y61" s="15">
        <f>X61+Y57</f>
        <v/>
      </c>
      <c r="Z61" s="15">
        <f>Y61+Z57</f>
        <v/>
      </c>
      <c r="AA61" s="15">
        <f>Z61+AA57</f>
        <v/>
      </c>
      <c r="AB61" s="15">
        <f>AA61+AB57</f>
        <v/>
      </c>
      <c r="AC61" s="15">
        <f>AB61+AC57</f>
        <v/>
      </c>
      <c r="AD61" s="15">
        <f>AC61+AD57</f>
        <v/>
      </c>
      <c r="AE61" s="15">
        <f>AD61+AE57</f>
        <v/>
      </c>
      <c r="AF61" s="15">
        <f>AE61+AF57</f>
        <v/>
      </c>
      <c r="AG61" s="15">
        <f>AF61+AG57</f>
        <v/>
      </c>
      <c r="AH61" s="15">
        <f>AG61+AH57</f>
        <v/>
      </c>
      <c r="AI61" s="15">
        <f>AH61+AI57</f>
        <v/>
      </c>
      <c r="AJ61" s="15">
        <f>AI61+AJ57</f>
        <v/>
      </c>
      <c r="AK61" s="15">
        <f>AJ61+AK57</f>
        <v/>
      </c>
      <c r="AL61" s="15">
        <f>AK61+AL57</f>
        <v/>
      </c>
      <c r="AN61" s="15">
        <f>N61</f>
        <v/>
      </c>
      <c r="AO61" s="15">
        <f>Z61</f>
        <v/>
      </c>
      <c r="AP61" s="15">
        <f>AL61</f>
        <v/>
      </c>
    </row>
    <row r="62">
      <c r="A62" s="2" t="inlineStr">
        <is>
          <t>Trésorerie cumulée hors financement</t>
        </is>
      </c>
      <c r="B62" s="4" t="inlineStr">
        <is>
          <t>€</t>
        </is>
      </c>
      <c r="C62" s="40">
        <f>C60-C61</f>
        <v/>
      </c>
      <c r="D62" s="40">
        <f>D60-D61</f>
        <v/>
      </c>
      <c r="E62" s="40">
        <f>E60-E61</f>
        <v/>
      </c>
      <c r="F62" s="40">
        <f>F60-F61</f>
        <v/>
      </c>
      <c r="G62" s="40">
        <f>G60-G61</f>
        <v/>
      </c>
      <c r="H62" s="40">
        <f>H60-H61</f>
        <v/>
      </c>
      <c r="I62" s="40">
        <f>I60-I61</f>
        <v/>
      </c>
      <c r="J62" s="40">
        <f>J60-J61</f>
        <v/>
      </c>
      <c r="K62" s="40">
        <f>K60-K61</f>
        <v/>
      </c>
      <c r="L62" s="40">
        <f>L60-L61</f>
        <v/>
      </c>
      <c r="M62" s="40">
        <f>M60-M61</f>
        <v/>
      </c>
      <c r="N62" s="40">
        <f>N60-N61</f>
        <v/>
      </c>
      <c r="O62" s="40">
        <f>O60-O61</f>
        <v/>
      </c>
      <c r="P62" s="40">
        <f>P60-P61</f>
        <v/>
      </c>
      <c r="Q62" s="40">
        <f>Q60-Q61</f>
        <v/>
      </c>
      <c r="R62" s="40">
        <f>R60-R61</f>
        <v/>
      </c>
      <c r="S62" s="40">
        <f>S60-S61</f>
        <v/>
      </c>
      <c r="T62" s="40">
        <f>T60-T61</f>
        <v/>
      </c>
      <c r="U62" s="40">
        <f>U60-U61</f>
        <v/>
      </c>
      <c r="V62" s="40">
        <f>V60-V61</f>
        <v/>
      </c>
      <c r="W62" s="40">
        <f>W60-W61</f>
        <v/>
      </c>
      <c r="X62" s="40">
        <f>X60-X61</f>
        <v/>
      </c>
      <c r="Y62" s="40">
        <f>Y60-Y61</f>
        <v/>
      </c>
      <c r="Z62" s="40">
        <f>Z60-Z61</f>
        <v/>
      </c>
      <c r="AA62" s="40">
        <f>AA60-AA61</f>
        <v/>
      </c>
      <c r="AB62" s="40">
        <f>AB60-AB61</f>
        <v/>
      </c>
      <c r="AC62" s="40">
        <f>AC60-AC61</f>
        <v/>
      </c>
      <c r="AD62" s="40">
        <f>AD60-AD61</f>
        <v/>
      </c>
      <c r="AE62" s="40">
        <f>AE60-AE61</f>
        <v/>
      </c>
      <c r="AF62" s="40">
        <f>AF60-AF61</f>
        <v/>
      </c>
      <c r="AG62" s="40">
        <f>AG60-AG61</f>
        <v/>
      </c>
      <c r="AH62" s="40">
        <f>AH60-AH61</f>
        <v/>
      </c>
      <c r="AI62" s="40">
        <f>AI60-AI61</f>
        <v/>
      </c>
      <c r="AJ62" s="40">
        <f>AJ60-AJ61</f>
        <v/>
      </c>
      <c r="AK62" s="40">
        <f>AK60-AK61</f>
        <v/>
      </c>
      <c r="AL62" s="40">
        <f>AL60-AL61</f>
        <v/>
      </c>
      <c r="AN62" s="40">
        <f>N62</f>
        <v/>
      </c>
      <c r="AO62" s="40">
        <f>Z62</f>
        <v/>
      </c>
      <c r="AP62" s="40">
        <f>AL62</f>
        <v/>
      </c>
    </row>
    <row r="63">
      <c r="A63" s="9" t="inlineStr">
        <is>
          <t>Point bas glissant hors financement</t>
        </is>
      </c>
      <c r="B63" s="4" t="inlineStr">
        <is>
          <t>€</t>
        </is>
      </c>
      <c r="C63" s="15">
        <f>C62</f>
        <v/>
      </c>
      <c r="D63" s="15">
        <f>MIN(C63,D62)</f>
        <v/>
      </c>
      <c r="E63" s="15">
        <f>MIN(D63,E62)</f>
        <v/>
      </c>
      <c r="F63" s="15">
        <f>MIN(E63,F62)</f>
        <v/>
      </c>
      <c r="G63" s="15">
        <f>MIN(F63,G62)</f>
        <v/>
      </c>
      <c r="H63" s="15">
        <f>MIN(G63,H62)</f>
        <v/>
      </c>
      <c r="I63" s="15">
        <f>MIN(H63,I62)</f>
        <v/>
      </c>
      <c r="J63" s="15">
        <f>MIN(I63,J62)</f>
        <v/>
      </c>
      <c r="K63" s="15">
        <f>MIN(J63,K62)</f>
        <v/>
      </c>
      <c r="L63" s="15">
        <f>MIN(K63,L62)</f>
        <v/>
      </c>
      <c r="M63" s="15">
        <f>MIN(L63,M62)</f>
        <v/>
      </c>
      <c r="N63" s="15">
        <f>MIN(M63,N62)</f>
        <v/>
      </c>
      <c r="O63" s="15">
        <f>MIN(N63,O62)</f>
        <v/>
      </c>
      <c r="P63" s="15">
        <f>MIN(O63,P62)</f>
        <v/>
      </c>
      <c r="Q63" s="15">
        <f>MIN(P63,Q62)</f>
        <v/>
      </c>
      <c r="R63" s="15">
        <f>MIN(Q63,R62)</f>
        <v/>
      </c>
      <c r="S63" s="15">
        <f>MIN(R63,S62)</f>
        <v/>
      </c>
      <c r="T63" s="15">
        <f>MIN(S63,T62)</f>
        <v/>
      </c>
      <c r="U63" s="15">
        <f>MIN(T63,U62)</f>
        <v/>
      </c>
      <c r="V63" s="15">
        <f>MIN(U63,V62)</f>
        <v/>
      </c>
      <c r="W63" s="15">
        <f>MIN(V63,W62)</f>
        <v/>
      </c>
      <c r="X63" s="15">
        <f>MIN(W63,X62)</f>
        <v/>
      </c>
      <c r="Y63" s="15">
        <f>MIN(X63,Y62)</f>
        <v/>
      </c>
      <c r="Z63" s="15">
        <f>MIN(Y63,Z62)</f>
        <v/>
      </c>
      <c r="AA63" s="15">
        <f>MIN(Z63,AA62)</f>
        <v/>
      </c>
      <c r="AB63" s="15">
        <f>MIN(AA63,AB62)</f>
        <v/>
      </c>
      <c r="AC63" s="15">
        <f>MIN(AB63,AC62)</f>
        <v/>
      </c>
      <c r="AD63" s="15">
        <f>MIN(AC63,AD62)</f>
        <v/>
      </c>
      <c r="AE63" s="15">
        <f>MIN(AD63,AE62)</f>
        <v/>
      </c>
      <c r="AF63" s="15">
        <f>MIN(AE63,AF62)</f>
        <v/>
      </c>
      <c r="AG63" s="15">
        <f>MIN(AF63,AG62)</f>
        <v/>
      </c>
      <c r="AH63" s="15">
        <f>MIN(AG63,AH62)</f>
        <v/>
      </c>
      <c r="AI63" s="15">
        <f>MIN(AH63,AI62)</f>
        <v/>
      </c>
      <c r="AJ63" s="15">
        <f>MIN(AI63,AJ62)</f>
        <v/>
      </c>
      <c r="AK63" s="15">
        <f>MIN(AJ63,AK62)</f>
        <v/>
      </c>
      <c r="AL63" s="15">
        <f>MIN(AK63,AL62)</f>
        <v/>
      </c>
      <c r="AN63" s="15">
        <f>N63</f>
        <v/>
      </c>
      <c r="AO63" s="15">
        <f>Z63</f>
        <v/>
      </c>
      <c r="AP63" s="15">
        <f>AL63</f>
        <v/>
      </c>
    </row>
    <row r="64">
      <c r="A64" s="9" t="inlineStr">
        <is>
          <t>Trésorerie cumulée hors financement positive après lancement ? (1 = oui)</t>
        </is>
      </c>
      <c r="B64" s="4" t="inlineStr">
        <is>
          <t>0/1</t>
        </is>
      </c>
      <c r="C64" s="13">
        <f>IF(AND(C9=1,C62&gt;0),1,0)</f>
        <v/>
      </c>
      <c r="D64" s="13">
        <f>IF(AND(D9=1,D62&gt;0),1,0)</f>
        <v/>
      </c>
      <c r="E64" s="13">
        <f>IF(AND(E9=1,E62&gt;0),1,0)</f>
        <v/>
      </c>
      <c r="F64" s="13">
        <f>IF(AND(F9=1,F62&gt;0),1,0)</f>
        <v/>
      </c>
      <c r="G64" s="13">
        <f>IF(AND(G9=1,G62&gt;0),1,0)</f>
        <v/>
      </c>
      <c r="H64" s="13">
        <f>IF(AND(H9=1,H62&gt;0),1,0)</f>
        <v/>
      </c>
      <c r="I64" s="13">
        <f>IF(AND(I9=1,I62&gt;0),1,0)</f>
        <v/>
      </c>
      <c r="J64" s="13">
        <f>IF(AND(J9=1,J62&gt;0),1,0)</f>
        <v/>
      </c>
      <c r="K64" s="13">
        <f>IF(AND(K9=1,K62&gt;0),1,0)</f>
        <v/>
      </c>
      <c r="L64" s="13">
        <f>IF(AND(L9=1,L62&gt;0),1,0)</f>
        <v/>
      </c>
      <c r="M64" s="13">
        <f>IF(AND(M9=1,M62&gt;0),1,0)</f>
        <v/>
      </c>
      <c r="N64" s="13">
        <f>IF(AND(N9=1,N62&gt;0),1,0)</f>
        <v/>
      </c>
      <c r="O64" s="13">
        <f>IF(AND(O9=1,O62&gt;0),1,0)</f>
        <v/>
      </c>
      <c r="P64" s="13">
        <f>IF(AND(P9=1,P62&gt;0),1,0)</f>
        <v/>
      </c>
      <c r="Q64" s="13">
        <f>IF(AND(Q9=1,Q62&gt;0),1,0)</f>
        <v/>
      </c>
      <c r="R64" s="13">
        <f>IF(AND(R9=1,R62&gt;0),1,0)</f>
        <v/>
      </c>
      <c r="S64" s="13">
        <f>IF(AND(S9=1,S62&gt;0),1,0)</f>
        <v/>
      </c>
      <c r="T64" s="13">
        <f>IF(AND(T9=1,T62&gt;0),1,0)</f>
        <v/>
      </c>
      <c r="U64" s="13">
        <f>IF(AND(U9=1,U62&gt;0),1,0)</f>
        <v/>
      </c>
      <c r="V64" s="13">
        <f>IF(AND(V9=1,V62&gt;0),1,0)</f>
        <v/>
      </c>
      <c r="W64" s="13">
        <f>IF(AND(W9=1,W62&gt;0),1,0)</f>
        <v/>
      </c>
      <c r="X64" s="13">
        <f>IF(AND(X9=1,X62&gt;0),1,0)</f>
        <v/>
      </c>
      <c r="Y64" s="13">
        <f>IF(AND(Y9=1,Y62&gt;0),1,0)</f>
        <v/>
      </c>
      <c r="Z64" s="13">
        <f>IF(AND(Z9=1,Z62&gt;0),1,0)</f>
        <v/>
      </c>
      <c r="AA64" s="13">
        <f>IF(AND(AA9=1,AA62&gt;0),1,0)</f>
        <v/>
      </c>
      <c r="AB64" s="13">
        <f>IF(AND(AB9=1,AB62&gt;0),1,0)</f>
        <v/>
      </c>
      <c r="AC64" s="13">
        <f>IF(AND(AC9=1,AC62&gt;0),1,0)</f>
        <v/>
      </c>
      <c r="AD64" s="13">
        <f>IF(AND(AD9=1,AD62&gt;0),1,0)</f>
        <v/>
      </c>
      <c r="AE64" s="13">
        <f>IF(AND(AE9=1,AE62&gt;0),1,0)</f>
        <v/>
      </c>
      <c r="AF64" s="13">
        <f>IF(AND(AF9=1,AF62&gt;0),1,0)</f>
        <v/>
      </c>
      <c r="AG64" s="13">
        <f>IF(AND(AG9=1,AG62&gt;0),1,0)</f>
        <v/>
      </c>
      <c r="AH64" s="13">
        <f>IF(AND(AH9=1,AH62&gt;0),1,0)</f>
        <v/>
      </c>
      <c r="AI64" s="13">
        <f>IF(AND(AI9=1,AI62&gt;0),1,0)</f>
        <v/>
      </c>
      <c r="AJ64" s="13">
        <f>IF(AND(AJ9=1,AJ62&gt;0),1,0)</f>
        <v/>
      </c>
      <c r="AK64" s="13">
        <f>IF(AND(AK9=1,AK62&gt;0),1,0)</f>
        <v/>
      </c>
      <c r="AL64" s="13">
        <f>IF(AND(AL9=1,AL62&gt;0),1,0)</f>
        <v/>
      </c>
    </row>
    <row r="65">
      <c r="A65" s="8" t="inlineStr">
        <is>
          <t>Indicateurs</t>
        </is>
      </c>
    </row>
    <row r="66">
      <c r="A66" s="9" t="inlineStr">
        <is>
          <t>ARR HT instantané (CA HT × 12)</t>
        </is>
      </c>
      <c r="B66" s="4" t="inlineStr">
        <is>
          <t>€ HT</t>
        </is>
      </c>
      <c r="C66" s="15">
        <f>C28*12</f>
        <v/>
      </c>
      <c r="D66" s="15">
        <f>D28*12</f>
        <v/>
      </c>
      <c r="E66" s="15">
        <f>E28*12</f>
        <v/>
      </c>
      <c r="F66" s="15">
        <f>F28*12</f>
        <v/>
      </c>
      <c r="G66" s="15">
        <f>G28*12</f>
        <v/>
      </c>
      <c r="H66" s="15">
        <f>H28*12</f>
        <v/>
      </c>
      <c r="I66" s="15">
        <f>I28*12</f>
        <v/>
      </c>
      <c r="J66" s="15">
        <f>J28*12</f>
        <v/>
      </c>
      <c r="K66" s="15">
        <f>K28*12</f>
        <v/>
      </c>
      <c r="L66" s="15">
        <f>L28*12</f>
        <v/>
      </c>
      <c r="M66" s="15">
        <f>M28*12</f>
        <v/>
      </c>
      <c r="N66" s="15">
        <f>N28*12</f>
        <v/>
      </c>
      <c r="O66" s="15">
        <f>O28*12</f>
        <v/>
      </c>
      <c r="P66" s="15">
        <f>P28*12</f>
        <v/>
      </c>
      <c r="Q66" s="15">
        <f>Q28*12</f>
        <v/>
      </c>
      <c r="R66" s="15">
        <f>R28*12</f>
        <v/>
      </c>
      <c r="S66" s="15">
        <f>S28*12</f>
        <v/>
      </c>
      <c r="T66" s="15">
        <f>T28*12</f>
        <v/>
      </c>
      <c r="U66" s="15">
        <f>U28*12</f>
        <v/>
      </c>
      <c r="V66" s="15">
        <f>V28*12</f>
        <v/>
      </c>
      <c r="W66" s="15">
        <f>W28*12</f>
        <v/>
      </c>
      <c r="X66" s="15">
        <f>X28*12</f>
        <v/>
      </c>
      <c r="Y66" s="15">
        <f>Y28*12</f>
        <v/>
      </c>
      <c r="Z66" s="15">
        <f>Z28*12</f>
        <v/>
      </c>
      <c r="AA66" s="15">
        <f>AA28*12</f>
        <v/>
      </c>
      <c r="AB66" s="15">
        <f>AB28*12</f>
        <v/>
      </c>
      <c r="AC66" s="15">
        <f>AC28*12</f>
        <v/>
      </c>
      <c r="AD66" s="15">
        <f>AD28*12</f>
        <v/>
      </c>
      <c r="AE66" s="15">
        <f>AE28*12</f>
        <v/>
      </c>
      <c r="AF66" s="15">
        <f>AF28*12</f>
        <v/>
      </c>
      <c r="AG66" s="15">
        <f>AG28*12</f>
        <v/>
      </c>
      <c r="AH66" s="15">
        <f>AH28*12</f>
        <v/>
      </c>
      <c r="AI66" s="15">
        <f>AI28*12</f>
        <v/>
      </c>
      <c r="AJ66" s="15">
        <f>AJ28*12</f>
        <v/>
      </c>
      <c r="AK66" s="15">
        <f>AK28*12</f>
        <v/>
      </c>
      <c r="AL66" s="15">
        <f>AL28*12</f>
        <v/>
      </c>
      <c r="AN66" s="15">
        <f>N66</f>
        <v/>
      </c>
      <c r="AO66" s="15">
        <f>Z66</f>
        <v/>
      </c>
      <c r="AP66" s="15">
        <f>AL66</f>
        <v/>
      </c>
    </row>
    <row r="67">
      <c r="A67" s="9" t="inlineStr">
        <is>
          <t>ARPA HT (CA HT / abonnés)</t>
        </is>
      </c>
      <c r="B67" s="4" t="inlineStr">
        <is>
          <t>€ HT</t>
        </is>
      </c>
      <c r="C67" s="19">
        <f>IF(C18&gt;0,C28/C18,0)</f>
        <v/>
      </c>
      <c r="D67" s="19">
        <f>IF(D18&gt;0,D28/D18,0)</f>
        <v/>
      </c>
      <c r="E67" s="19">
        <f>IF(E18&gt;0,E28/E18,0)</f>
        <v/>
      </c>
      <c r="F67" s="19">
        <f>IF(F18&gt;0,F28/F18,0)</f>
        <v/>
      </c>
      <c r="G67" s="19">
        <f>IF(G18&gt;0,G28/G18,0)</f>
        <v/>
      </c>
      <c r="H67" s="19">
        <f>IF(H18&gt;0,H28/H18,0)</f>
        <v/>
      </c>
      <c r="I67" s="19">
        <f>IF(I18&gt;0,I28/I18,0)</f>
        <v/>
      </c>
      <c r="J67" s="19">
        <f>IF(J18&gt;0,J28/J18,0)</f>
        <v/>
      </c>
      <c r="K67" s="19">
        <f>IF(K18&gt;0,K28/K18,0)</f>
        <v/>
      </c>
      <c r="L67" s="19">
        <f>IF(L18&gt;0,L28/L18,0)</f>
        <v/>
      </c>
      <c r="M67" s="19">
        <f>IF(M18&gt;0,M28/M18,0)</f>
        <v/>
      </c>
      <c r="N67" s="19">
        <f>IF(N18&gt;0,N28/N18,0)</f>
        <v/>
      </c>
      <c r="O67" s="19">
        <f>IF(O18&gt;0,O28/O18,0)</f>
        <v/>
      </c>
      <c r="P67" s="19">
        <f>IF(P18&gt;0,P28/P18,0)</f>
        <v/>
      </c>
      <c r="Q67" s="19">
        <f>IF(Q18&gt;0,Q28/Q18,0)</f>
        <v/>
      </c>
      <c r="R67" s="19">
        <f>IF(R18&gt;0,R28/R18,0)</f>
        <v/>
      </c>
      <c r="S67" s="19">
        <f>IF(S18&gt;0,S28/S18,0)</f>
        <v/>
      </c>
      <c r="T67" s="19">
        <f>IF(T18&gt;0,T28/T18,0)</f>
        <v/>
      </c>
      <c r="U67" s="19">
        <f>IF(U18&gt;0,U28/U18,0)</f>
        <v/>
      </c>
      <c r="V67" s="19">
        <f>IF(V18&gt;0,V28/V18,0)</f>
        <v/>
      </c>
      <c r="W67" s="19">
        <f>IF(W18&gt;0,W28/W18,0)</f>
        <v/>
      </c>
      <c r="X67" s="19">
        <f>IF(X18&gt;0,X28/X18,0)</f>
        <v/>
      </c>
      <c r="Y67" s="19">
        <f>IF(Y18&gt;0,Y28/Y18,0)</f>
        <v/>
      </c>
      <c r="Z67" s="19">
        <f>IF(Z18&gt;0,Z28/Z18,0)</f>
        <v/>
      </c>
      <c r="AA67" s="19">
        <f>IF(AA18&gt;0,AA28/AA18,0)</f>
        <v/>
      </c>
      <c r="AB67" s="19">
        <f>IF(AB18&gt;0,AB28/AB18,0)</f>
        <v/>
      </c>
      <c r="AC67" s="19">
        <f>IF(AC18&gt;0,AC28/AC18,0)</f>
        <v/>
      </c>
      <c r="AD67" s="19">
        <f>IF(AD18&gt;0,AD28/AD18,0)</f>
        <v/>
      </c>
      <c r="AE67" s="19">
        <f>IF(AE18&gt;0,AE28/AE18,0)</f>
        <v/>
      </c>
      <c r="AF67" s="19">
        <f>IF(AF18&gt;0,AF28/AF18,0)</f>
        <v/>
      </c>
      <c r="AG67" s="19">
        <f>IF(AG18&gt;0,AG28/AG18,0)</f>
        <v/>
      </c>
      <c r="AH67" s="19">
        <f>IF(AH18&gt;0,AH28/AH18,0)</f>
        <v/>
      </c>
      <c r="AI67" s="19">
        <f>IF(AI18&gt;0,AI28/AI18,0)</f>
        <v/>
      </c>
      <c r="AJ67" s="19">
        <f>IF(AJ18&gt;0,AJ28/AJ18,0)</f>
        <v/>
      </c>
      <c r="AK67" s="19">
        <f>IF(AK18&gt;0,AK28/AK18,0)</f>
        <v/>
      </c>
      <c r="AL67" s="19">
        <f>IF(AL18&gt;0,AL28/AL18,0)</f>
        <v/>
      </c>
      <c r="AN67" s="19">
        <f>N67</f>
        <v/>
      </c>
      <c r="AO67" s="19">
        <f>Z67</f>
        <v/>
      </c>
      <c r="AP67" s="19">
        <f>AL67</f>
        <v/>
      </c>
    </row>
    <row r="68">
      <c r="A68" s="9" t="inlineStr">
        <is>
          <t>Coût variable par abonné</t>
        </is>
      </c>
      <c r="B68" s="4" t="inlineStr">
        <is>
          <t>€ HT</t>
        </is>
      </c>
      <c r="C68" s="19">
        <f>IF(C18&gt;0,C36/C18,0)</f>
        <v/>
      </c>
      <c r="D68" s="19">
        <f>IF(D18&gt;0,D36/D18,0)</f>
        <v/>
      </c>
      <c r="E68" s="19">
        <f>IF(E18&gt;0,E36/E18,0)</f>
        <v/>
      </c>
      <c r="F68" s="19">
        <f>IF(F18&gt;0,F36/F18,0)</f>
        <v/>
      </c>
      <c r="G68" s="19">
        <f>IF(G18&gt;0,G36/G18,0)</f>
        <v/>
      </c>
      <c r="H68" s="19">
        <f>IF(H18&gt;0,H36/H18,0)</f>
        <v/>
      </c>
      <c r="I68" s="19">
        <f>IF(I18&gt;0,I36/I18,0)</f>
        <v/>
      </c>
      <c r="J68" s="19">
        <f>IF(J18&gt;0,J36/J18,0)</f>
        <v/>
      </c>
      <c r="K68" s="19">
        <f>IF(K18&gt;0,K36/K18,0)</f>
        <v/>
      </c>
      <c r="L68" s="19">
        <f>IF(L18&gt;0,L36/L18,0)</f>
        <v/>
      </c>
      <c r="M68" s="19">
        <f>IF(M18&gt;0,M36/M18,0)</f>
        <v/>
      </c>
      <c r="N68" s="19">
        <f>IF(N18&gt;0,N36/N18,0)</f>
        <v/>
      </c>
      <c r="O68" s="19">
        <f>IF(O18&gt;0,O36/O18,0)</f>
        <v/>
      </c>
      <c r="P68" s="19">
        <f>IF(P18&gt;0,P36/P18,0)</f>
        <v/>
      </c>
      <c r="Q68" s="19">
        <f>IF(Q18&gt;0,Q36/Q18,0)</f>
        <v/>
      </c>
      <c r="R68" s="19">
        <f>IF(R18&gt;0,R36/R18,0)</f>
        <v/>
      </c>
      <c r="S68" s="19">
        <f>IF(S18&gt;0,S36/S18,0)</f>
        <v/>
      </c>
      <c r="T68" s="19">
        <f>IF(T18&gt;0,T36/T18,0)</f>
        <v/>
      </c>
      <c r="U68" s="19">
        <f>IF(U18&gt;0,U36/U18,0)</f>
        <v/>
      </c>
      <c r="V68" s="19">
        <f>IF(V18&gt;0,V36/V18,0)</f>
        <v/>
      </c>
      <c r="W68" s="19">
        <f>IF(W18&gt;0,W36/W18,0)</f>
        <v/>
      </c>
      <c r="X68" s="19">
        <f>IF(X18&gt;0,X36/X18,0)</f>
        <v/>
      </c>
      <c r="Y68" s="19">
        <f>IF(Y18&gt;0,Y36/Y18,0)</f>
        <v/>
      </c>
      <c r="Z68" s="19">
        <f>IF(Z18&gt;0,Z36/Z18,0)</f>
        <v/>
      </c>
      <c r="AA68" s="19">
        <f>IF(AA18&gt;0,AA36/AA18,0)</f>
        <v/>
      </c>
      <c r="AB68" s="19">
        <f>IF(AB18&gt;0,AB36/AB18,0)</f>
        <v/>
      </c>
      <c r="AC68" s="19">
        <f>IF(AC18&gt;0,AC36/AC18,0)</f>
        <v/>
      </c>
      <c r="AD68" s="19">
        <f>IF(AD18&gt;0,AD36/AD18,0)</f>
        <v/>
      </c>
      <c r="AE68" s="19">
        <f>IF(AE18&gt;0,AE36/AE18,0)</f>
        <v/>
      </c>
      <c r="AF68" s="19">
        <f>IF(AF18&gt;0,AF36/AF18,0)</f>
        <v/>
      </c>
      <c r="AG68" s="19">
        <f>IF(AG18&gt;0,AG36/AG18,0)</f>
        <v/>
      </c>
      <c r="AH68" s="19">
        <f>IF(AH18&gt;0,AH36/AH18,0)</f>
        <v/>
      </c>
      <c r="AI68" s="19">
        <f>IF(AI18&gt;0,AI36/AI18,0)</f>
        <v/>
      </c>
      <c r="AJ68" s="19">
        <f>IF(AJ18&gt;0,AJ36/AJ18,0)</f>
        <v/>
      </c>
      <c r="AK68" s="19">
        <f>IF(AK18&gt;0,AK36/AK18,0)</f>
        <v/>
      </c>
      <c r="AL68" s="19">
        <f>IF(AL18&gt;0,AL36/AL18,0)</f>
        <v/>
      </c>
      <c r="AN68" s="19">
        <f>N68</f>
        <v/>
      </c>
      <c r="AO68" s="19">
        <f>Z68</f>
        <v/>
      </c>
      <c r="AP68" s="19">
        <f>AL68</f>
        <v/>
      </c>
    </row>
    <row r="69">
      <c r="A69" s="9" t="inlineStr">
        <is>
          <t>Contribution par abonné</t>
        </is>
      </c>
      <c r="B69" s="4" t="inlineStr">
        <is>
          <t>€ HT</t>
        </is>
      </c>
      <c r="C69" s="19">
        <f>IF(C18&gt;0,C37/C18,0)</f>
        <v/>
      </c>
      <c r="D69" s="19">
        <f>IF(D18&gt;0,D37/D18,0)</f>
        <v/>
      </c>
      <c r="E69" s="19">
        <f>IF(E18&gt;0,E37/E18,0)</f>
        <v/>
      </c>
      <c r="F69" s="19">
        <f>IF(F18&gt;0,F37/F18,0)</f>
        <v/>
      </c>
      <c r="G69" s="19">
        <f>IF(G18&gt;0,G37/G18,0)</f>
        <v/>
      </c>
      <c r="H69" s="19">
        <f>IF(H18&gt;0,H37/H18,0)</f>
        <v/>
      </c>
      <c r="I69" s="19">
        <f>IF(I18&gt;0,I37/I18,0)</f>
        <v/>
      </c>
      <c r="J69" s="19">
        <f>IF(J18&gt;0,J37/J18,0)</f>
        <v/>
      </c>
      <c r="K69" s="19">
        <f>IF(K18&gt;0,K37/K18,0)</f>
        <v/>
      </c>
      <c r="L69" s="19">
        <f>IF(L18&gt;0,L37/L18,0)</f>
        <v/>
      </c>
      <c r="M69" s="19">
        <f>IF(M18&gt;0,M37/M18,0)</f>
        <v/>
      </c>
      <c r="N69" s="19">
        <f>IF(N18&gt;0,N37/N18,0)</f>
        <v/>
      </c>
      <c r="O69" s="19">
        <f>IF(O18&gt;0,O37/O18,0)</f>
        <v/>
      </c>
      <c r="P69" s="19">
        <f>IF(P18&gt;0,P37/P18,0)</f>
        <v/>
      </c>
      <c r="Q69" s="19">
        <f>IF(Q18&gt;0,Q37/Q18,0)</f>
        <v/>
      </c>
      <c r="R69" s="19">
        <f>IF(R18&gt;0,R37/R18,0)</f>
        <v/>
      </c>
      <c r="S69" s="19">
        <f>IF(S18&gt;0,S37/S18,0)</f>
        <v/>
      </c>
      <c r="T69" s="19">
        <f>IF(T18&gt;0,T37/T18,0)</f>
        <v/>
      </c>
      <c r="U69" s="19">
        <f>IF(U18&gt;0,U37/U18,0)</f>
        <v/>
      </c>
      <c r="V69" s="19">
        <f>IF(V18&gt;0,V37/V18,0)</f>
        <v/>
      </c>
      <c r="W69" s="19">
        <f>IF(W18&gt;0,W37/W18,0)</f>
        <v/>
      </c>
      <c r="X69" s="19">
        <f>IF(X18&gt;0,X37/X18,0)</f>
        <v/>
      </c>
      <c r="Y69" s="19">
        <f>IF(Y18&gt;0,Y37/Y18,0)</f>
        <v/>
      </c>
      <c r="Z69" s="19">
        <f>IF(Z18&gt;0,Z37/Z18,0)</f>
        <v/>
      </c>
      <c r="AA69" s="19">
        <f>IF(AA18&gt;0,AA37/AA18,0)</f>
        <v/>
      </c>
      <c r="AB69" s="19">
        <f>IF(AB18&gt;0,AB37/AB18,0)</f>
        <v/>
      </c>
      <c r="AC69" s="19">
        <f>IF(AC18&gt;0,AC37/AC18,0)</f>
        <v/>
      </c>
      <c r="AD69" s="19">
        <f>IF(AD18&gt;0,AD37/AD18,0)</f>
        <v/>
      </c>
      <c r="AE69" s="19">
        <f>IF(AE18&gt;0,AE37/AE18,0)</f>
        <v/>
      </c>
      <c r="AF69" s="19">
        <f>IF(AF18&gt;0,AF37/AF18,0)</f>
        <v/>
      </c>
      <c r="AG69" s="19">
        <f>IF(AG18&gt;0,AG37/AG18,0)</f>
        <v/>
      </c>
      <c r="AH69" s="19">
        <f>IF(AH18&gt;0,AH37/AH18,0)</f>
        <v/>
      </c>
      <c r="AI69" s="19">
        <f>IF(AI18&gt;0,AI37/AI18,0)</f>
        <v/>
      </c>
      <c r="AJ69" s="19">
        <f>IF(AJ18&gt;0,AJ37/AJ18,0)</f>
        <v/>
      </c>
      <c r="AK69" s="19">
        <f>IF(AK18&gt;0,AK37/AK18,0)</f>
        <v/>
      </c>
      <c r="AL69" s="19">
        <f>IF(AL18&gt;0,AL37/AL18,0)</f>
        <v/>
      </c>
      <c r="AN69" s="19">
        <f>N69</f>
        <v/>
      </c>
      <c r="AO69" s="19">
        <f>Z69</f>
        <v/>
      </c>
      <c r="AP69" s="19">
        <f>AL69</f>
        <v/>
      </c>
    </row>
    <row r="70">
      <c r="A70" s="9" t="inlineStr">
        <is>
          <t>Marge variable (% du CA HT)</t>
        </is>
      </c>
      <c r="B70" s="4" t="inlineStr">
        <is>
          <t>%</t>
        </is>
      </c>
      <c r="C70" s="17">
        <f>IF(C28&gt;0,C37/C28,0)</f>
        <v/>
      </c>
      <c r="D70" s="17">
        <f>IF(D28&gt;0,D37/D28,0)</f>
        <v/>
      </c>
      <c r="E70" s="17">
        <f>IF(E28&gt;0,E37/E28,0)</f>
        <v/>
      </c>
      <c r="F70" s="17">
        <f>IF(F28&gt;0,F37/F28,0)</f>
        <v/>
      </c>
      <c r="G70" s="17">
        <f>IF(G28&gt;0,G37/G28,0)</f>
        <v/>
      </c>
      <c r="H70" s="17">
        <f>IF(H28&gt;0,H37/H28,0)</f>
        <v/>
      </c>
      <c r="I70" s="17">
        <f>IF(I28&gt;0,I37/I28,0)</f>
        <v/>
      </c>
      <c r="J70" s="17">
        <f>IF(J28&gt;0,J37/J28,0)</f>
        <v/>
      </c>
      <c r="K70" s="17">
        <f>IF(K28&gt;0,K37/K28,0)</f>
        <v/>
      </c>
      <c r="L70" s="17">
        <f>IF(L28&gt;0,L37/L28,0)</f>
        <v/>
      </c>
      <c r="M70" s="17">
        <f>IF(M28&gt;0,M37/M28,0)</f>
        <v/>
      </c>
      <c r="N70" s="17">
        <f>IF(N28&gt;0,N37/N28,0)</f>
        <v/>
      </c>
      <c r="O70" s="17">
        <f>IF(O28&gt;0,O37/O28,0)</f>
        <v/>
      </c>
      <c r="P70" s="17">
        <f>IF(P28&gt;0,P37/P28,0)</f>
        <v/>
      </c>
      <c r="Q70" s="17">
        <f>IF(Q28&gt;0,Q37/Q28,0)</f>
        <v/>
      </c>
      <c r="R70" s="17">
        <f>IF(R28&gt;0,R37/R28,0)</f>
        <v/>
      </c>
      <c r="S70" s="17">
        <f>IF(S28&gt;0,S37/S28,0)</f>
        <v/>
      </c>
      <c r="T70" s="17">
        <f>IF(T28&gt;0,T37/T28,0)</f>
        <v/>
      </c>
      <c r="U70" s="17">
        <f>IF(U28&gt;0,U37/U28,0)</f>
        <v/>
      </c>
      <c r="V70" s="17">
        <f>IF(V28&gt;0,V37/V28,0)</f>
        <v/>
      </c>
      <c r="W70" s="17">
        <f>IF(W28&gt;0,W37/W28,0)</f>
        <v/>
      </c>
      <c r="X70" s="17">
        <f>IF(X28&gt;0,X37/X28,0)</f>
        <v/>
      </c>
      <c r="Y70" s="17">
        <f>IF(Y28&gt;0,Y37/Y28,0)</f>
        <v/>
      </c>
      <c r="Z70" s="17">
        <f>IF(Z28&gt;0,Z37/Z28,0)</f>
        <v/>
      </c>
      <c r="AA70" s="17">
        <f>IF(AA28&gt;0,AA37/AA28,0)</f>
        <v/>
      </c>
      <c r="AB70" s="17">
        <f>IF(AB28&gt;0,AB37/AB28,0)</f>
        <v/>
      </c>
      <c r="AC70" s="17">
        <f>IF(AC28&gt;0,AC37/AC28,0)</f>
        <v/>
      </c>
      <c r="AD70" s="17">
        <f>IF(AD28&gt;0,AD37/AD28,0)</f>
        <v/>
      </c>
      <c r="AE70" s="17">
        <f>IF(AE28&gt;0,AE37/AE28,0)</f>
        <v/>
      </c>
      <c r="AF70" s="17">
        <f>IF(AF28&gt;0,AF37/AF28,0)</f>
        <v/>
      </c>
      <c r="AG70" s="17">
        <f>IF(AG28&gt;0,AG37/AG28,0)</f>
        <v/>
      </c>
      <c r="AH70" s="17">
        <f>IF(AH28&gt;0,AH37/AH28,0)</f>
        <v/>
      </c>
      <c r="AI70" s="17">
        <f>IF(AI28&gt;0,AI37/AI28,0)</f>
        <v/>
      </c>
      <c r="AJ70" s="17">
        <f>IF(AJ28&gt;0,AJ37/AJ28,0)</f>
        <v/>
      </c>
      <c r="AK70" s="17">
        <f>IF(AK28&gt;0,AK37/AK28,0)</f>
        <v/>
      </c>
      <c r="AL70" s="17">
        <f>IF(AL28&gt;0,AL37/AL28,0)</f>
        <v/>
      </c>
      <c r="AN70" s="17">
        <f>N70</f>
        <v/>
      </c>
      <c r="AO70" s="17">
        <f>Z70</f>
        <v/>
      </c>
      <c r="AP70" s="17">
        <f>AL70</f>
        <v/>
      </c>
    </row>
    <row r="71">
      <c r="A71" s="9" t="inlineStr">
        <is>
          <t>CAC effectif</t>
        </is>
      </c>
      <c r="B71" s="4" t="inlineStr">
        <is>
          <t>€</t>
        </is>
      </c>
      <c r="C71" s="15">
        <f>IF(C14&gt;0,C39/C14,0)</f>
        <v/>
      </c>
      <c r="D71" s="15">
        <f>IF(D14&gt;0,D39/D14,0)</f>
        <v/>
      </c>
      <c r="E71" s="15">
        <f>IF(E14&gt;0,E39/E14,0)</f>
        <v/>
      </c>
      <c r="F71" s="15">
        <f>IF(F14&gt;0,F39/F14,0)</f>
        <v/>
      </c>
      <c r="G71" s="15">
        <f>IF(G14&gt;0,G39/G14,0)</f>
        <v/>
      </c>
      <c r="H71" s="15">
        <f>IF(H14&gt;0,H39/H14,0)</f>
        <v/>
      </c>
      <c r="I71" s="15">
        <f>IF(I14&gt;0,I39/I14,0)</f>
        <v/>
      </c>
      <c r="J71" s="15">
        <f>IF(J14&gt;0,J39/J14,0)</f>
        <v/>
      </c>
      <c r="K71" s="15">
        <f>IF(K14&gt;0,K39/K14,0)</f>
        <v/>
      </c>
      <c r="L71" s="15">
        <f>IF(L14&gt;0,L39/L14,0)</f>
        <v/>
      </c>
      <c r="M71" s="15">
        <f>IF(M14&gt;0,M39/M14,0)</f>
        <v/>
      </c>
      <c r="N71" s="15">
        <f>IF(N14&gt;0,N39/N14,0)</f>
        <v/>
      </c>
      <c r="O71" s="15">
        <f>IF(O14&gt;0,O39/O14,0)</f>
        <v/>
      </c>
      <c r="P71" s="15">
        <f>IF(P14&gt;0,P39/P14,0)</f>
        <v/>
      </c>
      <c r="Q71" s="15">
        <f>IF(Q14&gt;0,Q39/Q14,0)</f>
        <v/>
      </c>
      <c r="R71" s="15">
        <f>IF(R14&gt;0,R39/R14,0)</f>
        <v/>
      </c>
      <c r="S71" s="15">
        <f>IF(S14&gt;0,S39/S14,0)</f>
        <v/>
      </c>
      <c r="T71" s="15">
        <f>IF(T14&gt;0,T39/T14,0)</f>
        <v/>
      </c>
      <c r="U71" s="15">
        <f>IF(U14&gt;0,U39/U14,0)</f>
        <v/>
      </c>
      <c r="V71" s="15">
        <f>IF(V14&gt;0,V39/V14,0)</f>
        <v/>
      </c>
      <c r="W71" s="15">
        <f>IF(W14&gt;0,W39/W14,0)</f>
        <v/>
      </c>
      <c r="X71" s="15">
        <f>IF(X14&gt;0,X39/X14,0)</f>
        <v/>
      </c>
      <c r="Y71" s="15">
        <f>IF(Y14&gt;0,Y39/Y14,0)</f>
        <v/>
      </c>
      <c r="Z71" s="15">
        <f>IF(Z14&gt;0,Z39/Z14,0)</f>
        <v/>
      </c>
      <c r="AA71" s="15">
        <f>IF(AA14&gt;0,AA39/AA14,0)</f>
        <v/>
      </c>
      <c r="AB71" s="15">
        <f>IF(AB14&gt;0,AB39/AB14,0)</f>
        <v/>
      </c>
      <c r="AC71" s="15">
        <f>IF(AC14&gt;0,AC39/AC14,0)</f>
        <v/>
      </c>
      <c r="AD71" s="15">
        <f>IF(AD14&gt;0,AD39/AD14,0)</f>
        <v/>
      </c>
      <c r="AE71" s="15">
        <f>IF(AE14&gt;0,AE39/AE14,0)</f>
        <v/>
      </c>
      <c r="AF71" s="15">
        <f>IF(AF14&gt;0,AF39/AF14,0)</f>
        <v/>
      </c>
      <c r="AG71" s="15">
        <f>IF(AG14&gt;0,AG39/AG14,0)</f>
        <v/>
      </c>
      <c r="AH71" s="15">
        <f>IF(AH14&gt;0,AH39/AH14,0)</f>
        <v/>
      </c>
      <c r="AI71" s="15">
        <f>IF(AI14&gt;0,AI39/AI14,0)</f>
        <v/>
      </c>
      <c r="AJ71" s="15">
        <f>IF(AJ14&gt;0,AJ39/AJ14,0)</f>
        <v/>
      </c>
      <c r="AK71" s="15">
        <f>IF(AK14&gt;0,AK39/AK14,0)</f>
        <v/>
      </c>
      <c r="AL71" s="15">
        <f>IF(AL14&gt;0,AL39/AL14,0)</f>
        <v/>
      </c>
      <c r="AN71" s="15">
        <f>N71</f>
        <v/>
      </c>
      <c r="AO71" s="15">
        <f>Z71</f>
        <v/>
      </c>
      <c r="AP71" s="15">
        <f>AL71</f>
        <v/>
      </c>
    </row>
    <row r="72">
      <c r="A72" s="9" t="inlineStr">
        <is>
          <t>Payback du CAC (mois)</t>
        </is>
      </c>
      <c r="B72" s="4" t="inlineStr">
        <is>
          <t>mois</t>
        </is>
      </c>
      <c r="C72" s="38">
        <f>IF(C69&gt;0,Hypothèses!$D$23*$E$4/C69,0)</f>
        <v/>
      </c>
      <c r="D72" s="38">
        <f>IF(D69&gt;0,Hypothèses!$D$23*$E$4/D69,0)</f>
        <v/>
      </c>
      <c r="E72" s="38">
        <f>IF(E69&gt;0,Hypothèses!$D$23*$E$4/E69,0)</f>
        <v/>
      </c>
      <c r="F72" s="38">
        <f>IF(F69&gt;0,Hypothèses!$D$23*$E$4/F69,0)</f>
        <v/>
      </c>
      <c r="G72" s="38">
        <f>IF(G69&gt;0,Hypothèses!$D$23*$E$4/G69,0)</f>
        <v/>
      </c>
      <c r="H72" s="38">
        <f>IF(H69&gt;0,Hypothèses!$D$23*$E$4/H69,0)</f>
        <v/>
      </c>
      <c r="I72" s="38">
        <f>IF(I69&gt;0,Hypothèses!$D$23*$E$4/I69,0)</f>
        <v/>
      </c>
      <c r="J72" s="38">
        <f>IF(J69&gt;0,Hypothèses!$D$23*$E$4/J69,0)</f>
        <v/>
      </c>
      <c r="K72" s="38">
        <f>IF(K69&gt;0,Hypothèses!$D$23*$E$4/K69,0)</f>
        <v/>
      </c>
      <c r="L72" s="38">
        <f>IF(L69&gt;0,Hypothèses!$D$23*$E$4/L69,0)</f>
        <v/>
      </c>
      <c r="M72" s="38">
        <f>IF(M69&gt;0,Hypothèses!$D$23*$E$4/M69,0)</f>
        <v/>
      </c>
      <c r="N72" s="38">
        <f>IF(N69&gt;0,Hypothèses!$D$23*$E$4/N69,0)</f>
        <v/>
      </c>
      <c r="O72" s="38">
        <f>IF(O69&gt;0,Hypothèses!$D$23*$E$4/O69,0)</f>
        <v/>
      </c>
      <c r="P72" s="38">
        <f>IF(P69&gt;0,Hypothèses!$D$23*$E$4/P69,0)</f>
        <v/>
      </c>
      <c r="Q72" s="38">
        <f>IF(Q69&gt;0,Hypothèses!$D$23*$E$4/Q69,0)</f>
        <v/>
      </c>
      <c r="R72" s="38">
        <f>IF(R69&gt;0,Hypothèses!$D$23*$E$4/R69,0)</f>
        <v/>
      </c>
      <c r="S72" s="38">
        <f>IF(S69&gt;0,Hypothèses!$D$23*$E$4/S69,0)</f>
        <v/>
      </c>
      <c r="T72" s="38">
        <f>IF(T69&gt;0,Hypothèses!$D$23*$E$4/T69,0)</f>
        <v/>
      </c>
      <c r="U72" s="38">
        <f>IF(U69&gt;0,Hypothèses!$D$23*$E$4/U69,0)</f>
        <v/>
      </c>
      <c r="V72" s="38">
        <f>IF(V69&gt;0,Hypothèses!$D$23*$E$4/V69,0)</f>
        <v/>
      </c>
      <c r="W72" s="38">
        <f>IF(W69&gt;0,Hypothèses!$D$23*$E$4/W69,0)</f>
        <v/>
      </c>
      <c r="X72" s="38">
        <f>IF(X69&gt;0,Hypothèses!$D$23*$E$4/X69,0)</f>
        <v/>
      </c>
      <c r="Y72" s="38">
        <f>IF(Y69&gt;0,Hypothèses!$D$23*$E$4/Y69,0)</f>
        <v/>
      </c>
      <c r="Z72" s="38">
        <f>IF(Z69&gt;0,Hypothèses!$D$23*$E$4/Z69,0)</f>
        <v/>
      </c>
      <c r="AA72" s="38">
        <f>IF(AA69&gt;0,Hypothèses!$D$23*$E$4/AA69,0)</f>
        <v/>
      </c>
      <c r="AB72" s="38">
        <f>IF(AB69&gt;0,Hypothèses!$D$23*$E$4/AB69,0)</f>
        <v/>
      </c>
      <c r="AC72" s="38">
        <f>IF(AC69&gt;0,Hypothèses!$D$23*$E$4/AC69,0)</f>
        <v/>
      </c>
      <c r="AD72" s="38">
        <f>IF(AD69&gt;0,Hypothèses!$D$23*$E$4/AD69,0)</f>
        <v/>
      </c>
      <c r="AE72" s="38">
        <f>IF(AE69&gt;0,Hypothèses!$D$23*$E$4/AE69,0)</f>
        <v/>
      </c>
      <c r="AF72" s="38">
        <f>IF(AF69&gt;0,Hypothèses!$D$23*$E$4/AF69,0)</f>
        <v/>
      </c>
      <c r="AG72" s="38">
        <f>IF(AG69&gt;0,Hypothèses!$D$23*$E$4/AG69,0)</f>
        <v/>
      </c>
      <c r="AH72" s="38">
        <f>IF(AH69&gt;0,Hypothèses!$D$23*$E$4/AH69,0)</f>
        <v/>
      </c>
      <c r="AI72" s="38">
        <f>IF(AI69&gt;0,Hypothèses!$D$23*$E$4/AI69,0)</f>
        <v/>
      </c>
      <c r="AJ72" s="38">
        <f>IF(AJ69&gt;0,Hypothèses!$D$23*$E$4/AJ69,0)</f>
        <v/>
      </c>
      <c r="AK72" s="38">
        <f>IF(AK69&gt;0,Hypothèses!$D$23*$E$4/AK69,0)</f>
        <v/>
      </c>
      <c r="AL72" s="38">
        <f>IF(AL69&gt;0,Hypothèses!$D$23*$E$4/AL69,0)</f>
        <v/>
      </c>
      <c r="AN72" s="38">
        <f>N72</f>
        <v/>
      </c>
      <c r="AO72" s="38">
        <f>Z72</f>
        <v/>
      </c>
      <c r="AP72" s="38">
        <f>AL72</f>
        <v/>
      </c>
    </row>
    <row r="73">
      <c r="A73" s="9" t="inlineStr">
        <is>
          <t>LTV contributive simplifiée (contribution / churn)</t>
        </is>
      </c>
      <c r="B73" s="4" t="inlineStr">
        <is>
          <t>€ HT</t>
        </is>
      </c>
      <c r="C73" s="15">
        <f>IF(Hypothèses!$D$26*$D$4&gt;0,C69/(Hypothèses!$D$26*$D$4),0)</f>
        <v/>
      </c>
      <c r="D73" s="15">
        <f>IF(Hypothèses!$D$26*$D$4&gt;0,D69/(Hypothèses!$D$26*$D$4),0)</f>
        <v/>
      </c>
      <c r="E73" s="15">
        <f>IF(Hypothèses!$D$26*$D$4&gt;0,E69/(Hypothèses!$D$26*$D$4),0)</f>
        <v/>
      </c>
      <c r="F73" s="15">
        <f>IF(Hypothèses!$D$26*$D$4&gt;0,F69/(Hypothèses!$D$26*$D$4),0)</f>
        <v/>
      </c>
      <c r="G73" s="15">
        <f>IF(Hypothèses!$D$26*$D$4&gt;0,G69/(Hypothèses!$D$26*$D$4),0)</f>
        <v/>
      </c>
      <c r="H73" s="15">
        <f>IF(Hypothèses!$D$26*$D$4&gt;0,H69/(Hypothèses!$D$26*$D$4),0)</f>
        <v/>
      </c>
      <c r="I73" s="15">
        <f>IF(Hypothèses!$D$26*$D$4&gt;0,I69/(Hypothèses!$D$26*$D$4),0)</f>
        <v/>
      </c>
      <c r="J73" s="15">
        <f>IF(Hypothèses!$D$26*$D$4&gt;0,J69/(Hypothèses!$D$26*$D$4),0)</f>
        <v/>
      </c>
      <c r="K73" s="15">
        <f>IF(Hypothèses!$D$26*$D$4&gt;0,K69/(Hypothèses!$D$26*$D$4),0)</f>
        <v/>
      </c>
      <c r="L73" s="15">
        <f>IF(Hypothèses!$D$26*$D$4&gt;0,L69/(Hypothèses!$D$26*$D$4),0)</f>
        <v/>
      </c>
      <c r="M73" s="15">
        <f>IF(Hypothèses!$D$26*$D$4&gt;0,M69/(Hypothèses!$D$26*$D$4),0)</f>
        <v/>
      </c>
      <c r="N73" s="15">
        <f>IF(Hypothèses!$D$26*$D$4&gt;0,N69/(Hypothèses!$D$26*$D$4),0)</f>
        <v/>
      </c>
      <c r="O73" s="15">
        <f>IF(Hypothèses!$D$26*$D$4&gt;0,O69/(Hypothèses!$D$26*$D$4),0)</f>
        <v/>
      </c>
      <c r="P73" s="15">
        <f>IF(Hypothèses!$D$26*$D$4&gt;0,P69/(Hypothèses!$D$26*$D$4),0)</f>
        <v/>
      </c>
      <c r="Q73" s="15">
        <f>IF(Hypothèses!$D$26*$D$4&gt;0,Q69/(Hypothèses!$D$26*$D$4),0)</f>
        <v/>
      </c>
      <c r="R73" s="15">
        <f>IF(Hypothèses!$D$26*$D$4&gt;0,R69/(Hypothèses!$D$26*$D$4),0)</f>
        <v/>
      </c>
      <c r="S73" s="15">
        <f>IF(Hypothèses!$D$26*$D$4&gt;0,S69/(Hypothèses!$D$26*$D$4),0)</f>
        <v/>
      </c>
      <c r="T73" s="15">
        <f>IF(Hypothèses!$D$26*$D$4&gt;0,T69/(Hypothèses!$D$26*$D$4),0)</f>
        <v/>
      </c>
      <c r="U73" s="15">
        <f>IF(Hypothèses!$D$26*$D$4&gt;0,U69/(Hypothèses!$D$26*$D$4),0)</f>
        <v/>
      </c>
      <c r="V73" s="15">
        <f>IF(Hypothèses!$D$26*$D$4&gt;0,V69/(Hypothèses!$D$26*$D$4),0)</f>
        <v/>
      </c>
      <c r="W73" s="15">
        <f>IF(Hypothèses!$D$26*$D$4&gt;0,W69/(Hypothèses!$D$26*$D$4),0)</f>
        <v/>
      </c>
      <c r="X73" s="15">
        <f>IF(Hypothèses!$D$26*$D$4&gt;0,X69/(Hypothèses!$D$26*$D$4),0)</f>
        <v/>
      </c>
      <c r="Y73" s="15">
        <f>IF(Hypothèses!$D$26*$D$4&gt;0,Y69/(Hypothèses!$D$26*$D$4),0)</f>
        <v/>
      </c>
      <c r="Z73" s="15">
        <f>IF(Hypothèses!$D$26*$D$4&gt;0,Z69/(Hypothèses!$D$26*$D$4),0)</f>
        <v/>
      </c>
      <c r="AA73" s="15">
        <f>IF(Hypothèses!$D$26*$D$4&gt;0,AA69/(Hypothèses!$D$26*$D$4),0)</f>
        <v/>
      </c>
      <c r="AB73" s="15">
        <f>IF(Hypothèses!$D$26*$D$4&gt;0,AB69/(Hypothèses!$D$26*$D$4),0)</f>
        <v/>
      </c>
      <c r="AC73" s="15">
        <f>IF(Hypothèses!$D$26*$D$4&gt;0,AC69/(Hypothèses!$D$26*$D$4),0)</f>
        <v/>
      </c>
      <c r="AD73" s="15">
        <f>IF(Hypothèses!$D$26*$D$4&gt;0,AD69/(Hypothèses!$D$26*$D$4),0)</f>
        <v/>
      </c>
      <c r="AE73" s="15">
        <f>IF(Hypothèses!$D$26*$D$4&gt;0,AE69/(Hypothèses!$D$26*$D$4),0)</f>
        <v/>
      </c>
      <c r="AF73" s="15">
        <f>IF(Hypothèses!$D$26*$D$4&gt;0,AF69/(Hypothèses!$D$26*$D$4),0)</f>
        <v/>
      </c>
      <c r="AG73" s="15">
        <f>IF(Hypothèses!$D$26*$D$4&gt;0,AG69/(Hypothèses!$D$26*$D$4),0)</f>
        <v/>
      </c>
      <c r="AH73" s="15">
        <f>IF(Hypothèses!$D$26*$D$4&gt;0,AH69/(Hypothèses!$D$26*$D$4),0)</f>
        <v/>
      </c>
      <c r="AI73" s="15">
        <f>IF(Hypothèses!$D$26*$D$4&gt;0,AI69/(Hypothèses!$D$26*$D$4),0)</f>
        <v/>
      </c>
      <c r="AJ73" s="15">
        <f>IF(Hypothèses!$D$26*$D$4&gt;0,AJ69/(Hypothèses!$D$26*$D$4),0)</f>
        <v/>
      </c>
      <c r="AK73" s="15">
        <f>IF(Hypothèses!$D$26*$D$4&gt;0,AK69/(Hypothèses!$D$26*$D$4),0)</f>
        <v/>
      </c>
      <c r="AL73" s="15">
        <f>IF(Hypothèses!$D$26*$D$4&gt;0,AL69/(Hypothèses!$D$26*$D$4),0)</f>
        <v/>
      </c>
      <c r="AN73" s="15">
        <f>N73</f>
        <v/>
      </c>
      <c r="AO73" s="15">
        <f>Z73</f>
        <v/>
      </c>
      <c r="AP73" s="15">
        <f>AL73</f>
        <v/>
      </c>
    </row>
    <row r="74">
      <c r="A74" s="9" t="inlineStr">
        <is>
          <t>LTV / CAC</t>
        </is>
      </c>
      <c r="B74" s="4" t="inlineStr">
        <is>
          <t>x</t>
        </is>
      </c>
      <c r="C74" s="41">
        <f>IF(Hypothèses!$D$23*$E$4&gt;0,C73/(Hypothèses!$D$23*$E$4),0)</f>
        <v/>
      </c>
      <c r="D74" s="41">
        <f>IF(Hypothèses!$D$23*$E$4&gt;0,D73/(Hypothèses!$D$23*$E$4),0)</f>
        <v/>
      </c>
      <c r="E74" s="41">
        <f>IF(Hypothèses!$D$23*$E$4&gt;0,E73/(Hypothèses!$D$23*$E$4),0)</f>
        <v/>
      </c>
      <c r="F74" s="41">
        <f>IF(Hypothèses!$D$23*$E$4&gt;0,F73/(Hypothèses!$D$23*$E$4),0)</f>
        <v/>
      </c>
      <c r="G74" s="41">
        <f>IF(Hypothèses!$D$23*$E$4&gt;0,G73/(Hypothèses!$D$23*$E$4),0)</f>
        <v/>
      </c>
      <c r="H74" s="41">
        <f>IF(Hypothèses!$D$23*$E$4&gt;0,H73/(Hypothèses!$D$23*$E$4),0)</f>
        <v/>
      </c>
      <c r="I74" s="41">
        <f>IF(Hypothèses!$D$23*$E$4&gt;0,I73/(Hypothèses!$D$23*$E$4),0)</f>
        <v/>
      </c>
      <c r="J74" s="41">
        <f>IF(Hypothèses!$D$23*$E$4&gt;0,J73/(Hypothèses!$D$23*$E$4),0)</f>
        <v/>
      </c>
      <c r="K74" s="41">
        <f>IF(Hypothèses!$D$23*$E$4&gt;0,K73/(Hypothèses!$D$23*$E$4),0)</f>
        <v/>
      </c>
      <c r="L74" s="41">
        <f>IF(Hypothèses!$D$23*$E$4&gt;0,L73/(Hypothèses!$D$23*$E$4),0)</f>
        <v/>
      </c>
      <c r="M74" s="41">
        <f>IF(Hypothèses!$D$23*$E$4&gt;0,M73/(Hypothèses!$D$23*$E$4),0)</f>
        <v/>
      </c>
      <c r="N74" s="41">
        <f>IF(Hypothèses!$D$23*$E$4&gt;0,N73/(Hypothèses!$D$23*$E$4),0)</f>
        <v/>
      </c>
      <c r="O74" s="41">
        <f>IF(Hypothèses!$D$23*$E$4&gt;0,O73/(Hypothèses!$D$23*$E$4),0)</f>
        <v/>
      </c>
      <c r="P74" s="41">
        <f>IF(Hypothèses!$D$23*$E$4&gt;0,P73/(Hypothèses!$D$23*$E$4),0)</f>
        <v/>
      </c>
      <c r="Q74" s="41">
        <f>IF(Hypothèses!$D$23*$E$4&gt;0,Q73/(Hypothèses!$D$23*$E$4),0)</f>
        <v/>
      </c>
      <c r="R74" s="41">
        <f>IF(Hypothèses!$D$23*$E$4&gt;0,R73/(Hypothèses!$D$23*$E$4),0)</f>
        <v/>
      </c>
      <c r="S74" s="41">
        <f>IF(Hypothèses!$D$23*$E$4&gt;0,S73/(Hypothèses!$D$23*$E$4),0)</f>
        <v/>
      </c>
      <c r="T74" s="41">
        <f>IF(Hypothèses!$D$23*$E$4&gt;0,T73/(Hypothèses!$D$23*$E$4),0)</f>
        <v/>
      </c>
      <c r="U74" s="41">
        <f>IF(Hypothèses!$D$23*$E$4&gt;0,U73/(Hypothèses!$D$23*$E$4),0)</f>
        <v/>
      </c>
      <c r="V74" s="41">
        <f>IF(Hypothèses!$D$23*$E$4&gt;0,V73/(Hypothèses!$D$23*$E$4),0)</f>
        <v/>
      </c>
      <c r="W74" s="41">
        <f>IF(Hypothèses!$D$23*$E$4&gt;0,W73/(Hypothèses!$D$23*$E$4),0)</f>
        <v/>
      </c>
      <c r="X74" s="41">
        <f>IF(Hypothèses!$D$23*$E$4&gt;0,X73/(Hypothèses!$D$23*$E$4),0)</f>
        <v/>
      </c>
      <c r="Y74" s="41">
        <f>IF(Hypothèses!$D$23*$E$4&gt;0,Y73/(Hypothèses!$D$23*$E$4),0)</f>
        <v/>
      </c>
      <c r="Z74" s="41">
        <f>IF(Hypothèses!$D$23*$E$4&gt;0,Z73/(Hypothèses!$D$23*$E$4),0)</f>
        <v/>
      </c>
      <c r="AA74" s="41">
        <f>IF(Hypothèses!$D$23*$E$4&gt;0,AA73/(Hypothèses!$D$23*$E$4),0)</f>
        <v/>
      </c>
      <c r="AB74" s="41">
        <f>IF(Hypothèses!$D$23*$E$4&gt;0,AB73/(Hypothèses!$D$23*$E$4),0)</f>
        <v/>
      </c>
      <c r="AC74" s="41">
        <f>IF(Hypothèses!$D$23*$E$4&gt;0,AC73/(Hypothèses!$D$23*$E$4),0)</f>
        <v/>
      </c>
      <c r="AD74" s="41">
        <f>IF(Hypothèses!$D$23*$E$4&gt;0,AD73/(Hypothèses!$D$23*$E$4),0)</f>
        <v/>
      </c>
      <c r="AE74" s="41">
        <f>IF(Hypothèses!$D$23*$E$4&gt;0,AE73/(Hypothèses!$D$23*$E$4),0)</f>
        <v/>
      </c>
      <c r="AF74" s="41">
        <f>IF(Hypothèses!$D$23*$E$4&gt;0,AF73/(Hypothèses!$D$23*$E$4),0)</f>
        <v/>
      </c>
      <c r="AG74" s="41">
        <f>IF(Hypothèses!$D$23*$E$4&gt;0,AG73/(Hypothèses!$D$23*$E$4),0)</f>
        <v/>
      </c>
      <c r="AH74" s="41">
        <f>IF(Hypothèses!$D$23*$E$4&gt;0,AH73/(Hypothèses!$D$23*$E$4),0)</f>
        <v/>
      </c>
      <c r="AI74" s="41">
        <f>IF(Hypothèses!$D$23*$E$4&gt;0,AI73/(Hypothèses!$D$23*$E$4),0)</f>
        <v/>
      </c>
      <c r="AJ74" s="41">
        <f>IF(Hypothèses!$D$23*$E$4&gt;0,AJ73/(Hypothèses!$D$23*$E$4),0)</f>
        <v/>
      </c>
      <c r="AK74" s="41">
        <f>IF(Hypothèses!$D$23*$E$4&gt;0,AK73/(Hypothèses!$D$23*$E$4),0)</f>
        <v/>
      </c>
      <c r="AL74" s="41">
        <f>IF(Hypothèses!$D$23*$E$4&gt;0,AL73/(Hypothèses!$D$23*$E$4),0)</f>
        <v/>
      </c>
      <c r="AN74" s="41">
        <f>N74</f>
        <v/>
      </c>
      <c r="AO74" s="41">
        <f>Z74</f>
        <v/>
      </c>
      <c r="AP74" s="41">
        <f>AL74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4DDD2"/>
    <outlinePr summaryBelow="1" summaryRight="1"/>
    <pageSetUpPr/>
  </sheetPr>
  <dimension ref="A1:AP7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40" max="40"/>
    <col width="13" customWidth="1" min="41" max="41"/>
    <col width="13" customWidth="1" min="42" max="42"/>
  </cols>
  <sheetData>
    <row r="1">
      <c r="A1" s="1" t="inlineStr">
        <is>
          <t>Sensibilité S05 : Coût IA +67 % (copie du Central)</t>
        </is>
      </c>
    </row>
    <row r="2">
      <c r="A2" s="4" t="inlineStr">
        <is>
          <t>Flux en € HT sauf mention TTC. Formules vivantes ; ne saisir que dans l'onglet Hypothèses et la ligne de chocs ci-dessous.</t>
        </is>
      </c>
    </row>
    <row r="3">
      <c r="A3" s="2" t="inlineStr">
        <is>
          <t>Chocs de sensibilité (1 = aucun ; retard en mois)</t>
        </is>
      </c>
      <c r="C3" s="33" t="inlineStr">
        <is>
          <t>Prix ×</t>
        </is>
      </c>
      <c r="D3" s="33" t="inlineStr">
        <is>
          <t>Churn ×</t>
        </is>
      </c>
      <c r="E3" s="33" t="inlineStr">
        <is>
          <t>CAC ×</t>
        </is>
      </c>
      <c r="F3" s="33" t="inlineStr">
        <is>
          <t>Coût IA ×</t>
        </is>
      </c>
      <c r="G3" s="33" t="inlineStr">
        <is>
          <t>Coûts fixes ×</t>
        </is>
      </c>
      <c r="H3" s="33" t="inlineStr">
        <is>
          <t>Retard lancement (mois)</t>
        </is>
      </c>
    </row>
    <row r="4">
      <c r="C4" s="34" t="n">
        <v>1</v>
      </c>
      <c r="D4" s="34" t="n">
        <v>1</v>
      </c>
      <c r="E4" s="34" t="n">
        <v>1</v>
      </c>
      <c r="F4" s="34" t="n">
        <v>1.6667</v>
      </c>
      <c r="G4" s="34" t="n">
        <v>1</v>
      </c>
      <c r="H4" s="35" t="n">
        <v>0</v>
      </c>
    </row>
    <row r="5">
      <c r="A5" s="2" t="inlineStr">
        <is>
          <t>Mois de lancement effectif</t>
        </is>
      </c>
      <c r="B5" s="22">
        <f>Hypothèses!$D$10+$H$4</f>
        <v/>
      </c>
    </row>
    <row r="6">
      <c r="A6" s="28" t="inlineStr">
        <is>
          <t>Ligne</t>
        </is>
      </c>
      <c r="B6" s="28" t="inlineStr">
        <is>
          <t>Unité</t>
        </is>
      </c>
      <c r="C6" s="36" t="inlineStr">
        <is>
          <t>M1</t>
        </is>
      </c>
      <c r="D6" s="36" t="inlineStr">
        <is>
          <t>M2</t>
        </is>
      </c>
      <c r="E6" s="36" t="inlineStr">
        <is>
          <t>M3</t>
        </is>
      </c>
      <c r="F6" s="36" t="inlineStr">
        <is>
          <t>M4</t>
        </is>
      </c>
      <c r="G6" s="36" t="inlineStr">
        <is>
          <t>M5</t>
        </is>
      </c>
      <c r="H6" s="36" t="inlineStr">
        <is>
          <t>M6</t>
        </is>
      </c>
      <c r="I6" s="36" t="inlineStr">
        <is>
          <t>M7</t>
        </is>
      </c>
      <c r="J6" s="36" t="inlineStr">
        <is>
          <t>M8</t>
        </is>
      </c>
      <c r="K6" s="36" t="inlineStr">
        <is>
          <t>M9</t>
        </is>
      </c>
      <c r="L6" s="36" t="inlineStr">
        <is>
          <t>M10</t>
        </is>
      </c>
      <c r="M6" s="36" t="inlineStr">
        <is>
          <t>M11</t>
        </is>
      </c>
      <c r="N6" s="36" t="inlineStr">
        <is>
          <t>M12</t>
        </is>
      </c>
      <c r="O6" s="36" t="inlineStr">
        <is>
          <t>M13</t>
        </is>
      </c>
      <c r="P6" s="36" t="inlineStr">
        <is>
          <t>M14</t>
        </is>
      </c>
      <c r="Q6" s="36" t="inlineStr">
        <is>
          <t>M15</t>
        </is>
      </c>
      <c r="R6" s="36" t="inlineStr">
        <is>
          <t>M16</t>
        </is>
      </c>
      <c r="S6" s="36" t="inlineStr">
        <is>
          <t>M17</t>
        </is>
      </c>
      <c r="T6" s="36" t="inlineStr">
        <is>
          <t>M18</t>
        </is>
      </c>
      <c r="U6" s="36" t="inlineStr">
        <is>
          <t>M19</t>
        </is>
      </c>
      <c r="V6" s="36" t="inlineStr">
        <is>
          <t>M20</t>
        </is>
      </c>
      <c r="W6" s="36" t="inlineStr">
        <is>
          <t>M21</t>
        </is>
      </c>
      <c r="X6" s="36" t="inlineStr">
        <is>
          <t>M22</t>
        </is>
      </c>
      <c r="Y6" s="36" t="inlineStr">
        <is>
          <t>M23</t>
        </is>
      </c>
      <c r="Z6" s="36" t="inlineStr">
        <is>
          <t>M24</t>
        </is>
      </c>
      <c r="AA6" s="36" t="inlineStr">
        <is>
          <t>M25</t>
        </is>
      </c>
      <c r="AB6" s="36" t="inlineStr">
        <is>
          <t>M26</t>
        </is>
      </c>
      <c r="AC6" s="36" t="inlineStr">
        <is>
          <t>M27</t>
        </is>
      </c>
      <c r="AD6" s="36" t="inlineStr">
        <is>
          <t>M28</t>
        </is>
      </c>
      <c r="AE6" s="36" t="inlineStr">
        <is>
          <t>M29</t>
        </is>
      </c>
      <c r="AF6" s="36" t="inlineStr">
        <is>
          <t>M30</t>
        </is>
      </c>
      <c r="AG6" s="36" t="inlineStr">
        <is>
          <t>M31</t>
        </is>
      </c>
      <c r="AH6" s="36" t="inlineStr">
        <is>
          <t>M32</t>
        </is>
      </c>
      <c r="AI6" s="36" t="inlineStr">
        <is>
          <t>M33</t>
        </is>
      </c>
      <c r="AJ6" s="36" t="inlineStr">
        <is>
          <t>M34</t>
        </is>
      </c>
      <c r="AK6" s="36" t="inlineStr">
        <is>
          <t>M35</t>
        </is>
      </c>
      <c r="AL6" s="36" t="inlineStr">
        <is>
          <t>M36</t>
        </is>
      </c>
      <c r="AN6" s="37" t="inlineStr">
        <is>
          <t>Année 1</t>
        </is>
      </c>
      <c r="AO6" s="37" t="inlineStr">
        <is>
          <t>Année 2</t>
        </is>
      </c>
      <c r="AP6" s="37" t="inlineStr">
        <is>
          <t>Année 3</t>
        </is>
      </c>
    </row>
    <row r="7">
      <c r="A7" s="9" t="inlineStr">
        <is>
          <t>Mois</t>
        </is>
      </c>
      <c r="B7" s="4" t="inlineStr">
        <is>
          <t>n°</t>
        </is>
      </c>
      <c r="C7" s="13" t="n">
        <v>1</v>
      </c>
      <c r="D7" s="13" t="n">
        <v>2</v>
      </c>
      <c r="E7" s="13" t="n">
        <v>3</v>
      </c>
      <c r="F7" s="13" t="n">
        <v>4</v>
      </c>
      <c r="G7" s="13" t="n">
        <v>5</v>
      </c>
      <c r="H7" s="13" t="n">
        <v>6</v>
      </c>
      <c r="I7" s="13" t="n">
        <v>7</v>
      </c>
      <c r="J7" s="13" t="n">
        <v>8</v>
      </c>
      <c r="K7" s="13" t="n">
        <v>9</v>
      </c>
      <c r="L7" s="13" t="n">
        <v>10</v>
      </c>
      <c r="M7" s="13" t="n">
        <v>11</v>
      </c>
      <c r="N7" s="13" t="n">
        <v>12</v>
      </c>
      <c r="O7" s="13" t="n">
        <v>13</v>
      </c>
      <c r="P7" s="13" t="n">
        <v>14</v>
      </c>
      <c r="Q7" s="13" t="n">
        <v>15</v>
      </c>
      <c r="R7" s="13" t="n">
        <v>16</v>
      </c>
      <c r="S7" s="13" t="n">
        <v>17</v>
      </c>
      <c r="T7" s="13" t="n">
        <v>18</v>
      </c>
      <c r="U7" s="13" t="n">
        <v>19</v>
      </c>
      <c r="V7" s="13" t="n">
        <v>20</v>
      </c>
      <c r="W7" s="13" t="n">
        <v>21</v>
      </c>
      <c r="X7" s="13" t="n">
        <v>22</v>
      </c>
      <c r="Y7" s="13" t="n">
        <v>23</v>
      </c>
      <c r="Z7" s="13" t="n">
        <v>24</v>
      </c>
      <c r="AA7" s="13" t="n">
        <v>25</v>
      </c>
      <c r="AB7" s="13" t="n">
        <v>26</v>
      </c>
      <c r="AC7" s="13" t="n">
        <v>27</v>
      </c>
      <c r="AD7" s="13" t="n">
        <v>28</v>
      </c>
      <c r="AE7" s="13" t="n">
        <v>29</v>
      </c>
      <c r="AF7" s="13" t="n">
        <v>30</v>
      </c>
      <c r="AG7" s="13" t="n">
        <v>31</v>
      </c>
      <c r="AH7" s="13" t="n">
        <v>32</v>
      </c>
      <c r="AI7" s="13" t="n">
        <v>33</v>
      </c>
      <c r="AJ7" s="13" t="n">
        <v>34</v>
      </c>
      <c r="AK7" s="13" t="n">
        <v>35</v>
      </c>
      <c r="AL7" s="13" t="n">
        <v>36</v>
      </c>
    </row>
    <row r="8">
      <c r="A8" s="9" t="inlineStr">
        <is>
          <t>Date</t>
        </is>
      </c>
      <c r="B8" s="4" t="inlineStr"/>
      <c r="C8" s="11">
        <f>EDATE(Hypothèses!$D$7,C7-1)</f>
        <v/>
      </c>
      <c r="D8" s="11">
        <f>EDATE(Hypothèses!$D$7,D7-1)</f>
        <v/>
      </c>
      <c r="E8" s="11">
        <f>EDATE(Hypothèses!$D$7,E7-1)</f>
        <v/>
      </c>
      <c r="F8" s="11">
        <f>EDATE(Hypothèses!$D$7,F7-1)</f>
        <v/>
      </c>
      <c r="G8" s="11">
        <f>EDATE(Hypothèses!$D$7,G7-1)</f>
        <v/>
      </c>
      <c r="H8" s="11">
        <f>EDATE(Hypothèses!$D$7,H7-1)</f>
        <v/>
      </c>
      <c r="I8" s="11">
        <f>EDATE(Hypothèses!$D$7,I7-1)</f>
        <v/>
      </c>
      <c r="J8" s="11">
        <f>EDATE(Hypothèses!$D$7,J7-1)</f>
        <v/>
      </c>
      <c r="K8" s="11">
        <f>EDATE(Hypothèses!$D$7,K7-1)</f>
        <v/>
      </c>
      <c r="L8" s="11">
        <f>EDATE(Hypothèses!$D$7,L7-1)</f>
        <v/>
      </c>
      <c r="M8" s="11">
        <f>EDATE(Hypothèses!$D$7,M7-1)</f>
        <v/>
      </c>
      <c r="N8" s="11">
        <f>EDATE(Hypothèses!$D$7,N7-1)</f>
        <v/>
      </c>
      <c r="O8" s="11">
        <f>EDATE(Hypothèses!$D$7,O7-1)</f>
        <v/>
      </c>
      <c r="P8" s="11">
        <f>EDATE(Hypothèses!$D$7,P7-1)</f>
        <v/>
      </c>
      <c r="Q8" s="11">
        <f>EDATE(Hypothèses!$D$7,Q7-1)</f>
        <v/>
      </c>
      <c r="R8" s="11">
        <f>EDATE(Hypothèses!$D$7,R7-1)</f>
        <v/>
      </c>
      <c r="S8" s="11">
        <f>EDATE(Hypothèses!$D$7,S7-1)</f>
        <v/>
      </c>
      <c r="T8" s="11">
        <f>EDATE(Hypothèses!$D$7,T7-1)</f>
        <v/>
      </c>
      <c r="U8" s="11">
        <f>EDATE(Hypothèses!$D$7,U7-1)</f>
        <v/>
      </c>
      <c r="V8" s="11">
        <f>EDATE(Hypothèses!$D$7,V7-1)</f>
        <v/>
      </c>
      <c r="W8" s="11">
        <f>EDATE(Hypothèses!$D$7,W7-1)</f>
        <v/>
      </c>
      <c r="X8" s="11">
        <f>EDATE(Hypothèses!$D$7,X7-1)</f>
        <v/>
      </c>
      <c r="Y8" s="11">
        <f>EDATE(Hypothèses!$D$7,Y7-1)</f>
        <v/>
      </c>
      <c r="Z8" s="11">
        <f>EDATE(Hypothèses!$D$7,Z7-1)</f>
        <v/>
      </c>
      <c r="AA8" s="11">
        <f>EDATE(Hypothèses!$D$7,AA7-1)</f>
        <v/>
      </c>
      <c r="AB8" s="11">
        <f>EDATE(Hypothèses!$D$7,AB7-1)</f>
        <v/>
      </c>
      <c r="AC8" s="11">
        <f>EDATE(Hypothèses!$D$7,AC7-1)</f>
        <v/>
      </c>
      <c r="AD8" s="11">
        <f>EDATE(Hypothèses!$D$7,AD7-1)</f>
        <v/>
      </c>
      <c r="AE8" s="11">
        <f>EDATE(Hypothèses!$D$7,AE7-1)</f>
        <v/>
      </c>
      <c r="AF8" s="11">
        <f>EDATE(Hypothèses!$D$7,AF7-1)</f>
        <v/>
      </c>
      <c r="AG8" s="11">
        <f>EDATE(Hypothèses!$D$7,AG7-1)</f>
        <v/>
      </c>
      <c r="AH8" s="11">
        <f>EDATE(Hypothèses!$D$7,AH7-1)</f>
        <v/>
      </c>
      <c r="AI8" s="11">
        <f>EDATE(Hypothèses!$D$7,AI7-1)</f>
        <v/>
      </c>
      <c r="AJ8" s="11">
        <f>EDATE(Hypothèses!$D$7,AJ7-1)</f>
        <v/>
      </c>
      <c r="AK8" s="11">
        <f>EDATE(Hypothèses!$D$7,AK7-1)</f>
        <v/>
      </c>
      <c r="AL8" s="11">
        <f>EDATE(Hypothèses!$D$7,AL7-1)</f>
        <v/>
      </c>
    </row>
    <row r="9">
      <c r="A9" s="9" t="inlineStr">
        <is>
          <t>Lancé ? (1 = oui)</t>
        </is>
      </c>
      <c r="B9" s="4" t="inlineStr">
        <is>
          <t>0/1</t>
        </is>
      </c>
      <c r="C9" s="13">
        <f>IF(C7&gt;=$B$5,1,0)</f>
        <v/>
      </c>
      <c r="D9" s="13">
        <f>IF(D7&gt;=$B$5,1,0)</f>
        <v/>
      </c>
      <c r="E9" s="13">
        <f>IF(E7&gt;=$B$5,1,0)</f>
        <v/>
      </c>
      <c r="F9" s="13">
        <f>IF(F7&gt;=$B$5,1,0)</f>
        <v/>
      </c>
      <c r="G9" s="13">
        <f>IF(G7&gt;=$B$5,1,0)</f>
        <v/>
      </c>
      <c r="H9" s="13">
        <f>IF(H7&gt;=$B$5,1,0)</f>
        <v/>
      </c>
      <c r="I9" s="13">
        <f>IF(I7&gt;=$B$5,1,0)</f>
        <v/>
      </c>
      <c r="J9" s="13">
        <f>IF(J7&gt;=$B$5,1,0)</f>
        <v/>
      </c>
      <c r="K9" s="13">
        <f>IF(K7&gt;=$B$5,1,0)</f>
        <v/>
      </c>
      <c r="L9" s="13">
        <f>IF(L7&gt;=$B$5,1,0)</f>
        <v/>
      </c>
      <c r="M9" s="13">
        <f>IF(M7&gt;=$B$5,1,0)</f>
        <v/>
      </c>
      <c r="N9" s="13">
        <f>IF(N7&gt;=$B$5,1,0)</f>
        <v/>
      </c>
      <c r="O9" s="13">
        <f>IF(O7&gt;=$B$5,1,0)</f>
        <v/>
      </c>
      <c r="P9" s="13">
        <f>IF(P7&gt;=$B$5,1,0)</f>
        <v/>
      </c>
      <c r="Q9" s="13">
        <f>IF(Q7&gt;=$B$5,1,0)</f>
        <v/>
      </c>
      <c r="R9" s="13">
        <f>IF(R7&gt;=$B$5,1,0)</f>
        <v/>
      </c>
      <c r="S9" s="13">
        <f>IF(S7&gt;=$B$5,1,0)</f>
        <v/>
      </c>
      <c r="T9" s="13">
        <f>IF(T7&gt;=$B$5,1,0)</f>
        <v/>
      </c>
      <c r="U9" s="13">
        <f>IF(U7&gt;=$B$5,1,0)</f>
        <v/>
      </c>
      <c r="V9" s="13">
        <f>IF(V7&gt;=$B$5,1,0)</f>
        <v/>
      </c>
      <c r="W9" s="13">
        <f>IF(W7&gt;=$B$5,1,0)</f>
        <v/>
      </c>
      <c r="X9" s="13">
        <f>IF(X7&gt;=$B$5,1,0)</f>
        <v/>
      </c>
      <c r="Y9" s="13">
        <f>IF(Y7&gt;=$B$5,1,0)</f>
        <v/>
      </c>
      <c r="Z9" s="13">
        <f>IF(Z7&gt;=$B$5,1,0)</f>
        <v/>
      </c>
      <c r="AA9" s="13">
        <f>IF(AA7&gt;=$B$5,1,0)</f>
        <v/>
      </c>
      <c r="AB9" s="13">
        <f>IF(AB7&gt;=$B$5,1,0)</f>
        <v/>
      </c>
      <c r="AC9" s="13">
        <f>IF(AC7&gt;=$B$5,1,0)</f>
        <v/>
      </c>
      <c r="AD9" s="13">
        <f>IF(AD7&gt;=$B$5,1,0)</f>
        <v/>
      </c>
      <c r="AE9" s="13">
        <f>IF(AE7&gt;=$B$5,1,0)</f>
        <v/>
      </c>
      <c r="AF9" s="13">
        <f>IF(AF7&gt;=$B$5,1,0)</f>
        <v/>
      </c>
      <c r="AG9" s="13">
        <f>IF(AG7&gt;=$B$5,1,0)</f>
        <v/>
      </c>
      <c r="AH9" s="13">
        <f>IF(AH7&gt;=$B$5,1,0)</f>
        <v/>
      </c>
      <c r="AI9" s="13">
        <f>IF(AI7&gt;=$B$5,1,0)</f>
        <v/>
      </c>
      <c r="AJ9" s="13">
        <f>IF(AJ7&gt;=$B$5,1,0)</f>
        <v/>
      </c>
      <c r="AK9" s="13">
        <f>IF(AK7&gt;=$B$5,1,0)</f>
        <v/>
      </c>
      <c r="AL9" s="13">
        <f>IF(AL7&gt;=$B$5,1,0)</f>
        <v/>
      </c>
    </row>
    <row r="10">
      <c r="A10" s="9" t="inlineStr">
        <is>
          <t>Pilote en cours ? (1 = oui)</t>
        </is>
      </c>
      <c r="B10" s="4" t="inlineStr">
        <is>
          <t>0/1</t>
        </is>
      </c>
      <c r="C10" s="13">
        <f>IF(AND(C7&gt;=Hypothèses!$D$8,C7&lt;$B$5),1,0)</f>
        <v/>
      </c>
      <c r="D10" s="13">
        <f>IF(AND(D7&gt;=Hypothèses!$D$8,D7&lt;$B$5),1,0)</f>
        <v/>
      </c>
      <c r="E10" s="13">
        <f>IF(AND(E7&gt;=Hypothèses!$D$8,E7&lt;$B$5),1,0)</f>
        <v/>
      </c>
      <c r="F10" s="13">
        <f>IF(AND(F7&gt;=Hypothèses!$D$8,F7&lt;$B$5),1,0)</f>
        <v/>
      </c>
      <c r="G10" s="13">
        <f>IF(AND(G7&gt;=Hypothèses!$D$8,G7&lt;$B$5),1,0)</f>
        <v/>
      </c>
      <c r="H10" s="13">
        <f>IF(AND(H7&gt;=Hypothèses!$D$8,H7&lt;$B$5),1,0)</f>
        <v/>
      </c>
      <c r="I10" s="13">
        <f>IF(AND(I7&gt;=Hypothèses!$D$8,I7&lt;$B$5),1,0)</f>
        <v/>
      </c>
      <c r="J10" s="13">
        <f>IF(AND(J7&gt;=Hypothèses!$D$8,J7&lt;$B$5),1,0)</f>
        <v/>
      </c>
      <c r="K10" s="13">
        <f>IF(AND(K7&gt;=Hypothèses!$D$8,K7&lt;$B$5),1,0)</f>
        <v/>
      </c>
      <c r="L10" s="13">
        <f>IF(AND(L7&gt;=Hypothèses!$D$8,L7&lt;$B$5),1,0)</f>
        <v/>
      </c>
      <c r="M10" s="13">
        <f>IF(AND(M7&gt;=Hypothèses!$D$8,M7&lt;$B$5),1,0)</f>
        <v/>
      </c>
      <c r="N10" s="13">
        <f>IF(AND(N7&gt;=Hypothèses!$D$8,N7&lt;$B$5),1,0)</f>
        <v/>
      </c>
      <c r="O10" s="13">
        <f>IF(AND(O7&gt;=Hypothèses!$D$8,O7&lt;$B$5),1,0)</f>
        <v/>
      </c>
      <c r="P10" s="13">
        <f>IF(AND(P7&gt;=Hypothèses!$D$8,P7&lt;$B$5),1,0)</f>
        <v/>
      </c>
      <c r="Q10" s="13">
        <f>IF(AND(Q7&gt;=Hypothèses!$D$8,Q7&lt;$B$5),1,0)</f>
        <v/>
      </c>
      <c r="R10" s="13">
        <f>IF(AND(R7&gt;=Hypothèses!$D$8,R7&lt;$B$5),1,0)</f>
        <v/>
      </c>
      <c r="S10" s="13">
        <f>IF(AND(S7&gt;=Hypothèses!$D$8,S7&lt;$B$5),1,0)</f>
        <v/>
      </c>
      <c r="T10" s="13">
        <f>IF(AND(T7&gt;=Hypothèses!$D$8,T7&lt;$B$5),1,0)</f>
        <v/>
      </c>
      <c r="U10" s="13">
        <f>IF(AND(U7&gt;=Hypothèses!$D$8,U7&lt;$B$5),1,0)</f>
        <v/>
      </c>
      <c r="V10" s="13">
        <f>IF(AND(V7&gt;=Hypothèses!$D$8,V7&lt;$B$5),1,0)</f>
        <v/>
      </c>
      <c r="W10" s="13">
        <f>IF(AND(W7&gt;=Hypothèses!$D$8,W7&lt;$B$5),1,0)</f>
        <v/>
      </c>
      <c r="X10" s="13">
        <f>IF(AND(X7&gt;=Hypothèses!$D$8,X7&lt;$B$5),1,0)</f>
        <v/>
      </c>
      <c r="Y10" s="13">
        <f>IF(AND(Y7&gt;=Hypothèses!$D$8,Y7&lt;$B$5),1,0)</f>
        <v/>
      </c>
      <c r="Z10" s="13">
        <f>IF(AND(Z7&gt;=Hypothèses!$D$8,Z7&lt;$B$5),1,0)</f>
        <v/>
      </c>
      <c r="AA10" s="13">
        <f>IF(AND(AA7&gt;=Hypothèses!$D$8,AA7&lt;$B$5),1,0)</f>
        <v/>
      </c>
      <c r="AB10" s="13">
        <f>IF(AND(AB7&gt;=Hypothèses!$D$8,AB7&lt;$B$5),1,0)</f>
        <v/>
      </c>
      <c r="AC10" s="13">
        <f>IF(AND(AC7&gt;=Hypothèses!$D$8,AC7&lt;$B$5),1,0)</f>
        <v/>
      </c>
      <c r="AD10" s="13">
        <f>IF(AND(AD7&gt;=Hypothèses!$D$8,AD7&lt;$B$5),1,0)</f>
        <v/>
      </c>
      <c r="AE10" s="13">
        <f>IF(AND(AE7&gt;=Hypothèses!$D$8,AE7&lt;$B$5),1,0)</f>
        <v/>
      </c>
      <c r="AF10" s="13">
        <f>IF(AND(AF7&gt;=Hypothèses!$D$8,AF7&lt;$B$5),1,0)</f>
        <v/>
      </c>
      <c r="AG10" s="13">
        <f>IF(AND(AG7&gt;=Hypothèses!$D$8,AG7&lt;$B$5),1,0)</f>
        <v/>
      </c>
      <c r="AH10" s="13">
        <f>IF(AND(AH7&gt;=Hypothèses!$D$8,AH7&lt;$B$5),1,0)</f>
        <v/>
      </c>
      <c r="AI10" s="13">
        <f>IF(AND(AI7&gt;=Hypothèses!$D$8,AI7&lt;$B$5),1,0)</f>
        <v/>
      </c>
      <c r="AJ10" s="13">
        <f>IF(AND(AJ7&gt;=Hypothèses!$D$8,AJ7&lt;$B$5),1,0)</f>
        <v/>
      </c>
      <c r="AK10" s="13">
        <f>IF(AND(AK7&gt;=Hypothèses!$D$8,AK7&lt;$B$5),1,0)</f>
        <v/>
      </c>
      <c r="AL10" s="13">
        <f>IF(AND(AL7&gt;=Hypothèses!$D$8,AL7&lt;$B$5),1,0)</f>
        <v/>
      </c>
    </row>
    <row r="11">
      <c r="A11" s="9" t="inlineStr">
        <is>
          <t>Budget d'acquisition du mois</t>
        </is>
      </c>
      <c r="B11" s="4" t="inlineStr">
        <is>
          <t>€ HT</t>
        </is>
      </c>
      <c r="C11" s="15">
        <f>IF(C9=1,IF(C7&lt;=12,Hypothèses!$D$20,IF(C7&lt;=24,Hypothèses!$D$21,Hypothèses!$D$22)),0)</f>
        <v/>
      </c>
      <c r="D11" s="15">
        <f>IF(D9=1,IF(D7&lt;=12,Hypothèses!$D$20,IF(D7&lt;=24,Hypothèses!$D$21,Hypothèses!$D$22)),0)</f>
        <v/>
      </c>
      <c r="E11" s="15">
        <f>IF(E9=1,IF(E7&lt;=12,Hypothèses!$D$20,IF(E7&lt;=24,Hypothèses!$D$21,Hypothèses!$D$22)),0)</f>
        <v/>
      </c>
      <c r="F11" s="15">
        <f>IF(F9=1,IF(F7&lt;=12,Hypothèses!$D$20,IF(F7&lt;=24,Hypothèses!$D$21,Hypothèses!$D$22)),0)</f>
        <v/>
      </c>
      <c r="G11" s="15">
        <f>IF(G9=1,IF(G7&lt;=12,Hypothèses!$D$20,IF(G7&lt;=24,Hypothèses!$D$21,Hypothèses!$D$22)),0)</f>
        <v/>
      </c>
      <c r="H11" s="15">
        <f>IF(H9=1,IF(H7&lt;=12,Hypothèses!$D$20,IF(H7&lt;=24,Hypothèses!$D$21,Hypothèses!$D$22)),0)</f>
        <v/>
      </c>
      <c r="I11" s="15">
        <f>IF(I9=1,IF(I7&lt;=12,Hypothèses!$D$20,IF(I7&lt;=24,Hypothèses!$D$21,Hypothèses!$D$22)),0)</f>
        <v/>
      </c>
      <c r="J11" s="15">
        <f>IF(J9=1,IF(J7&lt;=12,Hypothèses!$D$20,IF(J7&lt;=24,Hypothèses!$D$21,Hypothèses!$D$22)),0)</f>
        <v/>
      </c>
      <c r="K11" s="15">
        <f>IF(K9=1,IF(K7&lt;=12,Hypothèses!$D$20,IF(K7&lt;=24,Hypothèses!$D$21,Hypothèses!$D$22)),0)</f>
        <v/>
      </c>
      <c r="L11" s="15">
        <f>IF(L9=1,IF(L7&lt;=12,Hypothèses!$D$20,IF(L7&lt;=24,Hypothèses!$D$21,Hypothèses!$D$22)),0)</f>
        <v/>
      </c>
      <c r="M11" s="15">
        <f>IF(M9=1,IF(M7&lt;=12,Hypothèses!$D$20,IF(M7&lt;=24,Hypothèses!$D$21,Hypothèses!$D$22)),0)</f>
        <v/>
      </c>
      <c r="N11" s="15">
        <f>IF(N9=1,IF(N7&lt;=12,Hypothèses!$D$20,IF(N7&lt;=24,Hypothèses!$D$21,Hypothèses!$D$22)),0)</f>
        <v/>
      </c>
      <c r="O11" s="15">
        <f>IF(O9=1,IF(O7&lt;=12,Hypothèses!$D$20,IF(O7&lt;=24,Hypothèses!$D$21,Hypothèses!$D$22)),0)</f>
        <v/>
      </c>
      <c r="P11" s="15">
        <f>IF(P9=1,IF(P7&lt;=12,Hypothèses!$D$20,IF(P7&lt;=24,Hypothèses!$D$21,Hypothèses!$D$22)),0)</f>
        <v/>
      </c>
      <c r="Q11" s="15">
        <f>IF(Q9=1,IF(Q7&lt;=12,Hypothèses!$D$20,IF(Q7&lt;=24,Hypothèses!$D$21,Hypothèses!$D$22)),0)</f>
        <v/>
      </c>
      <c r="R11" s="15">
        <f>IF(R9=1,IF(R7&lt;=12,Hypothèses!$D$20,IF(R7&lt;=24,Hypothèses!$D$21,Hypothèses!$D$22)),0)</f>
        <v/>
      </c>
      <c r="S11" s="15">
        <f>IF(S9=1,IF(S7&lt;=12,Hypothèses!$D$20,IF(S7&lt;=24,Hypothèses!$D$21,Hypothèses!$D$22)),0)</f>
        <v/>
      </c>
      <c r="T11" s="15">
        <f>IF(T9=1,IF(T7&lt;=12,Hypothèses!$D$20,IF(T7&lt;=24,Hypothèses!$D$21,Hypothèses!$D$22)),0)</f>
        <v/>
      </c>
      <c r="U11" s="15">
        <f>IF(U9=1,IF(U7&lt;=12,Hypothèses!$D$20,IF(U7&lt;=24,Hypothèses!$D$21,Hypothèses!$D$22)),0)</f>
        <v/>
      </c>
      <c r="V11" s="15">
        <f>IF(V9=1,IF(V7&lt;=12,Hypothèses!$D$20,IF(V7&lt;=24,Hypothèses!$D$21,Hypothèses!$D$22)),0)</f>
        <v/>
      </c>
      <c r="W11" s="15">
        <f>IF(W9=1,IF(W7&lt;=12,Hypothèses!$D$20,IF(W7&lt;=24,Hypothèses!$D$21,Hypothèses!$D$22)),0)</f>
        <v/>
      </c>
      <c r="X11" s="15">
        <f>IF(X9=1,IF(X7&lt;=12,Hypothèses!$D$20,IF(X7&lt;=24,Hypothèses!$D$21,Hypothèses!$D$22)),0)</f>
        <v/>
      </c>
      <c r="Y11" s="15">
        <f>IF(Y9=1,IF(Y7&lt;=12,Hypothèses!$D$20,IF(Y7&lt;=24,Hypothèses!$D$21,Hypothèses!$D$22)),0)</f>
        <v/>
      </c>
      <c r="Z11" s="15">
        <f>IF(Z9=1,IF(Z7&lt;=12,Hypothèses!$D$20,IF(Z7&lt;=24,Hypothèses!$D$21,Hypothèses!$D$22)),0)</f>
        <v/>
      </c>
      <c r="AA11" s="15">
        <f>IF(AA9=1,IF(AA7&lt;=12,Hypothèses!$D$20,IF(AA7&lt;=24,Hypothèses!$D$21,Hypothèses!$D$22)),0)</f>
        <v/>
      </c>
      <c r="AB11" s="15">
        <f>IF(AB9=1,IF(AB7&lt;=12,Hypothèses!$D$20,IF(AB7&lt;=24,Hypothèses!$D$21,Hypothèses!$D$22)),0)</f>
        <v/>
      </c>
      <c r="AC11" s="15">
        <f>IF(AC9=1,IF(AC7&lt;=12,Hypothèses!$D$20,IF(AC7&lt;=24,Hypothèses!$D$21,Hypothèses!$D$22)),0)</f>
        <v/>
      </c>
      <c r="AD11" s="15">
        <f>IF(AD9=1,IF(AD7&lt;=12,Hypothèses!$D$20,IF(AD7&lt;=24,Hypothèses!$D$21,Hypothèses!$D$22)),0)</f>
        <v/>
      </c>
      <c r="AE11" s="15">
        <f>IF(AE9=1,IF(AE7&lt;=12,Hypothèses!$D$20,IF(AE7&lt;=24,Hypothèses!$D$21,Hypothèses!$D$22)),0)</f>
        <v/>
      </c>
      <c r="AF11" s="15">
        <f>IF(AF9=1,IF(AF7&lt;=12,Hypothèses!$D$20,IF(AF7&lt;=24,Hypothèses!$D$21,Hypothèses!$D$22)),0)</f>
        <v/>
      </c>
      <c r="AG11" s="15">
        <f>IF(AG9=1,IF(AG7&lt;=12,Hypothèses!$D$20,IF(AG7&lt;=24,Hypothèses!$D$21,Hypothèses!$D$22)),0)</f>
        <v/>
      </c>
      <c r="AH11" s="15">
        <f>IF(AH9=1,IF(AH7&lt;=12,Hypothèses!$D$20,IF(AH7&lt;=24,Hypothèses!$D$21,Hypothèses!$D$22)),0)</f>
        <v/>
      </c>
      <c r="AI11" s="15">
        <f>IF(AI9=1,IF(AI7&lt;=12,Hypothèses!$D$20,IF(AI7&lt;=24,Hypothèses!$D$21,Hypothèses!$D$22)),0)</f>
        <v/>
      </c>
      <c r="AJ11" s="15">
        <f>IF(AJ9=1,IF(AJ7&lt;=12,Hypothèses!$D$20,IF(AJ7&lt;=24,Hypothèses!$D$21,Hypothèses!$D$22)),0)</f>
        <v/>
      </c>
      <c r="AK11" s="15">
        <f>IF(AK9=1,IF(AK7&lt;=12,Hypothèses!$D$20,IF(AK7&lt;=24,Hypothèses!$D$21,Hypothèses!$D$22)),0)</f>
        <v/>
      </c>
      <c r="AL11" s="15">
        <f>IF(AL9=1,IF(AL7&lt;=12,Hypothèses!$D$20,IF(AL7&lt;=24,Hypothèses!$D$21,Hypothèses!$D$22)),0)</f>
        <v/>
      </c>
      <c r="AN11" s="15">
        <f>SUM(C11:N11)</f>
        <v/>
      </c>
      <c r="AO11" s="15">
        <f>SUM(O11:Z11)</f>
        <v/>
      </c>
      <c r="AP11" s="15">
        <f>SUM(AA11:AL11)</f>
        <v/>
      </c>
    </row>
    <row r="12">
      <c r="A12" s="8" t="inlineStr">
        <is>
          <t>Abonnés</t>
        </is>
      </c>
    </row>
    <row r="13">
      <c r="A13" s="9" t="inlineStr">
        <is>
          <t>Abonnés en début de mois</t>
        </is>
      </c>
      <c r="B13" s="4" t="inlineStr">
        <is>
          <t>abonnés</t>
        </is>
      </c>
      <c r="C13" s="38">
        <f>0</f>
        <v/>
      </c>
      <c r="D13" s="38">
        <f>C18</f>
        <v/>
      </c>
      <c r="E13" s="38">
        <f>D18</f>
        <v/>
      </c>
      <c r="F13" s="38">
        <f>E18</f>
        <v/>
      </c>
      <c r="G13" s="38">
        <f>F18</f>
        <v/>
      </c>
      <c r="H13" s="38">
        <f>G18</f>
        <v/>
      </c>
      <c r="I13" s="38">
        <f>H18</f>
        <v/>
      </c>
      <c r="J13" s="38">
        <f>I18</f>
        <v/>
      </c>
      <c r="K13" s="38">
        <f>J18</f>
        <v/>
      </c>
      <c r="L13" s="38">
        <f>K18</f>
        <v/>
      </c>
      <c r="M13" s="38">
        <f>L18</f>
        <v/>
      </c>
      <c r="N13" s="38">
        <f>M18</f>
        <v/>
      </c>
      <c r="O13" s="38">
        <f>N18</f>
        <v/>
      </c>
      <c r="P13" s="38">
        <f>O18</f>
        <v/>
      </c>
      <c r="Q13" s="38">
        <f>P18</f>
        <v/>
      </c>
      <c r="R13" s="38">
        <f>Q18</f>
        <v/>
      </c>
      <c r="S13" s="38">
        <f>R18</f>
        <v/>
      </c>
      <c r="T13" s="38">
        <f>S18</f>
        <v/>
      </c>
      <c r="U13" s="38">
        <f>T18</f>
        <v/>
      </c>
      <c r="V13" s="38">
        <f>U18</f>
        <v/>
      </c>
      <c r="W13" s="38">
        <f>V18</f>
        <v/>
      </c>
      <c r="X13" s="38">
        <f>W18</f>
        <v/>
      </c>
      <c r="Y13" s="38">
        <f>X18</f>
        <v/>
      </c>
      <c r="Z13" s="38">
        <f>Y18</f>
        <v/>
      </c>
      <c r="AA13" s="38">
        <f>Z18</f>
        <v/>
      </c>
      <c r="AB13" s="38">
        <f>AA18</f>
        <v/>
      </c>
      <c r="AC13" s="38">
        <f>AB18</f>
        <v/>
      </c>
      <c r="AD13" s="38">
        <f>AC18</f>
        <v/>
      </c>
      <c r="AE13" s="38">
        <f>AD18</f>
        <v/>
      </c>
      <c r="AF13" s="38">
        <f>AE18</f>
        <v/>
      </c>
      <c r="AG13" s="38">
        <f>AF18</f>
        <v/>
      </c>
      <c r="AH13" s="38">
        <f>AG18</f>
        <v/>
      </c>
      <c r="AI13" s="38">
        <f>AH18</f>
        <v/>
      </c>
      <c r="AJ13" s="38">
        <f>AI18</f>
        <v/>
      </c>
      <c r="AK13" s="38">
        <f>AJ18</f>
        <v/>
      </c>
      <c r="AL13" s="38">
        <f>AK18</f>
        <v/>
      </c>
    </row>
    <row r="14">
      <c r="A14" s="9" t="inlineStr">
        <is>
          <t>Nouveaux abonnés par acquisition payante</t>
        </is>
      </c>
      <c r="B14" s="4" t="inlineStr">
        <is>
          <t>abonnés</t>
        </is>
      </c>
      <c r="C14" s="38">
        <f>C11/(Hypothèses!$D$23*$E$4)</f>
        <v/>
      </c>
      <c r="D14" s="38">
        <f>D11/(Hypothèses!$D$23*$E$4)</f>
        <v/>
      </c>
      <c r="E14" s="38">
        <f>E11/(Hypothèses!$D$23*$E$4)</f>
        <v/>
      </c>
      <c r="F14" s="38">
        <f>F11/(Hypothèses!$D$23*$E$4)</f>
        <v/>
      </c>
      <c r="G14" s="38">
        <f>G11/(Hypothèses!$D$23*$E$4)</f>
        <v/>
      </c>
      <c r="H14" s="38">
        <f>H11/(Hypothèses!$D$23*$E$4)</f>
        <v/>
      </c>
      <c r="I14" s="38">
        <f>I11/(Hypothèses!$D$23*$E$4)</f>
        <v/>
      </c>
      <c r="J14" s="38">
        <f>J11/(Hypothèses!$D$23*$E$4)</f>
        <v/>
      </c>
      <c r="K14" s="38">
        <f>K11/(Hypothèses!$D$23*$E$4)</f>
        <v/>
      </c>
      <c r="L14" s="38">
        <f>L11/(Hypothèses!$D$23*$E$4)</f>
        <v/>
      </c>
      <c r="M14" s="38">
        <f>M11/(Hypothèses!$D$23*$E$4)</f>
        <v/>
      </c>
      <c r="N14" s="38">
        <f>N11/(Hypothèses!$D$23*$E$4)</f>
        <v/>
      </c>
      <c r="O14" s="38">
        <f>O11/(Hypothèses!$D$23*$E$4)</f>
        <v/>
      </c>
      <c r="P14" s="38">
        <f>P11/(Hypothèses!$D$23*$E$4)</f>
        <v/>
      </c>
      <c r="Q14" s="38">
        <f>Q11/(Hypothèses!$D$23*$E$4)</f>
        <v/>
      </c>
      <c r="R14" s="38">
        <f>R11/(Hypothèses!$D$23*$E$4)</f>
        <v/>
      </c>
      <c r="S14" s="38">
        <f>S11/(Hypothèses!$D$23*$E$4)</f>
        <v/>
      </c>
      <c r="T14" s="38">
        <f>T11/(Hypothèses!$D$23*$E$4)</f>
        <v/>
      </c>
      <c r="U14" s="38">
        <f>U11/(Hypothèses!$D$23*$E$4)</f>
        <v/>
      </c>
      <c r="V14" s="38">
        <f>V11/(Hypothèses!$D$23*$E$4)</f>
        <v/>
      </c>
      <c r="W14" s="38">
        <f>W11/(Hypothèses!$D$23*$E$4)</f>
        <v/>
      </c>
      <c r="X14" s="38">
        <f>X11/(Hypothèses!$D$23*$E$4)</f>
        <v/>
      </c>
      <c r="Y14" s="38">
        <f>Y11/(Hypothèses!$D$23*$E$4)</f>
        <v/>
      </c>
      <c r="Z14" s="38">
        <f>Z11/(Hypothèses!$D$23*$E$4)</f>
        <v/>
      </c>
      <c r="AA14" s="38">
        <f>AA11/(Hypothèses!$D$23*$E$4)</f>
        <v/>
      </c>
      <c r="AB14" s="38">
        <f>AB11/(Hypothèses!$D$23*$E$4)</f>
        <v/>
      </c>
      <c r="AC14" s="38">
        <f>AC11/(Hypothèses!$D$23*$E$4)</f>
        <v/>
      </c>
      <c r="AD14" s="38">
        <f>AD11/(Hypothèses!$D$23*$E$4)</f>
        <v/>
      </c>
      <c r="AE14" s="38">
        <f>AE11/(Hypothèses!$D$23*$E$4)</f>
        <v/>
      </c>
      <c r="AF14" s="38">
        <f>AF11/(Hypothèses!$D$23*$E$4)</f>
        <v/>
      </c>
      <c r="AG14" s="38">
        <f>AG11/(Hypothèses!$D$23*$E$4)</f>
        <v/>
      </c>
      <c r="AH14" s="38">
        <f>AH11/(Hypothèses!$D$23*$E$4)</f>
        <v/>
      </c>
      <c r="AI14" s="38">
        <f>AI11/(Hypothèses!$D$23*$E$4)</f>
        <v/>
      </c>
      <c r="AJ14" s="38">
        <f>AJ11/(Hypothèses!$D$23*$E$4)</f>
        <v/>
      </c>
      <c r="AK14" s="38">
        <f>AK11/(Hypothèses!$D$23*$E$4)</f>
        <v/>
      </c>
      <c r="AL14" s="38">
        <f>AL11/(Hypothèses!$D$23*$E$4)</f>
        <v/>
      </c>
      <c r="AN14" s="38">
        <f>SUM(C14:N14)</f>
        <v/>
      </c>
      <c r="AO14" s="38">
        <f>SUM(O14:Z14)</f>
        <v/>
      </c>
      <c r="AP14" s="38">
        <f>SUM(AA14:AL14)</f>
        <v/>
      </c>
    </row>
    <row r="15">
      <c r="A15" s="9" t="inlineStr">
        <is>
          <t>Nouveaux abonnés pilote</t>
        </is>
      </c>
      <c r="B15" s="4" t="inlineStr">
        <is>
          <t>abonnés</t>
        </is>
      </c>
      <c r="C15" s="38">
        <f>IF(C7=Hypothèses!$D$8,Hypothèses!$D$9,0)</f>
        <v/>
      </c>
      <c r="D15" s="38">
        <f>IF(D7=Hypothèses!$D$8,Hypothèses!$D$9,0)</f>
        <v/>
      </c>
      <c r="E15" s="38">
        <f>IF(E7=Hypothèses!$D$8,Hypothèses!$D$9,0)</f>
        <v/>
      </c>
      <c r="F15" s="38">
        <f>IF(F7=Hypothèses!$D$8,Hypothèses!$D$9,0)</f>
        <v/>
      </c>
      <c r="G15" s="38">
        <f>IF(G7=Hypothèses!$D$8,Hypothèses!$D$9,0)</f>
        <v/>
      </c>
      <c r="H15" s="38">
        <f>IF(H7=Hypothèses!$D$8,Hypothèses!$D$9,0)</f>
        <v/>
      </c>
      <c r="I15" s="38">
        <f>IF(I7=Hypothèses!$D$8,Hypothèses!$D$9,0)</f>
        <v/>
      </c>
      <c r="J15" s="38">
        <f>IF(J7=Hypothèses!$D$8,Hypothèses!$D$9,0)</f>
        <v/>
      </c>
      <c r="K15" s="38">
        <f>IF(K7=Hypothèses!$D$8,Hypothèses!$D$9,0)</f>
        <v/>
      </c>
      <c r="L15" s="38">
        <f>IF(L7=Hypothèses!$D$8,Hypothèses!$D$9,0)</f>
        <v/>
      </c>
      <c r="M15" s="38">
        <f>IF(M7=Hypothèses!$D$8,Hypothèses!$D$9,0)</f>
        <v/>
      </c>
      <c r="N15" s="38">
        <f>IF(N7=Hypothèses!$D$8,Hypothèses!$D$9,0)</f>
        <v/>
      </c>
      <c r="O15" s="38">
        <f>IF(O7=Hypothèses!$D$8,Hypothèses!$D$9,0)</f>
        <v/>
      </c>
      <c r="P15" s="38">
        <f>IF(P7=Hypothèses!$D$8,Hypothèses!$D$9,0)</f>
        <v/>
      </c>
      <c r="Q15" s="38">
        <f>IF(Q7=Hypothèses!$D$8,Hypothèses!$D$9,0)</f>
        <v/>
      </c>
      <c r="R15" s="38">
        <f>IF(R7=Hypothèses!$D$8,Hypothèses!$D$9,0)</f>
        <v/>
      </c>
      <c r="S15" s="38">
        <f>IF(S7=Hypothèses!$D$8,Hypothèses!$D$9,0)</f>
        <v/>
      </c>
      <c r="T15" s="38">
        <f>IF(T7=Hypothèses!$D$8,Hypothèses!$D$9,0)</f>
        <v/>
      </c>
      <c r="U15" s="38">
        <f>IF(U7=Hypothèses!$D$8,Hypothèses!$D$9,0)</f>
        <v/>
      </c>
      <c r="V15" s="38">
        <f>IF(V7=Hypothèses!$D$8,Hypothèses!$D$9,0)</f>
        <v/>
      </c>
      <c r="W15" s="38">
        <f>IF(W7=Hypothèses!$D$8,Hypothèses!$D$9,0)</f>
        <v/>
      </c>
      <c r="X15" s="38">
        <f>IF(X7=Hypothèses!$D$8,Hypothèses!$D$9,0)</f>
        <v/>
      </c>
      <c r="Y15" s="38">
        <f>IF(Y7=Hypothèses!$D$8,Hypothèses!$D$9,0)</f>
        <v/>
      </c>
      <c r="Z15" s="38">
        <f>IF(Z7=Hypothèses!$D$8,Hypothèses!$D$9,0)</f>
        <v/>
      </c>
      <c r="AA15" s="38">
        <f>IF(AA7=Hypothèses!$D$8,Hypothèses!$D$9,0)</f>
        <v/>
      </c>
      <c r="AB15" s="38">
        <f>IF(AB7=Hypothèses!$D$8,Hypothèses!$D$9,0)</f>
        <v/>
      </c>
      <c r="AC15" s="38">
        <f>IF(AC7=Hypothèses!$D$8,Hypothèses!$D$9,0)</f>
        <v/>
      </c>
      <c r="AD15" s="38">
        <f>IF(AD7=Hypothèses!$D$8,Hypothèses!$D$9,0)</f>
        <v/>
      </c>
      <c r="AE15" s="38">
        <f>IF(AE7=Hypothèses!$D$8,Hypothèses!$D$9,0)</f>
        <v/>
      </c>
      <c r="AF15" s="38">
        <f>IF(AF7=Hypothèses!$D$8,Hypothèses!$D$9,0)</f>
        <v/>
      </c>
      <c r="AG15" s="38">
        <f>IF(AG7=Hypothèses!$D$8,Hypothèses!$D$9,0)</f>
        <v/>
      </c>
      <c r="AH15" s="38">
        <f>IF(AH7=Hypothèses!$D$8,Hypothèses!$D$9,0)</f>
        <v/>
      </c>
      <c r="AI15" s="38">
        <f>IF(AI7=Hypothèses!$D$8,Hypothèses!$D$9,0)</f>
        <v/>
      </c>
      <c r="AJ15" s="38">
        <f>IF(AJ7=Hypothèses!$D$8,Hypothèses!$D$9,0)</f>
        <v/>
      </c>
      <c r="AK15" s="38">
        <f>IF(AK7=Hypothèses!$D$8,Hypothèses!$D$9,0)</f>
        <v/>
      </c>
      <c r="AL15" s="38">
        <f>IF(AL7=Hypothèses!$D$8,Hypothèses!$D$9,0)</f>
        <v/>
      </c>
      <c r="AN15" s="38">
        <f>SUM(C15:N15)</f>
        <v/>
      </c>
      <c r="AO15" s="38">
        <f>SUM(O15:Z15)</f>
        <v/>
      </c>
      <c r="AP15" s="38">
        <f>SUM(AA15:AL15)</f>
        <v/>
      </c>
    </row>
    <row r="16">
      <c r="A16" s="9" t="inlineStr">
        <is>
          <t>Nouveaux abonnés organiques (parrainage)</t>
        </is>
      </c>
      <c r="B16" s="4" t="inlineStr">
        <is>
          <t>abonnés</t>
        </is>
      </c>
      <c r="C16" s="38">
        <f>C9*C13*Hypothèses!$D$24</f>
        <v/>
      </c>
      <c r="D16" s="38">
        <f>D9*D13*Hypothèses!$D$24</f>
        <v/>
      </c>
      <c r="E16" s="38">
        <f>E9*E13*Hypothèses!$D$24</f>
        <v/>
      </c>
      <c r="F16" s="38">
        <f>F9*F13*Hypothèses!$D$24</f>
        <v/>
      </c>
      <c r="G16" s="38">
        <f>G9*G13*Hypothèses!$D$24</f>
        <v/>
      </c>
      <c r="H16" s="38">
        <f>H9*H13*Hypothèses!$D$24</f>
        <v/>
      </c>
      <c r="I16" s="38">
        <f>I9*I13*Hypothèses!$D$24</f>
        <v/>
      </c>
      <c r="J16" s="38">
        <f>J9*J13*Hypothèses!$D$24</f>
        <v/>
      </c>
      <c r="K16" s="38">
        <f>K9*K13*Hypothèses!$D$24</f>
        <v/>
      </c>
      <c r="L16" s="38">
        <f>L9*L13*Hypothèses!$D$24</f>
        <v/>
      </c>
      <c r="M16" s="38">
        <f>M9*M13*Hypothèses!$D$24</f>
        <v/>
      </c>
      <c r="N16" s="38">
        <f>N9*N13*Hypothèses!$D$24</f>
        <v/>
      </c>
      <c r="O16" s="38">
        <f>O9*O13*Hypothèses!$D$24</f>
        <v/>
      </c>
      <c r="P16" s="38">
        <f>P9*P13*Hypothèses!$D$24</f>
        <v/>
      </c>
      <c r="Q16" s="38">
        <f>Q9*Q13*Hypothèses!$D$24</f>
        <v/>
      </c>
      <c r="R16" s="38">
        <f>R9*R13*Hypothèses!$D$24</f>
        <v/>
      </c>
      <c r="S16" s="38">
        <f>S9*S13*Hypothèses!$D$24</f>
        <v/>
      </c>
      <c r="T16" s="38">
        <f>T9*T13*Hypothèses!$D$24</f>
        <v/>
      </c>
      <c r="U16" s="38">
        <f>U9*U13*Hypothèses!$D$24</f>
        <v/>
      </c>
      <c r="V16" s="38">
        <f>V9*V13*Hypothèses!$D$24</f>
        <v/>
      </c>
      <c r="W16" s="38">
        <f>W9*W13*Hypothèses!$D$24</f>
        <v/>
      </c>
      <c r="X16" s="38">
        <f>X9*X13*Hypothèses!$D$24</f>
        <v/>
      </c>
      <c r="Y16" s="38">
        <f>Y9*Y13*Hypothèses!$D$24</f>
        <v/>
      </c>
      <c r="Z16" s="38">
        <f>Z9*Z13*Hypothèses!$D$24</f>
        <v/>
      </c>
      <c r="AA16" s="38">
        <f>AA9*AA13*Hypothèses!$D$24</f>
        <v/>
      </c>
      <c r="AB16" s="38">
        <f>AB9*AB13*Hypothèses!$D$24</f>
        <v/>
      </c>
      <c r="AC16" s="38">
        <f>AC9*AC13*Hypothèses!$D$24</f>
        <v/>
      </c>
      <c r="AD16" s="38">
        <f>AD9*AD13*Hypothèses!$D$24</f>
        <v/>
      </c>
      <c r="AE16" s="38">
        <f>AE9*AE13*Hypothèses!$D$24</f>
        <v/>
      </c>
      <c r="AF16" s="38">
        <f>AF9*AF13*Hypothèses!$D$24</f>
        <v/>
      </c>
      <c r="AG16" s="38">
        <f>AG9*AG13*Hypothèses!$D$24</f>
        <v/>
      </c>
      <c r="AH16" s="38">
        <f>AH9*AH13*Hypothèses!$D$24</f>
        <v/>
      </c>
      <c r="AI16" s="38">
        <f>AI9*AI13*Hypothèses!$D$24</f>
        <v/>
      </c>
      <c r="AJ16" s="38">
        <f>AJ9*AJ13*Hypothèses!$D$24</f>
        <v/>
      </c>
      <c r="AK16" s="38">
        <f>AK9*AK13*Hypothèses!$D$24</f>
        <v/>
      </c>
      <c r="AL16" s="38">
        <f>AL9*AL13*Hypothèses!$D$24</f>
        <v/>
      </c>
      <c r="AN16" s="38">
        <f>SUM(C16:N16)</f>
        <v/>
      </c>
      <c r="AO16" s="38">
        <f>SUM(O16:Z16)</f>
        <v/>
      </c>
      <c r="AP16" s="38">
        <f>SUM(AA16:AL16)</f>
        <v/>
      </c>
    </row>
    <row r="17">
      <c r="A17" s="9" t="inlineStr">
        <is>
          <t>Résiliations</t>
        </is>
      </c>
      <c r="B17" s="4" t="inlineStr">
        <is>
          <t>abonnés</t>
        </is>
      </c>
      <c r="C17" s="38">
        <f>C13*Hypothèses!$D$26*$D$4</f>
        <v/>
      </c>
      <c r="D17" s="38">
        <f>D13*Hypothèses!$D$26*$D$4</f>
        <v/>
      </c>
      <c r="E17" s="38">
        <f>E13*Hypothèses!$D$26*$D$4</f>
        <v/>
      </c>
      <c r="F17" s="38">
        <f>F13*Hypothèses!$D$26*$D$4</f>
        <v/>
      </c>
      <c r="G17" s="38">
        <f>G13*Hypothèses!$D$26*$D$4</f>
        <v/>
      </c>
      <c r="H17" s="38">
        <f>H13*Hypothèses!$D$26*$D$4</f>
        <v/>
      </c>
      <c r="I17" s="38">
        <f>I13*Hypothèses!$D$26*$D$4</f>
        <v/>
      </c>
      <c r="J17" s="38">
        <f>J13*Hypothèses!$D$26*$D$4</f>
        <v/>
      </c>
      <c r="K17" s="38">
        <f>K13*Hypothèses!$D$26*$D$4</f>
        <v/>
      </c>
      <c r="L17" s="38">
        <f>L13*Hypothèses!$D$26*$D$4</f>
        <v/>
      </c>
      <c r="M17" s="38">
        <f>M13*Hypothèses!$D$26*$D$4</f>
        <v/>
      </c>
      <c r="N17" s="38">
        <f>N13*Hypothèses!$D$26*$D$4</f>
        <v/>
      </c>
      <c r="O17" s="38">
        <f>O13*Hypothèses!$D$26*$D$4</f>
        <v/>
      </c>
      <c r="P17" s="38">
        <f>P13*Hypothèses!$D$26*$D$4</f>
        <v/>
      </c>
      <c r="Q17" s="38">
        <f>Q13*Hypothèses!$D$26*$D$4</f>
        <v/>
      </c>
      <c r="R17" s="38">
        <f>R13*Hypothèses!$D$26*$D$4</f>
        <v/>
      </c>
      <c r="S17" s="38">
        <f>S13*Hypothèses!$D$26*$D$4</f>
        <v/>
      </c>
      <c r="T17" s="38">
        <f>T13*Hypothèses!$D$26*$D$4</f>
        <v/>
      </c>
      <c r="U17" s="38">
        <f>U13*Hypothèses!$D$26*$D$4</f>
        <v/>
      </c>
      <c r="V17" s="38">
        <f>V13*Hypothèses!$D$26*$D$4</f>
        <v/>
      </c>
      <c r="W17" s="38">
        <f>W13*Hypothèses!$D$26*$D$4</f>
        <v/>
      </c>
      <c r="X17" s="38">
        <f>X13*Hypothèses!$D$26*$D$4</f>
        <v/>
      </c>
      <c r="Y17" s="38">
        <f>Y13*Hypothèses!$D$26*$D$4</f>
        <v/>
      </c>
      <c r="Z17" s="38">
        <f>Z13*Hypothèses!$D$26*$D$4</f>
        <v/>
      </c>
      <c r="AA17" s="38">
        <f>AA13*Hypothèses!$D$26*$D$4</f>
        <v/>
      </c>
      <c r="AB17" s="38">
        <f>AB13*Hypothèses!$D$26*$D$4</f>
        <v/>
      </c>
      <c r="AC17" s="38">
        <f>AC13*Hypothèses!$D$26*$D$4</f>
        <v/>
      </c>
      <c r="AD17" s="38">
        <f>AD13*Hypothèses!$D$26*$D$4</f>
        <v/>
      </c>
      <c r="AE17" s="38">
        <f>AE13*Hypothèses!$D$26*$D$4</f>
        <v/>
      </c>
      <c r="AF17" s="38">
        <f>AF13*Hypothèses!$D$26*$D$4</f>
        <v/>
      </c>
      <c r="AG17" s="38">
        <f>AG13*Hypothèses!$D$26*$D$4</f>
        <v/>
      </c>
      <c r="AH17" s="38">
        <f>AH13*Hypothèses!$D$26*$D$4</f>
        <v/>
      </c>
      <c r="AI17" s="38">
        <f>AI13*Hypothèses!$D$26*$D$4</f>
        <v/>
      </c>
      <c r="AJ17" s="38">
        <f>AJ13*Hypothèses!$D$26*$D$4</f>
        <v/>
      </c>
      <c r="AK17" s="38">
        <f>AK13*Hypothèses!$D$26*$D$4</f>
        <v/>
      </c>
      <c r="AL17" s="38">
        <f>AL13*Hypothèses!$D$26*$D$4</f>
        <v/>
      </c>
      <c r="AN17" s="38">
        <f>SUM(C17:N17)</f>
        <v/>
      </c>
      <c r="AO17" s="38">
        <f>SUM(O17:Z17)</f>
        <v/>
      </c>
      <c r="AP17" s="38">
        <f>SUM(AA17:AL17)</f>
        <v/>
      </c>
    </row>
    <row r="18">
      <c r="A18" s="2" t="inlineStr">
        <is>
          <t>Abonnés en fin de mois</t>
        </is>
      </c>
      <c r="B18" s="4" t="inlineStr">
        <is>
          <t>abonnés</t>
        </is>
      </c>
      <c r="C18" s="39">
        <f>C13+C14+C15+C16-C17</f>
        <v/>
      </c>
      <c r="D18" s="39">
        <f>D13+D14+D15+D16-D17</f>
        <v/>
      </c>
      <c r="E18" s="39">
        <f>E13+E14+E15+E16-E17</f>
        <v/>
      </c>
      <c r="F18" s="39">
        <f>F13+F14+F15+F16-F17</f>
        <v/>
      </c>
      <c r="G18" s="39">
        <f>G13+G14+G15+G16-G17</f>
        <v/>
      </c>
      <c r="H18" s="39">
        <f>H13+H14+H15+H16-H17</f>
        <v/>
      </c>
      <c r="I18" s="39">
        <f>I13+I14+I15+I16-I17</f>
        <v/>
      </c>
      <c r="J18" s="39">
        <f>J13+J14+J15+J16-J17</f>
        <v/>
      </c>
      <c r="K18" s="39">
        <f>K13+K14+K15+K16-K17</f>
        <v/>
      </c>
      <c r="L18" s="39">
        <f>L13+L14+L15+L16-L17</f>
        <v/>
      </c>
      <c r="M18" s="39">
        <f>M13+M14+M15+M16-M17</f>
        <v/>
      </c>
      <c r="N18" s="39">
        <f>N13+N14+N15+N16-N17</f>
        <v/>
      </c>
      <c r="O18" s="39">
        <f>O13+O14+O15+O16-O17</f>
        <v/>
      </c>
      <c r="P18" s="39">
        <f>P13+P14+P15+P16-P17</f>
        <v/>
      </c>
      <c r="Q18" s="39">
        <f>Q13+Q14+Q15+Q16-Q17</f>
        <v/>
      </c>
      <c r="R18" s="39">
        <f>R13+R14+R15+R16-R17</f>
        <v/>
      </c>
      <c r="S18" s="39">
        <f>S13+S14+S15+S16-S17</f>
        <v/>
      </c>
      <c r="T18" s="39">
        <f>T13+T14+T15+T16-T17</f>
        <v/>
      </c>
      <c r="U18" s="39">
        <f>U13+U14+U15+U16-U17</f>
        <v/>
      </c>
      <c r="V18" s="39">
        <f>V13+V14+V15+V16-V17</f>
        <v/>
      </c>
      <c r="W18" s="39">
        <f>W13+W14+W15+W16-W17</f>
        <v/>
      </c>
      <c r="X18" s="39">
        <f>X13+X14+X15+X16-X17</f>
        <v/>
      </c>
      <c r="Y18" s="39">
        <f>Y13+Y14+Y15+Y16-Y17</f>
        <v/>
      </c>
      <c r="Z18" s="39">
        <f>Z13+Z14+Z15+Z16-Z17</f>
        <v/>
      </c>
      <c r="AA18" s="39">
        <f>AA13+AA14+AA15+AA16-AA17</f>
        <v/>
      </c>
      <c r="AB18" s="39">
        <f>AB13+AB14+AB15+AB16-AB17</f>
        <v/>
      </c>
      <c r="AC18" s="39">
        <f>AC13+AC14+AC15+AC16-AC17</f>
        <v/>
      </c>
      <c r="AD18" s="39">
        <f>AD13+AD14+AD15+AD16-AD17</f>
        <v/>
      </c>
      <c r="AE18" s="39">
        <f>AE13+AE14+AE15+AE16-AE17</f>
        <v/>
      </c>
      <c r="AF18" s="39">
        <f>AF13+AF14+AF15+AF16-AF17</f>
        <v/>
      </c>
      <c r="AG18" s="39">
        <f>AG13+AG14+AG15+AG16-AG17</f>
        <v/>
      </c>
      <c r="AH18" s="39">
        <f>AH13+AH14+AH15+AH16-AH17</f>
        <v/>
      </c>
      <c r="AI18" s="39">
        <f>AI13+AI14+AI15+AI16-AI17</f>
        <v/>
      </c>
      <c r="AJ18" s="39">
        <f>AJ13+AJ14+AJ15+AJ16-AJ17</f>
        <v/>
      </c>
      <c r="AK18" s="39">
        <f>AK13+AK14+AK15+AK16-AK17</f>
        <v/>
      </c>
      <c r="AL18" s="39">
        <f>AL13+AL14+AL15+AL16-AL17</f>
        <v/>
      </c>
      <c r="AN18" s="39">
        <f>N18</f>
        <v/>
      </c>
      <c r="AO18" s="39">
        <f>Z18</f>
        <v/>
      </c>
      <c r="AP18" s="39">
        <f>AL18</f>
        <v/>
      </c>
    </row>
    <row r="19">
      <c r="A19" s="9" t="inlineStr">
        <is>
          <t>dont Personal</t>
        </is>
      </c>
      <c r="B19" s="4" t="inlineStr">
        <is>
          <t>abonnés</t>
        </is>
      </c>
      <c r="C19" s="38">
        <f>C18*Hypothèses!$D$16</f>
        <v/>
      </c>
      <c r="D19" s="38">
        <f>D18*Hypothèses!$D$16</f>
        <v/>
      </c>
      <c r="E19" s="38">
        <f>E18*Hypothèses!$D$16</f>
        <v/>
      </c>
      <c r="F19" s="38">
        <f>F18*Hypothèses!$D$16</f>
        <v/>
      </c>
      <c r="G19" s="38">
        <f>G18*Hypothèses!$D$16</f>
        <v/>
      </c>
      <c r="H19" s="38">
        <f>H18*Hypothèses!$D$16</f>
        <v/>
      </c>
      <c r="I19" s="38">
        <f>I18*Hypothèses!$D$16</f>
        <v/>
      </c>
      <c r="J19" s="38">
        <f>J18*Hypothèses!$D$16</f>
        <v/>
      </c>
      <c r="K19" s="38">
        <f>K18*Hypothèses!$D$16</f>
        <v/>
      </c>
      <c r="L19" s="38">
        <f>L18*Hypothèses!$D$16</f>
        <v/>
      </c>
      <c r="M19" s="38">
        <f>M18*Hypothèses!$D$16</f>
        <v/>
      </c>
      <c r="N19" s="38">
        <f>N18*Hypothèses!$D$16</f>
        <v/>
      </c>
      <c r="O19" s="38">
        <f>O18*Hypothèses!$D$16</f>
        <v/>
      </c>
      <c r="P19" s="38">
        <f>P18*Hypothèses!$D$16</f>
        <v/>
      </c>
      <c r="Q19" s="38">
        <f>Q18*Hypothèses!$D$16</f>
        <v/>
      </c>
      <c r="R19" s="38">
        <f>R18*Hypothèses!$D$16</f>
        <v/>
      </c>
      <c r="S19" s="38">
        <f>S18*Hypothèses!$D$16</f>
        <v/>
      </c>
      <c r="T19" s="38">
        <f>T18*Hypothèses!$D$16</f>
        <v/>
      </c>
      <c r="U19" s="38">
        <f>U18*Hypothèses!$D$16</f>
        <v/>
      </c>
      <c r="V19" s="38">
        <f>V18*Hypothèses!$D$16</f>
        <v/>
      </c>
      <c r="W19" s="38">
        <f>W18*Hypothèses!$D$16</f>
        <v/>
      </c>
      <c r="X19" s="38">
        <f>X18*Hypothèses!$D$16</f>
        <v/>
      </c>
      <c r="Y19" s="38">
        <f>Y18*Hypothèses!$D$16</f>
        <v/>
      </c>
      <c r="Z19" s="38">
        <f>Z18*Hypothèses!$D$16</f>
        <v/>
      </c>
      <c r="AA19" s="38">
        <f>AA18*Hypothèses!$D$16</f>
        <v/>
      </c>
      <c r="AB19" s="38">
        <f>AB18*Hypothèses!$D$16</f>
        <v/>
      </c>
      <c r="AC19" s="38">
        <f>AC18*Hypothèses!$D$16</f>
        <v/>
      </c>
      <c r="AD19" s="38">
        <f>AD18*Hypothèses!$D$16</f>
        <v/>
      </c>
      <c r="AE19" s="38">
        <f>AE18*Hypothèses!$D$16</f>
        <v/>
      </c>
      <c r="AF19" s="38">
        <f>AF18*Hypothèses!$D$16</f>
        <v/>
      </c>
      <c r="AG19" s="38">
        <f>AG18*Hypothèses!$D$16</f>
        <v/>
      </c>
      <c r="AH19" s="38">
        <f>AH18*Hypothèses!$D$16</f>
        <v/>
      </c>
      <c r="AI19" s="38">
        <f>AI18*Hypothèses!$D$16</f>
        <v/>
      </c>
      <c r="AJ19" s="38">
        <f>AJ18*Hypothèses!$D$16</f>
        <v/>
      </c>
      <c r="AK19" s="38">
        <f>AK18*Hypothèses!$D$16</f>
        <v/>
      </c>
      <c r="AL19" s="38">
        <f>AL18*Hypothèses!$D$16</f>
        <v/>
      </c>
      <c r="AN19" s="38">
        <f>N19</f>
        <v/>
      </c>
      <c r="AO19" s="38">
        <f>Z19</f>
        <v/>
      </c>
      <c r="AP19" s="38">
        <f>AL19</f>
        <v/>
      </c>
    </row>
    <row r="20">
      <c r="A20" s="9" t="inlineStr">
        <is>
          <t>dont Premium</t>
        </is>
      </c>
      <c r="B20" s="4" t="inlineStr">
        <is>
          <t>abonnés</t>
        </is>
      </c>
      <c r="C20" s="38">
        <f>C18*Hypothèses!$D$17</f>
        <v/>
      </c>
      <c r="D20" s="38">
        <f>D18*Hypothèses!$D$17</f>
        <v/>
      </c>
      <c r="E20" s="38">
        <f>E18*Hypothèses!$D$17</f>
        <v/>
      </c>
      <c r="F20" s="38">
        <f>F18*Hypothèses!$D$17</f>
        <v/>
      </c>
      <c r="G20" s="38">
        <f>G18*Hypothèses!$D$17</f>
        <v/>
      </c>
      <c r="H20" s="38">
        <f>H18*Hypothèses!$D$17</f>
        <v/>
      </c>
      <c r="I20" s="38">
        <f>I18*Hypothèses!$D$17</f>
        <v/>
      </c>
      <c r="J20" s="38">
        <f>J18*Hypothèses!$D$17</f>
        <v/>
      </c>
      <c r="K20" s="38">
        <f>K18*Hypothèses!$D$17</f>
        <v/>
      </c>
      <c r="L20" s="38">
        <f>L18*Hypothèses!$D$17</f>
        <v/>
      </c>
      <c r="M20" s="38">
        <f>M18*Hypothèses!$D$17</f>
        <v/>
      </c>
      <c r="N20" s="38">
        <f>N18*Hypothèses!$D$17</f>
        <v/>
      </c>
      <c r="O20" s="38">
        <f>O18*Hypothèses!$D$17</f>
        <v/>
      </c>
      <c r="P20" s="38">
        <f>P18*Hypothèses!$D$17</f>
        <v/>
      </c>
      <c r="Q20" s="38">
        <f>Q18*Hypothèses!$D$17</f>
        <v/>
      </c>
      <c r="R20" s="38">
        <f>R18*Hypothèses!$D$17</f>
        <v/>
      </c>
      <c r="S20" s="38">
        <f>S18*Hypothèses!$D$17</f>
        <v/>
      </c>
      <c r="T20" s="38">
        <f>T18*Hypothèses!$D$17</f>
        <v/>
      </c>
      <c r="U20" s="38">
        <f>U18*Hypothèses!$D$17</f>
        <v/>
      </c>
      <c r="V20" s="38">
        <f>V18*Hypothèses!$D$17</f>
        <v/>
      </c>
      <c r="W20" s="38">
        <f>W18*Hypothèses!$D$17</f>
        <v/>
      </c>
      <c r="X20" s="38">
        <f>X18*Hypothèses!$D$17</f>
        <v/>
      </c>
      <c r="Y20" s="38">
        <f>Y18*Hypothèses!$D$17</f>
        <v/>
      </c>
      <c r="Z20" s="38">
        <f>Z18*Hypothèses!$D$17</f>
        <v/>
      </c>
      <c r="AA20" s="38">
        <f>AA18*Hypothèses!$D$17</f>
        <v/>
      </c>
      <c r="AB20" s="38">
        <f>AB18*Hypothèses!$D$17</f>
        <v/>
      </c>
      <c r="AC20" s="38">
        <f>AC18*Hypothèses!$D$17</f>
        <v/>
      </c>
      <c r="AD20" s="38">
        <f>AD18*Hypothèses!$D$17</f>
        <v/>
      </c>
      <c r="AE20" s="38">
        <f>AE18*Hypothèses!$D$17</f>
        <v/>
      </c>
      <c r="AF20" s="38">
        <f>AF18*Hypothèses!$D$17</f>
        <v/>
      </c>
      <c r="AG20" s="38">
        <f>AG18*Hypothèses!$D$17</f>
        <v/>
      </c>
      <c r="AH20" s="38">
        <f>AH18*Hypothèses!$D$17</f>
        <v/>
      </c>
      <c r="AI20" s="38">
        <f>AI18*Hypothèses!$D$17</f>
        <v/>
      </c>
      <c r="AJ20" s="38">
        <f>AJ18*Hypothèses!$D$17</f>
        <v/>
      </c>
      <c r="AK20" s="38">
        <f>AK18*Hypothèses!$D$17</f>
        <v/>
      </c>
      <c r="AL20" s="38">
        <f>AL18*Hypothèses!$D$17</f>
        <v/>
      </c>
      <c r="AN20" s="38">
        <f>N20</f>
        <v/>
      </c>
      <c r="AO20" s="38">
        <f>Z20</f>
        <v/>
      </c>
      <c r="AP20" s="38">
        <f>AL20</f>
        <v/>
      </c>
    </row>
    <row r="21">
      <c r="A21" s="9" t="inlineStr">
        <is>
          <t>dont Family</t>
        </is>
      </c>
      <c r="B21" s="4" t="inlineStr">
        <is>
          <t>abonnés</t>
        </is>
      </c>
      <c r="C21" s="38">
        <f>C18*Hypothèses!$D$18</f>
        <v/>
      </c>
      <c r="D21" s="38">
        <f>D18*Hypothèses!$D$18</f>
        <v/>
      </c>
      <c r="E21" s="38">
        <f>E18*Hypothèses!$D$18</f>
        <v/>
      </c>
      <c r="F21" s="38">
        <f>F18*Hypothèses!$D$18</f>
        <v/>
      </c>
      <c r="G21" s="38">
        <f>G18*Hypothèses!$D$18</f>
        <v/>
      </c>
      <c r="H21" s="38">
        <f>H18*Hypothèses!$D$18</f>
        <v/>
      </c>
      <c r="I21" s="38">
        <f>I18*Hypothèses!$D$18</f>
        <v/>
      </c>
      <c r="J21" s="38">
        <f>J18*Hypothèses!$D$18</f>
        <v/>
      </c>
      <c r="K21" s="38">
        <f>K18*Hypothèses!$D$18</f>
        <v/>
      </c>
      <c r="L21" s="38">
        <f>L18*Hypothèses!$D$18</f>
        <v/>
      </c>
      <c r="M21" s="38">
        <f>M18*Hypothèses!$D$18</f>
        <v/>
      </c>
      <c r="N21" s="38">
        <f>N18*Hypothèses!$D$18</f>
        <v/>
      </c>
      <c r="O21" s="38">
        <f>O18*Hypothèses!$D$18</f>
        <v/>
      </c>
      <c r="P21" s="38">
        <f>P18*Hypothèses!$D$18</f>
        <v/>
      </c>
      <c r="Q21" s="38">
        <f>Q18*Hypothèses!$D$18</f>
        <v/>
      </c>
      <c r="R21" s="38">
        <f>R18*Hypothèses!$D$18</f>
        <v/>
      </c>
      <c r="S21" s="38">
        <f>S18*Hypothèses!$D$18</f>
        <v/>
      </c>
      <c r="T21" s="38">
        <f>T18*Hypothèses!$D$18</f>
        <v/>
      </c>
      <c r="U21" s="38">
        <f>U18*Hypothèses!$D$18</f>
        <v/>
      </c>
      <c r="V21" s="38">
        <f>V18*Hypothèses!$D$18</f>
        <v/>
      </c>
      <c r="W21" s="38">
        <f>W18*Hypothèses!$D$18</f>
        <v/>
      </c>
      <c r="X21" s="38">
        <f>X18*Hypothèses!$D$18</f>
        <v/>
      </c>
      <c r="Y21" s="38">
        <f>Y18*Hypothèses!$D$18</f>
        <v/>
      </c>
      <c r="Z21" s="38">
        <f>Z18*Hypothèses!$D$18</f>
        <v/>
      </c>
      <c r="AA21" s="38">
        <f>AA18*Hypothèses!$D$18</f>
        <v/>
      </c>
      <c r="AB21" s="38">
        <f>AB18*Hypothèses!$D$18</f>
        <v/>
      </c>
      <c r="AC21" s="38">
        <f>AC18*Hypothèses!$D$18</f>
        <v/>
      </c>
      <c r="AD21" s="38">
        <f>AD18*Hypothèses!$D$18</f>
        <v/>
      </c>
      <c r="AE21" s="38">
        <f>AE18*Hypothèses!$D$18</f>
        <v/>
      </c>
      <c r="AF21" s="38">
        <f>AF18*Hypothèses!$D$18</f>
        <v/>
      </c>
      <c r="AG21" s="38">
        <f>AG18*Hypothèses!$D$18</f>
        <v/>
      </c>
      <c r="AH21" s="38">
        <f>AH18*Hypothèses!$D$18</f>
        <v/>
      </c>
      <c r="AI21" s="38">
        <f>AI18*Hypothèses!$D$18</f>
        <v/>
      </c>
      <c r="AJ21" s="38">
        <f>AJ18*Hypothèses!$D$18</f>
        <v/>
      </c>
      <c r="AK21" s="38">
        <f>AK18*Hypothèses!$D$18</f>
        <v/>
      </c>
      <c r="AL21" s="38">
        <f>AL18*Hypothèses!$D$18</f>
        <v/>
      </c>
      <c r="AN21" s="38">
        <f>N21</f>
        <v/>
      </c>
      <c r="AO21" s="38">
        <f>Z21</f>
        <v/>
      </c>
      <c r="AP21" s="38">
        <f>AL21</f>
        <v/>
      </c>
    </row>
    <row r="22">
      <c r="A22" s="8" t="inlineStr">
        <is>
          <t>Revenus</t>
        </is>
      </c>
    </row>
    <row r="23">
      <c r="A23" s="9" t="inlineStr">
        <is>
          <t>Facturation Personal TTC</t>
        </is>
      </c>
      <c r="B23" s="4" t="inlineStr">
        <is>
          <t>€ TTC</t>
        </is>
      </c>
      <c r="C23" s="15">
        <f>C19*Hypothèses!$D$12*$C$4</f>
        <v/>
      </c>
      <c r="D23" s="15">
        <f>D19*Hypothèses!$D$12*$C$4</f>
        <v/>
      </c>
      <c r="E23" s="15">
        <f>E19*Hypothèses!$D$12*$C$4</f>
        <v/>
      </c>
      <c r="F23" s="15">
        <f>F19*Hypothèses!$D$12*$C$4</f>
        <v/>
      </c>
      <c r="G23" s="15">
        <f>G19*Hypothèses!$D$12*$C$4</f>
        <v/>
      </c>
      <c r="H23" s="15">
        <f>H19*Hypothèses!$D$12*$C$4</f>
        <v/>
      </c>
      <c r="I23" s="15">
        <f>I19*Hypothèses!$D$12*$C$4</f>
        <v/>
      </c>
      <c r="J23" s="15">
        <f>J19*Hypothèses!$D$12*$C$4</f>
        <v/>
      </c>
      <c r="K23" s="15">
        <f>K19*Hypothèses!$D$12*$C$4</f>
        <v/>
      </c>
      <c r="L23" s="15">
        <f>L19*Hypothèses!$D$12*$C$4</f>
        <v/>
      </c>
      <c r="M23" s="15">
        <f>M19*Hypothèses!$D$12*$C$4</f>
        <v/>
      </c>
      <c r="N23" s="15">
        <f>N19*Hypothèses!$D$12*$C$4</f>
        <v/>
      </c>
      <c r="O23" s="15">
        <f>O19*Hypothèses!$D$12*$C$4</f>
        <v/>
      </c>
      <c r="P23" s="15">
        <f>P19*Hypothèses!$D$12*$C$4</f>
        <v/>
      </c>
      <c r="Q23" s="15">
        <f>Q19*Hypothèses!$D$12*$C$4</f>
        <v/>
      </c>
      <c r="R23" s="15">
        <f>R19*Hypothèses!$D$12*$C$4</f>
        <v/>
      </c>
      <c r="S23" s="15">
        <f>S19*Hypothèses!$D$12*$C$4</f>
        <v/>
      </c>
      <c r="T23" s="15">
        <f>T19*Hypothèses!$D$12*$C$4</f>
        <v/>
      </c>
      <c r="U23" s="15">
        <f>U19*Hypothèses!$D$12*$C$4</f>
        <v/>
      </c>
      <c r="V23" s="15">
        <f>V19*Hypothèses!$D$12*$C$4</f>
        <v/>
      </c>
      <c r="W23" s="15">
        <f>W19*Hypothèses!$D$12*$C$4</f>
        <v/>
      </c>
      <c r="X23" s="15">
        <f>X19*Hypothèses!$D$12*$C$4</f>
        <v/>
      </c>
      <c r="Y23" s="15">
        <f>Y19*Hypothèses!$D$12*$C$4</f>
        <v/>
      </c>
      <c r="Z23" s="15">
        <f>Z19*Hypothèses!$D$12*$C$4</f>
        <v/>
      </c>
      <c r="AA23" s="15">
        <f>AA19*Hypothèses!$D$12*$C$4</f>
        <v/>
      </c>
      <c r="AB23" s="15">
        <f>AB19*Hypothèses!$D$12*$C$4</f>
        <v/>
      </c>
      <c r="AC23" s="15">
        <f>AC19*Hypothèses!$D$12*$C$4</f>
        <v/>
      </c>
      <c r="AD23" s="15">
        <f>AD19*Hypothèses!$D$12*$C$4</f>
        <v/>
      </c>
      <c r="AE23" s="15">
        <f>AE19*Hypothèses!$D$12*$C$4</f>
        <v/>
      </c>
      <c r="AF23" s="15">
        <f>AF19*Hypothèses!$D$12*$C$4</f>
        <v/>
      </c>
      <c r="AG23" s="15">
        <f>AG19*Hypothèses!$D$12*$C$4</f>
        <v/>
      </c>
      <c r="AH23" s="15">
        <f>AH19*Hypothèses!$D$12*$C$4</f>
        <v/>
      </c>
      <c r="AI23" s="15">
        <f>AI19*Hypothèses!$D$12*$C$4</f>
        <v/>
      </c>
      <c r="AJ23" s="15">
        <f>AJ19*Hypothèses!$D$12*$C$4</f>
        <v/>
      </c>
      <c r="AK23" s="15">
        <f>AK19*Hypothèses!$D$12*$C$4</f>
        <v/>
      </c>
      <c r="AL23" s="15">
        <f>AL19*Hypothèses!$D$12*$C$4</f>
        <v/>
      </c>
      <c r="AN23" s="15">
        <f>SUM(C23:N23)</f>
        <v/>
      </c>
      <c r="AO23" s="15">
        <f>SUM(O23:Z23)</f>
        <v/>
      </c>
      <c r="AP23" s="15">
        <f>SUM(AA23:AL23)</f>
        <v/>
      </c>
    </row>
    <row r="24">
      <c r="A24" s="9" t="inlineStr">
        <is>
          <t>Facturation Premium TTC</t>
        </is>
      </c>
      <c r="B24" s="4" t="inlineStr">
        <is>
          <t>€ TTC</t>
        </is>
      </c>
      <c r="C24" s="15">
        <f>C20*Hypothèses!$D$13*$C$4</f>
        <v/>
      </c>
      <c r="D24" s="15">
        <f>D20*Hypothèses!$D$13*$C$4</f>
        <v/>
      </c>
      <c r="E24" s="15">
        <f>E20*Hypothèses!$D$13*$C$4</f>
        <v/>
      </c>
      <c r="F24" s="15">
        <f>F20*Hypothèses!$D$13*$C$4</f>
        <v/>
      </c>
      <c r="G24" s="15">
        <f>G20*Hypothèses!$D$13*$C$4</f>
        <v/>
      </c>
      <c r="H24" s="15">
        <f>H20*Hypothèses!$D$13*$C$4</f>
        <v/>
      </c>
      <c r="I24" s="15">
        <f>I20*Hypothèses!$D$13*$C$4</f>
        <v/>
      </c>
      <c r="J24" s="15">
        <f>J20*Hypothèses!$D$13*$C$4</f>
        <v/>
      </c>
      <c r="K24" s="15">
        <f>K20*Hypothèses!$D$13*$C$4</f>
        <v/>
      </c>
      <c r="L24" s="15">
        <f>L20*Hypothèses!$D$13*$C$4</f>
        <v/>
      </c>
      <c r="M24" s="15">
        <f>M20*Hypothèses!$D$13*$C$4</f>
        <v/>
      </c>
      <c r="N24" s="15">
        <f>N20*Hypothèses!$D$13*$C$4</f>
        <v/>
      </c>
      <c r="O24" s="15">
        <f>O20*Hypothèses!$D$13*$C$4</f>
        <v/>
      </c>
      <c r="P24" s="15">
        <f>P20*Hypothèses!$D$13*$C$4</f>
        <v/>
      </c>
      <c r="Q24" s="15">
        <f>Q20*Hypothèses!$D$13*$C$4</f>
        <v/>
      </c>
      <c r="R24" s="15">
        <f>R20*Hypothèses!$D$13*$C$4</f>
        <v/>
      </c>
      <c r="S24" s="15">
        <f>S20*Hypothèses!$D$13*$C$4</f>
        <v/>
      </c>
      <c r="T24" s="15">
        <f>T20*Hypothèses!$D$13*$C$4</f>
        <v/>
      </c>
      <c r="U24" s="15">
        <f>U20*Hypothèses!$D$13*$C$4</f>
        <v/>
      </c>
      <c r="V24" s="15">
        <f>V20*Hypothèses!$D$13*$C$4</f>
        <v/>
      </c>
      <c r="W24" s="15">
        <f>W20*Hypothèses!$D$13*$C$4</f>
        <v/>
      </c>
      <c r="X24" s="15">
        <f>X20*Hypothèses!$D$13*$C$4</f>
        <v/>
      </c>
      <c r="Y24" s="15">
        <f>Y20*Hypothèses!$D$13*$C$4</f>
        <v/>
      </c>
      <c r="Z24" s="15">
        <f>Z20*Hypothèses!$D$13*$C$4</f>
        <v/>
      </c>
      <c r="AA24" s="15">
        <f>AA20*Hypothèses!$D$13*$C$4</f>
        <v/>
      </c>
      <c r="AB24" s="15">
        <f>AB20*Hypothèses!$D$13*$C$4</f>
        <v/>
      </c>
      <c r="AC24" s="15">
        <f>AC20*Hypothèses!$D$13*$C$4</f>
        <v/>
      </c>
      <c r="AD24" s="15">
        <f>AD20*Hypothèses!$D$13*$C$4</f>
        <v/>
      </c>
      <c r="AE24" s="15">
        <f>AE20*Hypothèses!$D$13*$C$4</f>
        <v/>
      </c>
      <c r="AF24" s="15">
        <f>AF20*Hypothèses!$D$13*$C$4</f>
        <v/>
      </c>
      <c r="AG24" s="15">
        <f>AG20*Hypothèses!$D$13*$C$4</f>
        <v/>
      </c>
      <c r="AH24" s="15">
        <f>AH20*Hypothèses!$D$13*$C$4</f>
        <v/>
      </c>
      <c r="AI24" s="15">
        <f>AI20*Hypothèses!$D$13*$C$4</f>
        <v/>
      </c>
      <c r="AJ24" s="15">
        <f>AJ20*Hypothèses!$D$13*$C$4</f>
        <v/>
      </c>
      <c r="AK24" s="15">
        <f>AK20*Hypothèses!$D$13*$C$4</f>
        <v/>
      </c>
      <c r="AL24" s="15">
        <f>AL20*Hypothèses!$D$13*$C$4</f>
        <v/>
      </c>
      <c r="AN24" s="15">
        <f>SUM(C24:N24)</f>
        <v/>
      </c>
      <c r="AO24" s="15">
        <f>SUM(O24:Z24)</f>
        <v/>
      </c>
      <c r="AP24" s="15">
        <f>SUM(AA24:AL24)</f>
        <v/>
      </c>
    </row>
    <row r="25">
      <c r="A25" s="9" t="inlineStr">
        <is>
          <t>Facturation Family TTC</t>
        </is>
      </c>
      <c r="B25" s="4" t="inlineStr">
        <is>
          <t>€ TTC</t>
        </is>
      </c>
      <c r="C25" s="15">
        <f>C21*Hypothèses!$D$14*$C$4</f>
        <v/>
      </c>
      <c r="D25" s="15">
        <f>D21*Hypothèses!$D$14*$C$4</f>
        <v/>
      </c>
      <c r="E25" s="15">
        <f>E21*Hypothèses!$D$14*$C$4</f>
        <v/>
      </c>
      <c r="F25" s="15">
        <f>F21*Hypothèses!$D$14*$C$4</f>
        <v/>
      </c>
      <c r="G25" s="15">
        <f>G21*Hypothèses!$D$14*$C$4</f>
        <v/>
      </c>
      <c r="H25" s="15">
        <f>H21*Hypothèses!$D$14*$C$4</f>
        <v/>
      </c>
      <c r="I25" s="15">
        <f>I21*Hypothèses!$D$14*$C$4</f>
        <v/>
      </c>
      <c r="J25" s="15">
        <f>J21*Hypothèses!$D$14*$C$4</f>
        <v/>
      </c>
      <c r="K25" s="15">
        <f>K21*Hypothèses!$D$14*$C$4</f>
        <v/>
      </c>
      <c r="L25" s="15">
        <f>L21*Hypothèses!$D$14*$C$4</f>
        <v/>
      </c>
      <c r="M25" s="15">
        <f>M21*Hypothèses!$D$14*$C$4</f>
        <v/>
      </c>
      <c r="N25" s="15">
        <f>N21*Hypothèses!$D$14*$C$4</f>
        <v/>
      </c>
      <c r="O25" s="15">
        <f>O21*Hypothèses!$D$14*$C$4</f>
        <v/>
      </c>
      <c r="P25" s="15">
        <f>P21*Hypothèses!$D$14*$C$4</f>
        <v/>
      </c>
      <c r="Q25" s="15">
        <f>Q21*Hypothèses!$D$14*$C$4</f>
        <v/>
      </c>
      <c r="R25" s="15">
        <f>R21*Hypothèses!$D$14*$C$4</f>
        <v/>
      </c>
      <c r="S25" s="15">
        <f>S21*Hypothèses!$D$14*$C$4</f>
        <v/>
      </c>
      <c r="T25" s="15">
        <f>T21*Hypothèses!$D$14*$C$4</f>
        <v/>
      </c>
      <c r="U25" s="15">
        <f>U21*Hypothèses!$D$14*$C$4</f>
        <v/>
      </c>
      <c r="V25" s="15">
        <f>V21*Hypothèses!$D$14*$C$4</f>
        <v/>
      </c>
      <c r="W25" s="15">
        <f>W21*Hypothèses!$D$14*$C$4</f>
        <v/>
      </c>
      <c r="X25" s="15">
        <f>X21*Hypothèses!$D$14*$C$4</f>
        <v/>
      </c>
      <c r="Y25" s="15">
        <f>Y21*Hypothèses!$D$14*$C$4</f>
        <v/>
      </c>
      <c r="Z25" s="15">
        <f>Z21*Hypothèses!$D$14*$C$4</f>
        <v/>
      </c>
      <c r="AA25" s="15">
        <f>AA21*Hypothèses!$D$14*$C$4</f>
        <v/>
      </c>
      <c r="AB25" s="15">
        <f>AB21*Hypothèses!$D$14*$C$4</f>
        <v/>
      </c>
      <c r="AC25" s="15">
        <f>AC21*Hypothèses!$D$14*$C$4</f>
        <v/>
      </c>
      <c r="AD25" s="15">
        <f>AD21*Hypothèses!$D$14*$C$4</f>
        <v/>
      </c>
      <c r="AE25" s="15">
        <f>AE21*Hypothèses!$D$14*$C$4</f>
        <v/>
      </c>
      <c r="AF25" s="15">
        <f>AF21*Hypothèses!$D$14*$C$4</f>
        <v/>
      </c>
      <c r="AG25" s="15">
        <f>AG21*Hypothèses!$D$14*$C$4</f>
        <v/>
      </c>
      <c r="AH25" s="15">
        <f>AH21*Hypothèses!$D$14*$C$4</f>
        <v/>
      </c>
      <c r="AI25" s="15">
        <f>AI21*Hypothèses!$D$14*$C$4</f>
        <v/>
      </c>
      <c r="AJ25" s="15">
        <f>AJ21*Hypothèses!$D$14*$C$4</f>
        <v/>
      </c>
      <c r="AK25" s="15">
        <f>AK21*Hypothèses!$D$14*$C$4</f>
        <v/>
      </c>
      <c r="AL25" s="15">
        <f>AL21*Hypothèses!$D$14*$C$4</f>
        <v/>
      </c>
      <c r="AN25" s="15">
        <f>SUM(C25:N25)</f>
        <v/>
      </c>
      <c r="AO25" s="15">
        <f>SUM(O25:Z25)</f>
        <v/>
      </c>
      <c r="AP25" s="15">
        <f>SUM(AA25:AL25)</f>
        <v/>
      </c>
    </row>
    <row r="26">
      <c r="A26" s="2" t="inlineStr">
        <is>
          <t>Facturation totale TTC (MRR TTC)</t>
        </is>
      </c>
      <c r="B26" s="4" t="inlineStr">
        <is>
          <t>€ TTC</t>
        </is>
      </c>
      <c r="C26" s="40">
        <f>C23+C24+C25</f>
        <v/>
      </c>
      <c r="D26" s="40">
        <f>D23+D24+D25</f>
        <v/>
      </c>
      <c r="E26" s="40">
        <f>E23+E24+E25</f>
        <v/>
      </c>
      <c r="F26" s="40">
        <f>F23+F24+F25</f>
        <v/>
      </c>
      <c r="G26" s="40">
        <f>G23+G24+G25</f>
        <v/>
      </c>
      <c r="H26" s="40">
        <f>H23+H24+H25</f>
        <v/>
      </c>
      <c r="I26" s="40">
        <f>I23+I24+I25</f>
        <v/>
      </c>
      <c r="J26" s="40">
        <f>J23+J24+J25</f>
        <v/>
      </c>
      <c r="K26" s="40">
        <f>K23+K24+K25</f>
        <v/>
      </c>
      <c r="L26" s="40">
        <f>L23+L24+L25</f>
        <v/>
      </c>
      <c r="M26" s="40">
        <f>M23+M24+M25</f>
        <v/>
      </c>
      <c r="N26" s="40">
        <f>N23+N24+N25</f>
        <v/>
      </c>
      <c r="O26" s="40">
        <f>O23+O24+O25</f>
        <v/>
      </c>
      <c r="P26" s="40">
        <f>P23+P24+P25</f>
        <v/>
      </c>
      <c r="Q26" s="40">
        <f>Q23+Q24+Q25</f>
        <v/>
      </c>
      <c r="R26" s="40">
        <f>R23+R24+R25</f>
        <v/>
      </c>
      <c r="S26" s="40">
        <f>S23+S24+S25</f>
        <v/>
      </c>
      <c r="T26" s="40">
        <f>T23+T24+T25</f>
        <v/>
      </c>
      <c r="U26" s="40">
        <f>U23+U24+U25</f>
        <v/>
      </c>
      <c r="V26" s="40">
        <f>V23+V24+V25</f>
        <v/>
      </c>
      <c r="W26" s="40">
        <f>W23+W24+W25</f>
        <v/>
      </c>
      <c r="X26" s="40">
        <f>X23+X24+X25</f>
        <v/>
      </c>
      <c r="Y26" s="40">
        <f>Y23+Y24+Y25</f>
        <v/>
      </c>
      <c r="Z26" s="40">
        <f>Z23+Z24+Z25</f>
        <v/>
      </c>
      <c r="AA26" s="40">
        <f>AA23+AA24+AA25</f>
        <v/>
      </c>
      <c r="AB26" s="40">
        <f>AB23+AB24+AB25</f>
        <v/>
      </c>
      <c r="AC26" s="40">
        <f>AC23+AC24+AC25</f>
        <v/>
      </c>
      <c r="AD26" s="40">
        <f>AD23+AD24+AD25</f>
        <v/>
      </c>
      <c r="AE26" s="40">
        <f>AE23+AE24+AE25</f>
        <v/>
      </c>
      <c r="AF26" s="40">
        <f>AF23+AF24+AF25</f>
        <v/>
      </c>
      <c r="AG26" s="40">
        <f>AG23+AG24+AG25</f>
        <v/>
      </c>
      <c r="AH26" s="40">
        <f>AH23+AH24+AH25</f>
        <v/>
      </c>
      <c r="AI26" s="40">
        <f>AI23+AI24+AI25</f>
        <v/>
      </c>
      <c r="AJ26" s="40">
        <f>AJ23+AJ24+AJ25</f>
        <v/>
      </c>
      <c r="AK26" s="40">
        <f>AK23+AK24+AK25</f>
        <v/>
      </c>
      <c r="AL26" s="40">
        <f>AL23+AL24+AL25</f>
        <v/>
      </c>
      <c r="AN26" s="40">
        <f>SUM(C26:N26)</f>
        <v/>
      </c>
      <c r="AO26" s="40">
        <f>SUM(O26:Z26)</f>
        <v/>
      </c>
      <c r="AP26" s="40">
        <f>SUM(AA26:AL26)</f>
        <v/>
      </c>
    </row>
    <row r="27">
      <c r="A27" s="9" t="inlineStr">
        <is>
          <t>TVA collectée</t>
        </is>
      </c>
      <c r="B27" s="4" t="inlineStr">
        <is>
          <t>€</t>
        </is>
      </c>
      <c r="C27" s="15">
        <f>C26*Hypothèses!$D$15/(1+Hypothèses!$D$15)</f>
        <v/>
      </c>
      <c r="D27" s="15">
        <f>D26*Hypothèses!$D$15/(1+Hypothèses!$D$15)</f>
        <v/>
      </c>
      <c r="E27" s="15">
        <f>E26*Hypothèses!$D$15/(1+Hypothèses!$D$15)</f>
        <v/>
      </c>
      <c r="F27" s="15">
        <f>F26*Hypothèses!$D$15/(1+Hypothèses!$D$15)</f>
        <v/>
      </c>
      <c r="G27" s="15">
        <f>G26*Hypothèses!$D$15/(1+Hypothèses!$D$15)</f>
        <v/>
      </c>
      <c r="H27" s="15">
        <f>H26*Hypothèses!$D$15/(1+Hypothèses!$D$15)</f>
        <v/>
      </c>
      <c r="I27" s="15">
        <f>I26*Hypothèses!$D$15/(1+Hypothèses!$D$15)</f>
        <v/>
      </c>
      <c r="J27" s="15">
        <f>J26*Hypothèses!$D$15/(1+Hypothèses!$D$15)</f>
        <v/>
      </c>
      <c r="K27" s="15">
        <f>K26*Hypothèses!$D$15/(1+Hypothèses!$D$15)</f>
        <v/>
      </c>
      <c r="L27" s="15">
        <f>L26*Hypothèses!$D$15/(1+Hypothèses!$D$15)</f>
        <v/>
      </c>
      <c r="M27" s="15">
        <f>M26*Hypothèses!$D$15/(1+Hypothèses!$D$15)</f>
        <v/>
      </c>
      <c r="N27" s="15">
        <f>N26*Hypothèses!$D$15/(1+Hypothèses!$D$15)</f>
        <v/>
      </c>
      <c r="O27" s="15">
        <f>O26*Hypothèses!$D$15/(1+Hypothèses!$D$15)</f>
        <v/>
      </c>
      <c r="P27" s="15">
        <f>P26*Hypothèses!$D$15/(1+Hypothèses!$D$15)</f>
        <v/>
      </c>
      <c r="Q27" s="15">
        <f>Q26*Hypothèses!$D$15/(1+Hypothèses!$D$15)</f>
        <v/>
      </c>
      <c r="R27" s="15">
        <f>R26*Hypothèses!$D$15/(1+Hypothèses!$D$15)</f>
        <v/>
      </c>
      <c r="S27" s="15">
        <f>S26*Hypothèses!$D$15/(1+Hypothèses!$D$15)</f>
        <v/>
      </c>
      <c r="T27" s="15">
        <f>T26*Hypothèses!$D$15/(1+Hypothèses!$D$15)</f>
        <v/>
      </c>
      <c r="U27" s="15">
        <f>U26*Hypothèses!$D$15/(1+Hypothèses!$D$15)</f>
        <v/>
      </c>
      <c r="V27" s="15">
        <f>V26*Hypothèses!$D$15/(1+Hypothèses!$D$15)</f>
        <v/>
      </c>
      <c r="W27" s="15">
        <f>W26*Hypothèses!$D$15/(1+Hypothèses!$D$15)</f>
        <v/>
      </c>
      <c r="X27" s="15">
        <f>X26*Hypothèses!$D$15/(1+Hypothèses!$D$15)</f>
        <v/>
      </c>
      <c r="Y27" s="15">
        <f>Y26*Hypothèses!$D$15/(1+Hypothèses!$D$15)</f>
        <v/>
      </c>
      <c r="Z27" s="15">
        <f>Z26*Hypothèses!$D$15/(1+Hypothèses!$D$15)</f>
        <v/>
      </c>
      <c r="AA27" s="15">
        <f>AA26*Hypothèses!$D$15/(1+Hypothèses!$D$15)</f>
        <v/>
      </c>
      <c r="AB27" s="15">
        <f>AB26*Hypothèses!$D$15/(1+Hypothèses!$D$15)</f>
        <v/>
      </c>
      <c r="AC27" s="15">
        <f>AC26*Hypothèses!$D$15/(1+Hypothèses!$D$15)</f>
        <v/>
      </c>
      <c r="AD27" s="15">
        <f>AD26*Hypothèses!$D$15/(1+Hypothèses!$D$15)</f>
        <v/>
      </c>
      <c r="AE27" s="15">
        <f>AE26*Hypothèses!$D$15/(1+Hypothèses!$D$15)</f>
        <v/>
      </c>
      <c r="AF27" s="15">
        <f>AF26*Hypothèses!$D$15/(1+Hypothèses!$D$15)</f>
        <v/>
      </c>
      <c r="AG27" s="15">
        <f>AG26*Hypothèses!$D$15/(1+Hypothèses!$D$15)</f>
        <v/>
      </c>
      <c r="AH27" s="15">
        <f>AH26*Hypothèses!$D$15/(1+Hypothèses!$D$15)</f>
        <v/>
      </c>
      <c r="AI27" s="15">
        <f>AI26*Hypothèses!$D$15/(1+Hypothèses!$D$15)</f>
        <v/>
      </c>
      <c r="AJ27" s="15">
        <f>AJ26*Hypothèses!$D$15/(1+Hypothèses!$D$15)</f>
        <v/>
      </c>
      <c r="AK27" s="15">
        <f>AK26*Hypothèses!$D$15/(1+Hypothèses!$D$15)</f>
        <v/>
      </c>
      <c r="AL27" s="15">
        <f>AL26*Hypothèses!$D$15/(1+Hypothèses!$D$15)</f>
        <v/>
      </c>
      <c r="AN27" s="15">
        <f>SUM(C27:N27)</f>
        <v/>
      </c>
      <c r="AO27" s="15">
        <f>SUM(O27:Z27)</f>
        <v/>
      </c>
      <c r="AP27" s="15">
        <f>SUM(AA27:AL27)</f>
        <v/>
      </c>
    </row>
    <row r="28">
      <c r="A28" s="2" t="inlineStr">
        <is>
          <t>Chiffre d'affaires HT</t>
        </is>
      </c>
      <c r="B28" s="4" t="inlineStr">
        <is>
          <t>€ HT</t>
        </is>
      </c>
      <c r="C28" s="40">
        <f>C26-C27</f>
        <v/>
      </c>
      <c r="D28" s="40">
        <f>D26-D27</f>
        <v/>
      </c>
      <c r="E28" s="40">
        <f>E26-E27</f>
        <v/>
      </c>
      <c r="F28" s="40">
        <f>F26-F27</f>
        <v/>
      </c>
      <c r="G28" s="40">
        <f>G26-G27</f>
        <v/>
      </c>
      <c r="H28" s="40">
        <f>H26-H27</f>
        <v/>
      </c>
      <c r="I28" s="40">
        <f>I26-I27</f>
        <v/>
      </c>
      <c r="J28" s="40">
        <f>J26-J27</f>
        <v/>
      </c>
      <c r="K28" s="40">
        <f>K26-K27</f>
        <v/>
      </c>
      <c r="L28" s="40">
        <f>L26-L27</f>
        <v/>
      </c>
      <c r="M28" s="40">
        <f>M26-M27</f>
        <v/>
      </c>
      <c r="N28" s="40">
        <f>N26-N27</f>
        <v/>
      </c>
      <c r="O28" s="40">
        <f>O26-O27</f>
        <v/>
      </c>
      <c r="P28" s="40">
        <f>P26-P27</f>
        <v/>
      </c>
      <c r="Q28" s="40">
        <f>Q26-Q27</f>
        <v/>
      </c>
      <c r="R28" s="40">
        <f>R26-R27</f>
        <v/>
      </c>
      <c r="S28" s="40">
        <f>S26-S27</f>
        <v/>
      </c>
      <c r="T28" s="40">
        <f>T26-T27</f>
        <v/>
      </c>
      <c r="U28" s="40">
        <f>U26-U27</f>
        <v/>
      </c>
      <c r="V28" s="40">
        <f>V26-V27</f>
        <v/>
      </c>
      <c r="W28" s="40">
        <f>W26-W27</f>
        <v/>
      </c>
      <c r="X28" s="40">
        <f>X26-X27</f>
        <v/>
      </c>
      <c r="Y28" s="40">
        <f>Y26-Y27</f>
        <v/>
      </c>
      <c r="Z28" s="40">
        <f>Z26-Z27</f>
        <v/>
      </c>
      <c r="AA28" s="40">
        <f>AA26-AA27</f>
        <v/>
      </c>
      <c r="AB28" s="40">
        <f>AB26-AB27</f>
        <v/>
      </c>
      <c r="AC28" s="40">
        <f>AC26-AC27</f>
        <v/>
      </c>
      <c r="AD28" s="40">
        <f>AD26-AD27</f>
        <v/>
      </c>
      <c r="AE28" s="40">
        <f>AE26-AE27</f>
        <v/>
      </c>
      <c r="AF28" s="40">
        <f>AF26-AF27</f>
        <v/>
      </c>
      <c r="AG28" s="40">
        <f>AG26-AG27</f>
        <v/>
      </c>
      <c r="AH28" s="40">
        <f>AH26-AH27</f>
        <v/>
      </c>
      <c r="AI28" s="40">
        <f>AI26-AI27</f>
        <v/>
      </c>
      <c r="AJ28" s="40">
        <f>AJ26-AJ27</f>
        <v/>
      </c>
      <c r="AK28" s="40">
        <f>AK26-AK27</f>
        <v/>
      </c>
      <c r="AL28" s="40">
        <f>AL26-AL27</f>
        <v/>
      </c>
      <c r="AN28" s="40">
        <f>SUM(C28:N28)</f>
        <v/>
      </c>
      <c r="AO28" s="40">
        <f>SUM(O28:Z28)</f>
        <v/>
      </c>
      <c r="AP28" s="40">
        <f>SUM(AA28:AL28)</f>
        <v/>
      </c>
    </row>
    <row r="29">
      <c r="A29" s="9" t="inlineStr">
        <is>
          <t>Impayés (TTC)</t>
        </is>
      </c>
      <c r="B29" s="4" t="inlineStr">
        <is>
          <t>€ TTC</t>
        </is>
      </c>
      <c r="C29" s="15">
        <f>C26*Hypothèses!$D$27</f>
        <v/>
      </c>
      <c r="D29" s="15">
        <f>D26*Hypothèses!$D$27</f>
        <v/>
      </c>
      <c r="E29" s="15">
        <f>E26*Hypothèses!$D$27</f>
        <v/>
      </c>
      <c r="F29" s="15">
        <f>F26*Hypothèses!$D$27</f>
        <v/>
      </c>
      <c r="G29" s="15">
        <f>G26*Hypothèses!$D$27</f>
        <v/>
      </c>
      <c r="H29" s="15">
        <f>H26*Hypothèses!$D$27</f>
        <v/>
      </c>
      <c r="I29" s="15">
        <f>I26*Hypothèses!$D$27</f>
        <v/>
      </c>
      <c r="J29" s="15">
        <f>J26*Hypothèses!$D$27</f>
        <v/>
      </c>
      <c r="K29" s="15">
        <f>K26*Hypothèses!$D$27</f>
        <v/>
      </c>
      <c r="L29" s="15">
        <f>L26*Hypothèses!$D$27</f>
        <v/>
      </c>
      <c r="M29" s="15">
        <f>M26*Hypothèses!$D$27</f>
        <v/>
      </c>
      <c r="N29" s="15">
        <f>N26*Hypothèses!$D$27</f>
        <v/>
      </c>
      <c r="O29" s="15">
        <f>O26*Hypothèses!$D$27</f>
        <v/>
      </c>
      <c r="P29" s="15">
        <f>P26*Hypothèses!$D$27</f>
        <v/>
      </c>
      <c r="Q29" s="15">
        <f>Q26*Hypothèses!$D$27</f>
        <v/>
      </c>
      <c r="R29" s="15">
        <f>R26*Hypothèses!$D$27</f>
        <v/>
      </c>
      <c r="S29" s="15">
        <f>S26*Hypothèses!$D$27</f>
        <v/>
      </c>
      <c r="T29" s="15">
        <f>T26*Hypothèses!$D$27</f>
        <v/>
      </c>
      <c r="U29" s="15">
        <f>U26*Hypothèses!$D$27</f>
        <v/>
      </c>
      <c r="V29" s="15">
        <f>V26*Hypothèses!$D$27</f>
        <v/>
      </c>
      <c r="W29" s="15">
        <f>W26*Hypothèses!$D$27</f>
        <v/>
      </c>
      <c r="X29" s="15">
        <f>X26*Hypothèses!$D$27</f>
        <v/>
      </c>
      <c r="Y29" s="15">
        <f>Y26*Hypothèses!$D$27</f>
        <v/>
      </c>
      <c r="Z29" s="15">
        <f>Z26*Hypothèses!$D$27</f>
        <v/>
      </c>
      <c r="AA29" s="15">
        <f>AA26*Hypothèses!$D$27</f>
        <v/>
      </c>
      <c r="AB29" s="15">
        <f>AB26*Hypothèses!$D$27</f>
        <v/>
      </c>
      <c r="AC29" s="15">
        <f>AC26*Hypothèses!$D$27</f>
        <v/>
      </c>
      <c r="AD29" s="15">
        <f>AD26*Hypothèses!$D$27</f>
        <v/>
      </c>
      <c r="AE29" s="15">
        <f>AE26*Hypothèses!$D$27</f>
        <v/>
      </c>
      <c r="AF29" s="15">
        <f>AF26*Hypothèses!$D$27</f>
        <v/>
      </c>
      <c r="AG29" s="15">
        <f>AG26*Hypothèses!$D$27</f>
        <v/>
      </c>
      <c r="AH29" s="15">
        <f>AH26*Hypothèses!$D$27</f>
        <v/>
      </c>
      <c r="AI29" s="15">
        <f>AI26*Hypothèses!$D$27</f>
        <v/>
      </c>
      <c r="AJ29" s="15">
        <f>AJ26*Hypothèses!$D$27</f>
        <v/>
      </c>
      <c r="AK29" s="15">
        <f>AK26*Hypothèses!$D$27</f>
        <v/>
      </c>
      <c r="AL29" s="15">
        <f>AL26*Hypothèses!$D$27</f>
        <v/>
      </c>
      <c r="AN29" s="15">
        <f>SUM(C29:N29)</f>
        <v/>
      </c>
      <c r="AO29" s="15">
        <f>SUM(O29:Z29)</f>
        <v/>
      </c>
      <c r="AP29" s="15">
        <f>SUM(AA29:AL29)</f>
        <v/>
      </c>
    </row>
    <row r="30">
      <c r="A30" s="9" t="inlineStr">
        <is>
          <t>Frais de paiement</t>
        </is>
      </c>
      <c r="B30" s="4" t="inlineStr">
        <is>
          <t>€</t>
        </is>
      </c>
      <c r="C30" s="15">
        <f>(C26-C29)*Hypothèses!$D$28+C18*Hypothèses!$D$29</f>
        <v/>
      </c>
      <c r="D30" s="15">
        <f>(D26-D29)*Hypothèses!$D$28+D18*Hypothèses!$D$29</f>
        <v/>
      </c>
      <c r="E30" s="15">
        <f>(E26-E29)*Hypothèses!$D$28+E18*Hypothèses!$D$29</f>
        <v/>
      </c>
      <c r="F30" s="15">
        <f>(F26-F29)*Hypothèses!$D$28+F18*Hypothèses!$D$29</f>
        <v/>
      </c>
      <c r="G30" s="15">
        <f>(G26-G29)*Hypothèses!$D$28+G18*Hypothèses!$D$29</f>
        <v/>
      </c>
      <c r="H30" s="15">
        <f>(H26-H29)*Hypothèses!$D$28+H18*Hypothèses!$D$29</f>
        <v/>
      </c>
      <c r="I30" s="15">
        <f>(I26-I29)*Hypothèses!$D$28+I18*Hypothèses!$D$29</f>
        <v/>
      </c>
      <c r="J30" s="15">
        <f>(J26-J29)*Hypothèses!$D$28+J18*Hypothèses!$D$29</f>
        <v/>
      </c>
      <c r="K30" s="15">
        <f>(K26-K29)*Hypothèses!$D$28+K18*Hypothèses!$D$29</f>
        <v/>
      </c>
      <c r="L30" s="15">
        <f>(L26-L29)*Hypothèses!$D$28+L18*Hypothèses!$D$29</f>
        <v/>
      </c>
      <c r="M30" s="15">
        <f>(M26-M29)*Hypothèses!$D$28+M18*Hypothèses!$D$29</f>
        <v/>
      </c>
      <c r="N30" s="15">
        <f>(N26-N29)*Hypothèses!$D$28+N18*Hypothèses!$D$29</f>
        <v/>
      </c>
      <c r="O30" s="15">
        <f>(O26-O29)*Hypothèses!$D$28+O18*Hypothèses!$D$29</f>
        <v/>
      </c>
      <c r="P30" s="15">
        <f>(P26-P29)*Hypothèses!$D$28+P18*Hypothèses!$D$29</f>
        <v/>
      </c>
      <c r="Q30" s="15">
        <f>(Q26-Q29)*Hypothèses!$D$28+Q18*Hypothèses!$D$29</f>
        <v/>
      </c>
      <c r="R30" s="15">
        <f>(R26-R29)*Hypothèses!$D$28+R18*Hypothèses!$D$29</f>
        <v/>
      </c>
      <c r="S30" s="15">
        <f>(S26-S29)*Hypothèses!$D$28+S18*Hypothèses!$D$29</f>
        <v/>
      </c>
      <c r="T30" s="15">
        <f>(T26-T29)*Hypothèses!$D$28+T18*Hypothèses!$D$29</f>
        <v/>
      </c>
      <c r="U30" s="15">
        <f>(U26-U29)*Hypothèses!$D$28+U18*Hypothèses!$D$29</f>
        <v/>
      </c>
      <c r="V30" s="15">
        <f>(V26-V29)*Hypothèses!$D$28+V18*Hypothèses!$D$29</f>
        <v/>
      </c>
      <c r="W30" s="15">
        <f>(W26-W29)*Hypothèses!$D$28+W18*Hypothèses!$D$29</f>
        <v/>
      </c>
      <c r="X30" s="15">
        <f>(X26-X29)*Hypothèses!$D$28+X18*Hypothèses!$D$29</f>
        <v/>
      </c>
      <c r="Y30" s="15">
        <f>(Y26-Y29)*Hypothèses!$D$28+Y18*Hypothèses!$D$29</f>
        <v/>
      </c>
      <c r="Z30" s="15">
        <f>(Z26-Z29)*Hypothèses!$D$28+Z18*Hypothèses!$D$29</f>
        <v/>
      </c>
      <c r="AA30" s="15">
        <f>(AA26-AA29)*Hypothèses!$D$28+AA18*Hypothèses!$D$29</f>
        <v/>
      </c>
      <c r="AB30" s="15">
        <f>(AB26-AB29)*Hypothèses!$D$28+AB18*Hypothèses!$D$29</f>
        <v/>
      </c>
      <c r="AC30" s="15">
        <f>(AC26-AC29)*Hypothèses!$D$28+AC18*Hypothèses!$D$29</f>
        <v/>
      </c>
      <c r="AD30" s="15">
        <f>(AD26-AD29)*Hypothèses!$D$28+AD18*Hypothèses!$D$29</f>
        <v/>
      </c>
      <c r="AE30" s="15">
        <f>(AE26-AE29)*Hypothèses!$D$28+AE18*Hypothèses!$D$29</f>
        <v/>
      </c>
      <c r="AF30" s="15">
        <f>(AF26-AF29)*Hypothèses!$D$28+AF18*Hypothèses!$D$29</f>
        <v/>
      </c>
      <c r="AG30" s="15">
        <f>(AG26-AG29)*Hypothèses!$D$28+AG18*Hypothèses!$D$29</f>
        <v/>
      </c>
      <c r="AH30" s="15">
        <f>(AH26-AH29)*Hypothèses!$D$28+AH18*Hypothèses!$D$29</f>
        <v/>
      </c>
      <c r="AI30" s="15">
        <f>(AI26-AI29)*Hypothèses!$D$28+AI18*Hypothèses!$D$29</f>
        <v/>
      </c>
      <c r="AJ30" s="15">
        <f>(AJ26-AJ29)*Hypothèses!$D$28+AJ18*Hypothèses!$D$29</f>
        <v/>
      </c>
      <c r="AK30" s="15">
        <f>(AK26-AK29)*Hypothèses!$D$28+AK18*Hypothèses!$D$29</f>
        <v/>
      </c>
      <c r="AL30" s="15">
        <f>(AL26-AL29)*Hypothèses!$D$28+AL18*Hypothèses!$D$29</f>
        <v/>
      </c>
      <c r="AN30" s="15">
        <f>SUM(C30:N30)</f>
        <v/>
      </c>
      <c r="AO30" s="15">
        <f>SUM(O30:Z30)</f>
        <v/>
      </c>
      <c r="AP30" s="15">
        <f>SUM(AA30:AL30)</f>
        <v/>
      </c>
    </row>
    <row r="31">
      <c r="A31" s="2" t="inlineStr">
        <is>
          <t>Encaissements nets TTC</t>
        </is>
      </c>
      <c r="B31" s="4" t="inlineStr">
        <is>
          <t>€ TTC</t>
        </is>
      </c>
      <c r="C31" s="40">
        <f>C26-C29-C30</f>
        <v/>
      </c>
      <c r="D31" s="40">
        <f>D26-D29-D30</f>
        <v/>
      </c>
      <c r="E31" s="40">
        <f>E26-E29-E30</f>
        <v/>
      </c>
      <c r="F31" s="40">
        <f>F26-F29-F30</f>
        <v/>
      </c>
      <c r="G31" s="40">
        <f>G26-G29-G30</f>
        <v/>
      </c>
      <c r="H31" s="40">
        <f>H26-H29-H30</f>
        <v/>
      </c>
      <c r="I31" s="40">
        <f>I26-I29-I30</f>
        <v/>
      </c>
      <c r="J31" s="40">
        <f>J26-J29-J30</f>
        <v/>
      </c>
      <c r="K31" s="40">
        <f>K26-K29-K30</f>
        <v/>
      </c>
      <c r="L31" s="40">
        <f>L26-L29-L30</f>
        <v/>
      </c>
      <c r="M31" s="40">
        <f>M26-M29-M30</f>
        <v/>
      </c>
      <c r="N31" s="40">
        <f>N26-N29-N30</f>
        <v/>
      </c>
      <c r="O31" s="40">
        <f>O26-O29-O30</f>
        <v/>
      </c>
      <c r="P31" s="40">
        <f>P26-P29-P30</f>
        <v/>
      </c>
      <c r="Q31" s="40">
        <f>Q26-Q29-Q30</f>
        <v/>
      </c>
      <c r="R31" s="40">
        <f>R26-R29-R30</f>
        <v/>
      </c>
      <c r="S31" s="40">
        <f>S26-S29-S30</f>
        <v/>
      </c>
      <c r="T31" s="40">
        <f>T26-T29-T30</f>
        <v/>
      </c>
      <c r="U31" s="40">
        <f>U26-U29-U30</f>
        <v/>
      </c>
      <c r="V31" s="40">
        <f>V26-V29-V30</f>
        <v/>
      </c>
      <c r="W31" s="40">
        <f>W26-W29-W30</f>
        <v/>
      </c>
      <c r="X31" s="40">
        <f>X26-X29-X30</f>
        <v/>
      </c>
      <c r="Y31" s="40">
        <f>Y26-Y29-Y30</f>
        <v/>
      </c>
      <c r="Z31" s="40">
        <f>Z26-Z29-Z30</f>
        <v/>
      </c>
      <c r="AA31" s="40">
        <f>AA26-AA29-AA30</f>
        <v/>
      </c>
      <c r="AB31" s="40">
        <f>AB26-AB29-AB30</f>
        <v/>
      </c>
      <c r="AC31" s="40">
        <f>AC26-AC29-AC30</f>
        <v/>
      </c>
      <c r="AD31" s="40">
        <f>AD26-AD29-AD30</f>
        <v/>
      </c>
      <c r="AE31" s="40">
        <f>AE26-AE29-AE30</f>
        <v/>
      </c>
      <c r="AF31" s="40">
        <f>AF26-AF29-AF30</f>
        <v/>
      </c>
      <c r="AG31" s="40">
        <f>AG26-AG29-AG30</f>
        <v/>
      </c>
      <c r="AH31" s="40">
        <f>AH26-AH29-AH30</f>
        <v/>
      </c>
      <c r="AI31" s="40">
        <f>AI26-AI29-AI30</f>
        <v/>
      </c>
      <c r="AJ31" s="40">
        <f>AJ26-AJ29-AJ30</f>
        <v/>
      </c>
      <c r="AK31" s="40">
        <f>AK26-AK29-AK30</f>
        <v/>
      </c>
      <c r="AL31" s="40">
        <f>AL26-AL29-AL30</f>
        <v/>
      </c>
      <c r="AN31" s="40">
        <f>SUM(C31:N31)</f>
        <v/>
      </c>
      <c r="AO31" s="40">
        <f>SUM(O31:Z31)</f>
        <v/>
      </c>
      <c r="AP31" s="40">
        <f>SUM(AA31:AL31)</f>
        <v/>
      </c>
    </row>
    <row r="32">
      <c r="A32" s="8" t="inlineStr">
        <is>
          <t>Coûts variables</t>
        </is>
      </c>
    </row>
    <row r="33">
      <c r="A33" s="9" t="inlineStr">
        <is>
          <t>Coût IA et outils (missions × coût par mission)</t>
        </is>
      </c>
      <c r="B33" s="4" t="inlineStr">
        <is>
          <t>€ HT</t>
        </is>
      </c>
      <c r="C33" s="15">
        <f>(C19*Hypothèses!$D$31+C20*Hypothèses!$D$32+C21*Hypothèses!$D$33)*Hypothèses!$D$34*$F$4</f>
        <v/>
      </c>
      <c r="D33" s="15">
        <f>(D19*Hypothèses!$D$31+D20*Hypothèses!$D$32+D21*Hypothèses!$D$33)*Hypothèses!$D$34*$F$4</f>
        <v/>
      </c>
      <c r="E33" s="15">
        <f>(E19*Hypothèses!$D$31+E20*Hypothèses!$D$32+E21*Hypothèses!$D$33)*Hypothèses!$D$34*$F$4</f>
        <v/>
      </c>
      <c r="F33" s="15">
        <f>(F19*Hypothèses!$D$31+F20*Hypothèses!$D$32+F21*Hypothèses!$D$33)*Hypothèses!$D$34*$F$4</f>
        <v/>
      </c>
      <c r="G33" s="15">
        <f>(G19*Hypothèses!$D$31+G20*Hypothèses!$D$32+G21*Hypothèses!$D$33)*Hypothèses!$D$34*$F$4</f>
        <v/>
      </c>
      <c r="H33" s="15">
        <f>(H19*Hypothèses!$D$31+H20*Hypothèses!$D$32+H21*Hypothèses!$D$33)*Hypothèses!$D$34*$F$4</f>
        <v/>
      </c>
      <c r="I33" s="15">
        <f>(I19*Hypothèses!$D$31+I20*Hypothèses!$D$32+I21*Hypothèses!$D$33)*Hypothèses!$D$34*$F$4</f>
        <v/>
      </c>
      <c r="J33" s="15">
        <f>(J19*Hypothèses!$D$31+J20*Hypothèses!$D$32+J21*Hypothèses!$D$33)*Hypothèses!$D$34*$F$4</f>
        <v/>
      </c>
      <c r="K33" s="15">
        <f>(K19*Hypothèses!$D$31+K20*Hypothèses!$D$32+K21*Hypothèses!$D$33)*Hypothèses!$D$34*$F$4</f>
        <v/>
      </c>
      <c r="L33" s="15">
        <f>(L19*Hypothèses!$D$31+L20*Hypothèses!$D$32+L21*Hypothèses!$D$33)*Hypothèses!$D$34*$F$4</f>
        <v/>
      </c>
      <c r="M33" s="15">
        <f>(M19*Hypothèses!$D$31+M20*Hypothèses!$D$32+M21*Hypothèses!$D$33)*Hypothèses!$D$34*$F$4</f>
        <v/>
      </c>
      <c r="N33" s="15">
        <f>(N19*Hypothèses!$D$31+N20*Hypothèses!$D$32+N21*Hypothèses!$D$33)*Hypothèses!$D$34*$F$4</f>
        <v/>
      </c>
      <c r="O33" s="15">
        <f>(O19*Hypothèses!$D$31+O20*Hypothèses!$D$32+O21*Hypothèses!$D$33)*Hypothèses!$D$34*$F$4</f>
        <v/>
      </c>
      <c r="P33" s="15">
        <f>(P19*Hypothèses!$D$31+P20*Hypothèses!$D$32+P21*Hypothèses!$D$33)*Hypothèses!$D$34*$F$4</f>
        <v/>
      </c>
      <c r="Q33" s="15">
        <f>(Q19*Hypothèses!$D$31+Q20*Hypothèses!$D$32+Q21*Hypothèses!$D$33)*Hypothèses!$D$34*$F$4</f>
        <v/>
      </c>
      <c r="R33" s="15">
        <f>(R19*Hypothèses!$D$31+R20*Hypothèses!$D$32+R21*Hypothèses!$D$33)*Hypothèses!$D$34*$F$4</f>
        <v/>
      </c>
      <c r="S33" s="15">
        <f>(S19*Hypothèses!$D$31+S20*Hypothèses!$D$32+S21*Hypothèses!$D$33)*Hypothèses!$D$34*$F$4</f>
        <v/>
      </c>
      <c r="T33" s="15">
        <f>(T19*Hypothèses!$D$31+T20*Hypothèses!$D$32+T21*Hypothèses!$D$33)*Hypothèses!$D$34*$F$4</f>
        <v/>
      </c>
      <c r="U33" s="15">
        <f>(U19*Hypothèses!$D$31+U20*Hypothèses!$D$32+U21*Hypothèses!$D$33)*Hypothèses!$D$34*$F$4</f>
        <v/>
      </c>
      <c r="V33" s="15">
        <f>(V19*Hypothèses!$D$31+V20*Hypothèses!$D$32+V21*Hypothèses!$D$33)*Hypothèses!$D$34*$F$4</f>
        <v/>
      </c>
      <c r="W33" s="15">
        <f>(W19*Hypothèses!$D$31+W20*Hypothèses!$D$32+W21*Hypothèses!$D$33)*Hypothèses!$D$34*$F$4</f>
        <v/>
      </c>
      <c r="X33" s="15">
        <f>(X19*Hypothèses!$D$31+X20*Hypothèses!$D$32+X21*Hypothèses!$D$33)*Hypothèses!$D$34*$F$4</f>
        <v/>
      </c>
      <c r="Y33" s="15">
        <f>(Y19*Hypothèses!$D$31+Y20*Hypothèses!$D$32+Y21*Hypothèses!$D$33)*Hypothèses!$D$34*$F$4</f>
        <v/>
      </c>
      <c r="Z33" s="15">
        <f>(Z19*Hypothèses!$D$31+Z20*Hypothèses!$D$32+Z21*Hypothèses!$D$33)*Hypothèses!$D$34*$F$4</f>
        <v/>
      </c>
      <c r="AA33" s="15">
        <f>(AA19*Hypothèses!$D$31+AA20*Hypothèses!$D$32+AA21*Hypothèses!$D$33)*Hypothèses!$D$34*$F$4</f>
        <v/>
      </c>
      <c r="AB33" s="15">
        <f>(AB19*Hypothèses!$D$31+AB20*Hypothèses!$D$32+AB21*Hypothèses!$D$33)*Hypothèses!$D$34*$F$4</f>
        <v/>
      </c>
      <c r="AC33" s="15">
        <f>(AC19*Hypothèses!$D$31+AC20*Hypothèses!$D$32+AC21*Hypothèses!$D$33)*Hypothèses!$D$34*$F$4</f>
        <v/>
      </c>
      <c r="AD33" s="15">
        <f>(AD19*Hypothèses!$D$31+AD20*Hypothèses!$D$32+AD21*Hypothèses!$D$33)*Hypothèses!$D$34*$F$4</f>
        <v/>
      </c>
      <c r="AE33" s="15">
        <f>(AE19*Hypothèses!$D$31+AE20*Hypothèses!$D$32+AE21*Hypothèses!$D$33)*Hypothèses!$D$34*$F$4</f>
        <v/>
      </c>
      <c r="AF33" s="15">
        <f>(AF19*Hypothèses!$D$31+AF20*Hypothèses!$D$32+AF21*Hypothèses!$D$33)*Hypothèses!$D$34*$F$4</f>
        <v/>
      </c>
      <c r="AG33" s="15">
        <f>(AG19*Hypothèses!$D$31+AG20*Hypothèses!$D$32+AG21*Hypothèses!$D$33)*Hypothèses!$D$34*$F$4</f>
        <v/>
      </c>
      <c r="AH33" s="15">
        <f>(AH19*Hypothèses!$D$31+AH20*Hypothèses!$D$32+AH21*Hypothèses!$D$33)*Hypothèses!$D$34*$F$4</f>
        <v/>
      </c>
      <c r="AI33" s="15">
        <f>(AI19*Hypothèses!$D$31+AI20*Hypothèses!$D$32+AI21*Hypothèses!$D$33)*Hypothèses!$D$34*$F$4</f>
        <v/>
      </c>
      <c r="AJ33" s="15">
        <f>(AJ19*Hypothèses!$D$31+AJ20*Hypothèses!$D$32+AJ21*Hypothèses!$D$33)*Hypothèses!$D$34*$F$4</f>
        <v/>
      </c>
      <c r="AK33" s="15">
        <f>(AK19*Hypothèses!$D$31+AK20*Hypothèses!$D$32+AK21*Hypothèses!$D$33)*Hypothèses!$D$34*$F$4</f>
        <v/>
      </c>
      <c r="AL33" s="15">
        <f>(AL19*Hypothèses!$D$31+AL20*Hypothèses!$D$32+AL21*Hypothèses!$D$33)*Hypothèses!$D$34*$F$4</f>
        <v/>
      </c>
      <c r="AN33" s="15">
        <f>SUM(C33:N33)</f>
        <v/>
      </c>
      <c r="AO33" s="15">
        <f>SUM(O33:Z33)</f>
        <v/>
      </c>
      <c r="AP33" s="15">
        <f>SUM(AA33:AL33)</f>
        <v/>
      </c>
    </row>
    <row r="34">
      <c r="A34" s="9" t="inlineStr">
        <is>
          <t>Hébergement, stockage, connecteurs</t>
        </is>
      </c>
      <c r="B34" s="4" t="inlineStr">
        <is>
          <t>€ HT</t>
        </is>
      </c>
      <c r="C34" s="15">
        <f>C18*Hypothèses!$D$35</f>
        <v/>
      </c>
      <c r="D34" s="15">
        <f>D18*Hypothèses!$D$35</f>
        <v/>
      </c>
      <c r="E34" s="15">
        <f>E18*Hypothèses!$D$35</f>
        <v/>
      </c>
      <c r="F34" s="15">
        <f>F18*Hypothèses!$D$35</f>
        <v/>
      </c>
      <c r="G34" s="15">
        <f>G18*Hypothèses!$D$35</f>
        <v/>
      </c>
      <c r="H34" s="15">
        <f>H18*Hypothèses!$D$35</f>
        <v/>
      </c>
      <c r="I34" s="15">
        <f>I18*Hypothèses!$D$35</f>
        <v/>
      </c>
      <c r="J34" s="15">
        <f>J18*Hypothèses!$D$35</f>
        <v/>
      </c>
      <c r="K34" s="15">
        <f>K18*Hypothèses!$D$35</f>
        <v/>
      </c>
      <c r="L34" s="15">
        <f>L18*Hypothèses!$D$35</f>
        <v/>
      </c>
      <c r="M34" s="15">
        <f>M18*Hypothèses!$D$35</f>
        <v/>
      </c>
      <c r="N34" s="15">
        <f>N18*Hypothèses!$D$35</f>
        <v/>
      </c>
      <c r="O34" s="15">
        <f>O18*Hypothèses!$D$35</f>
        <v/>
      </c>
      <c r="P34" s="15">
        <f>P18*Hypothèses!$D$35</f>
        <v/>
      </c>
      <c r="Q34" s="15">
        <f>Q18*Hypothèses!$D$35</f>
        <v/>
      </c>
      <c r="R34" s="15">
        <f>R18*Hypothèses!$D$35</f>
        <v/>
      </c>
      <c r="S34" s="15">
        <f>S18*Hypothèses!$D$35</f>
        <v/>
      </c>
      <c r="T34" s="15">
        <f>T18*Hypothèses!$D$35</f>
        <v/>
      </c>
      <c r="U34" s="15">
        <f>U18*Hypothèses!$D$35</f>
        <v/>
      </c>
      <c r="V34" s="15">
        <f>V18*Hypothèses!$D$35</f>
        <v/>
      </c>
      <c r="W34" s="15">
        <f>W18*Hypothèses!$D$35</f>
        <v/>
      </c>
      <c r="X34" s="15">
        <f>X18*Hypothèses!$D$35</f>
        <v/>
      </c>
      <c r="Y34" s="15">
        <f>Y18*Hypothèses!$D$35</f>
        <v/>
      </c>
      <c r="Z34" s="15">
        <f>Z18*Hypothèses!$D$35</f>
        <v/>
      </c>
      <c r="AA34" s="15">
        <f>AA18*Hypothèses!$D$35</f>
        <v/>
      </c>
      <c r="AB34" s="15">
        <f>AB18*Hypothèses!$D$35</f>
        <v/>
      </c>
      <c r="AC34" s="15">
        <f>AC18*Hypothèses!$D$35</f>
        <v/>
      </c>
      <c r="AD34" s="15">
        <f>AD18*Hypothèses!$D$35</f>
        <v/>
      </c>
      <c r="AE34" s="15">
        <f>AE18*Hypothèses!$D$35</f>
        <v/>
      </c>
      <c r="AF34" s="15">
        <f>AF18*Hypothèses!$D$35</f>
        <v/>
      </c>
      <c r="AG34" s="15">
        <f>AG18*Hypothèses!$D$35</f>
        <v/>
      </c>
      <c r="AH34" s="15">
        <f>AH18*Hypothèses!$D$35</f>
        <v/>
      </c>
      <c r="AI34" s="15">
        <f>AI18*Hypothèses!$D$35</f>
        <v/>
      </c>
      <c r="AJ34" s="15">
        <f>AJ18*Hypothèses!$D$35</f>
        <v/>
      </c>
      <c r="AK34" s="15">
        <f>AK18*Hypothèses!$D$35</f>
        <v/>
      </c>
      <c r="AL34" s="15">
        <f>AL18*Hypothèses!$D$35</f>
        <v/>
      </c>
      <c r="AN34" s="15">
        <f>SUM(C34:N34)</f>
        <v/>
      </c>
      <c r="AO34" s="15">
        <f>SUM(O34:Z34)</f>
        <v/>
      </c>
      <c r="AP34" s="15">
        <f>SUM(AA34:AL34)</f>
        <v/>
      </c>
    </row>
    <row r="35">
      <c r="A35" s="9" t="inlineStr">
        <is>
          <t>Support humain</t>
        </is>
      </c>
      <c r="B35" s="4" t="inlineStr">
        <is>
          <t>€ HT</t>
        </is>
      </c>
      <c r="C35" s="15">
        <f>C18*Hypothèses!$D$36</f>
        <v/>
      </c>
      <c r="D35" s="15">
        <f>D18*Hypothèses!$D$36</f>
        <v/>
      </c>
      <c r="E35" s="15">
        <f>E18*Hypothèses!$D$36</f>
        <v/>
      </c>
      <c r="F35" s="15">
        <f>F18*Hypothèses!$D$36</f>
        <v/>
      </c>
      <c r="G35" s="15">
        <f>G18*Hypothèses!$D$36</f>
        <v/>
      </c>
      <c r="H35" s="15">
        <f>H18*Hypothèses!$D$36</f>
        <v/>
      </c>
      <c r="I35" s="15">
        <f>I18*Hypothèses!$D$36</f>
        <v/>
      </c>
      <c r="J35" s="15">
        <f>J18*Hypothèses!$D$36</f>
        <v/>
      </c>
      <c r="K35" s="15">
        <f>K18*Hypothèses!$D$36</f>
        <v/>
      </c>
      <c r="L35" s="15">
        <f>L18*Hypothèses!$D$36</f>
        <v/>
      </c>
      <c r="M35" s="15">
        <f>M18*Hypothèses!$D$36</f>
        <v/>
      </c>
      <c r="N35" s="15">
        <f>N18*Hypothèses!$D$36</f>
        <v/>
      </c>
      <c r="O35" s="15">
        <f>O18*Hypothèses!$D$36</f>
        <v/>
      </c>
      <c r="P35" s="15">
        <f>P18*Hypothèses!$D$36</f>
        <v/>
      </c>
      <c r="Q35" s="15">
        <f>Q18*Hypothèses!$D$36</f>
        <v/>
      </c>
      <c r="R35" s="15">
        <f>R18*Hypothèses!$D$36</f>
        <v/>
      </c>
      <c r="S35" s="15">
        <f>S18*Hypothèses!$D$36</f>
        <v/>
      </c>
      <c r="T35" s="15">
        <f>T18*Hypothèses!$D$36</f>
        <v/>
      </c>
      <c r="U35" s="15">
        <f>U18*Hypothèses!$D$36</f>
        <v/>
      </c>
      <c r="V35" s="15">
        <f>V18*Hypothèses!$D$36</f>
        <v/>
      </c>
      <c r="W35" s="15">
        <f>W18*Hypothèses!$D$36</f>
        <v/>
      </c>
      <c r="X35" s="15">
        <f>X18*Hypothèses!$D$36</f>
        <v/>
      </c>
      <c r="Y35" s="15">
        <f>Y18*Hypothèses!$D$36</f>
        <v/>
      </c>
      <c r="Z35" s="15">
        <f>Z18*Hypothèses!$D$36</f>
        <v/>
      </c>
      <c r="AA35" s="15">
        <f>AA18*Hypothèses!$D$36</f>
        <v/>
      </c>
      <c r="AB35" s="15">
        <f>AB18*Hypothèses!$D$36</f>
        <v/>
      </c>
      <c r="AC35" s="15">
        <f>AC18*Hypothèses!$D$36</f>
        <v/>
      </c>
      <c r="AD35" s="15">
        <f>AD18*Hypothèses!$D$36</f>
        <v/>
      </c>
      <c r="AE35" s="15">
        <f>AE18*Hypothèses!$D$36</f>
        <v/>
      </c>
      <c r="AF35" s="15">
        <f>AF18*Hypothèses!$D$36</f>
        <v/>
      </c>
      <c r="AG35" s="15">
        <f>AG18*Hypothèses!$D$36</f>
        <v/>
      </c>
      <c r="AH35" s="15">
        <f>AH18*Hypothèses!$D$36</f>
        <v/>
      </c>
      <c r="AI35" s="15">
        <f>AI18*Hypothèses!$D$36</f>
        <v/>
      </c>
      <c r="AJ35" s="15">
        <f>AJ18*Hypothèses!$D$36</f>
        <v/>
      </c>
      <c r="AK35" s="15">
        <f>AK18*Hypothèses!$D$36</f>
        <v/>
      </c>
      <c r="AL35" s="15">
        <f>AL18*Hypothèses!$D$36</f>
        <v/>
      </c>
      <c r="AN35" s="15">
        <f>SUM(C35:N35)</f>
        <v/>
      </c>
      <c r="AO35" s="15">
        <f>SUM(O35:Z35)</f>
        <v/>
      </c>
      <c r="AP35" s="15">
        <f>SUM(AA35:AL35)</f>
        <v/>
      </c>
    </row>
    <row r="36">
      <c r="A36" s="2" t="inlineStr">
        <is>
          <t>Total coûts variables</t>
        </is>
      </c>
      <c r="B36" s="4" t="inlineStr">
        <is>
          <t>€ HT</t>
        </is>
      </c>
      <c r="C36" s="40">
        <f>C33+C34+C35</f>
        <v/>
      </c>
      <c r="D36" s="40">
        <f>D33+D34+D35</f>
        <v/>
      </c>
      <c r="E36" s="40">
        <f>E33+E34+E35</f>
        <v/>
      </c>
      <c r="F36" s="40">
        <f>F33+F34+F35</f>
        <v/>
      </c>
      <c r="G36" s="40">
        <f>G33+G34+G35</f>
        <v/>
      </c>
      <c r="H36" s="40">
        <f>H33+H34+H35</f>
        <v/>
      </c>
      <c r="I36" s="40">
        <f>I33+I34+I35</f>
        <v/>
      </c>
      <c r="J36" s="40">
        <f>J33+J34+J35</f>
        <v/>
      </c>
      <c r="K36" s="40">
        <f>K33+K34+K35</f>
        <v/>
      </c>
      <c r="L36" s="40">
        <f>L33+L34+L35</f>
        <v/>
      </c>
      <c r="M36" s="40">
        <f>M33+M34+M35</f>
        <v/>
      </c>
      <c r="N36" s="40">
        <f>N33+N34+N35</f>
        <v/>
      </c>
      <c r="O36" s="40">
        <f>O33+O34+O35</f>
        <v/>
      </c>
      <c r="P36" s="40">
        <f>P33+P34+P35</f>
        <v/>
      </c>
      <c r="Q36" s="40">
        <f>Q33+Q34+Q35</f>
        <v/>
      </c>
      <c r="R36" s="40">
        <f>R33+R34+R35</f>
        <v/>
      </c>
      <c r="S36" s="40">
        <f>S33+S34+S35</f>
        <v/>
      </c>
      <c r="T36" s="40">
        <f>T33+T34+T35</f>
        <v/>
      </c>
      <c r="U36" s="40">
        <f>U33+U34+U35</f>
        <v/>
      </c>
      <c r="V36" s="40">
        <f>V33+V34+V35</f>
        <v/>
      </c>
      <c r="W36" s="40">
        <f>W33+W34+W35</f>
        <v/>
      </c>
      <c r="X36" s="40">
        <f>X33+X34+X35</f>
        <v/>
      </c>
      <c r="Y36" s="40">
        <f>Y33+Y34+Y35</f>
        <v/>
      </c>
      <c r="Z36" s="40">
        <f>Z33+Z34+Z35</f>
        <v/>
      </c>
      <c r="AA36" s="40">
        <f>AA33+AA34+AA35</f>
        <v/>
      </c>
      <c r="AB36" s="40">
        <f>AB33+AB34+AB35</f>
        <v/>
      </c>
      <c r="AC36" s="40">
        <f>AC33+AC34+AC35</f>
        <v/>
      </c>
      <c r="AD36" s="40">
        <f>AD33+AD34+AD35</f>
        <v/>
      </c>
      <c r="AE36" s="40">
        <f>AE33+AE34+AE35</f>
        <v/>
      </c>
      <c r="AF36" s="40">
        <f>AF33+AF34+AF35</f>
        <v/>
      </c>
      <c r="AG36" s="40">
        <f>AG33+AG34+AG35</f>
        <v/>
      </c>
      <c r="AH36" s="40">
        <f>AH33+AH34+AH35</f>
        <v/>
      </c>
      <c r="AI36" s="40">
        <f>AI33+AI34+AI35</f>
        <v/>
      </c>
      <c r="AJ36" s="40">
        <f>AJ33+AJ34+AJ35</f>
        <v/>
      </c>
      <c r="AK36" s="40">
        <f>AK33+AK34+AK35</f>
        <v/>
      </c>
      <c r="AL36" s="40">
        <f>AL33+AL34+AL35</f>
        <v/>
      </c>
      <c r="AN36" s="40">
        <f>SUM(C36:N36)</f>
        <v/>
      </c>
      <c r="AO36" s="40">
        <f>SUM(O36:Z36)</f>
        <v/>
      </c>
      <c r="AP36" s="40">
        <f>SUM(AA36:AL36)</f>
        <v/>
      </c>
    </row>
    <row r="37">
      <c r="A37" s="2" t="inlineStr">
        <is>
          <t>Marge sur coûts variables (CA HT − variables − frais − impayés HT)</t>
        </is>
      </c>
      <c r="B37" s="4" t="inlineStr">
        <is>
          <t>€ HT</t>
        </is>
      </c>
      <c r="C37" s="40">
        <f>C28-C36-C30-C29/(1+Hypothèses!$D$15)</f>
        <v/>
      </c>
      <c r="D37" s="40">
        <f>D28-D36-D30-D29/(1+Hypothèses!$D$15)</f>
        <v/>
      </c>
      <c r="E37" s="40">
        <f>E28-E36-E30-E29/(1+Hypothèses!$D$15)</f>
        <v/>
      </c>
      <c r="F37" s="40">
        <f>F28-F36-F30-F29/(1+Hypothèses!$D$15)</f>
        <v/>
      </c>
      <c r="G37" s="40">
        <f>G28-G36-G30-G29/(1+Hypothèses!$D$15)</f>
        <v/>
      </c>
      <c r="H37" s="40">
        <f>H28-H36-H30-H29/(1+Hypothèses!$D$15)</f>
        <v/>
      </c>
      <c r="I37" s="40">
        <f>I28-I36-I30-I29/(1+Hypothèses!$D$15)</f>
        <v/>
      </c>
      <c r="J37" s="40">
        <f>J28-J36-J30-J29/(1+Hypothèses!$D$15)</f>
        <v/>
      </c>
      <c r="K37" s="40">
        <f>K28-K36-K30-K29/(1+Hypothèses!$D$15)</f>
        <v/>
      </c>
      <c r="L37" s="40">
        <f>L28-L36-L30-L29/(1+Hypothèses!$D$15)</f>
        <v/>
      </c>
      <c r="M37" s="40">
        <f>M28-M36-M30-M29/(1+Hypothèses!$D$15)</f>
        <v/>
      </c>
      <c r="N37" s="40">
        <f>N28-N36-N30-N29/(1+Hypothèses!$D$15)</f>
        <v/>
      </c>
      <c r="O37" s="40">
        <f>O28-O36-O30-O29/(1+Hypothèses!$D$15)</f>
        <v/>
      </c>
      <c r="P37" s="40">
        <f>P28-P36-P30-P29/(1+Hypothèses!$D$15)</f>
        <v/>
      </c>
      <c r="Q37" s="40">
        <f>Q28-Q36-Q30-Q29/(1+Hypothèses!$D$15)</f>
        <v/>
      </c>
      <c r="R37" s="40">
        <f>R28-R36-R30-R29/(1+Hypothèses!$D$15)</f>
        <v/>
      </c>
      <c r="S37" s="40">
        <f>S28-S36-S30-S29/(1+Hypothèses!$D$15)</f>
        <v/>
      </c>
      <c r="T37" s="40">
        <f>T28-T36-T30-T29/(1+Hypothèses!$D$15)</f>
        <v/>
      </c>
      <c r="U37" s="40">
        <f>U28-U36-U30-U29/(1+Hypothèses!$D$15)</f>
        <v/>
      </c>
      <c r="V37" s="40">
        <f>V28-V36-V30-V29/(1+Hypothèses!$D$15)</f>
        <v/>
      </c>
      <c r="W37" s="40">
        <f>W28-W36-W30-W29/(1+Hypothèses!$D$15)</f>
        <v/>
      </c>
      <c r="X37" s="40">
        <f>X28-X36-X30-X29/(1+Hypothèses!$D$15)</f>
        <v/>
      </c>
      <c r="Y37" s="40">
        <f>Y28-Y36-Y30-Y29/(1+Hypothèses!$D$15)</f>
        <v/>
      </c>
      <c r="Z37" s="40">
        <f>Z28-Z36-Z30-Z29/(1+Hypothèses!$D$15)</f>
        <v/>
      </c>
      <c r="AA37" s="40">
        <f>AA28-AA36-AA30-AA29/(1+Hypothèses!$D$15)</f>
        <v/>
      </c>
      <c r="AB37" s="40">
        <f>AB28-AB36-AB30-AB29/(1+Hypothèses!$D$15)</f>
        <v/>
      </c>
      <c r="AC37" s="40">
        <f>AC28-AC36-AC30-AC29/(1+Hypothèses!$D$15)</f>
        <v/>
      </c>
      <c r="AD37" s="40">
        <f>AD28-AD36-AD30-AD29/(1+Hypothèses!$D$15)</f>
        <v/>
      </c>
      <c r="AE37" s="40">
        <f>AE28-AE36-AE30-AE29/(1+Hypothèses!$D$15)</f>
        <v/>
      </c>
      <c r="AF37" s="40">
        <f>AF28-AF36-AF30-AF29/(1+Hypothèses!$D$15)</f>
        <v/>
      </c>
      <c r="AG37" s="40">
        <f>AG28-AG36-AG30-AG29/(1+Hypothèses!$D$15)</f>
        <v/>
      </c>
      <c r="AH37" s="40">
        <f>AH28-AH36-AH30-AH29/(1+Hypothèses!$D$15)</f>
        <v/>
      </c>
      <c r="AI37" s="40">
        <f>AI28-AI36-AI30-AI29/(1+Hypothèses!$D$15)</f>
        <v/>
      </c>
      <c r="AJ37" s="40">
        <f>AJ28-AJ36-AJ30-AJ29/(1+Hypothèses!$D$15)</f>
        <v/>
      </c>
      <c r="AK37" s="40">
        <f>AK28-AK36-AK30-AK29/(1+Hypothèses!$D$15)</f>
        <v/>
      </c>
      <c r="AL37" s="40">
        <f>AL28-AL36-AL30-AL29/(1+Hypothèses!$D$15)</f>
        <v/>
      </c>
      <c r="AN37" s="40">
        <f>SUM(C37:N37)</f>
        <v/>
      </c>
      <c r="AO37" s="40">
        <f>SUM(O37:Z37)</f>
        <v/>
      </c>
      <c r="AP37" s="40">
        <f>SUM(AA37:AL37)</f>
        <v/>
      </c>
    </row>
    <row r="38">
      <c r="A38" s="8" t="inlineStr">
        <is>
          <t>Acquisition et coûts fixes</t>
        </is>
      </c>
    </row>
    <row r="39">
      <c r="A39" s="9" t="inlineStr">
        <is>
          <t>Dépenses d'acquisition</t>
        </is>
      </c>
      <c r="B39" s="4" t="inlineStr">
        <is>
          <t>€ HT</t>
        </is>
      </c>
      <c r="C39" s="15">
        <f>C11</f>
        <v/>
      </c>
      <c r="D39" s="15">
        <f>D11</f>
        <v/>
      </c>
      <c r="E39" s="15">
        <f>E11</f>
        <v/>
      </c>
      <c r="F39" s="15">
        <f>F11</f>
        <v/>
      </c>
      <c r="G39" s="15">
        <f>G11</f>
        <v/>
      </c>
      <c r="H39" s="15">
        <f>H11</f>
        <v/>
      </c>
      <c r="I39" s="15">
        <f>I11</f>
        <v/>
      </c>
      <c r="J39" s="15">
        <f>J11</f>
        <v/>
      </c>
      <c r="K39" s="15">
        <f>K11</f>
        <v/>
      </c>
      <c r="L39" s="15">
        <f>L11</f>
        <v/>
      </c>
      <c r="M39" s="15">
        <f>M11</f>
        <v/>
      </c>
      <c r="N39" s="15">
        <f>N11</f>
        <v/>
      </c>
      <c r="O39" s="15">
        <f>O11</f>
        <v/>
      </c>
      <c r="P39" s="15">
        <f>P11</f>
        <v/>
      </c>
      <c r="Q39" s="15">
        <f>Q11</f>
        <v/>
      </c>
      <c r="R39" s="15">
        <f>R11</f>
        <v/>
      </c>
      <c r="S39" s="15">
        <f>S11</f>
        <v/>
      </c>
      <c r="T39" s="15">
        <f>T11</f>
        <v/>
      </c>
      <c r="U39" s="15">
        <f>U11</f>
        <v/>
      </c>
      <c r="V39" s="15">
        <f>V11</f>
        <v/>
      </c>
      <c r="W39" s="15">
        <f>W11</f>
        <v/>
      </c>
      <c r="X39" s="15">
        <f>X11</f>
        <v/>
      </c>
      <c r="Y39" s="15">
        <f>Y11</f>
        <v/>
      </c>
      <c r="Z39" s="15">
        <f>Z11</f>
        <v/>
      </c>
      <c r="AA39" s="15">
        <f>AA11</f>
        <v/>
      </c>
      <c r="AB39" s="15">
        <f>AB11</f>
        <v/>
      </c>
      <c r="AC39" s="15">
        <f>AC11</f>
        <v/>
      </c>
      <c r="AD39" s="15">
        <f>AD11</f>
        <v/>
      </c>
      <c r="AE39" s="15">
        <f>AE11</f>
        <v/>
      </c>
      <c r="AF39" s="15">
        <f>AF11</f>
        <v/>
      </c>
      <c r="AG39" s="15">
        <f>AG11</f>
        <v/>
      </c>
      <c r="AH39" s="15">
        <f>AH11</f>
        <v/>
      </c>
      <c r="AI39" s="15">
        <f>AI11</f>
        <v/>
      </c>
      <c r="AJ39" s="15">
        <f>AJ11</f>
        <v/>
      </c>
      <c r="AK39" s="15">
        <f>AK11</f>
        <v/>
      </c>
      <c r="AL39" s="15">
        <f>AL11</f>
        <v/>
      </c>
      <c r="AN39" s="15">
        <f>SUM(C39:N39)</f>
        <v/>
      </c>
      <c r="AO39" s="15">
        <f>SUM(O39:Z39)</f>
        <v/>
      </c>
      <c r="AP39" s="15">
        <f>SUM(AA39:AL39)</f>
        <v/>
      </c>
    </row>
    <row r="40">
      <c r="A40" s="9" t="inlineStr">
        <is>
          <t>Rémunération des fondateurs</t>
        </is>
      </c>
      <c r="B40" s="4" t="inlineStr">
        <is>
          <t>€ HT</t>
        </is>
      </c>
      <c r="C40" s="15">
        <f>IF(C7&gt;=Hypothèses!$D$39,Hypothèses!$D$38*Hypothèses!$D$40,0)*$G$4</f>
        <v/>
      </c>
      <c r="D40" s="15">
        <f>IF(D7&gt;=Hypothèses!$D$39,Hypothèses!$D$38*Hypothèses!$D$40,0)*$G$4</f>
        <v/>
      </c>
      <c r="E40" s="15">
        <f>IF(E7&gt;=Hypothèses!$D$39,Hypothèses!$D$38*Hypothèses!$D$40,0)*$G$4</f>
        <v/>
      </c>
      <c r="F40" s="15">
        <f>IF(F7&gt;=Hypothèses!$D$39,Hypothèses!$D$38*Hypothèses!$D$40,0)*$G$4</f>
        <v/>
      </c>
      <c r="G40" s="15">
        <f>IF(G7&gt;=Hypothèses!$D$39,Hypothèses!$D$38*Hypothèses!$D$40,0)*$G$4</f>
        <v/>
      </c>
      <c r="H40" s="15">
        <f>IF(H7&gt;=Hypothèses!$D$39,Hypothèses!$D$38*Hypothèses!$D$40,0)*$G$4</f>
        <v/>
      </c>
      <c r="I40" s="15">
        <f>IF(I7&gt;=Hypothèses!$D$39,Hypothèses!$D$38*Hypothèses!$D$40,0)*$G$4</f>
        <v/>
      </c>
      <c r="J40" s="15">
        <f>IF(J7&gt;=Hypothèses!$D$39,Hypothèses!$D$38*Hypothèses!$D$40,0)*$G$4</f>
        <v/>
      </c>
      <c r="K40" s="15">
        <f>IF(K7&gt;=Hypothèses!$D$39,Hypothèses!$D$38*Hypothèses!$D$40,0)*$G$4</f>
        <v/>
      </c>
      <c r="L40" s="15">
        <f>IF(L7&gt;=Hypothèses!$D$39,Hypothèses!$D$38*Hypothèses!$D$40,0)*$G$4</f>
        <v/>
      </c>
      <c r="M40" s="15">
        <f>IF(M7&gt;=Hypothèses!$D$39,Hypothèses!$D$38*Hypothèses!$D$40,0)*$G$4</f>
        <v/>
      </c>
      <c r="N40" s="15">
        <f>IF(N7&gt;=Hypothèses!$D$39,Hypothèses!$D$38*Hypothèses!$D$40,0)*$G$4</f>
        <v/>
      </c>
      <c r="O40" s="15">
        <f>IF(O7&gt;=Hypothèses!$D$39,Hypothèses!$D$38*Hypothèses!$D$40,0)*$G$4</f>
        <v/>
      </c>
      <c r="P40" s="15">
        <f>IF(P7&gt;=Hypothèses!$D$39,Hypothèses!$D$38*Hypothèses!$D$40,0)*$G$4</f>
        <v/>
      </c>
      <c r="Q40" s="15">
        <f>IF(Q7&gt;=Hypothèses!$D$39,Hypothèses!$D$38*Hypothèses!$D$40,0)*$G$4</f>
        <v/>
      </c>
      <c r="R40" s="15">
        <f>IF(R7&gt;=Hypothèses!$D$39,Hypothèses!$D$38*Hypothèses!$D$40,0)*$G$4</f>
        <v/>
      </c>
      <c r="S40" s="15">
        <f>IF(S7&gt;=Hypothèses!$D$39,Hypothèses!$D$38*Hypothèses!$D$40,0)*$G$4</f>
        <v/>
      </c>
      <c r="T40" s="15">
        <f>IF(T7&gt;=Hypothèses!$D$39,Hypothèses!$D$38*Hypothèses!$D$40,0)*$G$4</f>
        <v/>
      </c>
      <c r="U40" s="15">
        <f>IF(U7&gt;=Hypothèses!$D$39,Hypothèses!$D$38*Hypothèses!$D$40,0)*$G$4</f>
        <v/>
      </c>
      <c r="V40" s="15">
        <f>IF(V7&gt;=Hypothèses!$D$39,Hypothèses!$D$38*Hypothèses!$D$40,0)*$G$4</f>
        <v/>
      </c>
      <c r="W40" s="15">
        <f>IF(W7&gt;=Hypothèses!$D$39,Hypothèses!$D$38*Hypothèses!$D$40,0)*$G$4</f>
        <v/>
      </c>
      <c r="X40" s="15">
        <f>IF(X7&gt;=Hypothèses!$D$39,Hypothèses!$D$38*Hypothèses!$D$40,0)*$G$4</f>
        <v/>
      </c>
      <c r="Y40" s="15">
        <f>IF(Y7&gt;=Hypothèses!$D$39,Hypothèses!$D$38*Hypothèses!$D$40,0)*$G$4</f>
        <v/>
      </c>
      <c r="Z40" s="15">
        <f>IF(Z7&gt;=Hypothèses!$D$39,Hypothèses!$D$38*Hypothèses!$D$40,0)*$G$4</f>
        <v/>
      </c>
      <c r="AA40" s="15">
        <f>IF(AA7&gt;=Hypothèses!$D$39,Hypothèses!$D$38*Hypothèses!$D$40,0)*$G$4</f>
        <v/>
      </c>
      <c r="AB40" s="15">
        <f>IF(AB7&gt;=Hypothèses!$D$39,Hypothèses!$D$38*Hypothèses!$D$40,0)*$G$4</f>
        <v/>
      </c>
      <c r="AC40" s="15">
        <f>IF(AC7&gt;=Hypothèses!$D$39,Hypothèses!$D$38*Hypothèses!$D$40,0)*$G$4</f>
        <v/>
      </c>
      <c r="AD40" s="15">
        <f>IF(AD7&gt;=Hypothèses!$D$39,Hypothèses!$D$38*Hypothèses!$D$40,0)*$G$4</f>
        <v/>
      </c>
      <c r="AE40" s="15">
        <f>IF(AE7&gt;=Hypothèses!$D$39,Hypothèses!$D$38*Hypothèses!$D$40,0)*$G$4</f>
        <v/>
      </c>
      <c r="AF40" s="15">
        <f>IF(AF7&gt;=Hypothèses!$D$39,Hypothèses!$D$38*Hypothèses!$D$40,0)*$G$4</f>
        <v/>
      </c>
      <c r="AG40" s="15">
        <f>IF(AG7&gt;=Hypothèses!$D$39,Hypothèses!$D$38*Hypothèses!$D$40,0)*$G$4</f>
        <v/>
      </c>
      <c r="AH40" s="15">
        <f>IF(AH7&gt;=Hypothèses!$D$39,Hypothèses!$D$38*Hypothèses!$D$40,0)*$G$4</f>
        <v/>
      </c>
      <c r="AI40" s="15">
        <f>IF(AI7&gt;=Hypothèses!$D$39,Hypothèses!$D$38*Hypothèses!$D$40,0)*$G$4</f>
        <v/>
      </c>
      <c r="AJ40" s="15">
        <f>IF(AJ7&gt;=Hypothèses!$D$39,Hypothèses!$D$38*Hypothèses!$D$40,0)*$G$4</f>
        <v/>
      </c>
      <c r="AK40" s="15">
        <f>IF(AK7&gt;=Hypothèses!$D$39,Hypothèses!$D$38*Hypothèses!$D$40,0)*$G$4</f>
        <v/>
      </c>
      <c r="AL40" s="15">
        <f>IF(AL7&gt;=Hypothèses!$D$39,Hypothèses!$D$38*Hypothèses!$D$40,0)*$G$4</f>
        <v/>
      </c>
      <c r="AN40" s="15">
        <f>SUM(C40:N40)</f>
        <v/>
      </c>
      <c r="AO40" s="15">
        <f>SUM(O40:Z40)</f>
        <v/>
      </c>
      <c r="AP40" s="15">
        <f>SUM(AA40:AL40)</f>
        <v/>
      </c>
    </row>
    <row r="41">
      <c r="A41" s="9" t="inlineStr">
        <is>
          <t>Salarié 1 (growth / customer success)</t>
        </is>
      </c>
      <c r="B41" s="4" t="inlineStr">
        <is>
          <t>€ HT</t>
        </is>
      </c>
      <c r="C41" s="15">
        <f>IF(C7&gt;=Hypothèses!$D$41,Hypothèses!$D$42,0)*$G$4</f>
        <v/>
      </c>
      <c r="D41" s="15">
        <f>IF(D7&gt;=Hypothèses!$D$41,Hypothèses!$D$42,0)*$G$4</f>
        <v/>
      </c>
      <c r="E41" s="15">
        <f>IF(E7&gt;=Hypothèses!$D$41,Hypothèses!$D$42,0)*$G$4</f>
        <v/>
      </c>
      <c r="F41" s="15">
        <f>IF(F7&gt;=Hypothèses!$D$41,Hypothèses!$D$42,0)*$G$4</f>
        <v/>
      </c>
      <c r="G41" s="15">
        <f>IF(G7&gt;=Hypothèses!$D$41,Hypothèses!$D$42,0)*$G$4</f>
        <v/>
      </c>
      <c r="H41" s="15">
        <f>IF(H7&gt;=Hypothèses!$D$41,Hypothèses!$D$42,0)*$G$4</f>
        <v/>
      </c>
      <c r="I41" s="15">
        <f>IF(I7&gt;=Hypothèses!$D$41,Hypothèses!$D$42,0)*$G$4</f>
        <v/>
      </c>
      <c r="J41" s="15">
        <f>IF(J7&gt;=Hypothèses!$D$41,Hypothèses!$D$42,0)*$G$4</f>
        <v/>
      </c>
      <c r="K41" s="15">
        <f>IF(K7&gt;=Hypothèses!$D$41,Hypothèses!$D$42,0)*$G$4</f>
        <v/>
      </c>
      <c r="L41" s="15">
        <f>IF(L7&gt;=Hypothèses!$D$41,Hypothèses!$D$42,0)*$G$4</f>
        <v/>
      </c>
      <c r="M41" s="15">
        <f>IF(M7&gt;=Hypothèses!$D$41,Hypothèses!$D$42,0)*$G$4</f>
        <v/>
      </c>
      <c r="N41" s="15">
        <f>IF(N7&gt;=Hypothèses!$D$41,Hypothèses!$D$42,0)*$G$4</f>
        <v/>
      </c>
      <c r="O41" s="15">
        <f>IF(O7&gt;=Hypothèses!$D$41,Hypothèses!$D$42,0)*$G$4</f>
        <v/>
      </c>
      <c r="P41" s="15">
        <f>IF(P7&gt;=Hypothèses!$D$41,Hypothèses!$D$42,0)*$G$4</f>
        <v/>
      </c>
      <c r="Q41" s="15">
        <f>IF(Q7&gt;=Hypothèses!$D$41,Hypothèses!$D$42,0)*$G$4</f>
        <v/>
      </c>
      <c r="R41" s="15">
        <f>IF(R7&gt;=Hypothèses!$D$41,Hypothèses!$D$42,0)*$G$4</f>
        <v/>
      </c>
      <c r="S41" s="15">
        <f>IF(S7&gt;=Hypothèses!$D$41,Hypothèses!$D$42,0)*$G$4</f>
        <v/>
      </c>
      <c r="T41" s="15">
        <f>IF(T7&gt;=Hypothèses!$D$41,Hypothèses!$D$42,0)*$G$4</f>
        <v/>
      </c>
      <c r="U41" s="15">
        <f>IF(U7&gt;=Hypothèses!$D$41,Hypothèses!$D$42,0)*$G$4</f>
        <v/>
      </c>
      <c r="V41" s="15">
        <f>IF(V7&gt;=Hypothèses!$D$41,Hypothèses!$D$42,0)*$G$4</f>
        <v/>
      </c>
      <c r="W41" s="15">
        <f>IF(W7&gt;=Hypothèses!$D$41,Hypothèses!$D$42,0)*$G$4</f>
        <v/>
      </c>
      <c r="X41" s="15">
        <f>IF(X7&gt;=Hypothèses!$D$41,Hypothèses!$D$42,0)*$G$4</f>
        <v/>
      </c>
      <c r="Y41" s="15">
        <f>IF(Y7&gt;=Hypothèses!$D$41,Hypothèses!$D$42,0)*$G$4</f>
        <v/>
      </c>
      <c r="Z41" s="15">
        <f>IF(Z7&gt;=Hypothèses!$D$41,Hypothèses!$D$42,0)*$G$4</f>
        <v/>
      </c>
      <c r="AA41" s="15">
        <f>IF(AA7&gt;=Hypothèses!$D$41,Hypothèses!$D$42,0)*$G$4</f>
        <v/>
      </c>
      <c r="AB41" s="15">
        <f>IF(AB7&gt;=Hypothèses!$D$41,Hypothèses!$D$42,0)*$G$4</f>
        <v/>
      </c>
      <c r="AC41" s="15">
        <f>IF(AC7&gt;=Hypothèses!$D$41,Hypothèses!$D$42,0)*$G$4</f>
        <v/>
      </c>
      <c r="AD41" s="15">
        <f>IF(AD7&gt;=Hypothèses!$D$41,Hypothèses!$D$42,0)*$G$4</f>
        <v/>
      </c>
      <c r="AE41" s="15">
        <f>IF(AE7&gt;=Hypothèses!$D$41,Hypothèses!$D$42,0)*$G$4</f>
        <v/>
      </c>
      <c r="AF41" s="15">
        <f>IF(AF7&gt;=Hypothèses!$D$41,Hypothèses!$D$42,0)*$G$4</f>
        <v/>
      </c>
      <c r="AG41" s="15">
        <f>IF(AG7&gt;=Hypothèses!$D$41,Hypothèses!$D$42,0)*$G$4</f>
        <v/>
      </c>
      <c r="AH41" s="15">
        <f>IF(AH7&gt;=Hypothèses!$D$41,Hypothèses!$D$42,0)*$G$4</f>
        <v/>
      </c>
      <c r="AI41" s="15">
        <f>IF(AI7&gt;=Hypothèses!$D$41,Hypothèses!$D$42,0)*$G$4</f>
        <v/>
      </c>
      <c r="AJ41" s="15">
        <f>IF(AJ7&gt;=Hypothèses!$D$41,Hypothèses!$D$42,0)*$G$4</f>
        <v/>
      </c>
      <c r="AK41" s="15">
        <f>IF(AK7&gt;=Hypothèses!$D$41,Hypothèses!$D$42,0)*$G$4</f>
        <v/>
      </c>
      <c r="AL41" s="15">
        <f>IF(AL7&gt;=Hypothèses!$D$41,Hypothèses!$D$42,0)*$G$4</f>
        <v/>
      </c>
      <c r="AN41" s="15">
        <f>SUM(C41:N41)</f>
        <v/>
      </c>
      <c r="AO41" s="15">
        <f>SUM(O41:Z41)</f>
        <v/>
      </c>
      <c r="AP41" s="15">
        <f>SUM(AA41:AL41)</f>
        <v/>
      </c>
    </row>
    <row r="42">
      <c r="A42" s="9" t="inlineStr">
        <is>
          <t>Salarié 2 (ingénieur)</t>
        </is>
      </c>
      <c r="B42" s="4" t="inlineStr">
        <is>
          <t>€ HT</t>
        </is>
      </c>
      <c r="C42" s="15">
        <f>IF(C7&gt;=Hypothèses!$D$43,Hypothèses!$D$44,0)*$G$4</f>
        <v/>
      </c>
      <c r="D42" s="15">
        <f>IF(D7&gt;=Hypothèses!$D$43,Hypothèses!$D$44,0)*$G$4</f>
        <v/>
      </c>
      <c r="E42" s="15">
        <f>IF(E7&gt;=Hypothèses!$D$43,Hypothèses!$D$44,0)*$G$4</f>
        <v/>
      </c>
      <c r="F42" s="15">
        <f>IF(F7&gt;=Hypothèses!$D$43,Hypothèses!$D$44,0)*$G$4</f>
        <v/>
      </c>
      <c r="G42" s="15">
        <f>IF(G7&gt;=Hypothèses!$D$43,Hypothèses!$D$44,0)*$G$4</f>
        <v/>
      </c>
      <c r="H42" s="15">
        <f>IF(H7&gt;=Hypothèses!$D$43,Hypothèses!$D$44,0)*$G$4</f>
        <v/>
      </c>
      <c r="I42" s="15">
        <f>IF(I7&gt;=Hypothèses!$D$43,Hypothèses!$D$44,0)*$G$4</f>
        <v/>
      </c>
      <c r="J42" s="15">
        <f>IF(J7&gt;=Hypothèses!$D$43,Hypothèses!$D$44,0)*$G$4</f>
        <v/>
      </c>
      <c r="K42" s="15">
        <f>IF(K7&gt;=Hypothèses!$D$43,Hypothèses!$D$44,0)*$G$4</f>
        <v/>
      </c>
      <c r="L42" s="15">
        <f>IF(L7&gt;=Hypothèses!$D$43,Hypothèses!$D$44,0)*$G$4</f>
        <v/>
      </c>
      <c r="M42" s="15">
        <f>IF(M7&gt;=Hypothèses!$D$43,Hypothèses!$D$44,0)*$G$4</f>
        <v/>
      </c>
      <c r="N42" s="15">
        <f>IF(N7&gt;=Hypothèses!$D$43,Hypothèses!$D$44,0)*$G$4</f>
        <v/>
      </c>
      <c r="O42" s="15">
        <f>IF(O7&gt;=Hypothèses!$D$43,Hypothèses!$D$44,0)*$G$4</f>
        <v/>
      </c>
      <c r="P42" s="15">
        <f>IF(P7&gt;=Hypothèses!$D$43,Hypothèses!$D$44,0)*$G$4</f>
        <v/>
      </c>
      <c r="Q42" s="15">
        <f>IF(Q7&gt;=Hypothèses!$D$43,Hypothèses!$D$44,0)*$G$4</f>
        <v/>
      </c>
      <c r="R42" s="15">
        <f>IF(R7&gt;=Hypothèses!$D$43,Hypothèses!$D$44,0)*$G$4</f>
        <v/>
      </c>
      <c r="S42" s="15">
        <f>IF(S7&gt;=Hypothèses!$D$43,Hypothèses!$D$44,0)*$G$4</f>
        <v/>
      </c>
      <c r="T42" s="15">
        <f>IF(T7&gt;=Hypothèses!$D$43,Hypothèses!$D$44,0)*$G$4</f>
        <v/>
      </c>
      <c r="U42" s="15">
        <f>IF(U7&gt;=Hypothèses!$D$43,Hypothèses!$D$44,0)*$G$4</f>
        <v/>
      </c>
      <c r="V42" s="15">
        <f>IF(V7&gt;=Hypothèses!$D$43,Hypothèses!$D$44,0)*$G$4</f>
        <v/>
      </c>
      <c r="W42" s="15">
        <f>IF(W7&gt;=Hypothèses!$D$43,Hypothèses!$D$44,0)*$G$4</f>
        <v/>
      </c>
      <c r="X42" s="15">
        <f>IF(X7&gt;=Hypothèses!$D$43,Hypothèses!$D$44,0)*$G$4</f>
        <v/>
      </c>
      <c r="Y42" s="15">
        <f>IF(Y7&gt;=Hypothèses!$D$43,Hypothèses!$D$44,0)*$G$4</f>
        <v/>
      </c>
      <c r="Z42" s="15">
        <f>IF(Z7&gt;=Hypothèses!$D$43,Hypothèses!$D$44,0)*$G$4</f>
        <v/>
      </c>
      <c r="AA42" s="15">
        <f>IF(AA7&gt;=Hypothèses!$D$43,Hypothèses!$D$44,0)*$G$4</f>
        <v/>
      </c>
      <c r="AB42" s="15">
        <f>IF(AB7&gt;=Hypothèses!$D$43,Hypothèses!$D$44,0)*$G$4</f>
        <v/>
      </c>
      <c r="AC42" s="15">
        <f>IF(AC7&gt;=Hypothèses!$D$43,Hypothèses!$D$44,0)*$G$4</f>
        <v/>
      </c>
      <c r="AD42" s="15">
        <f>IF(AD7&gt;=Hypothèses!$D$43,Hypothèses!$D$44,0)*$G$4</f>
        <v/>
      </c>
      <c r="AE42" s="15">
        <f>IF(AE7&gt;=Hypothèses!$D$43,Hypothèses!$D$44,0)*$G$4</f>
        <v/>
      </c>
      <c r="AF42" s="15">
        <f>IF(AF7&gt;=Hypothèses!$D$43,Hypothèses!$D$44,0)*$G$4</f>
        <v/>
      </c>
      <c r="AG42" s="15">
        <f>IF(AG7&gt;=Hypothèses!$D$43,Hypothèses!$D$44,0)*$G$4</f>
        <v/>
      </c>
      <c r="AH42" s="15">
        <f>IF(AH7&gt;=Hypothèses!$D$43,Hypothèses!$D$44,0)*$G$4</f>
        <v/>
      </c>
      <c r="AI42" s="15">
        <f>IF(AI7&gt;=Hypothèses!$D$43,Hypothèses!$D$44,0)*$G$4</f>
        <v/>
      </c>
      <c r="AJ42" s="15">
        <f>IF(AJ7&gt;=Hypothèses!$D$43,Hypothèses!$D$44,0)*$G$4</f>
        <v/>
      </c>
      <c r="AK42" s="15">
        <f>IF(AK7&gt;=Hypothèses!$D$43,Hypothèses!$D$44,0)*$G$4</f>
        <v/>
      </c>
      <c r="AL42" s="15">
        <f>IF(AL7&gt;=Hypothèses!$D$43,Hypothèses!$D$44,0)*$G$4</f>
        <v/>
      </c>
      <c r="AN42" s="15">
        <f>SUM(C42:N42)</f>
        <v/>
      </c>
      <c r="AO42" s="15">
        <f>SUM(O42:Z42)</f>
        <v/>
      </c>
      <c r="AP42" s="15">
        <f>SUM(AA42:AL42)</f>
        <v/>
      </c>
    </row>
    <row r="43">
      <c r="A43" s="9" t="inlineStr">
        <is>
          <t>Développement MVP externe (étalé jusqu'au lancement)</t>
        </is>
      </c>
      <c r="B43" s="4" t="inlineStr">
        <is>
          <t>€ HT</t>
        </is>
      </c>
      <c r="C43" s="15">
        <f>IF(C7&lt;$B$5,Hypothèses!$D$45/MAX(1,$B$5-1),0)</f>
        <v/>
      </c>
      <c r="D43" s="15">
        <f>IF(D7&lt;$B$5,Hypothèses!$D$45/MAX(1,$B$5-1),0)</f>
        <v/>
      </c>
      <c r="E43" s="15">
        <f>IF(E7&lt;$B$5,Hypothèses!$D$45/MAX(1,$B$5-1),0)</f>
        <v/>
      </c>
      <c r="F43" s="15">
        <f>IF(F7&lt;$B$5,Hypothèses!$D$45/MAX(1,$B$5-1),0)</f>
        <v/>
      </c>
      <c r="G43" s="15">
        <f>IF(G7&lt;$B$5,Hypothèses!$D$45/MAX(1,$B$5-1),0)</f>
        <v/>
      </c>
      <c r="H43" s="15">
        <f>IF(H7&lt;$B$5,Hypothèses!$D$45/MAX(1,$B$5-1),0)</f>
        <v/>
      </c>
      <c r="I43" s="15">
        <f>IF(I7&lt;$B$5,Hypothèses!$D$45/MAX(1,$B$5-1),0)</f>
        <v/>
      </c>
      <c r="J43" s="15">
        <f>IF(J7&lt;$B$5,Hypothèses!$D$45/MAX(1,$B$5-1),0)</f>
        <v/>
      </c>
      <c r="K43" s="15">
        <f>IF(K7&lt;$B$5,Hypothèses!$D$45/MAX(1,$B$5-1),0)</f>
        <v/>
      </c>
      <c r="L43" s="15">
        <f>IF(L7&lt;$B$5,Hypothèses!$D$45/MAX(1,$B$5-1),0)</f>
        <v/>
      </c>
      <c r="M43" s="15">
        <f>IF(M7&lt;$B$5,Hypothèses!$D$45/MAX(1,$B$5-1),0)</f>
        <v/>
      </c>
      <c r="N43" s="15">
        <f>IF(N7&lt;$B$5,Hypothèses!$D$45/MAX(1,$B$5-1),0)</f>
        <v/>
      </c>
      <c r="O43" s="15">
        <f>IF(O7&lt;$B$5,Hypothèses!$D$45/MAX(1,$B$5-1),0)</f>
        <v/>
      </c>
      <c r="P43" s="15">
        <f>IF(P7&lt;$B$5,Hypothèses!$D$45/MAX(1,$B$5-1),0)</f>
        <v/>
      </c>
      <c r="Q43" s="15">
        <f>IF(Q7&lt;$B$5,Hypothèses!$D$45/MAX(1,$B$5-1),0)</f>
        <v/>
      </c>
      <c r="R43" s="15">
        <f>IF(R7&lt;$B$5,Hypothèses!$D$45/MAX(1,$B$5-1),0)</f>
        <v/>
      </c>
      <c r="S43" s="15">
        <f>IF(S7&lt;$B$5,Hypothèses!$D$45/MAX(1,$B$5-1),0)</f>
        <v/>
      </c>
      <c r="T43" s="15">
        <f>IF(T7&lt;$B$5,Hypothèses!$D$45/MAX(1,$B$5-1),0)</f>
        <v/>
      </c>
      <c r="U43" s="15">
        <f>IF(U7&lt;$B$5,Hypothèses!$D$45/MAX(1,$B$5-1),0)</f>
        <v/>
      </c>
      <c r="V43" s="15">
        <f>IF(V7&lt;$B$5,Hypothèses!$D$45/MAX(1,$B$5-1),0)</f>
        <v/>
      </c>
      <c r="W43" s="15">
        <f>IF(W7&lt;$B$5,Hypothèses!$D$45/MAX(1,$B$5-1),0)</f>
        <v/>
      </c>
      <c r="X43" s="15">
        <f>IF(X7&lt;$B$5,Hypothèses!$D$45/MAX(1,$B$5-1),0)</f>
        <v/>
      </c>
      <c r="Y43" s="15">
        <f>IF(Y7&lt;$B$5,Hypothèses!$D$45/MAX(1,$B$5-1),0)</f>
        <v/>
      </c>
      <c r="Z43" s="15">
        <f>IF(Z7&lt;$B$5,Hypothèses!$D$45/MAX(1,$B$5-1),0)</f>
        <v/>
      </c>
      <c r="AA43" s="15">
        <f>IF(AA7&lt;$B$5,Hypothèses!$D$45/MAX(1,$B$5-1),0)</f>
        <v/>
      </c>
      <c r="AB43" s="15">
        <f>IF(AB7&lt;$B$5,Hypothèses!$D$45/MAX(1,$B$5-1),0)</f>
        <v/>
      </c>
      <c r="AC43" s="15">
        <f>IF(AC7&lt;$B$5,Hypothèses!$D$45/MAX(1,$B$5-1),0)</f>
        <v/>
      </c>
      <c r="AD43" s="15">
        <f>IF(AD7&lt;$B$5,Hypothèses!$D$45/MAX(1,$B$5-1),0)</f>
        <v/>
      </c>
      <c r="AE43" s="15">
        <f>IF(AE7&lt;$B$5,Hypothèses!$D$45/MAX(1,$B$5-1),0)</f>
        <v/>
      </c>
      <c r="AF43" s="15">
        <f>IF(AF7&lt;$B$5,Hypothèses!$D$45/MAX(1,$B$5-1),0)</f>
        <v/>
      </c>
      <c r="AG43" s="15">
        <f>IF(AG7&lt;$B$5,Hypothèses!$D$45/MAX(1,$B$5-1),0)</f>
        <v/>
      </c>
      <c r="AH43" s="15">
        <f>IF(AH7&lt;$B$5,Hypothèses!$D$45/MAX(1,$B$5-1),0)</f>
        <v/>
      </c>
      <c r="AI43" s="15">
        <f>IF(AI7&lt;$B$5,Hypothèses!$D$45/MAX(1,$B$5-1),0)</f>
        <v/>
      </c>
      <c r="AJ43" s="15">
        <f>IF(AJ7&lt;$B$5,Hypothèses!$D$45/MAX(1,$B$5-1),0)</f>
        <v/>
      </c>
      <c r="AK43" s="15">
        <f>IF(AK7&lt;$B$5,Hypothèses!$D$45/MAX(1,$B$5-1),0)</f>
        <v/>
      </c>
      <c r="AL43" s="15">
        <f>IF(AL7&lt;$B$5,Hypothèses!$D$45/MAX(1,$B$5-1),0)</f>
        <v/>
      </c>
      <c r="AN43" s="15">
        <f>SUM(C43:N43)</f>
        <v/>
      </c>
      <c r="AO43" s="15">
        <f>SUM(O43:Z43)</f>
        <v/>
      </c>
      <c r="AP43" s="15">
        <f>SUM(AA43:AL43)</f>
        <v/>
      </c>
    </row>
    <row r="44">
      <c r="A44" s="9" t="inlineStr">
        <is>
          <t>Outils et SaaS</t>
        </is>
      </c>
      <c r="B44" s="4" t="inlineStr">
        <is>
          <t>€ HT</t>
        </is>
      </c>
      <c r="C44" s="15">
        <f>Hypothèses!$D$46*$G$4</f>
        <v/>
      </c>
      <c r="D44" s="15">
        <f>Hypothèses!$D$46*$G$4</f>
        <v/>
      </c>
      <c r="E44" s="15">
        <f>Hypothèses!$D$46*$G$4</f>
        <v/>
      </c>
      <c r="F44" s="15">
        <f>Hypothèses!$D$46*$G$4</f>
        <v/>
      </c>
      <c r="G44" s="15">
        <f>Hypothèses!$D$46*$G$4</f>
        <v/>
      </c>
      <c r="H44" s="15">
        <f>Hypothèses!$D$46*$G$4</f>
        <v/>
      </c>
      <c r="I44" s="15">
        <f>Hypothèses!$D$46*$G$4</f>
        <v/>
      </c>
      <c r="J44" s="15">
        <f>Hypothèses!$D$46*$G$4</f>
        <v/>
      </c>
      <c r="K44" s="15">
        <f>Hypothèses!$D$46*$G$4</f>
        <v/>
      </c>
      <c r="L44" s="15">
        <f>Hypothèses!$D$46*$G$4</f>
        <v/>
      </c>
      <c r="M44" s="15">
        <f>Hypothèses!$D$46*$G$4</f>
        <v/>
      </c>
      <c r="N44" s="15">
        <f>Hypothèses!$D$46*$G$4</f>
        <v/>
      </c>
      <c r="O44" s="15">
        <f>Hypothèses!$D$46*$G$4</f>
        <v/>
      </c>
      <c r="P44" s="15">
        <f>Hypothèses!$D$46*$G$4</f>
        <v/>
      </c>
      <c r="Q44" s="15">
        <f>Hypothèses!$D$46*$G$4</f>
        <v/>
      </c>
      <c r="R44" s="15">
        <f>Hypothèses!$D$46*$G$4</f>
        <v/>
      </c>
      <c r="S44" s="15">
        <f>Hypothèses!$D$46*$G$4</f>
        <v/>
      </c>
      <c r="T44" s="15">
        <f>Hypothèses!$D$46*$G$4</f>
        <v/>
      </c>
      <c r="U44" s="15">
        <f>Hypothèses!$D$46*$G$4</f>
        <v/>
      </c>
      <c r="V44" s="15">
        <f>Hypothèses!$D$46*$G$4</f>
        <v/>
      </c>
      <c r="W44" s="15">
        <f>Hypothèses!$D$46*$G$4</f>
        <v/>
      </c>
      <c r="X44" s="15">
        <f>Hypothèses!$D$46*$G$4</f>
        <v/>
      </c>
      <c r="Y44" s="15">
        <f>Hypothèses!$D$46*$G$4</f>
        <v/>
      </c>
      <c r="Z44" s="15">
        <f>Hypothèses!$D$46*$G$4</f>
        <v/>
      </c>
      <c r="AA44" s="15">
        <f>Hypothèses!$D$46*$G$4</f>
        <v/>
      </c>
      <c r="AB44" s="15">
        <f>Hypothèses!$D$46*$G$4</f>
        <v/>
      </c>
      <c r="AC44" s="15">
        <f>Hypothèses!$D$46*$G$4</f>
        <v/>
      </c>
      <c r="AD44" s="15">
        <f>Hypothèses!$D$46*$G$4</f>
        <v/>
      </c>
      <c r="AE44" s="15">
        <f>Hypothèses!$D$46*$G$4</f>
        <v/>
      </c>
      <c r="AF44" s="15">
        <f>Hypothèses!$D$46*$G$4</f>
        <v/>
      </c>
      <c r="AG44" s="15">
        <f>Hypothèses!$D$46*$G$4</f>
        <v/>
      </c>
      <c r="AH44" s="15">
        <f>Hypothèses!$D$46*$G$4</f>
        <v/>
      </c>
      <c r="AI44" s="15">
        <f>Hypothèses!$D$46*$G$4</f>
        <v/>
      </c>
      <c r="AJ44" s="15">
        <f>Hypothèses!$D$46*$G$4</f>
        <v/>
      </c>
      <c r="AK44" s="15">
        <f>Hypothèses!$D$46*$G$4</f>
        <v/>
      </c>
      <c r="AL44" s="15">
        <f>Hypothèses!$D$46*$G$4</f>
        <v/>
      </c>
      <c r="AN44" s="15">
        <f>SUM(C44:N44)</f>
        <v/>
      </c>
      <c r="AO44" s="15">
        <f>SUM(O44:Z44)</f>
        <v/>
      </c>
      <c r="AP44" s="15">
        <f>SUM(AA44:AL44)</f>
        <v/>
      </c>
    </row>
    <row r="45">
      <c r="A45" s="9" t="inlineStr">
        <is>
          <t>Juridique et comptabilité</t>
        </is>
      </c>
      <c r="B45" s="4" t="inlineStr">
        <is>
          <t>€ HT</t>
        </is>
      </c>
      <c r="C45" s="15">
        <f>Hypothèses!$D$47*$G$4</f>
        <v/>
      </c>
      <c r="D45" s="15">
        <f>Hypothèses!$D$47*$G$4</f>
        <v/>
      </c>
      <c r="E45" s="15">
        <f>Hypothèses!$D$47*$G$4</f>
        <v/>
      </c>
      <c r="F45" s="15">
        <f>Hypothèses!$D$47*$G$4</f>
        <v/>
      </c>
      <c r="G45" s="15">
        <f>Hypothèses!$D$47*$G$4</f>
        <v/>
      </c>
      <c r="H45" s="15">
        <f>Hypothèses!$D$47*$G$4</f>
        <v/>
      </c>
      <c r="I45" s="15">
        <f>Hypothèses!$D$47*$G$4</f>
        <v/>
      </c>
      <c r="J45" s="15">
        <f>Hypothèses!$D$47*$G$4</f>
        <v/>
      </c>
      <c r="K45" s="15">
        <f>Hypothèses!$D$47*$G$4</f>
        <v/>
      </c>
      <c r="L45" s="15">
        <f>Hypothèses!$D$47*$G$4</f>
        <v/>
      </c>
      <c r="M45" s="15">
        <f>Hypothèses!$D$47*$G$4</f>
        <v/>
      </c>
      <c r="N45" s="15">
        <f>Hypothèses!$D$47*$G$4</f>
        <v/>
      </c>
      <c r="O45" s="15">
        <f>Hypothèses!$D$47*$G$4</f>
        <v/>
      </c>
      <c r="P45" s="15">
        <f>Hypothèses!$D$47*$G$4</f>
        <v/>
      </c>
      <c r="Q45" s="15">
        <f>Hypothèses!$D$47*$G$4</f>
        <v/>
      </c>
      <c r="R45" s="15">
        <f>Hypothèses!$D$47*$G$4</f>
        <v/>
      </c>
      <c r="S45" s="15">
        <f>Hypothèses!$D$47*$G$4</f>
        <v/>
      </c>
      <c r="T45" s="15">
        <f>Hypothèses!$D$47*$G$4</f>
        <v/>
      </c>
      <c r="U45" s="15">
        <f>Hypothèses!$D$47*$G$4</f>
        <v/>
      </c>
      <c r="V45" s="15">
        <f>Hypothèses!$D$47*$G$4</f>
        <v/>
      </c>
      <c r="W45" s="15">
        <f>Hypothèses!$D$47*$G$4</f>
        <v/>
      </c>
      <c r="X45" s="15">
        <f>Hypothèses!$D$47*$G$4</f>
        <v/>
      </c>
      <c r="Y45" s="15">
        <f>Hypothèses!$D$47*$G$4</f>
        <v/>
      </c>
      <c r="Z45" s="15">
        <f>Hypothèses!$D$47*$G$4</f>
        <v/>
      </c>
      <c r="AA45" s="15">
        <f>Hypothèses!$D$47*$G$4</f>
        <v/>
      </c>
      <c r="AB45" s="15">
        <f>Hypothèses!$D$47*$G$4</f>
        <v/>
      </c>
      <c r="AC45" s="15">
        <f>Hypothèses!$D$47*$G$4</f>
        <v/>
      </c>
      <c r="AD45" s="15">
        <f>Hypothèses!$D$47*$G$4</f>
        <v/>
      </c>
      <c r="AE45" s="15">
        <f>Hypothèses!$D$47*$G$4</f>
        <v/>
      </c>
      <c r="AF45" s="15">
        <f>Hypothèses!$D$47*$G$4</f>
        <v/>
      </c>
      <c r="AG45" s="15">
        <f>Hypothèses!$D$47*$G$4</f>
        <v/>
      </c>
      <c r="AH45" s="15">
        <f>Hypothèses!$D$47*$G$4</f>
        <v/>
      </c>
      <c r="AI45" s="15">
        <f>Hypothèses!$D$47*$G$4</f>
        <v/>
      </c>
      <c r="AJ45" s="15">
        <f>Hypothèses!$D$47*$G$4</f>
        <v/>
      </c>
      <c r="AK45" s="15">
        <f>Hypothèses!$D$47*$G$4</f>
        <v/>
      </c>
      <c r="AL45" s="15">
        <f>Hypothèses!$D$47*$G$4</f>
        <v/>
      </c>
      <c r="AN45" s="15">
        <f>SUM(C45:N45)</f>
        <v/>
      </c>
      <c r="AO45" s="15">
        <f>SUM(O45:Z45)</f>
        <v/>
      </c>
      <c r="AP45" s="15">
        <f>SUM(AA45:AL45)</f>
        <v/>
      </c>
    </row>
    <row r="46">
      <c r="A46" s="9" t="inlineStr">
        <is>
          <t>Assurance RC pro</t>
        </is>
      </c>
      <c r="B46" s="4" t="inlineStr">
        <is>
          <t>€</t>
        </is>
      </c>
      <c r="C46" s="15">
        <f>C9*Hypothèses!$D$48*$G$4</f>
        <v/>
      </c>
      <c r="D46" s="15">
        <f>D9*Hypothèses!$D$48*$G$4</f>
        <v/>
      </c>
      <c r="E46" s="15">
        <f>E9*Hypothèses!$D$48*$G$4</f>
        <v/>
      </c>
      <c r="F46" s="15">
        <f>F9*Hypothèses!$D$48*$G$4</f>
        <v/>
      </c>
      <c r="G46" s="15">
        <f>G9*Hypothèses!$D$48*$G$4</f>
        <v/>
      </c>
      <c r="H46" s="15">
        <f>H9*Hypothèses!$D$48*$G$4</f>
        <v/>
      </c>
      <c r="I46" s="15">
        <f>I9*Hypothèses!$D$48*$G$4</f>
        <v/>
      </c>
      <c r="J46" s="15">
        <f>J9*Hypothèses!$D$48*$G$4</f>
        <v/>
      </c>
      <c r="K46" s="15">
        <f>K9*Hypothèses!$D$48*$G$4</f>
        <v/>
      </c>
      <c r="L46" s="15">
        <f>L9*Hypothèses!$D$48*$G$4</f>
        <v/>
      </c>
      <c r="M46" s="15">
        <f>M9*Hypothèses!$D$48*$G$4</f>
        <v/>
      </c>
      <c r="N46" s="15">
        <f>N9*Hypothèses!$D$48*$G$4</f>
        <v/>
      </c>
      <c r="O46" s="15">
        <f>O9*Hypothèses!$D$48*$G$4</f>
        <v/>
      </c>
      <c r="P46" s="15">
        <f>P9*Hypothèses!$D$48*$G$4</f>
        <v/>
      </c>
      <c r="Q46" s="15">
        <f>Q9*Hypothèses!$D$48*$G$4</f>
        <v/>
      </c>
      <c r="R46" s="15">
        <f>R9*Hypothèses!$D$48*$G$4</f>
        <v/>
      </c>
      <c r="S46" s="15">
        <f>S9*Hypothèses!$D$48*$G$4</f>
        <v/>
      </c>
      <c r="T46" s="15">
        <f>T9*Hypothèses!$D$48*$G$4</f>
        <v/>
      </c>
      <c r="U46" s="15">
        <f>U9*Hypothèses!$D$48*$G$4</f>
        <v/>
      </c>
      <c r="V46" s="15">
        <f>V9*Hypothèses!$D$48*$G$4</f>
        <v/>
      </c>
      <c r="W46" s="15">
        <f>W9*Hypothèses!$D$48*$G$4</f>
        <v/>
      </c>
      <c r="X46" s="15">
        <f>X9*Hypothèses!$D$48*$G$4</f>
        <v/>
      </c>
      <c r="Y46" s="15">
        <f>Y9*Hypothèses!$D$48*$G$4</f>
        <v/>
      </c>
      <c r="Z46" s="15">
        <f>Z9*Hypothèses!$D$48*$G$4</f>
        <v/>
      </c>
      <c r="AA46" s="15">
        <f>AA9*Hypothèses!$D$48*$G$4</f>
        <v/>
      </c>
      <c r="AB46" s="15">
        <f>AB9*Hypothèses!$D$48*$G$4</f>
        <v/>
      </c>
      <c r="AC46" s="15">
        <f>AC9*Hypothèses!$D$48*$G$4</f>
        <v/>
      </c>
      <c r="AD46" s="15">
        <f>AD9*Hypothèses!$D$48*$G$4</f>
        <v/>
      </c>
      <c r="AE46" s="15">
        <f>AE9*Hypothèses!$D$48*$G$4</f>
        <v/>
      </c>
      <c r="AF46" s="15">
        <f>AF9*Hypothèses!$D$48*$G$4</f>
        <v/>
      </c>
      <c r="AG46" s="15">
        <f>AG9*Hypothèses!$D$48*$G$4</f>
        <v/>
      </c>
      <c r="AH46" s="15">
        <f>AH9*Hypothèses!$D$48*$G$4</f>
        <v/>
      </c>
      <c r="AI46" s="15">
        <f>AI9*Hypothèses!$D$48*$G$4</f>
        <v/>
      </c>
      <c r="AJ46" s="15">
        <f>AJ9*Hypothèses!$D$48*$G$4</f>
        <v/>
      </c>
      <c r="AK46" s="15">
        <f>AK9*Hypothèses!$D$48*$G$4</f>
        <v/>
      </c>
      <c r="AL46" s="15">
        <f>AL9*Hypothèses!$D$48*$G$4</f>
        <v/>
      </c>
      <c r="AN46" s="15">
        <f>SUM(C46:N46)</f>
        <v/>
      </c>
      <c r="AO46" s="15">
        <f>SUM(O46:Z46)</f>
        <v/>
      </c>
      <c r="AP46" s="15">
        <f>SUM(AA46:AL46)</f>
        <v/>
      </c>
    </row>
    <row r="47">
      <c r="A47" s="9" t="inlineStr">
        <is>
          <t>Marketing fixe</t>
        </is>
      </c>
      <c r="B47" s="4" t="inlineStr">
        <is>
          <t>€ HT</t>
        </is>
      </c>
      <c r="C47" s="15">
        <f>C9*Hypothèses!$D$49*$G$4</f>
        <v/>
      </c>
      <c r="D47" s="15">
        <f>D9*Hypothèses!$D$49*$G$4</f>
        <v/>
      </c>
      <c r="E47" s="15">
        <f>E9*Hypothèses!$D$49*$G$4</f>
        <v/>
      </c>
      <c r="F47" s="15">
        <f>F9*Hypothèses!$D$49*$G$4</f>
        <v/>
      </c>
      <c r="G47" s="15">
        <f>G9*Hypothèses!$D$49*$G$4</f>
        <v/>
      </c>
      <c r="H47" s="15">
        <f>H9*Hypothèses!$D$49*$G$4</f>
        <v/>
      </c>
      <c r="I47" s="15">
        <f>I9*Hypothèses!$D$49*$G$4</f>
        <v/>
      </c>
      <c r="J47" s="15">
        <f>J9*Hypothèses!$D$49*$G$4</f>
        <v/>
      </c>
      <c r="K47" s="15">
        <f>K9*Hypothèses!$D$49*$G$4</f>
        <v/>
      </c>
      <c r="L47" s="15">
        <f>L9*Hypothèses!$D$49*$G$4</f>
        <v/>
      </c>
      <c r="M47" s="15">
        <f>M9*Hypothèses!$D$49*$G$4</f>
        <v/>
      </c>
      <c r="N47" s="15">
        <f>N9*Hypothèses!$D$49*$G$4</f>
        <v/>
      </c>
      <c r="O47" s="15">
        <f>O9*Hypothèses!$D$49*$G$4</f>
        <v/>
      </c>
      <c r="P47" s="15">
        <f>P9*Hypothèses!$D$49*$G$4</f>
        <v/>
      </c>
      <c r="Q47" s="15">
        <f>Q9*Hypothèses!$D$49*$G$4</f>
        <v/>
      </c>
      <c r="R47" s="15">
        <f>R9*Hypothèses!$D$49*$G$4</f>
        <v/>
      </c>
      <c r="S47" s="15">
        <f>S9*Hypothèses!$D$49*$G$4</f>
        <v/>
      </c>
      <c r="T47" s="15">
        <f>T9*Hypothèses!$D$49*$G$4</f>
        <v/>
      </c>
      <c r="U47" s="15">
        <f>U9*Hypothèses!$D$49*$G$4</f>
        <v/>
      </c>
      <c r="V47" s="15">
        <f>V9*Hypothèses!$D$49*$G$4</f>
        <v/>
      </c>
      <c r="W47" s="15">
        <f>W9*Hypothèses!$D$49*$G$4</f>
        <v/>
      </c>
      <c r="X47" s="15">
        <f>X9*Hypothèses!$D$49*$G$4</f>
        <v/>
      </c>
      <c r="Y47" s="15">
        <f>Y9*Hypothèses!$D$49*$G$4</f>
        <v/>
      </c>
      <c r="Z47" s="15">
        <f>Z9*Hypothèses!$D$49*$G$4</f>
        <v/>
      </c>
      <c r="AA47" s="15">
        <f>AA9*Hypothèses!$D$49*$G$4</f>
        <v/>
      </c>
      <c r="AB47" s="15">
        <f>AB9*Hypothèses!$D$49*$G$4</f>
        <v/>
      </c>
      <c r="AC47" s="15">
        <f>AC9*Hypothèses!$D$49*$G$4</f>
        <v/>
      </c>
      <c r="AD47" s="15">
        <f>AD9*Hypothèses!$D$49*$G$4</f>
        <v/>
      </c>
      <c r="AE47" s="15">
        <f>AE9*Hypothèses!$D$49*$G$4</f>
        <v/>
      </c>
      <c r="AF47" s="15">
        <f>AF9*Hypothèses!$D$49*$G$4</f>
        <v/>
      </c>
      <c r="AG47" s="15">
        <f>AG9*Hypothèses!$D$49*$G$4</f>
        <v/>
      </c>
      <c r="AH47" s="15">
        <f>AH9*Hypothèses!$D$49*$G$4</f>
        <v/>
      </c>
      <c r="AI47" s="15">
        <f>AI9*Hypothèses!$D$49*$G$4</f>
        <v/>
      </c>
      <c r="AJ47" s="15">
        <f>AJ9*Hypothèses!$D$49*$G$4</f>
        <v/>
      </c>
      <c r="AK47" s="15">
        <f>AK9*Hypothèses!$D$49*$G$4</f>
        <v/>
      </c>
      <c r="AL47" s="15">
        <f>AL9*Hypothèses!$D$49*$G$4</f>
        <v/>
      </c>
      <c r="AN47" s="15">
        <f>SUM(C47:N47)</f>
        <v/>
      </c>
      <c r="AO47" s="15">
        <f>SUM(O47:Z47)</f>
        <v/>
      </c>
      <c r="AP47" s="15">
        <f>SUM(AA47:AL47)</f>
        <v/>
      </c>
    </row>
    <row r="48">
      <c r="A48" s="9" t="inlineStr">
        <is>
          <t>Frais généraux</t>
        </is>
      </c>
      <c r="B48" s="4" t="inlineStr">
        <is>
          <t>€ HT</t>
        </is>
      </c>
      <c r="C48" s="15">
        <f>Hypothèses!$D$50*$G$4</f>
        <v/>
      </c>
      <c r="D48" s="15">
        <f>Hypothèses!$D$50*$G$4</f>
        <v/>
      </c>
      <c r="E48" s="15">
        <f>Hypothèses!$D$50*$G$4</f>
        <v/>
      </c>
      <c r="F48" s="15">
        <f>Hypothèses!$D$50*$G$4</f>
        <v/>
      </c>
      <c r="G48" s="15">
        <f>Hypothèses!$D$50*$G$4</f>
        <v/>
      </c>
      <c r="H48" s="15">
        <f>Hypothèses!$D$50*$G$4</f>
        <v/>
      </c>
      <c r="I48" s="15">
        <f>Hypothèses!$D$50*$G$4</f>
        <v/>
      </c>
      <c r="J48" s="15">
        <f>Hypothèses!$D$50*$G$4</f>
        <v/>
      </c>
      <c r="K48" s="15">
        <f>Hypothèses!$D$50*$G$4</f>
        <v/>
      </c>
      <c r="L48" s="15">
        <f>Hypothèses!$D$50*$G$4</f>
        <v/>
      </c>
      <c r="M48" s="15">
        <f>Hypothèses!$D$50*$G$4</f>
        <v/>
      </c>
      <c r="N48" s="15">
        <f>Hypothèses!$D$50*$G$4</f>
        <v/>
      </c>
      <c r="O48" s="15">
        <f>Hypothèses!$D$50*$G$4</f>
        <v/>
      </c>
      <c r="P48" s="15">
        <f>Hypothèses!$D$50*$G$4</f>
        <v/>
      </c>
      <c r="Q48" s="15">
        <f>Hypothèses!$D$50*$G$4</f>
        <v/>
      </c>
      <c r="R48" s="15">
        <f>Hypothèses!$D$50*$G$4</f>
        <v/>
      </c>
      <c r="S48" s="15">
        <f>Hypothèses!$D$50*$G$4</f>
        <v/>
      </c>
      <c r="T48" s="15">
        <f>Hypothèses!$D$50*$G$4</f>
        <v/>
      </c>
      <c r="U48" s="15">
        <f>Hypothèses!$D$50*$G$4</f>
        <v/>
      </c>
      <c r="V48" s="15">
        <f>Hypothèses!$D$50*$G$4</f>
        <v/>
      </c>
      <c r="W48" s="15">
        <f>Hypothèses!$D$50*$G$4</f>
        <v/>
      </c>
      <c r="X48" s="15">
        <f>Hypothèses!$D$50*$G$4</f>
        <v/>
      </c>
      <c r="Y48" s="15">
        <f>Hypothèses!$D$50*$G$4</f>
        <v/>
      </c>
      <c r="Z48" s="15">
        <f>Hypothèses!$D$50*$G$4</f>
        <v/>
      </c>
      <c r="AA48" s="15">
        <f>Hypothèses!$D$50*$G$4</f>
        <v/>
      </c>
      <c r="AB48" s="15">
        <f>Hypothèses!$D$50*$G$4</f>
        <v/>
      </c>
      <c r="AC48" s="15">
        <f>Hypothèses!$D$50*$G$4</f>
        <v/>
      </c>
      <c r="AD48" s="15">
        <f>Hypothèses!$D$50*$G$4</f>
        <v/>
      </c>
      <c r="AE48" s="15">
        <f>Hypothèses!$D$50*$G$4</f>
        <v/>
      </c>
      <c r="AF48" s="15">
        <f>Hypothèses!$D$50*$G$4</f>
        <v/>
      </c>
      <c r="AG48" s="15">
        <f>Hypothèses!$D$50*$G$4</f>
        <v/>
      </c>
      <c r="AH48" s="15">
        <f>Hypothèses!$D$50*$G$4</f>
        <v/>
      </c>
      <c r="AI48" s="15">
        <f>Hypothèses!$D$50*$G$4</f>
        <v/>
      </c>
      <c r="AJ48" s="15">
        <f>Hypothèses!$D$50*$G$4</f>
        <v/>
      </c>
      <c r="AK48" s="15">
        <f>Hypothèses!$D$50*$G$4</f>
        <v/>
      </c>
      <c r="AL48" s="15">
        <f>Hypothèses!$D$50*$G$4</f>
        <v/>
      </c>
      <c r="AN48" s="15">
        <f>SUM(C48:N48)</f>
        <v/>
      </c>
      <c r="AO48" s="15">
        <f>SUM(O48:Z48)</f>
        <v/>
      </c>
      <c r="AP48" s="15">
        <f>SUM(AA48:AL48)</f>
        <v/>
      </c>
    </row>
    <row r="49">
      <c r="A49" s="9" t="inlineStr">
        <is>
          <t>Audit de sécurité (annuel, à partir du lancement)</t>
        </is>
      </c>
      <c r="B49" s="4" t="inlineStr">
        <is>
          <t>€ HT</t>
        </is>
      </c>
      <c r="C49" s="15">
        <f>IF(AND(C9=1,MOD(C7-$B$5,12)=0),Hypothèses!$D$51,0)*$G$4</f>
        <v/>
      </c>
      <c r="D49" s="15">
        <f>IF(AND(D9=1,MOD(D7-$B$5,12)=0),Hypothèses!$D$51,0)*$G$4</f>
        <v/>
      </c>
      <c r="E49" s="15">
        <f>IF(AND(E9=1,MOD(E7-$B$5,12)=0),Hypothèses!$D$51,0)*$G$4</f>
        <v/>
      </c>
      <c r="F49" s="15">
        <f>IF(AND(F9=1,MOD(F7-$B$5,12)=0),Hypothèses!$D$51,0)*$G$4</f>
        <v/>
      </c>
      <c r="G49" s="15">
        <f>IF(AND(G9=1,MOD(G7-$B$5,12)=0),Hypothèses!$D$51,0)*$G$4</f>
        <v/>
      </c>
      <c r="H49" s="15">
        <f>IF(AND(H9=1,MOD(H7-$B$5,12)=0),Hypothèses!$D$51,0)*$G$4</f>
        <v/>
      </c>
      <c r="I49" s="15">
        <f>IF(AND(I9=1,MOD(I7-$B$5,12)=0),Hypothèses!$D$51,0)*$G$4</f>
        <v/>
      </c>
      <c r="J49" s="15">
        <f>IF(AND(J9=1,MOD(J7-$B$5,12)=0),Hypothèses!$D$51,0)*$G$4</f>
        <v/>
      </c>
      <c r="K49" s="15">
        <f>IF(AND(K9=1,MOD(K7-$B$5,12)=0),Hypothèses!$D$51,0)*$G$4</f>
        <v/>
      </c>
      <c r="L49" s="15">
        <f>IF(AND(L9=1,MOD(L7-$B$5,12)=0),Hypothèses!$D$51,0)*$G$4</f>
        <v/>
      </c>
      <c r="M49" s="15">
        <f>IF(AND(M9=1,MOD(M7-$B$5,12)=0),Hypothèses!$D$51,0)*$G$4</f>
        <v/>
      </c>
      <c r="N49" s="15">
        <f>IF(AND(N9=1,MOD(N7-$B$5,12)=0),Hypothèses!$D$51,0)*$G$4</f>
        <v/>
      </c>
      <c r="O49" s="15">
        <f>IF(AND(O9=1,MOD(O7-$B$5,12)=0),Hypothèses!$D$51,0)*$G$4</f>
        <v/>
      </c>
      <c r="P49" s="15">
        <f>IF(AND(P9=1,MOD(P7-$B$5,12)=0),Hypothèses!$D$51,0)*$G$4</f>
        <v/>
      </c>
      <c r="Q49" s="15">
        <f>IF(AND(Q9=1,MOD(Q7-$B$5,12)=0),Hypothèses!$D$51,0)*$G$4</f>
        <v/>
      </c>
      <c r="R49" s="15">
        <f>IF(AND(R9=1,MOD(R7-$B$5,12)=0),Hypothèses!$D$51,0)*$G$4</f>
        <v/>
      </c>
      <c r="S49" s="15">
        <f>IF(AND(S9=1,MOD(S7-$B$5,12)=0),Hypothèses!$D$51,0)*$G$4</f>
        <v/>
      </c>
      <c r="T49" s="15">
        <f>IF(AND(T9=1,MOD(T7-$B$5,12)=0),Hypothèses!$D$51,0)*$G$4</f>
        <v/>
      </c>
      <c r="U49" s="15">
        <f>IF(AND(U9=1,MOD(U7-$B$5,12)=0),Hypothèses!$D$51,0)*$G$4</f>
        <v/>
      </c>
      <c r="V49" s="15">
        <f>IF(AND(V9=1,MOD(V7-$B$5,12)=0),Hypothèses!$D$51,0)*$G$4</f>
        <v/>
      </c>
      <c r="W49" s="15">
        <f>IF(AND(W9=1,MOD(W7-$B$5,12)=0),Hypothèses!$D$51,0)*$G$4</f>
        <v/>
      </c>
      <c r="X49" s="15">
        <f>IF(AND(X9=1,MOD(X7-$B$5,12)=0),Hypothèses!$D$51,0)*$G$4</f>
        <v/>
      </c>
      <c r="Y49" s="15">
        <f>IF(AND(Y9=1,MOD(Y7-$B$5,12)=0),Hypothèses!$D$51,0)*$G$4</f>
        <v/>
      </c>
      <c r="Z49" s="15">
        <f>IF(AND(Z9=1,MOD(Z7-$B$5,12)=0),Hypothèses!$D$51,0)*$G$4</f>
        <v/>
      </c>
      <c r="AA49" s="15">
        <f>IF(AND(AA9=1,MOD(AA7-$B$5,12)=0),Hypothèses!$D$51,0)*$G$4</f>
        <v/>
      </c>
      <c r="AB49" s="15">
        <f>IF(AND(AB9=1,MOD(AB7-$B$5,12)=0),Hypothèses!$D$51,0)*$G$4</f>
        <v/>
      </c>
      <c r="AC49" s="15">
        <f>IF(AND(AC9=1,MOD(AC7-$B$5,12)=0),Hypothèses!$D$51,0)*$G$4</f>
        <v/>
      </c>
      <c r="AD49" s="15">
        <f>IF(AND(AD9=1,MOD(AD7-$B$5,12)=0),Hypothèses!$D$51,0)*$G$4</f>
        <v/>
      </c>
      <c r="AE49" s="15">
        <f>IF(AND(AE9=1,MOD(AE7-$B$5,12)=0),Hypothèses!$D$51,0)*$G$4</f>
        <v/>
      </c>
      <c r="AF49" s="15">
        <f>IF(AND(AF9=1,MOD(AF7-$B$5,12)=0),Hypothèses!$D$51,0)*$G$4</f>
        <v/>
      </c>
      <c r="AG49" s="15">
        <f>IF(AND(AG9=1,MOD(AG7-$B$5,12)=0),Hypothèses!$D$51,0)*$G$4</f>
        <v/>
      </c>
      <c r="AH49" s="15">
        <f>IF(AND(AH9=1,MOD(AH7-$B$5,12)=0),Hypothèses!$D$51,0)*$G$4</f>
        <v/>
      </c>
      <c r="AI49" s="15">
        <f>IF(AND(AI9=1,MOD(AI7-$B$5,12)=0),Hypothèses!$D$51,0)*$G$4</f>
        <v/>
      </c>
      <c r="AJ49" s="15">
        <f>IF(AND(AJ9=1,MOD(AJ7-$B$5,12)=0),Hypothèses!$D$51,0)*$G$4</f>
        <v/>
      </c>
      <c r="AK49" s="15">
        <f>IF(AND(AK9=1,MOD(AK7-$B$5,12)=0),Hypothèses!$D$51,0)*$G$4</f>
        <v/>
      </c>
      <c r="AL49" s="15">
        <f>IF(AND(AL9=1,MOD(AL7-$B$5,12)=0),Hypothèses!$D$51,0)*$G$4</f>
        <v/>
      </c>
      <c r="AN49" s="15">
        <f>SUM(C49:N49)</f>
        <v/>
      </c>
      <c r="AO49" s="15">
        <f>SUM(O49:Z49)</f>
        <v/>
      </c>
      <c r="AP49" s="15">
        <f>SUM(AA49:AL49)</f>
        <v/>
      </c>
    </row>
    <row r="50">
      <c r="A50" s="9" t="inlineStr">
        <is>
          <t>Frais de constitution</t>
        </is>
      </c>
      <c r="B50" s="4" t="inlineStr">
        <is>
          <t>€ HT</t>
        </is>
      </c>
      <c r="C50" s="15">
        <f>IF(C7=2,Hypothèses!$D$52,0)</f>
        <v/>
      </c>
      <c r="D50" s="15">
        <f>IF(D7=2,Hypothèses!$D$52,0)</f>
        <v/>
      </c>
      <c r="E50" s="15">
        <f>IF(E7=2,Hypothèses!$D$52,0)</f>
        <v/>
      </c>
      <c r="F50" s="15">
        <f>IF(F7=2,Hypothèses!$D$52,0)</f>
        <v/>
      </c>
      <c r="G50" s="15">
        <f>IF(G7=2,Hypothèses!$D$52,0)</f>
        <v/>
      </c>
      <c r="H50" s="15">
        <f>IF(H7=2,Hypothèses!$D$52,0)</f>
        <v/>
      </c>
      <c r="I50" s="15">
        <f>IF(I7=2,Hypothèses!$D$52,0)</f>
        <v/>
      </c>
      <c r="J50" s="15">
        <f>IF(J7=2,Hypothèses!$D$52,0)</f>
        <v/>
      </c>
      <c r="K50" s="15">
        <f>IF(K7=2,Hypothèses!$D$52,0)</f>
        <v/>
      </c>
      <c r="L50" s="15">
        <f>IF(L7=2,Hypothèses!$D$52,0)</f>
        <v/>
      </c>
      <c r="M50" s="15">
        <f>IF(M7=2,Hypothèses!$D$52,0)</f>
        <v/>
      </c>
      <c r="N50" s="15">
        <f>IF(N7=2,Hypothèses!$D$52,0)</f>
        <v/>
      </c>
      <c r="O50" s="15">
        <f>IF(O7=2,Hypothèses!$D$52,0)</f>
        <v/>
      </c>
      <c r="P50" s="15">
        <f>IF(P7=2,Hypothèses!$D$52,0)</f>
        <v/>
      </c>
      <c r="Q50" s="15">
        <f>IF(Q7=2,Hypothèses!$D$52,0)</f>
        <v/>
      </c>
      <c r="R50" s="15">
        <f>IF(R7=2,Hypothèses!$D$52,0)</f>
        <v/>
      </c>
      <c r="S50" s="15">
        <f>IF(S7=2,Hypothèses!$D$52,0)</f>
        <v/>
      </c>
      <c r="T50" s="15">
        <f>IF(T7=2,Hypothèses!$D$52,0)</f>
        <v/>
      </c>
      <c r="U50" s="15">
        <f>IF(U7=2,Hypothèses!$D$52,0)</f>
        <v/>
      </c>
      <c r="V50" s="15">
        <f>IF(V7=2,Hypothèses!$D$52,0)</f>
        <v/>
      </c>
      <c r="W50" s="15">
        <f>IF(W7=2,Hypothèses!$D$52,0)</f>
        <v/>
      </c>
      <c r="X50" s="15">
        <f>IF(X7=2,Hypothèses!$D$52,0)</f>
        <v/>
      </c>
      <c r="Y50" s="15">
        <f>IF(Y7=2,Hypothèses!$D$52,0)</f>
        <v/>
      </c>
      <c r="Z50" s="15">
        <f>IF(Z7=2,Hypothèses!$D$52,0)</f>
        <v/>
      </c>
      <c r="AA50" s="15">
        <f>IF(AA7=2,Hypothèses!$D$52,0)</f>
        <v/>
      </c>
      <c r="AB50" s="15">
        <f>IF(AB7=2,Hypothèses!$D$52,0)</f>
        <v/>
      </c>
      <c r="AC50" s="15">
        <f>IF(AC7=2,Hypothèses!$D$52,0)</f>
        <v/>
      </c>
      <c r="AD50" s="15">
        <f>IF(AD7=2,Hypothèses!$D$52,0)</f>
        <v/>
      </c>
      <c r="AE50" s="15">
        <f>IF(AE7=2,Hypothèses!$D$52,0)</f>
        <v/>
      </c>
      <c r="AF50" s="15">
        <f>IF(AF7=2,Hypothèses!$D$52,0)</f>
        <v/>
      </c>
      <c r="AG50" s="15">
        <f>IF(AG7=2,Hypothèses!$D$52,0)</f>
        <v/>
      </c>
      <c r="AH50" s="15">
        <f>IF(AH7=2,Hypothèses!$D$52,0)</f>
        <v/>
      </c>
      <c r="AI50" s="15">
        <f>IF(AI7=2,Hypothèses!$D$52,0)</f>
        <v/>
      </c>
      <c r="AJ50" s="15">
        <f>IF(AJ7=2,Hypothèses!$D$52,0)</f>
        <v/>
      </c>
      <c r="AK50" s="15">
        <f>IF(AK7=2,Hypothèses!$D$52,0)</f>
        <v/>
      </c>
      <c r="AL50" s="15">
        <f>IF(AL7=2,Hypothèses!$D$52,0)</f>
        <v/>
      </c>
      <c r="AN50" s="15">
        <f>SUM(C50:N50)</f>
        <v/>
      </c>
      <c r="AO50" s="15">
        <f>SUM(O50:Z50)</f>
        <v/>
      </c>
      <c r="AP50" s="15">
        <f>SUM(AA50:AL50)</f>
        <v/>
      </c>
    </row>
    <row r="51">
      <c r="A51" s="2" t="inlineStr">
        <is>
          <t>Total coûts fixes</t>
        </is>
      </c>
      <c r="B51" s="4" t="inlineStr">
        <is>
          <t>€ HT</t>
        </is>
      </c>
      <c r="C51" s="40">
        <f>SUM(C40:C50)</f>
        <v/>
      </c>
      <c r="D51" s="40">
        <f>SUM(D40:D50)</f>
        <v/>
      </c>
      <c r="E51" s="40">
        <f>SUM(E40:E50)</f>
        <v/>
      </c>
      <c r="F51" s="40">
        <f>SUM(F40:F50)</f>
        <v/>
      </c>
      <c r="G51" s="40">
        <f>SUM(G40:G50)</f>
        <v/>
      </c>
      <c r="H51" s="40">
        <f>SUM(H40:H50)</f>
        <v/>
      </c>
      <c r="I51" s="40">
        <f>SUM(I40:I50)</f>
        <v/>
      </c>
      <c r="J51" s="40">
        <f>SUM(J40:J50)</f>
        <v/>
      </c>
      <c r="K51" s="40">
        <f>SUM(K40:K50)</f>
        <v/>
      </c>
      <c r="L51" s="40">
        <f>SUM(L40:L50)</f>
        <v/>
      </c>
      <c r="M51" s="40">
        <f>SUM(M40:M50)</f>
        <v/>
      </c>
      <c r="N51" s="40">
        <f>SUM(N40:N50)</f>
        <v/>
      </c>
      <c r="O51" s="40">
        <f>SUM(O40:O50)</f>
        <v/>
      </c>
      <c r="P51" s="40">
        <f>SUM(P40:P50)</f>
        <v/>
      </c>
      <c r="Q51" s="40">
        <f>SUM(Q40:Q50)</f>
        <v/>
      </c>
      <c r="R51" s="40">
        <f>SUM(R40:R50)</f>
        <v/>
      </c>
      <c r="S51" s="40">
        <f>SUM(S40:S50)</f>
        <v/>
      </c>
      <c r="T51" s="40">
        <f>SUM(T40:T50)</f>
        <v/>
      </c>
      <c r="U51" s="40">
        <f>SUM(U40:U50)</f>
        <v/>
      </c>
      <c r="V51" s="40">
        <f>SUM(V40:V50)</f>
        <v/>
      </c>
      <c r="W51" s="40">
        <f>SUM(W40:W50)</f>
        <v/>
      </c>
      <c r="X51" s="40">
        <f>SUM(X40:X50)</f>
        <v/>
      </c>
      <c r="Y51" s="40">
        <f>SUM(Y40:Y50)</f>
        <v/>
      </c>
      <c r="Z51" s="40">
        <f>SUM(Z40:Z50)</f>
        <v/>
      </c>
      <c r="AA51" s="40">
        <f>SUM(AA40:AA50)</f>
        <v/>
      </c>
      <c r="AB51" s="40">
        <f>SUM(AB40:AB50)</f>
        <v/>
      </c>
      <c r="AC51" s="40">
        <f>SUM(AC40:AC50)</f>
        <v/>
      </c>
      <c r="AD51" s="40">
        <f>SUM(AD40:AD50)</f>
        <v/>
      </c>
      <c r="AE51" s="40">
        <f>SUM(AE40:AE50)</f>
        <v/>
      </c>
      <c r="AF51" s="40">
        <f>SUM(AF40:AF50)</f>
        <v/>
      </c>
      <c r="AG51" s="40">
        <f>SUM(AG40:AG50)</f>
        <v/>
      </c>
      <c r="AH51" s="40">
        <f>SUM(AH40:AH50)</f>
        <v/>
      </c>
      <c r="AI51" s="40">
        <f>SUM(AI40:AI50)</f>
        <v/>
      </c>
      <c r="AJ51" s="40">
        <f>SUM(AJ40:AJ50)</f>
        <v/>
      </c>
      <c r="AK51" s="40">
        <f>SUM(AK40:AK50)</f>
        <v/>
      </c>
      <c r="AL51" s="40">
        <f>SUM(AL40:AL50)</f>
        <v/>
      </c>
      <c r="AN51" s="40">
        <f>SUM(C51:N51)</f>
        <v/>
      </c>
      <c r="AO51" s="40">
        <f>SUM(O51:Z51)</f>
        <v/>
      </c>
      <c r="AP51" s="40">
        <f>SUM(AA51:AL51)</f>
        <v/>
      </c>
    </row>
    <row r="52">
      <c r="A52" s="2" t="inlineStr">
        <is>
          <t>EBITDA (marge variable − acquisition − fixes)</t>
        </is>
      </c>
      <c r="B52" s="4" t="inlineStr">
        <is>
          <t>€ HT</t>
        </is>
      </c>
      <c r="C52" s="40">
        <f>C37-C39-C51</f>
        <v/>
      </c>
      <c r="D52" s="40">
        <f>D37-D39-D51</f>
        <v/>
      </c>
      <c r="E52" s="40">
        <f>E37-E39-E51</f>
        <v/>
      </c>
      <c r="F52" s="40">
        <f>F37-F39-F51</f>
        <v/>
      </c>
      <c r="G52" s="40">
        <f>G37-G39-G51</f>
        <v/>
      </c>
      <c r="H52" s="40">
        <f>H37-H39-H51</f>
        <v/>
      </c>
      <c r="I52" s="40">
        <f>I37-I39-I51</f>
        <v/>
      </c>
      <c r="J52" s="40">
        <f>J37-J39-J51</f>
        <v/>
      </c>
      <c r="K52" s="40">
        <f>K37-K39-K51</f>
        <v/>
      </c>
      <c r="L52" s="40">
        <f>L37-L39-L51</f>
        <v/>
      </c>
      <c r="M52" s="40">
        <f>M37-M39-M51</f>
        <v/>
      </c>
      <c r="N52" s="40">
        <f>N37-N39-N51</f>
        <v/>
      </c>
      <c r="O52" s="40">
        <f>O37-O39-O51</f>
        <v/>
      </c>
      <c r="P52" s="40">
        <f>P37-P39-P51</f>
        <v/>
      </c>
      <c r="Q52" s="40">
        <f>Q37-Q39-Q51</f>
        <v/>
      </c>
      <c r="R52" s="40">
        <f>R37-R39-R51</f>
        <v/>
      </c>
      <c r="S52" s="40">
        <f>S37-S39-S51</f>
        <v/>
      </c>
      <c r="T52" s="40">
        <f>T37-T39-T51</f>
        <v/>
      </c>
      <c r="U52" s="40">
        <f>U37-U39-U51</f>
        <v/>
      </c>
      <c r="V52" s="40">
        <f>V37-V39-V51</f>
        <v/>
      </c>
      <c r="W52" s="40">
        <f>W37-W39-W51</f>
        <v/>
      </c>
      <c r="X52" s="40">
        <f>X37-X39-X51</f>
        <v/>
      </c>
      <c r="Y52" s="40">
        <f>Y37-Y39-Y51</f>
        <v/>
      </c>
      <c r="Z52" s="40">
        <f>Z37-Z39-Z51</f>
        <v/>
      </c>
      <c r="AA52" s="40">
        <f>AA37-AA39-AA51</f>
        <v/>
      </c>
      <c r="AB52" s="40">
        <f>AB37-AB39-AB51</f>
        <v/>
      </c>
      <c r="AC52" s="40">
        <f>AC37-AC39-AC51</f>
        <v/>
      </c>
      <c r="AD52" s="40">
        <f>AD37-AD39-AD51</f>
        <v/>
      </c>
      <c r="AE52" s="40">
        <f>AE37-AE39-AE51</f>
        <v/>
      </c>
      <c r="AF52" s="40">
        <f>AF37-AF39-AF51</f>
        <v/>
      </c>
      <c r="AG52" s="40">
        <f>AG37-AG39-AG51</f>
        <v/>
      </c>
      <c r="AH52" s="40">
        <f>AH37-AH39-AH51</f>
        <v/>
      </c>
      <c r="AI52" s="40">
        <f>AI37-AI39-AI51</f>
        <v/>
      </c>
      <c r="AJ52" s="40">
        <f>AJ37-AJ39-AJ51</f>
        <v/>
      </c>
      <c r="AK52" s="40">
        <f>AK37-AK39-AK51</f>
        <v/>
      </c>
      <c r="AL52" s="40">
        <f>AL37-AL39-AL51</f>
        <v/>
      </c>
      <c r="AN52" s="40">
        <f>SUM(C52:N52)</f>
        <v/>
      </c>
      <c r="AO52" s="40">
        <f>SUM(O52:Z52)</f>
        <v/>
      </c>
      <c r="AP52" s="40">
        <f>SUM(AA52:AL52)</f>
        <v/>
      </c>
    </row>
    <row r="53">
      <c r="A53" s="9" t="inlineStr">
        <is>
          <t>EBITDA positif ? (1 = oui)</t>
        </is>
      </c>
      <c r="B53" s="4" t="inlineStr">
        <is>
          <t>0/1</t>
        </is>
      </c>
      <c r="C53" s="13">
        <f>IF(C52&gt;0,1,0)</f>
        <v/>
      </c>
      <c r="D53" s="13">
        <f>IF(D52&gt;0,1,0)</f>
        <v/>
      </c>
      <c r="E53" s="13">
        <f>IF(E52&gt;0,1,0)</f>
        <v/>
      </c>
      <c r="F53" s="13">
        <f>IF(F52&gt;0,1,0)</f>
        <v/>
      </c>
      <c r="G53" s="13">
        <f>IF(G52&gt;0,1,0)</f>
        <v/>
      </c>
      <c r="H53" s="13">
        <f>IF(H52&gt;0,1,0)</f>
        <v/>
      </c>
      <c r="I53" s="13">
        <f>IF(I52&gt;0,1,0)</f>
        <v/>
      </c>
      <c r="J53" s="13">
        <f>IF(J52&gt;0,1,0)</f>
        <v/>
      </c>
      <c r="K53" s="13">
        <f>IF(K52&gt;0,1,0)</f>
        <v/>
      </c>
      <c r="L53" s="13">
        <f>IF(L52&gt;0,1,0)</f>
        <v/>
      </c>
      <c r="M53" s="13">
        <f>IF(M52&gt;0,1,0)</f>
        <v/>
      </c>
      <c r="N53" s="13">
        <f>IF(N52&gt;0,1,0)</f>
        <v/>
      </c>
      <c r="O53" s="13">
        <f>IF(O52&gt;0,1,0)</f>
        <v/>
      </c>
      <c r="P53" s="13">
        <f>IF(P52&gt;0,1,0)</f>
        <v/>
      </c>
      <c r="Q53" s="13">
        <f>IF(Q52&gt;0,1,0)</f>
        <v/>
      </c>
      <c r="R53" s="13">
        <f>IF(R52&gt;0,1,0)</f>
        <v/>
      </c>
      <c r="S53" s="13">
        <f>IF(S52&gt;0,1,0)</f>
        <v/>
      </c>
      <c r="T53" s="13">
        <f>IF(T52&gt;0,1,0)</f>
        <v/>
      </c>
      <c r="U53" s="13">
        <f>IF(U52&gt;0,1,0)</f>
        <v/>
      </c>
      <c r="V53" s="13">
        <f>IF(V52&gt;0,1,0)</f>
        <v/>
      </c>
      <c r="W53" s="13">
        <f>IF(W52&gt;0,1,0)</f>
        <v/>
      </c>
      <c r="X53" s="13">
        <f>IF(X52&gt;0,1,0)</f>
        <v/>
      </c>
      <c r="Y53" s="13">
        <f>IF(Y52&gt;0,1,0)</f>
        <v/>
      </c>
      <c r="Z53" s="13">
        <f>IF(Z52&gt;0,1,0)</f>
        <v/>
      </c>
      <c r="AA53" s="13">
        <f>IF(AA52&gt;0,1,0)</f>
        <v/>
      </c>
      <c r="AB53" s="13">
        <f>IF(AB52&gt;0,1,0)</f>
        <v/>
      </c>
      <c r="AC53" s="13">
        <f>IF(AC52&gt;0,1,0)</f>
        <v/>
      </c>
      <c r="AD53" s="13">
        <f>IF(AD52&gt;0,1,0)</f>
        <v/>
      </c>
      <c r="AE53" s="13">
        <f>IF(AE52&gt;0,1,0)</f>
        <v/>
      </c>
      <c r="AF53" s="13">
        <f>IF(AF52&gt;0,1,0)</f>
        <v/>
      </c>
      <c r="AG53" s="13">
        <f>IF(AG52&gt;0,1,0)</f>
        <v/>
      </c>
      <c r="AH53" s="13">
        <f>IF(AH52&gt;0,1,0)</f>
        <v/>
      </c>
      <c r="AI53" s="13">
        <f>IF(AI52&gt;0,1,0)</f>
        <v/>
      </c>
      <c r="AJ53" s="13">
        <f>IF(AJ52&gt;0,1,0)</f>
        <v/>
      </c>
      <c r="AK53" s="13">
        <f>IF(AK52&gt;0,1,0)</f>
        <v/>
      </c>
      <c r="AL53" s="13">
        <f>IF(AL52&gt;0,1,0)</f>
        <v/>
      </c>
    </row>
    <row r="54">
      <c r="A54" s="8" t="inlineStr">
        <is>
          <t>Trésorerie</t>
        </is>
      </c>
    </row>
    <row r="55">
      <c r="A55" s="9" t="inlineStr">
        <is>
          <t>TVA collectée reversée (mois suivant)</t>
        </is>
      </c>
      <c r="B55" s="4" t="inlineStr">
        <is>
          <t>€</t>
        </is>
      </c>
      <c r="C55" s="15">
        <f>0</f>
        <v/>
      </c>
      <c r="D55" s="15">
        <f>C27</f>
        <v/>
      </c>
      <c r="E55" s="15">
        <f>D27</f>
        <v/>
      </c>
      <c r="F55" s="15">
        <f>E27</f>
        <v/>
      </c>
      <c r="G55" s="15">
        <f>F27</f>
        <v/>
      </c>
      <c r="H55" s="15">
        <f>G27</f>
        <v/>
      </c>
      <c r="I55" s="15">
        <f>H27</f>
        <v/>
      </c>
      <c r="J55" s="15">
        <f>I27</f>
        <v/>
      </c>
      <c r="K55" s="15">
        <f>J27</f>
        <v/>
      </c>
      <c r="L55" s="15">
        <f>K27</f>
        <v/>
      </c>
      <c r="M55" s="15">
        <f>L27</f>
        <v/>
      </c>
      <c r="N55" s="15">
        <f>M27</f>
        <v/>
      </c>
      <c r="O55" s="15">
        <f>N27</f>
        <v/>
      </c>
      <c r="P55" s="15">
        <f>O27</f>
        <v/>
      </c>
      <c r="Q55" s="15">
        <f>P27</f>
        <v/>
      </c>
      <c r="R55" s="15">
        <f>Q27</f>
        <v/>
      </c>
      <c r="S55" s="15">
        <f>R27</f>
        <v/>
      </c>
      <c r="T55" s="15">
        <f>S27</f>
        <v/>
      </c>
      <c r="U55" s="15">
        <f>T27</f>
        <v/>
      </c>
      <c r="V55" s="15">
        <f>U27</f>
        <v/>
      </c>
      <c r="W55" s="15">
        <f>V27</f>
        <v/>
      </c>
      <c r="X55" s="15">
        <f>W27</f>
        <v/>
      </c>
      <c r="Y55" s="15">
        <f>X27</f>
        <v/>
      </c>
      <c r="Z55" s="15">
        <f>Y27</f>
        <v/>
      </c>
      <c r="AA55" s="15">
        <f>Z27</f>
        <v/>
      </c>
      <c r="AB55" s="15">
        <f>AA27</f>
        <v/>
      </c>
      <c r="AC55" s="15">
        <f>AB27</f>
        <v/>
      </c>
      <c r="AD55" s="15">
        <f>AC27</f>
        <v/>
      </c>
      <c r="AE55" s="15">
        <f>AD27</f>
        <v/>
      </c>
      <c r="AF55" s="15">
        <f>AE27</f>
        <v/>
      </c>
      <c r="AG55" s="15">
        <f>AF27</f>
        <v/>
      </c>
      <c r="AH55" s="15">
        <f>AG27</f>
        <v/>
      </c>
      <c r="AI55" s="15">
        <f>AH27</f>
        <v/>
      </c>
      <c r="AJ55" s="15">
        <f>AI27</f>
        <v/>
      </c>
      <c r="AK55" s="15">
        <f>AJ27</f>
        <v/>
      </c>
      <c r="AL55" s="15">
        <f>AK27</f>
        <v/>
      </c>
      <c r="AN55" s="15">
        <f>SUM(C55:N55)</f>
        <v/>
      </c>
      <c r="AO55" s="15">
        <f>SUM(O55:Z55)</f>
        <v/>
      </c>
      <c r="AP55" s="15">
        <f>SUM(AA55:AL55)</f>
        <v/>
      </c>
    </row>
    <row r="56">
      <c r="A56" s="9" t="inlineStr">
        <is>
          <t>TVA déductible récupérée (mois suivant, coûts externes)</t>
        </is>
      </c>
      <c r="B56" s="4" t="inlineStr">
        <is>
          <t>€</t>
        </is>
      </c>
      <c r="C56" s="15">
        <f>0</f>
        <v/>
      </c>
      <c r="D56" s="15">
        <f>(C36+C39+C43+C44+C45+C47+C48+C49+C50)*Hypothèses!$D$15</f>
        <v/>
      </c>
      <c r="E56" s="15">
        <f>(D36+D39+D43+D44+D45+D47+D48+D49+D50)*Hypothèses!$D$15</f>
        <v/>
      </c>
      <c r="F56" s="15">
        <f>(E36+E39+E43+E44+E45+E47+E48+E49+E50)*Hypothèses!$D$15</f>
        <v/>
      </c>
      <c r="G56" s="15">
        <f>(F36+F39+F43+F44+F45+F47+F48+F49+F50)*Hypothèses!$D$15</f>
        <v/>
      </c>
      <c r="H56" s="15">
        <f>(G36+G39+G43+G44+G45+G47+G48+G49+G50)*Hypothèses!$D$15</f>
        <v/>
      </c>
      <c r="I56" s="15">
        <f>(H36+H39+H43+H44+H45+H47+H48+H49+H50)*Hypothèses!$D$15</f>
        <v/>
      </c>
      <c r="J56" s="15">
        <f>(I36+I39+I43+I44+I45+I47+I48+I49+I50)*Hypothèses!$D$15</f>
        <v/>
      </c>
      <c r="K56" s="15">
        <f>(J36+J39+J43+J44+J45+J47+J48+J49+J50)*Hypothèses!$D$15</f>
        <v/>
      </c>
      <c r="L56" s="15">
        <f>(K36+K39+K43+K44+K45+K47+K48+K49+K50)*Hypothèses!$D$15</f>
        <v/>
      </c>
      <c r="M56" s="15">
        <f>(L36+L39+L43+L44+L45+L47+L48+L49+L50)*Hypothèses!$D$15</f>
        <v/>
      </c>
      <c r="N56" s="15">
        <f>(M36+M39+M43+M44+M45+M47+M48+M49+M50)*Hypothèses!$D$15</f>
        <v/>
      </c>
      <c r="O56" s="15">
        <f>(N36+N39+N43+N44+N45+N47+N48+N49+N50)*Hypothèses!$D$15</f>
        <v/>
      </c>
      <c r="P56" s="15">
        <f>(O36+O39+O43+O44+O45+O47+O48+O49+O50)*Hypothèses!$D$15</f>
        <v/>
      </c>
      <c r="Q56" s="15">
        <f>(P36+P39+P43+P44+P45+P47+P48+P49+P50)*Hypothèses!$D$15</f>
        <v/>
      </c>
      <c r="R56" s="15">
        <f>(Q36+Q39+Q43+Q44+Q45+Q47+Q48+Q49+Q50)*Hypothèses!$D$15</f>
        <v/>
      </c>
      <c r="S56" s="15">
        <f>(R36+R39+R43+R44+R45+R47+R48+R49+R50)*Hypothèses!$D$15</f>
        <v/>
      </c>
      <c r="T56" s="15">
        <f>(S36+S39+S43+S44+S45+S47+S48+S49+S50)*Hypothèses!$D$15</f>
        <v/>
      </c>
      <c r="U56" s="15">
        <f>(T36+T39+T43+T44+T45+T47+T48+T49+T50)*Hypothèses!$D$15</f>
        <v/>
      </c>
      <c r="V56" s="15">
        <f>(U36+U39+U43+U44+U45+U47+U48+U49+U50)*Hypothèses!$D$15</f>
        <v/>
      </c>
      <c r="W56" s="15">
        <f>(V36+V39+V43+V44+V45+V47+V48+V49+V50)*Hypothèses!$D$15</f>
        <v/>
      </c>
      <c r="X56" s="15">
        <f>(W36+W39+W43+W44+W45+W47+W48+W49+W50)*Hypothèses!$D$15</f>
        <v/>
      </c>
      <c r="Y56" s="15">
        <f>(X36+X39+X43+X44+X45+X47+X48+X49+X50)*Hypothèses!$D$15</f>
        <v/>
      </c>
      <c r="Z56" s="15">
        <f>(Y36+Y39+Y43+Y44+Y45+Y47+Y48+Y49+Y50)*Hypothèses!$D$15</f>
        <v/>
      </c>
      <c r="AA56" s="15">
        <f>(Z36+Z39+Z43+Z44+Z45+Z47+Z48+Z49+Z50)*Hypothèses!$D$15</f>
        <v/>
      </c>
      <c r="AB56" s="15">
        <f>(AA36+AA39+AA43+AA44+AA45+AA47+AA48+AA49+AA50)*Hypothèses!$D$15</f>
        <v/>
      </c>
      <c r="AC56" s="15">
        <f>(AB36+AB39+AB43+AB44+AB45+AB47+AB48+AB49+AB50)*Hypothèses!$D$15</f>
        <v/>
      </c>
      <c r="AD56" s="15">
        <f>(AC36+AC39+AC43+AC44+AC45+AC47+AC48+AC49+AC50)*Hypothèses!$D$15</f>
        <v/>
      </c>
      <c r="AE56" s="15">
        <f>(AD36+AD39+AD43+AD44+AD45+AD47+AD48+AD49+AD50)*Hypothèses!$D$15</f>
        <v/>
      </c>
      <c r="AF56" s="15">
        <f>(AE36+AE39+AE43+AE44+AE45+AE47+AE48+AE49+AE50)*Hypothèses!$D$15</f>
        <v/>
      </c>
      <c r="AG56" s="15">
        <f>(AF36+AF39+AF43+AF44+AF45+AF47+AF48+AF49+AF50)*Hypothèses!$D$15</f>
        <v/>
      </c>
      <c r="AH56" s="15">
        <f>(AG36+AG39+AG43+AG44+AG45+AG47+AG48+AG49+AG50)*Hypothèses!$D$15</f>
        <v/>
      </c>
      <c r="AI56" s="15">
        <f>(AH36+AH39+AH43+AH44+AH45+AH47+AH48+AH49+AH50)*Hypothèses!$D$15</f>
        <v/>
      </c>
      <c r="AJ56" s="15">
        <f>(AI36+AI39+AI43+AI44+AI45+AI47+AI48+AI49+AI50)*Hypothèses!$D$15</f>
        <v/>
      </c>
      <c r="AK56" s="15">
        <f>(AJ36+AJ39+AJ43+AJ44+AJ45+AJ47+AJ48+AJ49+AJ50)*Hypothèses!$D$15</f>
        <v/>
      </c>
      <c r="AL56" s="15">
        <f>(AK36+AK39+AK43+AK44+AK45+AK47+AK48+AK49+AK50)*Hypothèses!$D$15</f>
        <v/>
      </c>
      <c r="AN56" s="15">
        <f>SUM(C56:N56)</f>
        <v/>
      </c>
      <c r="AO56" s="15">
        <f>SUM(O56:Z56)</f>
        <v/>
      </c>
      <c r="AP56" s="15">
        <f>SUM(AA56:AL56)</f>
        <v/>
      </c>
    </row>
    <row r="57">
      <c r="A57" s="9" t="inlineStr">
        <is>
          <t>Financement reçu</t>
        </is>
      </c>
      <c r="B57" s="4" t="inlineStr">
        <is>
          <t>€</t>
        </is>
      </c>
      <c r="C57" s="15">
        <f>Hypothèses!$D$56*(IF(C7=Hypothèses!$D$57,Hypothèses!$D$58,0)+IF(C7=Hypothèses!$D$59,Hypothèses!$D$60,0)+IF(C7=Hypothèses!$D$61,Hypothèses!$D$62,0))</f>
        <v/>
      </c>
      <c r="D57" s="15">
        <f>Hypothèses!$D$56*(IF(D7=Hypothèses!$D$57,Hypothèses!$D$58,0)+IF(D7=Hypothèses!$D$59,Hypothèses!$D$60,0)+IF(D7=Hypothèses!$D$61,Hypothèses!$D$62,0))</f>
        <v/>
      </c>
      <c r="E57" s="15">
        <f>Hypothèses!$D$56*(IF(E7=Hypothèses!$D$57,Hypothèses!$D$58,0)+IF(E7=Hypothèses!$D$59,Hypothèses!$D$60,0)+IF(E7=Hypothèses!$D$61,Hypothèses!$D$62,0))</f>
        <v/>
      </c>
      <c r="F57" s="15">
        <f>Hypothèses!$D$56*(IF(F7=Hypothèses!$D$57,Hypothèses!$D$58,0)+IF(F7=Hypothèses!$D$59,Hypothèses!$D$60,0)+IF(F7=Hypothèses!$D$61,Hypothèses!$D$62,0))</f>
        <v/>
      </c>
      <c r="G57" s="15">
        <f>Hypothèses!$D$56*(IF(G7=Hypothèses!$D$57,Hypothèses!$D$58,0)+IF(G7=Hypothèses!$D$59,Hypothèses!$D$60,0)+IF(G7=Hypothèses!$D$61,Hypothèses!$D$62,0))</f>
        <v/>
      </c>
      <c r="H57" s="15">
        <f>Hypothèses!$D$56*(IF(H7=Hypothèses!$D$57,Hypothèses!$D$58,0)+IF(H7=Hypothèses!$D$59,Hypothèses!$D$60,0)+IF(H7=Hypothèses!$D$61,Hypothèses!$D$62,0))</f>
        <v/>
      </c>
      <c r="I57" s="15">
        <f>Hypothèses!$D$56*(IF(I7=Hypothèses!$D$57,Hypothèses!$D$58,0)+IF(I7=Hypothèses!$D$59,Hypothèses!$D$60,0)+IF(I7=Hypothèses!$D$61,Hypothèses!$D$62,0))</f>
        <v/>
      </c>
      <c r="J57" s="15">
        <f>Hypothèses!$D$56*(IF(J7=Hypothèses!$D$57,Hypothèses!$D$58,0)+IF(J7=Hypothèses!$D$59,Hypothèses!$D$60,0)+IF(J7=Hypothèses!$D$61,Hypothèses!$D$62,0))</f>
        <v/>
      </c>
      <c r="K57" s="15">
        <f>Hypothèses!$D$56*(IF(K7=Hypothèses!$D$57,Hypothèses!$D$58,0)+IF(K7=Hypothèses!$D$59,Hypothèses!$D$60,0)+IF(K7=Hypothèses!$D$61,Hypothèses!$D$62,0))</f>
        <v/>
      </c>
      <c r="L57" s="15">
        <f>Hypothèses!$D$56*(IF(L7=Hypothèses!$D$57,Hypothèses!$D$58,0)+IF(L7=Hypothèses!$D$59,Hypothèses!$D$60,0)+IF(L7=Hypothèses!$D$61,Hypothèses!$D$62,0))</f>
        <v/>
      </c>
      <c r="M57" s="15">
        <f>Hypothèses!$D$56*(IF(M7=Hypothèses!$D$57,Hypothèses!$D$58,0)+IF(M7=Hypothèses!$D$59,Hypothèses!$D$60,0)+IF(M7=Hypothèses!$D$61,Hypothèses!$D$62,0))</f>
        <v/>
      </c>
      <c r="N57" s="15">
        <f>Hypothèses!$D$56*(IF(N7=Hypothèses!$D$57,Hypothèses!$D$58,0)+IF(N7=Hypothèses!$D$59,Hypothèses!$D$60,0)+IF(N7=Hypothèses!$D$61,Hypothèses!$D$62,0))</f>
        <v/>
      </c>
      <c r="O57" s="15">
        <f>Hypothèses!$D$56*(IF(O7=Hypothèses!$D$57,Hypothèses!$D$58,0)+IF(O7=Hypothèses!$D$59,Hypothèses!$D$60,0)+IF(O7=Hypothèses!$D$61,Hypothèses!$D$62,0))</f>
        <v/>
      </c>
      <c r="P57" s="15">
        <f>Hypothèses!$D$56*(IF(P7=Hypothèses!$D$57,Hypothèses!$D$58,0)+IF(P7=Hypothèses!$D$59,Hypothèses!$D$60,0)+IF(P7=Hypothèses!$D$61,Hypothèses!$D$62,0))</f>
        <v/>
      </c>
      <c r="Q57" s="15">
        <f>Hypothèses!$D$56*(IF(Q7=Hypothèses!$D$57,Hypothèses!$D$58,0)+IF(Q7=Hypothèses!$D$59,Hypothèses!$D$60,0)+IF(Q7=Hypothèses!$D$61,Hypothèses!$D$62,0))</f>
        <v/>
      </c>
      <c r="R57" s="15">
        <f>Hypothèses!$D$56*(IF(R7=Hypothèses!$D$57,Hypothèses!$D$58,0)+IF(R7=Hypothèses!$D$59,Hypothèses!$D$60,0)+IF(R7=Hypothèses!$D$61,Hypothèses!$D$62,0))</f>
        <v/>
      </c>
      <c r="S57" s="15">
        <f>Hypothèses!$D$56*(IF(S7=Hypothèses!$D$57,Hypothèses!$D$58,0)+IF(S7=Hypothèses!$D$59,Hypothèses!$D$60,0)+IF(S7=Hypothèses!$D$61,Hypothèses!$D$62,0))</f>
        <v/>
      </c>
      <c r="T57" s="15">
        <f>Hypothèses!$D$56*(IF(T7=Hypothèses!$D$57,Hypothèses!$D$58,0)+IF(T7=Hypothèses!$D$59,Hypothèses!$D$60,0)+IF(T7=Hypothèses!$D$61,Hypothèses!$D$62,0))</f>
        <v/>
      </c>
      <c r="U57" s="15">
        <f>Hypothèses!$D$56*(IF(U7=Hypothèses!$D$57,Hypothèses!$D$58,0)+IF(U7=Hypothèses!$D$59,Hypothèses!$D$60,0)+IF(U7=Hypothèses!$D$61,Hypothèses!$D$62,0))</f>
        <v/>
      </c>
      <c r="V57" s="15">
        <f>Hypothèses!$D$56*(IF(V7=Hypothèses!$D$57,Hypothèses!$D$58,0)+IF(V7=Hypothèses!$D$59,Hypothèses!$D$60,0)+IF(V7=Hypothèses!$D$61,Hypothèses!$D$62,0))</f>
        <v/>
      </c>
      <c r="W57" s="15">
        <f>Hypothèses!$D$56*(IF(W7=Hypothèses!$D$57,Hypothèses!$D$58,0)+IF(W7=Hypothèses!$D$59,Hypothèses!$D$60,0)+IF(W7=Hypothèses!$D$61,Hypothèses!$D$62,0))</f>
        <v/>
      </c>
      <c r="X57" s="15">
        <f>Hypothèses!$D$56*(IF(X7=Hypothèses!$D$57,Hypothèses!$D$58,0)+IF(X7=Hypothèses!$D$59,Hypothèses!$D$60,0)+IF(X7=Hypothèses!$D$61,Hypothèses!$D$62,0))</f>
        <v/>
      </c>
      <c r="Y57" s="15">
        <f>Hypothèses!$D$56*(IF(Y7=Hypothèses!$D$57,Hypothèses!$D$58,0)+IF(Y7=Hypothèses!$D$59,Hypothèses!$D$60,0)+IF(Y7=Hypothèses!$D$61,Hypothèses!$D$62,0))</f>
        <v/>
      </c>
      <c r="Z57" s="15">
        <f>Hypothèses!$D$56*(IF(Z7=Hypothèses!$D$57,Hypothèses!$D$58,0)+IF(Z7=Hypothèses!$D$59,Hypothèses!$D$60,0)+IF(Z7=Hypothèses!$D$61,Hypothèses!$D$62,0))</f>
        <v/>
      </c>
      <c r="AA57" s="15">
        <f>Hypothèses!$D$56*(IF(AA7=Hypothèses!$D$57,Hypothèses!$D$58,0)+IF(AA7=Hypothèses!$D$59,Hypothèses!$D$60,0)+IF(AA7=Hypothèses!$D$61,Hypothèses!$D$62,0))</f>
        <v/>
      </c>
      <c r="AB57" s="15">
        <f>Hypothèses!$D$56*(IF(AB7=Hypothèses!$D$57,Hypothèses!$D$58,0)+IF(AB7=Hypothèses!$D$59,Hypothèses!$D$60,0)+IF(AB7=Hypothèses!$D$61,Hypothèses!$D$62,0))</f>
        <v/>
      </c>
      <c r="AC57" s="15">
        <f>Hypothèses!$D$56*(IF(AC7=Hypothèses!$D$57,Hypothèses!$D$58,0)+IF(AC7=Hypothèses!$D$59,Hypothèses!$D$60,0)+IF(AC7=Hypothèses!$D$61,Hypothèses!$D$62,0))</f>
        <v/>
      </c>
      <c r="AD57" s="15">
        <f>Hypothèses!$D$56*(IF(AD7=Hypothèses!$D$57,Hypothèses!$D$58,0)+IF(AD7=Hypothèses!$D$59,Hypothèses!$D$60,0)+IF(AD7=Hypothèses!$D$61,Hypothèses!$D$62,0))</f>
        <v/>
      </c>
      <c r="AE57" s="15">
        <f>Hypothèses!$D$56*(IF(AE7=Hypothèses!$D$57,Hypothèses!$D$58,0)+IF(AE7=Hypothèses!$D$59,Hypothèses!$D$60,0)+IF(AE7=Hypothèses!$D$61,Hypothèses!$D$62,0))</f>
        <v/>
      </c>
      <c r="AF57" s="15">
        <f>Hypothèses!$D$56*(IF(AF7=Hypothèses!$D$57,Hypothèses!$D$58,0)+IF(AF7=Hypothèses!$D$59,Hypothèses!$D$60,0)+IF(AF7=Hypothèses!$D$61,Hypothèses!$D$62,0))</f>
        <v/>
      </c>
      <c r="AG57" s="15">
        <f>Hypothèses!$D$56*(IF(AG7=Hypothèses!$D$57,Hypothèses!$D$58,0)+IF(AG7=Hypothèses!$D$59,Hypothèses!$D$60,0)+IF(AG7=Hypothèses!$D$61,Hypothèses!$D$62,0))</f>
        <v/>
      </c>
      <c r="AH57" s="15">
        <f>Hypothèses!$D$56*(IF(AH7=Hypothèses!$D$57,Hypothèses!$D$58,0)+IF(AH7=Hypothèses!$D$59,Hypothèses!$D$60,0)+IF(AH7=Hypothèses!$D$61,Hypothèses!$D$62,0))</f>
        <v/>
      </c>
      <c r="AI57" s="15">
        <f>Hypothèses!$D$56*(IF(AI7=Hypothèses!$D$57,Hypothèses!$D$58,0)+IF(AI7=Hypothèses!$D$59,Hypothèses!$D$60,0)+IF(AI7=Hypothèses!$D$61,Hypothèses!$D$62,0))</f>
        <v/>
      </c>
      <c r="AJ57" s="15">
        <f>Hypothèses!$D$56*(IF(AJ7=Hypothèses!$D$57,Hypothèses!$D$58,0)+IF(AJ7=Hypothèses!$D$59,Hypothèses!$D$60,0)+IF(AJ7=Hypothèses!$D$61,Hypothèses!$D$62,0))</f>
        <v/>
      </c>
      <c r="AK57" s="15">
        <f>Hypothèses!$D$56*(IF(AK7=Hypothèses!$D$57,Hypothèses!$D$58,0)+IF(AK7=Hypothèses!$D$59,Hypothèses!$D$60,0)+IF(AK7=Hypothèses!$D$61,Hypothèses!$D$62,0))</f>
        <v/>
      </c>
      <c r="AL57" s="15">
        <f>Hypothèses!$D$56*(IF(AL7=Hypothèses!$D$57,Hypothèses!$D$58,0)+IF(AL7=Hypothèses!$D$59,Hypothèses!$D$60,0)+IF(AL7=Hypothèses!$D$61,Hypothèses!$D$62,0))</f>
        <v/>
      </c>
      <c r="AN57" s="15">
        <f>SUM(C57:N57)</f>
        <v/>
      </c>
      <c r="AO57" s="15">
        <f>SUM(O57:Z57)</f>
        <v/>
      </c>
      <c r="AP57" s="15">
        <f>SUM(AA57:AL57)</f>
        <v/>
      </c>
    </row>
    <row r="58">
      <c r="A58" s="9" t="inlineStr">
        <is>
          <t>Trésorerie d'ouverture</t>
        </is>
      </c>
      <c r="B58" s="4" t="inlineStr">
        <is>
          <t>€</t>
        </is>
      </c>
      <c r="C58" s="15">
        <f>Hypothèses!$D$54</f>
        <v/>
      </c>
      <c r="D58" s="15">
        <f>C60</f>
        <v/>
      </c>
      <c r="E58" s="15">
        <f>D60</f>
        <v/>
      </c>
      <c r="F58" s="15">
        <f>E60</f>
        <v/>
      </c>
      <c r="G58" s="15">
        <f>F60</f>
        <v/>
      </c>
      <c r="H58" s="15">
        <f>G60</f>
        <v/>
      </c>
      <c r="I58" s="15">
        <f>H60</f>
        <v/>
      </c>
      <c r="J58" s="15">
        <f>I60</f>
        <v/>
      </c>
      <c r="K58" s="15">
        <f>J60</f>
        <v/>
      </c>
      <c r="L58" s="15">
        <f>K60</f>
        <v/>
      </c>
      <c r="M58" s="15">
        <f>L60</f>
        <v/>
      </c>
      <c r="N58" s="15">
        <f>M60</f>
        <v/>
      </c>
      <c r="O58" s="15">
        <f>N60</f>
        <v/>
      </c>
      <c r="P58" s="15">
        <f>O60</f>
        <v/>
      </c>
      <c r="Q58" s="15">
        <f>P60</f>
        <v/>
      </c>
      <c r="R58" s="15">
        <f>Q60</f>
        <v/>
      </c>
      <c r="S58" s="15">
        <f>R60</f>
        <v/>
      </c>
      <c r="T58" s="15">
        <f>S60</f>
        <v/>
      </c>
      <c r="U58" s="15">
        <f>T60</f>
        <v/>
      </c>
      <c r="V58" s="15">
        <f>U60</f>
        <v/>
      </c>
      <c r="W58" s="15">
        <f>V60</f>
        <v/>
      </c>
      <c r="X58" s="15">
        <f>W60</f>
        <v/>
      </c>
      <c r="Y58" s="15">
        <f>X60</f>
        <v/>
      </c>
      <c r="Z58" s="15">
        <f>Y60</f>
        <v/>
      </c>
      <c r="AA58" s="15">
        <f>Z60</f>
        <v/>
      </c>
      <c r="AB58" s="15">
        <f>AA60</f>
        <v/>
      </c>
      <c r="AC58" s="15">
        <f>AB60</f>
        <v/>
      </c>
      <c r="AD58" s="15">
        <f>AC60</f>
        <v/>
      </c>
      <c r="AE58" s="15">
        <f>AD60</f>
        <v/>
      </c>
      <c r="AF58" s="15">
        <f>AE60</f>
        <v/>
      </c>
      <c r="AG58" s="15">
        <f>AF60</f>
        <v/>
      </c>
      <c r="AH58" s="15">
        <f>AG60</f>
        <v/>
      </c>
      <c r="AI58" s="15">
        <f>AH60</f>
        <v/>
      </c>
      <c r="AJ58" s="15">
        <f>AI60</f>
        <v/>
      </c>
      <c r="AK58" s="15">
        <f>AJ60</f>
        <v/>
      </c>
      <c r="AL58" s="15">
        <f>AK60</f>
        <v/>
      </c>
    </row>
    <row r="59">
      <c r="A59" s="9" t="inlineStr">
        <is>
          <t>Flux de trésorerie du mois</t>
        </is>
      </c>
      <c r="B59" s="4" t="inlineStr">
        <is>
          <t>€</t>
        </is>
      </c>
      <c r="C59" s="15">
        <f>C31-C36-C39-C51-C55+C56+C57</f>
        <v/>
      </c>
      <c r="D59" s="15">
        <f>D31-D36-D39-D51-D55+D56+D57</f>
        <v/>
      </c>
      <c r="E59" s="15">
        <f>E31-E36-E39-E51-E55+E56+E57</f>
        <v/>
      </c>
      <c r="F59" s="15">
        <f>F31-F36-F39-F51-F55+F56+F57</f>
        <v/>
      </c>
      <c r="G59" s="15">
        <f>G31-G36-G39-G51-G55+G56+G57</f>
        <v/>
      </c>
      <c r="H59" s="15">
        <f>H31-H36-H39-H51-H55+H56+H57</f>
        <v/>
      </c>
      <c r="I59" s="15">
        <f>I31-I36-I39-I51-I55+I56+I57</f>
        <v/>
      </c>
      <c r="J59" s="15">
        <f>J31-J36-J39-J51-J55+J56+J57</f>
        <v/>
      </c>
      <c r="K59" s="15">
        <f>K31-K36-K39-K51-K55+K56+K57</f>
        <v/>
      </c>
      <c r="L59" s="15">
        <f>L31-L36-L39-L51-L55+L56+L57</f>
        <v/>
      </c>
      <c r="M59" s="15">
        <f>M31-M36-M39-M51-M55+M56+M57</f>
        <v/>
      </c>
      <c r="N59" s="15">
        <f>N31-N36-N39-N51-N55+N56+N57</f>
        <v/>
      </c>
      <c r="O59" s="15">
        <f>O31-O36-O39-O51-O55+O56+O57</f>
        <v/>
      </c>
      <c r="P59" s="15">
        <f>P31-P36-P39-P51-P55+P56+P57</f>
        <v/>
      </c>
      <c r="Q59" s="15">
        <f>Q31-Q36-Q39-Q51-Q55+Q56+Q57</f>
        <v/>
      </c>
      <c r="R59" s="15">
        <f>R31-R36-R39-R51-R55+R56+R57</f>
        <v/>
      </c>
      <c r="S59" s="15">
        <f>S31-S36-S39-S51-S55+S56+S57</f>
        <v/>
      </c>
      <c r="T59" s="15">
        <f>T31-T36-T39-T51-T55+T56+T57</f>
        <v/>
      </c>
      <c r="U59" s="15">
        <f>U31-U36-U39-U51-U55+U56+U57</f>
        <v/>
      </c>
      <c r="V59" s="15">
        <f>V31-V36-V39-V51-V55+V56+V57</f>
        <v/>
      </c>
      <c r="W59" s="15">
        <f>W31-W36-W39-W51-W55+W56+W57</f>
        <v/>
      </c>
      <c r="X59" s="15">
        <f>X31-X36-X39-X51-X55+X56+X57</f>
        <v/>
      </c>
      <c r="Y59" s="15">
        <f>Y31-Y36-Y39-Y51-Y55+Y56+Y57</f>
        <v/>
      </c>
      <c r="Z59" s="15">
        <f>Z31-Z36-Z39-Z51-Z55+Z56+Z57</f>
        <v/>
      </c>
      <c r="AA59" s="15">
        <f>AA31-AA36-AA39-AA51-AA55+AA56+AA57</f>
        <v/>
      </c>
      <c r="AB59" s="15">
        <f>AB31-AB36-AB39-AB51-AB55+AB56+AB57</f>
        <v/>
      </c>
      <c r="AC59" s="15">
        <f>AC31-AC36-AC39-AC51-AC55+AC56+AC57</f>
        <v/>
      </c>
      <c r="AD59" s="15">
        <f>AD31-AD36-AD39-AD51-AD55+AD56+AD57</f>
        <v/>
      </c>
      <c r="AE59" s="15">
        <f>AE31-AE36-AE39-AE51-AE55+AE56+AE57</f>
        <v/>
      </c>
      <c r="AF59" s="15">
        <f>AF31-AF36-AF39-AF51-AF55+AF56+AF57</f>
        <v/>
      </c>
      <c r="AG59" s="15">
        <f>AG31-AG36-AG39-AG51-AG55+AG56+AG57</f>
        <v/>
      </c>
      <c r="AH59" s="15">
        <f>AH31-AH36-AH39-AH51-AH55+AH56+AH57</f>
        <v/>
      </c>
      <c r="AI59" s="15">
        <f>AI31-AI36-AI39-AI51-AI55+AI56+AI57</f>
        <v/>
      </c>
      <c r="AJ59" s="15">
        <f>AJ31-AJ36-AJ39-AJ51-AJ55+AJ56+AJ57</f>
        <v/>
      </c>
      <c r="AK59" s="15">
        <f>AK31-AK36-AK39-AK51-AK55+AK56+AK57</f>
        <v/>
      </c>
      <c r="AL59" s="15">
        <f>AL31-AL36-AL39-AL51-AL55+AL56+AL57</f>
        <v/>
      </c>
      <c r="AN59" s="15">
        <f>SUM(C59:N59)</f>
        <v/>
      </c>
      <c r="AO59" s="15">
        <f>SUM(O59:Z59)</f>
        <v/>
      </c>
      <c r="AP59" s="15">
        <f>SUM(AA59:AL59)</f>
        <v/>
      </c>
    </row>
    <row r="60">
      <c r="A60" s="2" t="inlineStr">
        <is>
          <t>Trésorerie de clôture</t>
        </is>
      </c>
      <c r="B60" s="4" t="inlineStr">
        <is>
          <t>€</t>
        </is>
      </c>
      <c r="C60" s="40">
        <f>C58+C59</f>
        <v/>
      </c>
      <c r="D60" s="40">
        <f>D58+D59</f>
        <v/>
      </c>
      <c r="E60" s="40">
        <f>E58+E59</f>
        <v/>
      </c>
      <c r="F60" s="40">
        <f>F58+F59</f>
        <v/>
      </c>
      <c r="G60" s="40">
        <f>G58+G59</f>
        <v/>
      </c>
      <c r="H60" s="40">
        <f>H58+H59</f>
        <v/>
      </c>
      <c r="I60" s="40">
        <f>I58+I59</f>
        <v/>
      </c>
      <c r="J60" s="40">
        <f>J58+J59</f>
        <v/>
      </c>
      <c r="K60" s="40">
        <f>K58+K59</f>
        <v/>
      </c>
      <c r="L60" s="40">
        <f>L58+L59</f>
        <v/>
      </c>
      <c r="M60" s="40">
        <f>M58+M59</f>
        <v/>
      </c>
      <c r="N60" s="40">
        <f>N58+N59</f>
        <v/>
      </c>
      <c r="O60" s="40">
        <f>O58+O59</f>
        <v/>
      </c>
      <c r="P60" s="40">
        <f>P58+P59</f>
        <v/>
      </c>
      <c r="Q60" s="40">
        <f>Q58+Q59</f>
        <v/>
      </c>
      <c r="R60" s="40">
        <f>R58+R59</f>
        <v/>
      </c>
      <c r="S60" s="40">
        <f>S58+S59</f>
        <v/>
      </c>
      <c r="T60" s="40">
        <f>T58+T59</f>
        <v/>
      </c>
      <c r="U60" s="40">
        <f>U58+U59</f>
        <v/>
      </c>
      <c r="V60" s="40">
        <f>V58+V59</f>
        <v/>
      </c>
      <c r="W60" s="40">
        <f>W58+W59</f>
        <v/>
      </c>
      <c r="X60" s="40">
        <f>X58+X59</f>
        <v/>
      </c>
      <c r="Y60" s="40">
        <f>Y58+Y59</f>
        <v/>
      </c>
      <c r="Z60" s="40">
        <f>Z58+Z59</f>
        <v/>
      </c>
      <c r="AA60" s="40">
        <f>AA58+AA59</f>
        <v/>
      </c>
      <c r="AB60" s="40">
        <f>AB58+AB59</f>
        <v/>
      </c>
      <c r="AC60" s="40">
        <f>AC58+AC59</f>
        <v/>
      </c>
      <c r="AD60" s="40">
        <f>AD58+AD59</f>
        <v/>
      </c>
      <c r="AE60" s="40">
        <f>AE58+AE59</f>
        <v/>
      </c>
      <c r="AF60" s="40">
        <f>AF58+AF59</f>
        <v/>
      </c>
      <c r="AG60" s="40">
        <f>AG58+AG59</f>
        <v/>
      </c>
      <c r="AH60" s="40">
        <f>AH58+AH59</f>
        <v/>
      </c>
      <c r="AI60" s="40">
        <f>AI58+AI59</f>
        <v/>
      </c>
      <c r="AJ60" s="40">
        <f>AJ58+AJ59</f>
        <v/>
      </c>
      <c r="AK60" s="40">
        <f>AK58+AK59</f>
        <v/>
      </c>
      <c r="AL60" s="40">
        <f>AL58+AL59</f>
        <v/>
      </c>
      <c r="AN60" s="40">
        <f>N60</f>
        <v/>
      </c>
      <c r="AO60" s="40">
        <f>Z60</f>
        <v/>
      </c>
      <c r="AP60" s="40">
        <f>AL60</f>
        <v/>
      </c>
    </row>
    <row r="61">
      <c r="A61" s="9" t="inlineStr">
        <is>
          <t>Financement cumulé</t>
        </is>
      </c>
      <c r="B61" s="4" t="inlineStr">
        <is>
          <t>€</t>
        </is>
      </c>
      <c r="C61" s="15">
        <f>0+C57</f>
        <v/>
      </c>
      <c r="D61" s="15">
        <f>C61+D57</f>
        <v/>
      </c>
      <c r="E61" s="15">
        <f>D61+E57</f>
        <v/>
      </c>
      <c r="F61" s="15">
        <f>E61+F57</f>
        <v/>
      </c>
      <c r="G61" s="15">
        <f>F61+G57</f>
        <v/>
      </c>
      <c r="H61" s="15">
        <f>G61+H57</f>
        <v/>
      </c>
      <c r="I61" s="15">
        <f>H61+I57</f>
        <v/>
      </c>
      <c r="J61" s="15">
        <f>I61+J57</f>
        <v/>
      </c>
      <c r="K61" s="15">
        <f>J61+K57</f>
        <v/>
      </c>
      <c r="L61" s="15">
        <f>K61+L57</f>
        <v/>
      </c>
      <c r="M61" s="15">
        <f>L61+M57</f>
        <v/>
      </c>
      <c r="N61" s="15">
        <f>M61+N57</f>
        <v/>
      </c>
      <c r="O61" s="15">
        <f>N61+O57</f>
        <v/>
      </c>
      <c r="P61" s="15">
        <f>O61+P57</f>
        <v/>
      </c>
      <c r="Q61" s="15">
        <f>P61+Q57</f>
        <v/>
      </c>
      <c r="R61" s="15">
        <f>Q61+R57</f>
        <v/>
      </c>
      <c r="S61" s="15">
        <f>R61+S57</f>
        <v/>
      </c>
      <c r="T61" s="15">
        <f>S61+T57</f>
        <v/>
      </c>
      <c r="U61" s="15">
        <f>T61+U57</f>
        <v/>
      </c>
      <c r="V61" s="15">
        <f>U61+V57</f>
        <v/>
      </c>
      <c r="W61" s="15">
        <f>V61+W57</f>
        <v/>
      </c>
      <c r="X61" s="15">
        <f>W61+X57</f>
        <v/>
      </c>
      <c r="Y61" s="15">
        <f>X61+Y57</f>
        <v/>
      </c>
      <c r="Z61" s="15">
        <f>Y61+Z57</f>
        <v/>
      </c>
      <c r="AA61" s="15">
        <f>Z61+AA57</f>
        <v/>
      </c>
      <c r="AB61" s="15">
        <f>AA61+AB57</f>
        <v/>
      </c>
      <c r="AC61" s="15">
        <f>AB61+AC57</f>
        <v/>
      </c>
      <c r="AD61" s="15">
        <f>AC61+AD57</f>
        <v/>
      </c>
      <c r="AE61" s="15">
        <f>AD61+AE57</f>
        <v/>
      </c>
      <c r="AF61" s="15">
        <f>AE61+AF57</f>
        <v/>
      </c>
      <c r="AG61" s="15">
        <f>AF61+AG57</f>
        <v/>
      </c>
      <c r="AH61" s="15">
        <f>AG61+AH57</f>
        <v/>
      </c>
      <c r="AI61" s="15">
        <f>AH61+AI57</f>
        <v/>
      </c>
      <c r="AJ61" s="15">
        <f>AI61+AJ57</f>
        <v/>
      </c>
      <c r="AK61" s="15">
        <f>AJ61+AK57</f>
        <v/>
      </c>
      <c r="AL61" s="15">
        <f>AK61+AL57</f>
        <v/>
      </c>
      <c r="AN61" s="15">
        <f>N61</f>
        <v/>
      </c>
      <c r="AO61" s="15">
        <f>Z61</f>
        <v/>
      </c>
      <c r="AP61" s="15">
        <f>AL61</f>
        <v/>
      </c>
    </row>
    <row r="62">
      <c r="A62" s="2" t="inlineStr">
        <is>
          <t>Trésorerie cumulée hors financement</t>
        </is>
      </c>
      <c r="B62" s="4" t="inlineStr">
        <is>
          <t>€</t>
        </is>
      </c>
      <c r="C62" s="40">
        <f>C60-C61</f>
        <v/>
      </c>
      <c r="D62" s="40">
        <f>D60-D61</f>
        <v/>
      </c>
      <c r="E62" s="40">
        <f>E60-E61</f>
        <v/>
      </c>
      <c r="F62" s="40">
        <f>F60-F61</f>
        <v/>
      </c>
      <c r="G62" s="40">
        <f>G60-G61</f>
        <v/>
      </c>
      <c r="H62" s="40">
        <f>H60-H61</f>
        <v/>
      </c>
      <c r="I62" s="40">
        <f>I60-I61</f>
        <v/>
      </c>
      <c r="J62" s="40">
        <f>J60-J61</f>
        <v/>
      </c>
      <c r="K62" s="40">
        <f>K60-K61</f>
        <v/>
      </c>
      <c r="L62" s="40">
        <f>L60-L61</f>
        <v/>
      </c>
      <c r="M62" s="40">
        <f>M60-M61</f>
        <v/>
      </c>
      <c r="N62" s="40">
        <f>N60-N61</f>
        <v/>
      </c>
      <c r="O62" s="40">
        <f>O60-O61</f>
        <v/>
      </c>
      <c r="P62" s="40">
        <f>P60-P61</f>
        <v/>
      </c>
      <c r="Q62" s="40">
        <f>Q60-Q61</f>
        <v/>
      </c>
      <c r="R62" s="40">
        <f>R60-R61</f>
        <v/>
      </c>
      <c r="S62" s="40">
        <f>S60-S61</f>
        <v/>
      </c>
      <c r="T62" s="40">
        <f>T60-T61</f>
        <v/>
      </c>
      <c r="U62" s="40">
        <f>U60-U61</f>
        <v/>
      </c>
      <c r="V62" s="40">
        <f>V60-V61</f>
        <v/>
      </c>
      <c r="W62" s="40">
        <f>W60-W61</f>
        <v/>
      </c>
      <c r="X62" s="40">
        <f>X60-X61</f>
        <v/>
      </c>
      <c r="Y62" s="40">
        <f>Y60-Y61</f>
        <v/>
      </c>
      <c r="Z62" s="40">
        <f>Z60-Z61</f>
        <v/>
      </c>
      <c r="AA62" s="40">
        <f>AA60-AA61</f>
        <v/>
      </c>
      <c r="AB62" s="40">
        <f>AB60-AB61</f>
        <v/>
      </c>
      <c r="AC62" s="40">
        <f>AC60-AC61</f>
        <v/>
      </c>
      <c r="AD62" s="40">
        <f>AD60-AD61</f>
        <v/>
      </c>
      <c r="AE62" s="40">
        <f>AE60-AE61</f>
        <v/>
      </c>
      <c r="AF62" s="40">
        <f>AF60-AF61</f>
        <v/>
      </c>
      <c r="AG62" s="40">
        <f>AG60-AG61</f>
        <v/>
      </c>
      <c r="AH62" s="40">
        <f>AH60-AH61</f>
        <v/>
      </c>
      <c r="AI62" s="40">
        <f>AI60-AI61</f>
        <v/>
      </c>
      <c r="AJ62" s="40">
        <f>AJ60-AJ61</f>
        <v/>
      </c>
      <c r="AK62" s="40">
        <f>AK60-AK61</f>
        <v/>
      </c>
      <c r="AL62" s="40">
        <f>AL60-AL61</f>
        <v/>
      </c>
      <c r="AN62" s="40">
        <f>N62</f>
        <v/>
      </c>
      <c r="AO62" s="40">
        <f>Z62</f>
        <v/>
      </c>
      <c r="AP62" s="40">
        <f>AL62</f>
        <v/>
      </c>
    </row>
    <row r="63">
      <c r="A63" s="9" t="inlineStr">
        <is>
          <t>Point bas glissant hors financement</t>
        </is>
      </c>
      <c r="B63" s="4" t="inlineStr">
        <is>
          <t>€</t>
        </is>
      </c>
      <c r="C63" s="15">
        <f>C62</f>
        <v/>
      </c>
      <c r="D63" s="15">
        <f>MIN(C63,D62)</f>
        <v/>
      </c>
      <c r="E63" s="15">
        <f>MIN(D63,E62)</f>
        <v/>
      </c>
      <c r="F63" s="15">
        <f>MIN(E63,F62)</f>
        <v/>
      </c>
      <c r="G63" s="15">
        <f>MIN(F63,G62)</f>
        <v/>
      </c>
      <c r="H63" s="15">
        <f>MIN(G63,H62)</f>
        <v/>
      </c>
      <c r="I63" s="15">
        <f>MIN(H63,I62)</f>
        <v/>
      </c>
      <c r="J63" s="15">
        <f>MIN(I63,J62)</f>
        <v/>
      </c>
      <c r="K63" s="15">
        <f>MIN(J63,K62)</f>
        <v/>
      </c>
      <c r="L63" s="15">
        <f>MIN(K63,L62)</f>
        <v/>
      </c>
      <c r="M63" s="15">
        <f>MIN(L63,M62)</f>
        <v/>
      </c>
      <c r="N63" s="15">
        <f>MIN(M63,N62)</f>
        <v/>
      </c>
      <c r="O63" s="15">
        <f>MIN(N63,O62)</f>
        <v/>
      </c>
      <c r="P63" s="15">
        <f>MIN(O63,P62)</f>
        <v/>
      </c>
      <c r="Q63" s="15">
        <f>MIN(P63,Q62)</f>
        <v/>
      </c>
      <c r="R63" s="15">
        <f>MIN(Q63,R62)</f>
        <v/>
      </c>
      <c r="S63" s="15">
        <f>MIN(R63,S62)</f>
        <v/>
      </c>
      <c r="T63" s="15">
        <f>MIN(S63,T62)</f>
        <v/>
      </c>
      <c r="U63" s="15">
        <f>MIN(T63,U62)</f>
        <v/>
      </c>
      <c r="V63" s="15">
        <f>MIN(U63,V62)</f>
        <v/>
      </c>
      <c r="W63" s="15">
        <f>MIN(V63,W62)</f>
        <v/>
      </c>
      <c r="X63" s="15">
        <f>MIN(W63,X62)</f>
        <v/>
      </c>
      <c r="Y63" s="15">
        <f>MIN(X63,Y62)</f>
        <v/>
      </c>
      <c r="Z63" s="15">
        <f>MIN(Y63,Z62)</f>
        <v/>
      </c>
      <c r="AA63" s="15">
        <f>MIN(Z63,AA62)</f>
        <v/>
      </c>
      <c r="AB63" s="15">
        <f>MIN(AA63,AB62)</f>
        <v/>
      </c>
      <c r="AC63" s="15">
        <f>MIN(AB63,AC62)</f>
        <v/>
      </c>
      <c r="AD63" s="15">
        <f>MIN(AC63,AD62)</f>
        <v/>
      </c>
      <c r="AE63" s="15">
        <f>MIN(AD63,AE62)</f>
        <v/>
      </c>
      <c r="AF63" s="15">
        <f>MIN(AE63,AF62)</f>
        <v/>
      </c>
      <c r="AG63" s="15">
        <f>MIN(AF63,AG62)</f>
        <v/>
      </c>
      <c r="AH63" s="15">
        <f>MIN(AG63,AH62)</f>
        <v/>
      </c>
      <c r="AI63" s="15">
        <f>MIN(AH63,AI62)</f>
        <v/>
      </c>
      <c r="AJ63" s="15">
        <f>MIN(AI63,AJ62)</f>
        <v/>
      </c>
      <c r="AK63" s="15">
        <f>MIN(AJ63,AK62)</f>
        <v/>
      </c>
      <c r="AL63" s="15">
        <f>MIN(AK63,AL62)</f>
        <v/>
      </c>
      <c r="AN63" s="15">
        <f>N63</f>
        <v/>
      </c>
      <c r="AO63" s="15">
        <f>Z63</f>
        <v/>
      </c>
      <c r="AP63" s="15">
        <f>AL63</f>
        <v/>
      </c>
    </row>
    <row r="64">
      <c r="A64" s="9" t="inlineStr">
        <is>
          <t>Trésorerie cumulée hors financement positive après lancement ? (1 = oui)</t>
        </is>
      </c>
      <c r="B64" s="4" t="inlineStr">
        <is>
          <t>0/1</t>
        </is>
      </c>
      <c r="C64" s="13">
        <f>IF(AND(C9=1,C62&gt;0),1,0)</f>
        <v/>
      </c>
      <c r="D64" s="13">
        <f>IF(AND(D9=1,D62&gt;0),1,0)</f>
        <v/>
      </c>
      <c r="E64" s="13">
        <f>IF(AND(E9=1,E62&gt;0),1,0)</f>
        <v/>
      </c>
      <c r="F64" s="13">
        <f>IF(AND(F9=1,F62&gt;0),1,0)</f>
        <v/>
      </c>
      <c r="G64" s="13">
        <f>IF(AND(G9=1,G62&gt;0),1,0)</f>
        <v/>
      </c>
      <c r="H64" s="13">
        <f>IF(AND(H9=1,H62&gt;0),1,0)</f>
        <v/>
      </c>
      <c r="I64" s="13">
        <f>IF(AND(I9=1,I62&gt;0),1,0)</f>
        <v/>
      </c>
      <c r="J64" s="13">
        <f>IF(AND(J9=1,J62&gt;0),1,0)</f>
        <v/>
      </c>
      <c r="K64" s="13">
        <f>IF(AND(K9=1,K62&gt;0),1,0)</f>
        <v/>
      </c>
      <c r="L64" s="13">
        <f>IF(AND(L9=1,L62&gt;0),1,0)</f>
        <v/>
      </c>
      <c r="M64" s="13">
        <f>IF(AND(M9=1,M62&gt;0),1,0)</f>
        <v/>
      </c>
      <c r="N64" s="13">
        <f>IF(AND(N9=1,N62&gt;0),1,0)</f>
        <v/>
      </c>
      <c r="O64" s="13">
        <f>IF(AND(O9=1,O62&gt;0),1,0)</f>
        <v/>
      </c>
      <c r="P64" s="13">
        <f>IF(AND(P9=1,P62&gt;0),1,0)</f>
        <v/>
      </c>
      <c r="Q64" s="13">
        <f>IF(AND(Q9=1,Q62&gt;0),1,0)</f>
        <v/>
      </c>
      <c r="R64" s="13">
        <f>IF(AND(R9=1,R62&gt;0),1,0)</f>
        <v/>
      </c>
      <c r="S64" s="13">
        <f>IF(AND(S9=1,S62&gt;0),1,0)</f>
        <v/>
      </c>
      <c r="T64" s="13">
        <f>IF(AND(T9=1,T62&gt;0),1,0)</f>
        <v/>
      </c>
      <c r="U64" s="13">
        <f>IF(AND(U9=1,U62&gt;0),1,0)</f>
        <v/>
      </c>
      <c r="V64" s="13">
        <f>IF(AND(V9=1,V62&gt;0),1,0)</f>
        <v/>
      </c>
      <c r="W64" s="13">
        <f>IF(AND(W9=1,W62&gt;0),1,0)</f>
        <v/>
      </c>
      <c r="X64" s="13">
        <f>IF(AND(X9=1,X62&gt;0),1,0)</f>
        <v/>
      </c>
      <c r="Y64" s="13">
        <f>IF(AND(Y9=1,Y62&gt;0),1,0)</f>
        <v/>
      </c>
      <c r="Z64" s="13">
        <f>IF(AND(Z9=1,Z62&gt;0),1,0)</f>
        <v/>
      </c>
      <c r="AA64" s="13">
        <f>IF(AND(AA9=1,AA62&gt;0),1,0)</f>
        <v/>
      </c>
      <c r="AB64" s="13">
        <f>IF(AND(AB9=1,AB62&gt;0),1,0)</f>
        <v/>
      </c>
      <c r="AC64" s="13">
        <f>IF(AND(AC9=1,AC62&gt;0),1,0)</f>
        <v/>
      </c>
      <c r="AD64" s="13">
        <f>IF(AND(AD9=1,AD62&gt;0),1,0)</f>
        <v/>
      </c>
      <c r="AE64" s="13">
        <f>IF(AND(AE9=1,AE62&gt;0),1,0)</f>
        <v/>
      </c>
      <c r="AF64" s="13">
        <f>IF(AND(AF9=1,AF62&gt;0),1,0)</f>
        <v/>
      </c>
      <c r="AG64" s="13">
        <f>IF(AND(AG9=1,AG62&gt;0),1,0)</f>
        <v/>
      </c>
      <c r="AH64" s="13">
        <f>IF(AND(AH9=1,AH62&gt;0),1,0)</f>
        <v/>
      </c>
      <c r="AI64" s="13">
        <f>IF(AND(AI9=1,AI62&gt;0),1,0)</f>
        <v/>
      </c>
      <c r="AJ64" s="13">
        <f>IF(AND(AJ9=1,AJ62&gt;0),1,0)</f>
        <v/>
      </c>
      <c r="AK64" s="13">
        <f>IF(AND(AK9=1,AK62&gt;0),1,0)</f>
        <v/>
      </c>
      <c r="AL64" s="13">
        <f>IF(AND(AL9=1,AL62&gt;0),1,0)</f>
        <v/>
      </c>
    </row>
    <row r="65">
      <c r="A65" s="8" t="inlineStr">
        <is>
          <t>Indicateurs</t>
        </is>
      </c>
    </row>
    <row r="66">
      <c r="A66" s="9" t="inlineStr">
        <is>
          <t>ARR HT instantané (CA HT × 12)</t>
        </is>
      </c>
      <c r="B66" s="4" t="inlineStr">
        <is>
          <t>€ HT</t>
        </is>
      </c>
      <c r="C66" s="15">
        <f>C28*12</f>
        <v/>
      </c>
      <c r="D66" s="15">
        <f>D28*12</f>
        <v/>
      </c>
      <c r="E66" s="15">
        <f>E28*12</f>
        <v/>
      </c>
      <c r="F66" s="15">
        <f>F28*12</f>
        <v/>
      </c>
      <c r="G66" s="15">
        <f>G28*12</f>
        <v/>
      </c>
      <c r="H66" s="15">
        <f>H28*12</f>
        <v/>
      </c>
      <c r="I66" s="15">
        <f>I28*12</f>
        <v/>
      </c>
      <c r="J66" s="15">
        <f>J28*12</f>
        <v/>
      </c>
      <c r="K66" s="15">
        <f>K28*12</f>
        <v/>
      </c>
      <c r="L66" s="15">
        <f>L28*12</f>
        <v/>
      </c>
      <c r="M66" s="15">
        <f>M28*12</f>
        <v/>
      </c>
      <c r="N66" s="15">
        <f>N28*12</f>
        <v/>
      </c>
      <c r="O66" s="15">
        <f>O28*12</f>
        <v/>
      </c>
      <c r="P66" s="15">
        <f>P28*12</f>
        <v/>
      </c>
      <c r="Q66" s="15">
        <f>Q28*12</f>
        <v/>
      </c>
      <c r="R66" s="15">
        <f>R28*12</f>
        <v/>
      </c>
      <c r="S66" s="15">
        <f>S28*12</f>
        <v/>
      </c>
      <c r="T66" s="15">
        <f>T28*12</f>
        <v/>
      </c>
      <c r="U66" s="15">
        <f>U28*12</f>
        <v/>
      </c>
      <c r="V66" s="15">
        <f>V28*12</f>
        <v/>
      </c>
      <c r="W66" s="15">
        <f>W28*12</f>
        <v/>
      </c>
      <c r="X66" s="15">
        <f>X28*12</f>
        <v/>
      </c>
      <c r="Y66" s="15">
        <f>Y28*12</f>
        <v/>
      </c>
      <c r="Z66" s="15">
        <f>Z28*12</f>
        <v/>
      </c>
      <c r="AA66" s="15">
        <f>AA28*12</f>
        <v/>
      </c>
      <c r="AB66" s="15">
        <f>AB28*12</f>
        <v/>
      </c>
      <c r="AC66" s="15">
        <f>AC28*12</f>
        <v/>
      </c>
      <c r="AD66" s="15">
        <f>AD28*12</f>
        <v/>
      </c>
      <c r="AE66" s="15">
        <f>AE28*12</f>
        <v/>
      </c>
      <c r="AF66" s="15">
        <f>AF28*12</f>
        <v/>
      </c>
      <c r="AG66" s="15">
        <f>AG28*12</f>
        <v/>
      </c>
      <c r="AH66" s="15">
        <f>AH28*12</f>
        <v/>
      </c>
      <c r="AI66" s="15">
        <f>AI28*12</f>
        <v/>
      </c>
      <c r="AJ66" s="15">
        <f>AJ28*12</f>
        <v/>
      </c>
      <c r="AK66" s="15">
        <f>AK28*12</f>
        <v/>
      </c>
      <c r="AL66" s="15">
        <f>AL28*12</f>
        <v/>
      </c>
      <c r="AN66" s="15">
        <f>N66</f>
        <v/>
      </c>
      <c r="AO66" s="15">
        <f>Z66</f>
        <v/>
      </c>
      <c r="AP66" s="15">
        <f>AL66</f>
        <v/>
      </c>
    </row>
    <row r="67">
      <c r="A67" s="9" t="inlineStr">
        <is>
          <t>ARPA HT (CA HT / abonnés)</t>
        </is>
      </c>
      <c r="B67" s="4" t="inlineStr">
        <is>
          <t>€ HT</t>
        </is>
      </c>
      <c r="C67" s="19">
        <f>IF(C18&gt;0,C28/C18,0)</f>
        <v/>
      </c>
      <c r="D67" s="19">
        <f>IF(D18&gt;0,D28/D18,0)</f>
        <v/>
      </c>
      <c r="E67" s="19">
        <f>IF(E18&gt;0,E28/E18,0)</f>
        <v/>
      </c>
      <c r="F67" s="19">
        <f>IF(F18&gt;0,F28/F18,0)</f>
        <v/>
      </c>
      <c r="G67" s="19">
        <f>IF(G18&gt;0,G28/G18,0)</f>
        <v/>
      </c>
      <c r="H67" s="19">
        <f>IF(H18&gt;0,H28/H18,0)</f>
        <v/>
      </c>
      <c r="I67" s="19">
        <f>IF(I18&gt;0,I28/I18,0)</f>
        <v/>
      </c>
      <c r="J67" s="19">
        <f>IF(J18&gt;0,J28/J18,0)</f>
        <v/>
      </c>
      <c r="K67" s="19">
        <f>IF(K18&gt;0,K28/K18,0)</f>
        <v/>
      </c>
      <c r="L67" s="19">
        <f>IF(L18&gt;0,L28/L18,0)</f>
        <v/>
      </c>
      <c r="M67" s="19">
        <f>IF(M18&gt;0,M28/M18,0)</f>
        <v/>
      </c>
      <c r="N67" s="19">
        <f>IF(N18&gt;0,N28/N18,0)</f>
        <v/>
      </c>
      <c r="O67" s="19">
        <f>IF(O18&gt;0,O28/O18,0)</f>
        <v/>
      </c>
      <c r="P67" s="19">
        <f>IF(P18&gt;0,P28/P18,0)</f>
        <v/>
      </c>
      <c r="Q67" s="19">
        <f>IF(Q18&gt;0,Q28/Q18,0)</f>
        <v/>
      </c>
      <c r="R67" s="19">
        <f>IF(R18&gt;0,R28/R18,0)</f>
        <v/>
      </c>
      <c r="S67" s="19">
        <f>IF(S18&gt;0,S28/S18,0)</f>
        <v/>
      </c>
      <c r="T67" s="19">
        <f>IF(T18&gt;0,T28/T18,0)</f>
        <v/>
      </c>
      <c r="U67" s="19">
        <f>IF(U18&gt;0,U28/U18,0)</f>
        <v/>
      </c>
      <c r="V67" s="19">
        <f>IF(V18&gt;0,V28/V18,0)</f>
        <v/>
      </c>
      <c r="W67" s="19">
        <f>IF(W18&gt;0,W28/W18,0)</f>
        <v/>
      </c>
      <c r="X67" s="19">
        <f>IF(X18&gt;0,X28/X18,0)</f>
        <v/>
      </c>
      <c r="Y67" s="19">
        <f>IF(Y18&gt;0,Y28/Y18,0)</f>
        <v/>
      </c>
      <c r="Z67" s="19">
        <f>IF(Z18&gt;0,Z28/Z18,0)</f>
        <v/>
      </c>
      <c r="AA67" s="19">
        <f>IF(AA18&gt;0,AA28/AA18,0)</f>
        <v/>
      </c>
      <c r="AB67" s="19">
        <f>IF(AB18&gt;0,AB28/AB18,0)</f>
        <v/>
      </c>
      <c r="AC67" s="19">
        <f>IF(AC18&gt;0,AC28/AC18,0)</f>
        <v/>
      </c>
      <c r="AD67" s="19">
        <f>IF(AD18&gt;0,AD28/AD18,0)</f>
        <v/>
      </c>
      <c r="AE67" s="19">
        <f>IF(AE18&gt;0,AE28/AE18,0)</f>
        <v/>
      </c>
      <c r="AF67" s="19">
        <f>IF(AF18&gt;0,AF28/AF18,0)</f>
        <v/>
      </c>
      <c r="AG67" s="19">
        <f>IF(AG18&gt;0,AG28/AG18,0)</f>
        <v/>
      </c>
      <c r="AH67" s="19">
        <f>IF(AH18&gt;0,AH28/AH18,0)</f>
        <v/>
      </c>
      <c r="AI67" s="19">
        <f>IF(AI18&gt;0,AI28/AI18,0)</f>
        <v/>
      </c>
      <c r="AJ67" s="19">
        <f>IF(AJ18&gt;0,AJ28/AJ18,0)</f>
        <v/>
      </c>
      <c r="AK67" s="19">
        <f>IF(AK18&gt;0,AK28/AK18,0)</f>
        <v/>
      </c>
      <c r="AL67" s="19">
        <f>IF(AL18&gt;0,AL28/AL18,0)</f>
        <v/>
      </c>
      <c r="AN67" s="19">
        <f>N67</f>
        <v/>
      </c>
      <c r="AO67" s="19">
        <f>Z67</f>
        <v/>
      </c>
      <c r="AP67" s="19">
        <f>AL67</f>
        <v/>
      </c>
    </row>
    <row r="68">
      <c r="A68" s="9" t="inlineStr">
        <is>
          <t>Coût variable par abonné</t>
        </is>
      </c>
      <c r="B68" s="4" t="inlineStr">
        <is>
          <t>€ HT</t>
        </is>
      </c>
      <c r="C68" s="19">
        <f>IF(C18&gt;0,C36/C18,0)</f>
        <v/>
      </c>
      <c r="D68" s="19">
        <f>IF(D18&gt;0,D36/D18,0)</f>
        <v/>
      </c>
      <c r="E68" s="19">
        <f>IF(E18&gt;0,E36/E18,0)</f>
        <v/>
      </c>
      <c r="F68" s="19">
        <f>IF(F18&gt;0,F36/F18,0)</f>
        <v/>
      </c>
      <c r="G68" s="19">
        <f>IF(G18&gt;0,G36/G18,0)</f>
        <v/>
      </c>
      <c r="H68" s="19">
        <f>IF(H18&gt;0,H36/H18,0)</f>
        <v/>
      </c>
      <c r="I68" s="19">
        <f>IF(I18&gt;0,I36/I18,0)</f>
        <v/>
      </c>
      <c r="J68" s="19">
        <f>IF(J18&gt;0,J36/J18,0)</f>
        <v/>
      </c>
      <c r="K68" s="19">
        <f>IF(K18&gt;0,K36/K18,0)</f>
        <v/>
      </c>
      <c r="L68" s="19">
        <f>IF(L18&gt;0,L36/L18,0)</f>
        <v/>
      </c>
      <c r="M68" s="19">
        <f>IF(M18&gt;0,M36/M18,0)</f>
        <v/>
      </c>
      <c r="N68" s="19">
        <f>IF(N18&gt;0,N36/N18,0)</f>
        <v/>
      </c>
      <c r="O68" s="19">
        <f>IF(O18&gt;0,O36/O18,0)</f>
        <v/>
      </c>
      <c r="P68" s="19">
        <f>IF(P18&gt;0,P36/P18,0)</f>
        <v/>
      </c>
      <c r="Q68" s="19">
        <f>IF(Q18&gt;0,Q36/Q18,0)</f>
        <v/>
      </c>
      <c r="R68" s="19">
        <f>IF(R18&gt;0,R36/R18,0)</f>
        <v/>
      </c>
      <c r="S68" s="19">
        <f>IF(S18&gt;0,S36/S18,0)</f>
        <v/>
      </c>
      <c r="T68" s="19">
        <f>IF(T18&gt;0,T36/T18,0)</f>
        <v/>
      </c>
      <c r="U68" s="19">
        <f>IF(U18&gt;0,U36/U18,0)</f>
        <v/>
      </c>
      <c r="V68" s="19">
        <f>IF(V18&gt;0,V36/V18,0)</f>
        <v/>
      </c>
      <c r="W68" s="19">
        <f>IF(W18&gt;0,W36/W18,0)</f>
        <v/>
      </c>
      <c r="X68" s="19">
        <f>IF(X18&gt;0,X36/X18,0)</f>
        <v/>
      </c>
      <c r="Y68" s="19">
        <f>IF(Y18&gt;0,Y36/Y18,0)</f>
        <v/>
      </c>
      <c r="Z68" s="19">
        <f>IF(Z18&gt;0,Z36/Z18,0)</f>
        <v/>
      </c>
      <c r="AA68" s="19">
        <f>IF(AA18&gt;0,AA36/AA18,0)</f>
        <v/>
      </c>
      <c r="AB68" s="19">
        <f>IF(AB18&gt;0,AB36/AB18,0)</f>
        <v/>
      </c>
      <c r="AC68" s="19">
        <f>IF(AC18&gt;0,AC36/AC18,0)</f>
        <v/>
      </c>
      <c r="AD68" s="19">
        <f>IF(AD18&gt;0,AD36/AD18,0)</f>
        <v/>
      </c>
      <c r="AE68" s="19">
        <f>IF(AE18&gt;0,AE36/AE18,0)</f>
        <v/>
      </c>
      <c r="AF68" s="19">
        <f>IF(AF18&gt;0,AF36/AF18,0)</f>
        <v/>
      </c>
      <c r="AG68" s="19">
        <f>IF(AG18&gt;0,AG36/AG18,0)</f>
        <v/>
      </c>
      <c r="AH68" s="19">
        <f>IF(AH18&gt;0,AH36/AH18,0)</f>
        <v/>
      </c>
      <c r="AI68" s="19">
        <f>IF(AI18&gt;0,AI36/AI18,0)</f>
        <v/>
      </c>
      <c r="AJ68" s="19">
        <f>IF(AJ18&gt;0,AJ36/AJ18,0)</f>
        <v/>
      </c>
      <c r="AK68" s="19">
        <f>IF(AK18&gt;0,AK36/AK18,0)</f>
        <v/>
      </c>
      <c r="AL68" s="19">
        <f>IF(AL18&gt;0,AL36/AL18,0)</f>
        <v/>
      </c>
      <c r="AN68" s="19">
        <f>N68</f>
        <v/>
      </c>
      <c r="AO68" s="19">
        <f>Z68</f>
        <v/>
      </c>
      <c r="AP68" s="19">
        <f>AL68</f>
        <v/>
      </c>
    </row>
    <row r="69">
      <c r="A69" s="9" t="inlineStr">
        <is>
          <t>Contribution par abonné</t>
        </is>
      </c>
      <c r="B69" s="4" t="inlineStr">
        <is>
          <t>€ HT</t>
        </is>
      </c>
      <c r="C69" s="19">
        <f>IF(C18&gt;0,C37/C18,0)</f>
        <v/>
      </c>
      <c r="D69" s="19">
        <f>IF(D18&gt;0,D37/D18,0)</f>
        <v/>
      </c>
      <c r="E69" s="19">
        <f>IF(E18&gt;0,E37/E18,0)</f>
        <v/>
      </c>
      <c r="F69" s="19">
        <f>IF(F18&gt;0,F37/F18,0)</f>
        <v/>
      </c>
      <c r="G69" s="19">
        <f>IF(G18&gt;0,G37/G18,0)</f>
        <v/>
      </c>
      <c r="H69" s="19">
        <f>IF(H18&gt;0,H37/H18,0)</f>
        <v/>
      </c>
      <c r="I69" s="19">
        <f>IF(I18&gt;0,I37/I18,0)</f>
        <v/>
      </c>
      <c r="J69" s="19">
        <f>IF(J18&gt;0,J37/J18,0)</f>
        <v/>
      </c>
      <c r="K69" s="19">
        <f>IF(K18&gt;0,K37/K18,0)</f>
        <v/>
      </c>
      <c r="L69" s="19">
        <f>IF(L18&gt;0,L37/L18,0)</f>
        <v/>
      </c>
      <c r="M69" s="19">
        <f>IF(M18&gt;0,M37/M18,0)</f>
        <v/>
      </c>
      <c r="N69" s="19">
        <f>IF(N18&gt;0,N37/N18,0)</f>
        <v/>
      </c>
      <c r="O69" s="19">
        <f>IF(O18&gt;0,O37/O18,0)</f>
        <v/>
      </c>
      <c r="P69" s="19">
        <f>IF(P18&gt;0,P37/P18,0)</f>
        <v/>
      </c>
      <c r="Q69" s="19">
        <f>IF(Q18&gt;0,Q37/Q18,0)</f>
        <v/>
      </c>
      <c r="R69" s="19">
        <f>IF(R18&gt;0,R37/R18,0)</f>
        <v/>
      </c>
      <c r="S69" s="19">
        <f>IF(S18&gt;0,S37/S18,0)</f>
        <v/>
      </c>
      <c r="T69" s="19">
        <f>IF(T18&gt;0,T37/T18,0)</f>
        <v/>
      </c>
      <c r="U69" s="19">
        <f>IF(U18&gt;0,U37/U18,0)</f>
        <v/>
      </c>
      <c r="V69" s="19">
        <f>IF(V18&gt;0,V37/V18,0)</f>
        <v/>
      </c>
      <c r="W69" s="19">
        <f>IF(W18&gt;0,W37/W18,0)</f>
        <v/>
      </c>
      <c r="X69" s="19">
        <f>IF(X18&gt;0,X37/X18,0)</f>
        <v/>
      </c>
      <c r="Y69" s="19">
        <f>IF(Y18&gt;0,Y37/Y18,0)</f>
        <v/>
      </c>
      <c r="Z69" s="19">
        <f>IF(Z18&gt;0,Z37/Z18,0)</f>
        <v/>
      </c>
      <c r="AA69" s="19">
        <f>IF(AA18&gt;0,AA37/AA18,0)</f>
        <v/>
      </c>
      <c r="AB69" s="19">
        <f>IF(AB18&gt;0,AB37/AB18,0)</f>
        <v/>
      </c>
      <c r="AC69" s="19">
        <f>IF(AC18&gt;0,AC37/AC18,0)</f>
        <v/>
      </c>
      <c r="AD69" s="19">
        <f>IF(AD18&gt;0,AD37/AD18,0)</f>
        <v/>
      </c>
      <c r="AE69" s="19">
        <f>IF(AE18&gt;0,AE37/AE18,0)</f>
        <v/>
      </c>
      <c r="AF69" s="19">
        <f>IF(AF18&gt;0,AF37/AF18,0)</f>
        <v/>
      </c>
      <c r="AG69" s="19">
        <f>IF(AG18&gt;0,AG37/AG18,0)</f>
        <v/>
      </c>
      <c r="AH69" s="19">
        <f>IF(AH18&gt;0,AH37/AH18,0)</f>
        <v/>
      </c>
      <c r="AI69" s="19">
        <f>IF(AI18&gt;0,AI37/AI18,0)</f>
        <v/>
      </c>
      <c r="AJ69" s="19">
        <f>IF(AJ18&gt;0,AJ37/AJ18,0)</f>
        <v/>
      </c>
      <c r="AK69" s="19">
        <f>IF(AK18&gt;0,AK37/AK18,0)</f>
        <v/>
      </c>
      <c r="AL69" s="19">
        <f>IF(AL18&gt;0,AL37/AL18,0)</f>
        <v/>
      </c>
      <c r="AN69" s="19">
        <f>N69</f>
        <v/>
      </c>
      <c r="AO69" s="19">
        <f>Z69</f>
        <v/>
      </c>
      <c r="AP69" s="19">
        <f>AL69</f>
        <v/>
      </c>
    </row>
    <row r="70">
      <c r="A70" s="9" t="inlineStr">
        <is>
          <t>Marge variable (% du CA HT)</t>
        </is>
      </c>
      <c r="B70" s="4" t="inlineStr">
        <is>
          <t>%</t>
        </is>
      </c>
      <c r="C70" s="17">
        <f>IF(C28&gt;0,C37/C28,0)</f>
        <v/>
      </c>
      <c r="D70" s="17">
        <f>IF(D28&gt;0,D37/D28,0)</f>
        <v/>
      </c>
      <c r="E70" s="17">
        <f>IF(E28&gt;0,E37/E28,0)</f>
        <v/>
      </c>
      <c r="F70" s="17">
        <f>IF(F28&gt;0,F37/F28,0)</f>
        <v/>
      </c>
      <c r="G70" s="17">
        <f>IF(G28&gt;0,G37/G28,0)</f>
        <v/>
      </c>
      <c r="H70" s="17">
        <f>IF(H28&gt;0,H37/H28,0)</f>
        <v/>
      </c>
      <c r="I70" s="17">
        <f>IF(I28&gt;0,I37/I28,0)</f>
        <v/>
      </c>
      <c r="J70" s="17">
        <f>IF(J28&gt;0,J37/J28,0)</f>
        <v/>
      </c>
      <c r="K70" s="17">
        <f>IF(K28&gt;0,K37/K28,0)</f>
        <v/>
      </c>
      <c r="L70" s="17">
        <f>IF(L28&gt;0,L37/L28,0)</f>
        <v/>
      </c>
      <c r="M70" s="17">
        <f>IF(M28&gt;0,M37/M28,0)</f>
        <v/>
      </c>
      <c r="N70" s="17">
        <f>IF(N28&gt;0,N37/N28,0)</f>
        <v/>
      </c>
      <c r="O70" s="17">
        <f>IF(O28&gt;0,O37/O28,0)</f>
        <v/>
      </c>
      <c r="P70" s="17">
        <f>IF(P28&gt;0,P37/P28,0)</f>
        <v/>
      </c>
      <c r="Q70" s="17">
        <f>IF(Q28&gt;0,Q37/Q28,0)</f>
        <v/>
      </c>
      <c r="R70" s="17">
        <f>IF(R28&gt;0,R37/R28,0)</f>
        <v/>
      </c>
      <c r="S70" s="17">
        <f>IF(S28&gt;0,S37/S28,0)</f>
        <v/>
      </c>
      <c r="T70" s="17">
        <f>IF(T28&gt;0,T37/T28,0)</f>
        <v/>
      </c>
      <c r="U70" s="17">
        <f>IF(U28&gt;0,U37/U28,0)</f>
        <v/>
      </c>
      <c r="V70" s="17">
        <f>IF(V28&gt;0,V37/V28,0)</f>
        <v/>
      </c>
      <c r="W70" s="17">
        <f>IF(W28&gt;0,W37/W28,0)</f>
        <v/>
      </c>
      <c r="X70" s="17">
        <f>IF(X28&gt;0,X37/X28,0)</f>
        <v/>
      </c>
      <c r="Y70" s="17">
        <f>IF(Y28&gt;0,Y37/Y28,0)</f>
        <v/>
      </c>
      <c r="Z70" s="17">
        <f>IF(Z28&gt;0,Z37/Z28,0)</f>
        <v/>
      </c>
      <c r="AA70" s="17">
        <f>IF(AA28&gt;0,AA37/AA28,0)</f>
        <v/>
      </c>
      <c r="AB70" s="17">
        <f>IF(AB28&gt;0,AB37/AB28,0)</f>
        <v/>
      </c>
      <c r="AC70" s="17">
        <f>IF(AC28&gt;0,AC37/AC28,0)</f>
        <v/>
      </c>
      <c r="AD70" s="17">
        <f>IF(AD28&gt;0,AD37/AD28,0)</f>
        <v/>
      </c>
      <c r="AE70" s="17">
        <f>IF(AE28&gt;0,AE37/AE28,0)</f>
        <v/>
      </c>
      <c r="AF70" s="17">
        <f>IF(AF28&gt;0,AF37/AF28,0)</f>
        <v/>
      </c>
      <c r="AG70" s="17">
        <f>IF(AG28&gt;0,AG37/AG28,0)</f>
        <v/>
      </c>
      <c r="AH70" s="17">
        <f>IF(AH28&gt;0,AH37/AH28,0)</f>
        <v/>
      </c>
      <c r="AI70" s="17">
        <f>IF(AI28&gt;0,AI37/AI28,0)</f>
        <v/>
      </c>
      <c r="AJ70" s="17">
        <f>IF(AJ28&gt;0,AJ37/AJ28,0)</f>
        <v/>
      </c>
      <c r="AK70" s="17">
        <f>IF(AK28&gt;0,AK37/AK28,0)</f>
        <v/>
      </c>
      <c r="AL70" s="17">
        <f>IF(AL28&gt;0,AL37/AL28,0)</f>
        <v/>
      </c>
      <c r="AN70" s="17">
        <f>N70</f>
        <v/>
      </c>
      <c r="AO70" s="17">
        <f>Z70</f>
        <v/>
      </c>
      <c r="AP70" s="17">
        <f>AL70</f>
        <v/>
      </c>
    </row>
    <row r="71">
      <c r="A71" s="9" t="inlineStr">
        <is>
          <t>CAC effectif</t>
        </is>
      </c>
      <c r="B71" s="4" t="inlineStr">
        <is>
          <t>€</t>
        </is>
      </c>
      <c r="C71" s="15">
        <f>IF(C14&gt;0,C39/C14,0)</f>
        <v/>
      </c>
      <c r="D71" s="15">
        <f>IF(D14&gt;0,D39/D14,0)</f>
        <v/>
      </c>
      <c r="E71" s="15">
        <f>IF(E14&gt;0,E39/E14,0)</f>
        <v/>
      </c>
      <c r="F71" s="15">
        <f>IF(F14&gt;0,F39/F14,0)</f>
        <v/>
      </c>
      <c r="G71" s="15">
        <f>IF(G14&gt;0,G39/G14,0)</f>
        <v/>
      </c>
      <c r="H71" s="15">
        <f>IF(H14&gt;0,H39/H14,0)</f>
        <v/>
      </c>
      <c r="I71" s="15">
        <f>IF(I14&gt;0,I39/I14,0)</f>
        <v/>
      </c>
      <c r="J71" s="15">
        <f>IF(J14&gt;0,J39/J14,0)</f>
        <v/>
      </c>
      <c r="K71" s="15">
        <f>IF(K14&gt;0,K39/K14,0)</f>
        <v/>
      </c>
      <c r="L71" s="15">
        <f>IF(L14&gt;0,L39/L14,0)</f>
        <v/>
      </c>
      <c r="M71" s="15">
        <f>IF(M14&gt;0,M39/M14,0)</f>
        <v/>
      </c>
      <c r="N71" s="15">
        <f>IF(N14&gt;0,N39/N14,0)</f>
        <v/>
      </c>
      <c r="O71" s="15">
        <f>IF(O14&gt;0,O39/O14,0)</f>
        <v/>
      </c>
      <c r="P71" s="15">
        <f>IF(P14&gt;0,P39/P14,0)</f>
        <v/>
      </c>
      <c r="Q71" s="15">
        <f>IF(Q14&gt;0,Q39/Q14,0)</f>
        <v/>
      </c>
      <c r="R71" s="15">
        <f>IF(R14&gt;0,R39/R14,0)</f>
        <v/>
      </c>
      <c r="S71" s="15">
        <f>IF(S14&gt;0,S39/S14,0)</f>
        <v/>
      </c>
      <c r="T71" s="15">
        <f>IF(T14&gt;0,T39/T14,0)</f>
        <v/>
      </c>
      <c r="U71" s="15">
        <f>IF(U14&gt;0,U39/U14,0)</f>
        <v/>
      </c>
      <c r="V71" s="15">
        <f>IF(V14&gt;0,V39/V14,0)</f>
        <v/>
      </c>
      <c r="W71" s="15">
        <f>IF(W14&gt;0,W39/W14,0)</f>
        <v/>
      </c>
      <c r="X71" s="15">
        <f>IF(X14&gt;0,X39/X14,0)</f>
        <v/>
      </c>
      <c r="Y71" s="15">
        <f>IF(Y14&gt;0,Y39/Y14,0)</f>
        <v/>
      </c>
      <c r="Z71" s="15">
        <f>IF(Z14&gt;0,Z39/Z14,0)</f>
        <v/>
      </c>
      <c r="AA71" s="15">
        <f>IF(AA14&gt;0,AA39/AA14,0)</f>
        <v/>
      </c>
      <c r="AB71" s="15">
        <f>IF(AB14&gt;0,AB39/AB14,0)</f>
        <v/>
      </c>
      <c r="AC71" s="15">
        <f>IF(AC14&gt;0,AC39/AC14,0)</f>
        <v/>
      </c>
      <c r="AD71" s="15">
        <f>IF(AD14&gt;0,AD39/AD14,0)</f>
        <v/>
      </c>
      <c r="AE71" s="15">
        <f>IF(AE14&gt;0,AE39/AE14,0)</f>
        <v/>
      </c>
      <c r="AF71" s="15">
        <f>IF(AF14&gt;0,AF39/AF14,0)</f>
        <v/>
      </c>
      <c r="AG71" s="15">
        <f>IF(AG14&gt;0,AG39/AG14,0)</f>
        <v/>
      </c>
      <c r="AH71" s="15">
        <f>IF(AH14&gt;0,AH39/AH14,0)</f>
        <v/>
      </c>
      <c r="AI71" s="15">
        <f>IF(AI14&gt;0,AI39/AI14,0)</f>
        <v/>
      </c>
      <c r="AJ71" s="15">
        <f>IF(AJ14&gt;0,AJ39/AJ14,0)</f>
        <v/>
      </c>
      <c r="AK71" s="15">
        <f>IF(AK14&gt;0,AK39/AK14,0)</f>
        <v/>
      </c>
      <c r="AL71" s="15">
        <f>IF(AL14&gt;0,AL39/AL14,0)</f>
        <v/>
      </c>
      <c r="AN71" s="15">
        <f>N71</f>
        <v/>
      </c>
      <c r="AO71" s="15">
        <f>Z71</f>
        <v/>
      </c>
      <c r="AP71" s="15">
        <f>AL71</f>
        <v/>
      </c>
    </row>
    <row r="72">
      <c r="A72" s="9" t="inlineStr">
        <is>
          <t>Payback du CAC (mois)</t>
        </is>
      </c>
      <c r="B72" s="4" t="inlineStr">
        <is>
          <t>mois</t>
        </is>
      </c>
      <c r="C72" s="38">
        <f>IF(C69&gt;0,Hypothèses!$D$23*$E$4/C69,0)</f>
        <v/>
      </c>
      <c r="D72" s="38">
        <f>IF(D69&gt;0,Hypothèses!$D$23*$E$4/D69,0)</f>
        <v/>
      </c>
      <c r="E72" s="38">
        <f>IF(E69&gt;0,Hypothèses!$D$23*$E$4/E69,0)</f>
        <v/>
      </c>
      <c r="F72" s="38">
        <f>IF(F69&gt;0,Hypothèses!$D$23*$E$4/F69,0)</f>
        <v/>
      </c>
      <c r="G72" s="38">
        <f>IF(G69&gt;0,Hypothèses!$D$23*$E$4/G69,0)</f>
        <v/>
      </c>
      <c r="H72" s="38">
        <f>IF(H69&gt;0,Hypothèses!$D$23*$E$4/H69,0)</f>
        <v/>
      </c>
      <c r="I72" s="38">
        <f>IF(I69&gt;0,Hypothèses!$D$23*$E$4/I69,0)</f>
        <v/>
      </c>
      <c r="J72" s="38">
        <f>IF(J69&gt;0,Hypothèses!$D$23*$E$4/J69,0)</f>
        <v/>
      </c>
      <c r="K72" s="38">
        <f>IF(K69&gt;0,Hypothèses!$D$23*$E$4/K69,0)</f>
        <v/>
      </c>
      <c r="L72" s="38">
        <f>IF(L69&gt;0,Hypothèses!$D$23*$E$4/L69,0)</f>
        <v/>
      </c>
      <c r="M72" s="38">
        <f>IF(M69&gt;0,Hypothèses!$D$23*$E$4/M69,0)</f>
        <v/>
      </c>
      <c r="N72" s="38">
        <f>IF(N69&gt;0,Hypothèses!$D$23*$E$4/N69,0)</f>
        <v/>
      </c>
      <c r="O72" s="38">
        <f>IF(O69&gt;0,Hypothèses!$D$23*$E$4/O69,0)</f>
        <v/>
      </c>
      <c r="P72" s="38">
        <f>IF(P69&gt;0,Hypothèses!$D$23*$E$4/P69,0)</f>
        <v/>
      </c>
      <c r="Q72" s="38">
        <f>IF(Q69&gt;0,Hypothèses!$D$23*$E$4/Q69,0)</f>
        <v/>
      </c>
      <c r="R72" s="38">
        <f>IF(R69&gt;0,Hypothèses!$D$23*$E$4/R69,0)</f>
        <v/>
      </c>
      <c r="S72" s="38">
        <f>IF(S69&gt;0,Hypothèses!$D$23*$E$4/S69,0)</f>
        <v/>
      </c>
      <c r="T72" s="38">
        <f>IF(T69&gt;0,Hypothèses!$D$23*$E$4/T69,0)</f>
        <v/>
      </c>
      <c r="U72" s="38">
        <f>IF(U69&gt;0,Hypothèses!$D$23*$E$4/U69,0)</f>
        <v/>
      </c>
      <c r="V72" s="38">
        <f>IF(V69&gt;0,Hypothèses!$D$23*$E$4/V69,0)</f>
        <v/>
      </c>
      <c r="W72" s="38">
        <f>IF(W69&gt;0,Hypothèses!$D$23*$E$4/W69,0)</f>
        <v/>
      </c>
      <c r="X72" s="38">
        <f>IF(X69&gt;0,Hypothèses!$D$23*$E$4/X69,0)</f>
        <v/>
      </c>
      <c r="Y72" s="38">
        <f>IF(Y69&gt;0,Hypothèses!$D$23*$E$4/Y69,0)</f>
        <v/>
      </c>
      <c r="Z72" s="38">
        <f>IF(Z69&gt;0,Hypothèses!$D$23*$E$4/Z69,0)</f>
        <v/>
      </c>
      <c r="AA72" s="38">
        <f>IF(AA69&gt;0,Hypothèses!$D$23*$E$4/AA69,0)</f>
        <v/>
      </c>
      <c r="AB72" s="38">
        <f>IF(AB69&gt;0,Hypothèses!$D$23*$E$4/AB69,0)</f>
        <v/>
      </c>
      <c r="AC72" s="38">
        <f>IF(AC69&gt;0,Hypothèses!$D$23*$E$4/AC69,0)</f>
        <v/>
      </c>
      <c r="AD72" s="38">
        <f>IF(AD69&gt;0,Hypothèses!$D$23*$E$4/AD69,0)</f>
        <v/>
      </c>
      <c r="AE72" s="38">
        <f>IF(AE69&gt;0,Hypothèses!$D$23*$E$4/AE69,0)</f>
        <v/>
      </c>
      <c r="AF72" s="38">
        <f>IF(AF69&gt;0,Hypothèses!$D$23*$E$4/AF69,0)</f>
        <v/>
      </c>
      <c r="AG72" s="38">
        <f>IF(AG69&gt;0,Hypothèses!$D$23*$E$4/AG69,0)</f>
        <v/>
      </c>
      <c r="AH72" s="38">
        <f>IF(AH69&gt;0,Hypothèses!$D$23*$E$4/AH69,0)</f>
        <v/>
      </c>
      <c r="AI72" s="38">
        <f>IF(AI69&gt;0,Hypothèses!$D$23*$E$4/AI69,0)</f>
        <v/>
      </c>
      <c r="AJ72" s="38">
        <f>IF(AJ69&gt;0,Hypothèses!$D$23*$E$4/AJ69,0)</f>
        <v/>
      </c>
      <c r="AK72" s="38">
        <f>IF(AK69&gt;0,Hypothèses!$D$23*$E$4/AK69,0)</f>
        <v/>
      </c>
      <c r="AL72" s="38">
        <f>IF(AL69&gt;0,Hypothèses!$D$23*$E$4/AL69,0)</f>
        <v/>
      </c>
      <c r="AN72" s="38">
        <f>N72</f>
        <v/>
      </c>
      <c r="AO72" s="38">
        <f>Z72</f>
        <v/>
      </c>
      <c r="AP72" s="38">
        <f>AL72</f>
        <v/>
      </c>
    </row>
    <row r="73">
      <c r="A73" s="9" t="inlineStr">
        <is>
          <t>LTV contributive simplifiée (contribution / churn)</t>
        </is>
      </c>
      <c r="B73" s="4" t="inlineStr">
        <is>
          <t>€ HT</t>
        </is>
      </c>
      <c r="C73" s="15">
        <f>IF(Hypothèses!$D$26*$D$4&gt;0,C69/(Hypothèses!$D$26*$D$4),0)</f>
        <v/>
      </c>
      <c r="D73" s="15">
        <f>IF(Hypothèses!$D$26*$D$4&gt;0,D69/(Hypothèses!$D$26*$D$4),0)</f>
        <v/>
      </c>
      <c r="E73" s="15">
        <f>IF(Hypothèses!$D$26*$D$4&gt;0,E69/(Hypothèses!$D$26*$D$4),0)</f>
        <v/>
      </c>
      <c r="F73" s="15">
        <f>IF(Hypothèses!$D$26*$D$4&gt;0,F69/(Hypothèses!$D$26*$D$4),0)</f>
        <v/>
      </c>
      <c r="G73" s="15">
        <f>IF(Hypothèses!$D$26*$D$4&gt;0,G69/(Hypothèses!$D$26*$D$4),0)</f>
        <v/>
      </c>
      <c r="H73" s="15">
        <f>IF(Hypothèses!$D$26*$D$4&gt;0,H69/(Hypothèses!$D$26*$D$4),0)</f>
        <v/>
      </c>
      <c r="I73" s="15">
        <f>IF(Hypothèses!$D$26*$D$4&gt;0,I69/(Hypothèses!$D$26*$D$4),0)</f>
        <v/>
      </c>
      <c r="J73" s="15">
        <f>IF(Hypothèses!$D$26*$D$4&gt;0,J69/(Hypothèses!$D$26*$D$4),0)</f>
        <v/>
      </c>
      <c r="K73" s="15">
        <f>IF(Hypothèses!$D$26*$D$4&gt;0,K69/(Hypothèses!$D$26*$D$4),0)</f>
        <v/>
      </c>
      <c r="L73" s="15">
        <f>IF(Hypothèses!$D$26*$D$4&gt;0,L69/(Hypothèses!$D$26*$D$4),0)</f>
        <v/>
      </c>
      <c r="M73" s="15">
        <f>IF(Hypothèses!$D$26*$D$4&gt;0,M69/(Hypothèses!$D$26*$D$4),0)</f>
        <v/>
      </c>
      <c r="N73" s="15">
        <f>IF(Hypothèses!$D$26*$D$4&gt;0,N69/(Hypothèses!$D$26*$D$4),0)</f>
        <v/>
      </c>
      <c r="O73" s="15">
        <f>IF(Hypothèses!$D$26*$D$4&gt;0,O69/(Hypothèses!$D$26*$D$4),0)</f>
        <v/>
      </c>
      <c r="P73" s="15">
        <f>IF(Hypothèses!$D$26*$D$4&gt;0,P69/(Hypothèses!$D$26*$D$4),0)</f>
        <v/>
      </c>
      <c r="Q73" s="15">
        <f>IF(Hypothèses!$D$26*$D$4&gt;0,Q69/(Hypothèses!$D$26*$D$4),0)</f>
        <v/>
      </c>
      <c r="R73" s="15">
        <f>IF(Hypothèses!$D$26*$D$4&gt;0,R69/(Hypothèses!$D$26*$D$4),0)</f>
        <v/>
      </c>
      <c r="S73" s="15">
        <f>IF(Hypothèses!$D$26*$D$4&gt;0,S69/(Hypothèses!$D$26*$D$4),0)</f>
        <v/>
      </c>
      <c r="T73" s="15">
        <f>IF(Hypothèses!$D$26*$D$4&gt;0,T69/(Hypothèses!$D$26*$D$4),0)</f>
        <v/>
      </c>
      <c r="U73" s="15">
        <f>IF(Hypothèses!$D$26*$D$4&gt;0,U69/(Hypothèses!$D$26*$D$4),0)</f>
        <v/>
      </c>
      <c r="V73" s="15">
        <f>IF(Hypothèses!$D$26*$D$4&gt;0,V69/(Hypothèses!$D$26*$D$4),0)</f>
        <v/>
      </c>
      <c r="W73" s="15">
        <f>IF(Hypothèses!$D$26*$D$4&gt;0,W69/(Hypothèses!$D$26*$D$4),0)</f>
        <v/>
      </c>
      <c r="X73" s="15">
        <f>IF(Hypothèses!$D$26*$D$4&gt;0,X69/(Hypothèses!$D$26*$D$4),0)</f>
        <v/>
      </c>
      <c r="Y73" s="15">
        <f>IF(Hypothèses!$D$26*$D$4&gt;0,Y69/(Hypothèses!$D$26*$D$4),0)</f>
        <v/>
      </c>
      <c r="Z73" s="15">
        <f>IF(Hypothèses!$D$26*$D$4&gt;0,Z69/(Hypothèses!$D$26*$D$4),0)</f>
        <v/>
      </c>
      <c r="AA73" s="15">
        <f>IF(Hypothèses!$D$26*$D$4&gt;0,AA69/(Hypothèses!$D$26*$D$4),0)</f>
        <v/>
      </c>
      <c r="AB73" s="15">
        <f>IF(Hypothèses!$D$26*$D$4&gt;0,AB69/(Hypothèses!$D$26*$D$4),0)</f>
        <v/>
      </c>
      <c r="AC73" s="15">
        <f>IF(Hypothèses!$D$26*$D$4&gt;0,AC69/(Hypothèses!$D$26*$D$4),0)</f>
        <v/>
      </c>
      <c r="AD73" s="15">
        <f>IF(Hypothèses!$D$26*$D$4&gt;0,AD69/(Hypothèses!$D$26*$D$4),0)</f>
        <v/>
      </c>
      <c r="AE73" s="15">
        <f>IF(Hypothèses!$D$26*$D$4&gt;0,AE69/(Hypothèses!$D$26*$D$4),0)</f>
        <v/>
      </c>
      <c r="AF73" s="15">
        <f>IF(Hypothèses!$D$26*$D$4&gt;0,AF69/(Hypothèses!$D$26*$D$4),0)</f>
        <v/>
      </c>
      <c r="AG73" s="15">
        <f>IF(Hypothèses!$D$26*$D$4&gt;0,AG69/(Hypothèses!$D$26*$D$4),0)</f>
        <v/>
      </c>
      <c r="AH73" s="15">
        <f>IF(Hypothèses!$D$26*$D$4&gt;0,AH69/(Hypothèses!$D$26*$D$4),0)</f>
        <v/>
      </c>
      <c r="AI73" s="15">
        <f>IF(Hypothèses!$D$26*$D$4&gt;0,AI69/(Hypothèses!$D$26*$D$4),0)</f>
        <v/>
      </c>
      <c r="AJ73" s="15">
        <f>IF(Hypothèses!$D$26*$D$4&gt;0,AJ69/(Hypothèses!$D$26*$D$4),0)</f>
        <v/>
      </c>
      <c r="AK73" s="15">
        <f>IF(Hypothèses!$D$26*$D$4&gt;0,AK69/(Hypothèses!$D$26*$D$4),0)</f>
        <v/>
      </c>
      <c r="AL73" s="15">
        <f>IF(Hypothèses!$D$26*$D$4&gt;0,AL69/(Hypothèses!$D$26*$D$4),0)</f>
        <v/>
      </c>
      <c r="AN73" s="15">
        <f>N73</f>
        <v/>
      </c>
      <c r="AO73" s="15">
        <f>Z73</f>
        <v/>
      </c>
      <c r="AP73" s="15">
        <f>AL73</f>
        <v/>
      </c>
    </row>
    <row r="74">
      <c r="A74" s="9" t="inlineStr">
        <is>
          <t>LTV / CAC</t>
        </is>
      </c>
      <c r="B74" s="4" t="inlineStr">
        <is>
          <t>x</t>
        </is>
      </c>
      <c r="C74" s="41">
        <f>IF(Hypothèses!$D$23*$E$4&gt;0,C73/(Hypothèses!$D$23*$E$4),0)</f>
        <v/>
      </c>
      <c r="D74" s="41">
        <f>IF(Hypothèses!$D$23*$E$4&gt;0,D73/(Hypothèses!$D$23*$E$4),0)</f>
        <v/>
      </c>
      <c r="E74" s="41">
        <f>IF(Hypothèses!$D$23*$E$4&gt;0,E73/(Hypothèses!$D$23*$E$4),0)</f>
        <v/>
      </c>
      <c r="F74" s="41">
        <f>IF(Hypothèses!$D$23*$E$4&gt;0,F73/(Hypothèses!$D$23*$E$4),0)</f>
        <v/>
      </c>
      <c r="G74" s="41">
        <f>IF(Hypothèses!$D$23*$E$4&gt;0,G73/(Hypothèses!$D$23*$E$4),0)</f>
        <v/>
      </c>
      <c r="H74" s="41">
        <f>IF(Hypothèses!$D$23*$E$4&gt;0,H73/(Hypothèses!$D$23*$E$4),0)</f>
        <v/>
      </c>
      <c r="I74" s="41">
        <f>IF(Hypothèses!$D$23*$E$4&gt;0,I73/(Hypothèses!$D$23*$E$4),0)</f>
        <v/>
      </c>
      <c r="J74" s="41">
        <f>IF(Hypothèses!$D$23*$E$4&gt;0,J73/(Hypothèses!$D$23*$E$4),0)</f>
        <v/>
      </c>
      <c r="K74" s="41">
        <f>IF(Hypothèses!$D$23*$E$4&gt;0,K73/(Hypothèses!$D$23*$E$4),0)</f>
        <v/>
      </c>
      <c r="L74" s="41">
        <f>IF(Hypothèses!$D$23*$E$4&gt;0,L73/(Hypothèses!$D$23*$E$4),0)</f>
        <v/>
      </c>
      <c r="M74" s="41">
        <f>IF(Hypothèses!$D$23*$E$4&gt;0,M73/(Hypothèses!$D$23*$E$4),0)</f>
        <v/>
      </c>
      <c r="N74" s="41">
        <f>IF(Hypothèses!$D$23*$E$4&gt;0,N73/(Hypothèses!$D$23*$E$4),0)</f>
        <v/>
      </c>
      <c r="O74" s="41">
        <f>IF(Hypothèses!$D$23*$E$4&gt;0,O73/(Hypothèses!$D$23*$E$4),0)</f>
        <v/>
      </c>
      <c r="P74" s="41">
        <f>IF(Hypothèses!$D$23*$E$4&gt;0,P73/(Hypothèses!$D$23*$E$4),0)</f>
        <v/>
      </c>
      <c r="Q74" s="41">
        <f>IF(Hypothèses!$D$23*$E$4&gt;0,Q73/(Hypothèses!$D$23*$E$4),0)</f>
        <v/>
      </c>
      <c r="R74" s="41">
        <f>IF(Hypothèses!$D$23*$E$4&gt;0,R73/(Hypothèses!$D$23*$E$4),0)</f>
        <v/>
      </c>
      <c r="S74" s="41">
        <f>IF(Hypothèses!$D$23*$E$4&gt;0,S73/(Hypothèses!$D$23*$E$4),0)</f>
        <v/>
      </c>
      <c r="T74" s="41">
        <f>IF(Hypothèses!$D$23*$E$4&gt;0,T73/(Hypothèses!$D$23*$E$4),0)</f>
        <v/>
      </c>
      <c r="U74" s="41">
        <f>IF(Hypothèses!$D$23*$E$4&gt;0,U73/(Hypothèses!$D$23*$E$4),0)</f>
        <v/>
      </c>
      <c r="V74" s="41">
        <f>IF(Hypothèses!$D$23*$E$4&gt;0,V73/(Hypothèses!$D$23*$E$4),0)</f>
        <v/>
      </c>
      <c r="W74" s="41">
        <f>IF(Hypothèses!$D$23*$E$4&gt;0,W73/(Hypothèses!$D$23*$E$4),0)</f>
        <v/>
      </c>
      <c r="X74" s="41">
        <f>IF(Hypothèses!$D$23*$E$4&gt;0,X73/(Hypothèses!$D$23*$E$4),0)</f>
        <v/>
      </c>
      <c r="Y74" s="41">
        <f>IF(Hypothèses!$D$23*$E$4&gt;0,Y73/(Hypothèses!$D$23*$E$4),0)</f>
        <v/>
      </c>
      <c r="Z74" s="41">
        <f>IF(Hypothèses!$D$23*$E$4&gt;0,Z73/(Hypothèses!$D$23*$E$4),0)</f>
        <v/>
      </c>
      <c r="AA74" s="41">
        <f>IF(Hypothèses!$D$23*$E$4&gt;0,AA73/(Hypothèses!$D$23*$E$4),0)</f>
        <v/>
      </c>
      <c r="AB74" s="41">
        <f>IF(Hypothèses!$D$23*$E$4&gt;0,AB73/(Hypothèses!$D$23*$E$4),0)</f>
        <v/>
      </c>
      <c r="AC74" s="41">
        <f>IF(Hypothèses!$D$23*$E$4&gt;0,AC73/(Hypothèses!$D$23*$E$4),0)</f>
        <v/>
      </c>
      <c r="AD74" s="41">
        <f>IF(Hypothèses!$D$23*$E$4&gt;0,AD73/(Hypothèses!$D$23*$E$4),0)</f>
        <v/>
      </c>
      <c r="AE74" s="41">
        <f>IF(Hypothèses!$D$23*$E$4&gt;0,AE73/(Hypothèses!$D$23*$E$4),0)</f>
        <v/>
      </c>
      <c r="AF74" s="41">
        <f>IF(Hypothèses!$D$23*$E$4&gt;0,AF73/(Hypothèses!$D$23*$E$4),0)</f>
        <v/>
      </c>
      <c r="AG74" s="41">
        <f>IF(Hypothèses!$D$23*$E$4&gt;0,AG73/(Hypothèses!$D$23*$E$4),0)</f>
        <v/>
      </c>
      <c r="AH74" s="41">
        <f>IF(Hypothèses!$D$23*$E$4&gt;0,AH73/(Hypothèses!$D$23*$E$4),0)</f>
        <v/>
      </c>
      <c r="AI74" s="41">
        <f>IF(Hypothèses!$D$23*$E$4&gt;0,AI73/(Hypothèses!$D$23*$E$4),0)</f>
        <v/>
      </c>
      <c r="AJ74" s="41">
        <f>IF(Hypothèses!$D$23*$E$4&gt;0,AJ73/(Hypothèses!$D$23*$E$4),0)</f>
        <v/>
      </c>
      <c r="AK74" s="41">
        <f>IF(Hypothèses!$D$23*$E$4&gt;0,AK73/(Hypothèses!$D$23*$E$4),0)</f>
        <v/>
      </c>
      <c r="AL74" s="41">
        <f>IF(Hypothèses!$D$23*$E$4&gt;0,AL73/(Hypothèses!$D$23*$E$4),0)</f>
        <v/>
      </c>
      <c r="AN74" s="41">
        <f>N74</f>
        <v/>
      </c>
      <c r="AO74" s="41">
        <f>Z74</f>
        <v/>
      </c>
      <c r="AP74" s="41">
        <f>AL74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4DDD2"/>
    <outlinePr summaryBelow="1" summaryRight="1"/>
    <pageSetUpPr/>
  </sheetPr>
  <dimension ref="A1:AP7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40" max="40"/>
    <col width="13" customWidth="1" min="41" max="41"/>
    <col width="13" customWidth="1" min="42" max="42"/>
  </cols>
  <sheetData>
    <row r="1">
      <c r="A1" s="1" t="inlineStr">
        <is>
          <t>Sensibilité S06 : Coût IA −33 % (copie du Central)</t>
        </is>
      </c>
    </row>
    <row r="2">
      <c r="A2" s="4" t="inlineStr">
        <is>
          <t>Flux en € HT sauf mention TTC. Formules vivantes ; ne saisir que dans l'onglet Hypothèses et la ligne de chocs ci-dessous.</t>
        </is>
      </c>
    </row>
    <row r="3">
      <c r="A3" s="2" t="inlineStr">
        <is>
          <t>Chocs de sensibilité (1 = aucun ; retard en mois)</t>
        </is>
      </c>
      <c r="C3" s="33" t="inlineStr">
        <is>
          <t>Prix ×</t>
        </is>
      </c>
      <c r="D3" s="33" t="inlineStr">
        <is>
          <t>Churn ×</t>
        </is>
      </c>
      <c r="E3" s="33" t="inlineStr">
        <is>
          <t>CAC ×</t>
        </is>
      </c>
      <c r="F3" s="33" t="inlineStr">
        <is>
          <t>Coût IA ×</t>
        </is>
      </c>
      <c r="G3" s="33" t="inlineStr">
        <is>
          <t>Coûts fixes ×</t>
        </is>
      </c>
      <c r="H3" s="33" t="inlineStr">
        <is>
          <t>Retard lancement (mois)</t>
        </is>
      </c>
    </row>
    <row r="4">
      <c r="C4" s="34" t="n">
        <v>1</v>
      </c>
      <c r="D4" s="34" t="n">
        <v>1</v>
      </c>
      <c r="E4" s="34" t="n">
        <v>1</v>
      </c>
      <c r="F4" s="34" t="n">
        <v>0.6667</v>
      </c>
      <c r="G4" s="34" t="n">
        <v>1</v>
      </c>
      <c r="H4" s="35" t="n">
        <v>0</v>
      </c>
    </row>
    <row r="5">
      <c r="A5" s="2" t="inlineStr">
        <is>
          <t>Mois de lancement effectif</t>
        </is>
      </c>
      <c r="B5" s="22">
        <f>Hypothèses!$D$10+$H$4</f>
        <v/>
      </c>
    </row>
    <row r="6">
      <c r="A6" s="28" t="inlineStr">
        <is>
          <t>Ligne</t>
        </is>
      </c>
      <c r="B6" s="28" t="inlineStr">
        <is>
          <t>Unité</t>
        </is>
      </c>
      <c r="C6" s="36" t="inlineStr">
        <is>
          <t>M1</t>
        </is>
      </c>
      <c r="D6" s="36" t="inlineStr">
        <is>
          <t>M2</t>
        </is>
      </c>
      <c r="E6" s="36" t="inlineStr">
        <is>
          <t>M3</t>
        </is>
      </c>
      <c r="F6" s="36" t="inlineStr">
        <is>
          <t>M4</t>
        </is>
      </c>
      <c r="G6" s="36" t="inlineStr">
        <is>
          <t>M5</t>
        </is>
      </c>
      <c r="H6" s="36" t="inlineStr">
        <is>
          <t>M6</t>
        </is>
      </c>
      <c r="I6" s="36" t="inlineStr">
        <is>
          <t>M7</t>
        </is>
      </c>
      <c r="J6" s="36" t="inlineStr">
        <is>
          <t>M8</t>
        </is>
      </c>
      <c r="K6" s="36" t="inlineStr">
        <is>
          <t>M9</t>
        </is>
      </c>
      <c r="L6" s="36" t="inlineStr">
        <is>
          <t>M10</t>
        </is>
      </c>
      <c r="M6" s="36" t="inlineStr">
        <is>
          <t>M11</t>
        </is>
      </c>
      <c r="N6" s="36" t="inlineStr">
        <is>
          <t>M12</t>
        </is>
      </c>
      <c r="O6" s="36" t="inlineStr">
        <is>
          <t>M13</t>
        </is>
      </c>
      <c r="P6" s="36" t="inlineStr">
        <is>
          <t>M14</t>
        </is>
      </c>
      <c r="Q6" s="36" t="inlineStr">
        <is>
          <t>M15</t>
        </is>
      </c>
      <c r="R6" s="36" t="inlineStr">
        <is>
          <t>M16</t>
        </is>
      </c>
      <c r="S6" s="36" t="inlineStr">
        <is>
          <t>M17</t>
        </is>
      </c>
      <c r="T6" s="36" t="inlineStr">
        <is>
          <t>M18</t>
        </is>
      </c>
      <c r="U6" s="36" t="inlineStr">
        <is>
          <t>M19</t>
        </is>
      </c>
      <c r="V6" s="36" t="inlineStr">
        <is>
          <t>M20</t>
        </is>
      </c>
      <c r="W6" s="36" t="inlineStr">
        <is>
          <t>M21</t>
        </is>
      </c>
      <c r="X6" s="36" t="inlineStr">
        <is>
          <t>M22</t>
        </is>
      </c>
      <c r="Y6" s="36" t="inlineStr">
        <is>
          <t>M23</t>
        </is>
      </c>
      <c r="Z6" s="36" t="inlineStr">
        <is>
          <t>M24</t>
        </is>
      </c>
      <c r="AA6" s="36" t="inlineStr">
        <is>
          <t>M25</t>
        </is>
      </c>
      <c r="AB6" s="36" t="inlineStr">
        <is>
          <t>M26</t>
        </is>
      </c>
      <c r="AC6" s="36" t="inlineStr">
        <is>
          <t>M27</t>
        </is>
      </c>
      <c r="AD6" s="36" t="inlineStr">
        <is>
          <t>M28</t>
        </is>
      </c>
      <c r="AE6" s="36" t="inlineStr">
        <is>
          <t>M29</t>
        </is>
      </c>
      <c r="AF6" s="36" t="inlineStr">
        <is>
          <t>M30</t>
        </is>
      </c>
      <c r="AG6" s="36" t="inlineStr">
        <is>
          <t>M31</t>
        </is>
      </c>
      <c r="AH6" s="36" t="inlineStr">
        <is>
          <t>M32</t>
        </is>
      </c>
      <c r="AI6" s="36" t="inlineStr">
        <is>
          <t>M33</t>
        </is>
      </c>
      <c r="AJ6" s="36" t="inlineStr">
        <is>
          <t>M34</t>
        </is>
      </c>
      <c r="AK6" s="36" t="inlineStr">
        <is>
          <t>M35</t>
        </is>
      </c>
      <c r="AL6" s="36" t="inlineStr">
        <is>
          <t>M36</t>
        </is>
      </c>
      <c r="AN6" s="37" t="inlineStr">
        <is>
          <t>Année 1</t>
        </is>
      </c>
      <c r="AO6" s="37" t="inlineStr">
        <is>
          <t>Année 2</t>
        </is>
      </c>
      <c r="AP6" s="37" t="inlineStr">
        <is>
          <t>Année 3</t>
        </is>
      </c>
    </row>
    <row r="7">
      <c r="A7" s="9" t="inlineStr">
        <is>
          <t>Mois</t>
        </is>
      </c>
      <c r="B7" s="4" t="inlineStr">
        <is>
          <t>n°</t>
        </is>
      </c>
      <c r="C7" s="13" t="n">
        <v>1</v>
      </c>
      <c r="D7" s="13" t="n">
        <v>2</v>
      </c>
      <c r="E7" s="13" t="n">
        <v>3</v>
      </c>
      <c r="F7" s="13" t="n">
        <v>4</v>
      </c>
      <c r="G7" s="13" t="n">
        <v>5</v>
      </c>
      <c r="H7" s="13" t="n">
        <v>6</v>
      </c>
      <c r="I7" s="13" t="n">
        <v>7</v>
      </c>
      <c r="J7" s="13" t="n">
        <v>8</v>
      </c>
      <c r="K7" s="13" t="n">
        <v>9</v>
      </c>
      <c r="L7" s="13" t="n">
        <v>10</v>
      </c>
      <c r="M7" s="13" t="n">
        <v>11</v>
      </c>
      <c r="N7" s="13" t="n">
        <v>12</v>
      </c>
      <c r="O7" s="13" t="n">
        <v>13</v>
      </c>
      <c r="P7" s="13" t="n">
        <v>14</v>
      </c>
      <c r="Q7" s="13" t="n">
        <v>15</v>
      </c>
      <c r="R7" s="13" t="n">
        <v>16</v>
      </c>
      <c r="S7" s="13" t="n">
        <v>17</v>
      </c>
      <c r="T7" s="13" t="n">
        <v>18</v>
      </c>
      <c r="U7" s="13" t="n">
        <v>19</v>
      </c>
      <c r="V7" s="13" t="n">
        <v>20</v>
      </c>
      <c r="W7" s="13" t="n">
        <v>21</v>
      </c>
      <c r="X7" s="13" t="n">
        <v>22</v>
      </c>
      <c r="Y7" s="13" t="n">
        <v>23</v>
      </c>
      <c r="Z7" s="13" t="n">
        <v>24</v>
      </c>
      <c r="AA7" s="13" t="n">
        <v>25</v>
      </c>
      <c r="AB7" s="13" t="n">
        <v>26</v>
      </c>
      <c r="AC7" s="13" t="n">
        <v>27</v>
      </c>
      <c r="AD7" s="13" t="n">
        <v>28</v>
      </c>
      <c r="AE7" s="13" t="n">
        <v>29</v>
      </c>
      <c r="AF7" s="13" t="n">
        <v>30</v>
      </c>
      <c r="AG7" s="13" t="n">
        <v>31</v>
      </c>
      <c r="AH7" s="13" t="n">
        <v>32</v>
      </c>
      <c r="AI7" s="13" t="n">
        <v>33</v>
      </c>
      <c r="AJ7" s="13" t="n">
        <v>34</v>
      </c>
      <c r="AK7" s="13" t="n">
        <v>35</v>
      </c>
      <c r="AL7" s="13" t="n">
        <v>36</v>
      </c>
    </row>
    <row r="8">
      <c r="A8" s="9" t="inlineStr">
        <is>
          <t>Date</t>
        </is>
      </c>
      <c r="B8" s="4" t="inlineStr"/>
      <c r="C8" s="11">
        <f>EDATE(Hypothèses!$D$7,C7-1)</f>
        <v/>
      </c>
      <c r="D8" s="11">
        <f>EDATE(Hypothèses!$D$7,D7-1)</f>
        <v/>
      </c>
      <c r="E8" s="11">
        <f>EDATE(Hypothèses!$D$7,E7-1)</f>
        <v/>
      </c>
      <c r="F8" s="11">
        <f>EDATE(Hypothèses!$D$7,F7-1)</f>
        <v/>
      </c>
      <c r="G8" s="11">
        <f>EDATE(Hypothèses!$D$7,G7-1)</f>
        <v/>
      </c>
      <c r="H8" s="11">
        <f>EDATE(Hypothèses!$D$7,H7-1)</f>
        <v/>
      </c>
      <c r="I8" s="11">
        <f>EDATE(Hypothèses!$D$7,I7-1)</f>
        <v/>
      </c>
      <c r="J8" s="11">
        <f>EDATE(Hypothèses!$D$7,J7-1)</f>
        <v/>
      </c>
      <c r="K8" s="11">
        <f>EDATE(Hypothèses!$D$7,K7-1)</f>
        <v/>
      </c>
      <c r="L8" s="11">
        <f>EDATE(Hypothèses!$D$7,L7-1)</f>
        <v/>
      </c>
      <c r="M8" s="11">
        <f>EDATE(Hypothèses!$D$7,M7-1)</f>
        <v/>
      </c>
      <c r="N8" s="11">
        <f>EDATE(Hypothèses!$D$7,N7-1)</f>
        <v/>
      </c>
      <c r="O8" s="11">
        <f>EDATE(Hypothèses!$D$7,O7-1)</f>
        <v/>
      </c>
      <c r="P8" s="11">
        <f>EDATE(Hypothèses!$D$7,P7-1)</f>
        <v/>
      </c>
      <c r="Q8" s="11">
        <f>EDATE(Hypothèses!$D$7,Q7-1)</f>
        <v/>
      </c>
      <c r="R8" s="11">
        <f>EDATE(Hypothèses!$D$7,R7-1)</f>
        <v/>
      </c>
      <c r="S8" s="11">
        <f>EDATE(Hypothèses!$D$7,S7-1)</f>
        <v/>
      </c>
      <c r="T8" s="11">
        <f>EDATE(Hypothèses!$D$7,T7-1)</f>
        <v/>
      </c>
      <c r="U8" s="11">
        <f>EDATE(Hypothèses!$D$7,U7-1)</f>
        <v/>
      </c>
      <c r="V8" s="11">
        <f>EDATE(Hypothèses!$D$7,V7-1)</f>
        <v/>
      </c>
      <c r="W8" s="11">
        <f>EDATE(Hypothèses!$D$7,W7-1)</f>
        <v/>
      </c>
      <c r="X8" s="11">
        <f>EDATE(Hypothèses!$D$7,X7-1)</f>
        <v/>
      </c>
      <c r="Y8" s="11">
        <f>EDATE(Hypothèses!$D$7,Y7-1)</f>
        <v/>
      </c>
      <c r="Z8" s="11">
        <f>EDATE(Hypothèses!$D$7,Z7-1)</f>
        <v/>
      </c>
      <c r="AA8" s="11">
        <f>EDATE(Hypothèses!$D$7,AA7-1)</f>
        <v/>
      </c>
      <c r="AB8" s="11">
        <f>EDATE(Hypothèses!$D$7,AB7-1)</f>
        <v/>
      </c>
      <c r="AC8" s="11">
        <f>EDATE(Hypothèses!$D$7,AC7-1)</f>
        <v/>
      </c>
      <c r="AD8" s="11">
        <f>EDATE(Hypothèses!$D$7,AD7-1)</f>
        <v/>
      </c>
      <c r="AE8" s="11">
        <f>EDATE(Hypothèses!$D$7,AE7-1)</f>
        <v/>
      </c>
      <c r="AF8" s="11">
        <f>EDATE(Hypothèses!$D$7,AF7-1)</f>
        <v/>
      </c>
      <c r="AG8" s="11">
        <f>EDATE(Hypothèses!$D$7,AG7-1)</f>
        <v/>
      </c>
      <c r="AH8" s="11">
        <f>EDATE(Hypothèses!$D$7,AH7-1)</f>
        <v/>
      </c>
      <c r="AI8" s="11">
        <f>EDATE(Hypothèses!$D$7,AI7-1)</f>
        <v/>
      </c>
      <c r="AJ8" s="11">
        <f>EDATE(Hypothèses!$D$7,AJ7-1)</f>
        <v/>
      </c>
      <c r="AK8" s="11">
        <f>EDATE(Hypothèses!$D$7,AK7-1)</f>
        <v/>
      </c>
      <c r="AL8" s="11">
        <f>EDATE(Hypothèses!$D$7,AL7-1)</f>
        <v/>
      </c>
    </row>
    <row r="9">
      <c r="A9" s="9" t="inlineStr">
        <is>
          <t>Lancé ? (1 = oui)</t>
        </is>
      </c>
      <c r="B9" s="4" t="inlineStr">
        <is>
          <t>0/1</t>
        </is>
      </c>
      <c r="C9" s="13">
        <f>IF(C7&gt;=$B$5,1,0)</f>
        <v/>
      </c>
      <c r="D9" s="13">
        <f>IF(D7&gt;=$B$5,1,0)</f>
        <v/>
      </c>
      <c r="E9" s="13">
        <f>IF(E7&gt;=$B$5,1,0)</f>
        <v/>
      </c>
      <c r="F9" s="13">
        <f>IF(F7&gt;=$B$5,1,0)</f>
        <v/>
      </c>
      <c r="G9" s="13">
        <f>IF(G7&gt;=$B$5,1,0)</f>
        <v/>
      </c>
      <c r="H9" s="13">
        <f>IF(H7&gt;=$B$5,1,0)</f>
        <v/>
      </c>
      <c r="I9" s="13">
        <f>IF(I7&gt;=$B$5,1,0)</f>
        <v/>
      </c>
      <c r="J9" s="13">
        <f>IF(J7&gt;=$B$5,1,0)</f>
        <v/>
      </c>
      <c r="K9" s="13">
        <f>IF(K7&gt;=$B$5,1,0)</f>
        <v/>
      </c>
      <c r="L9" s="13">
        <f>IF(L7&gt;=$B$5,1,0)</f>
        <v/>
      </c>
      <c r="M9" s="13">
        <f>IF(M7&gt;=$B$5,1,0)</f>
        <v/>
      </c>
      <c r="N9" s="13">
        <f>IF(N7&gt;=$B$5,1,0)</f>
        <v/>
      </c>
      <c r="O9" s="13">
        <f>IF(O7&gt;=$B$5,1,0)</f>
        <v/>
      </c>
      <c r="P9" s="13">
        <f>IF(P7&gt;=$B$5,1,0)</f>
        <v/>
      </c>
      <c r="Q9" s="13">
        <f>IF(Q7&gt;=$B$5,1,0)</f>
        <v/>
      </c>
      <c r="R9" s="13">
        <f>IF(R7&gt;=$B$5,1,0)</f>
        <v/>
      </c>
      <c r="S9" s="13">
        <f>IF(S7&gt;=$B$5,1,0)</f>
        <v/>
      </c>
      <c r="T9" s="13">
        <f>IF(T7&gt;=$B$5,1,0)</f>
        <v/>
      </c>
      <c r="U9" s="13">
        <f>IF(U7&gt;=$B$5,1,0)</f>
        <v/>
      </c>
      <c r="V9" s="13">
        <f>IF(V7&gt;=$B$5,1,0)</f>
        <v/>
      </c>
      <c r="W9" s="13">
        <f>IF(W7&gt;=$B$5,1,0)</f>
        <v/>
      </c>
      <c r="X9" s="13">
        <f>IF(X7&gt;=$B$5,1,0)</f>
        <v/>
      </c>
      <c r="Y9" s="13">
        <f>IF(Y7&gt;=$B$5,1,0)</f>
        <v/>
      </c>
      <c r="Z9" s="13">
        <f>IF(Z7&gt;=$B$5,1,0)</f>
        <v/>
      </c>
      <c r="AA9" s="13">
        <f>IF(AA7&gt;=$B$5,1,0)</f>
        <v/>
      </c>
      <c r="AB9" s="13">
        <f>IF(AB7&gt;=$B$5,1,0)</f>
        <v/>
      </c>
      <c r="AC9" s="13">
        <f>IF(AC7&gt;=$B$5,1,0)</f>
        <v/>
      </c>
      <c r="AD9" s="13">
        <f>IF(AD7&gt;=$B$5,1,0)</f>
        <v/>
      </c>
      <c r="AE9" s="13">
        <f>IF(AE7&gt;=$B$5,1,0)</f>
        <v/>
      </c>
      <c r="AF9" s="13">
        <f>IF(AF7&gt;=$B$5,1,0)</f>
        <v/>
      </c>
      <c r="AG9" s="13">
        <f>IF(AG7&gt;=$B$5,1,0)</f>
        <v/>
      </c>
      <c r="AH9" s="13">
        <f>IF(AH7&gt;=$B$5,1,0)</f>
        <v/>
      </c>
      <c r="AI9" s="13">
        <f>IF(AI7&gt;=$B$5,1,0)</f>
        <v/>
      </c>
      <c r="AJ9" s="13">
        <f>IF(AJ7&gt;=$B$5,1,0)</f>
        <v/>
      </c>
      <c r="AK9" s="13">
        <f>IF(AK7&gt;=$B$5,1,0)</f>
        <v/>
      </c>
      <c r="AL9" s="13">
        <f>IF(AL7&gt;=$B$5,1,0)</f>
        <v/>
      </c>
    </row>
    <row r="10">
      <c r="A10" s="9" t="inlineStr">
        <is>
          <t>Pilote en cours ? (1 = oui)</t>
        </is>
      </c>
      <c r="B10" s="4" t="inlineStr">
        <is>
          <t>0/1</t>
        </is>
      </c>
      <c r="C10" s="13">
        <f>IF(AND(C7&gt;=Hypothèses!$D$8,C7&lt;$B$5),1,0)</f>
        <v/>
      </c>
      <c r="D10" s="13">
        <f>IF(AND(D7&gt;=Hypothèses!$D$8,D7&lt;$B$5),1,0)</f>
        <v/>
      </c>
      <c r="E10" s="13">
        <f>IF(AND(E7&gt;=Hypothèses!$D$8,E7&lt;$B$5),1,0)</f>
        <v/>
      </c>
      <c r="F10" s="13">
        <f>IF(AND(F7&gt;=Hypothèses!$D$8,F7&lt;$B$5),1,0)</f>
        <v/>
      </c>
      <c r="G10" s="13">
        <f>IF(AND(G7&gt;=Hypothèses!$D$8,G7&lt;$B$5),1,0)</f>
        <v/>
      </c>
      <c r="H10" s="13">
        <f>IF(AND(H7&gt;=Hypothèses!$D$8,H7&lt;$B$5),1,0)</f>
        <v/>
      </c>
      <c r="I10" s="13">
        <f>IF(AND(I7&gt;=Hypothèses!$D$8,I7&lt;$B$5),1,0)</f>
        <v/>
      </c>
      <c r="J10" s="13">
        <f>IF(AND(J7&gt;=Hypothèses!$D$8,J7&lt;$B$5),1,0)</f>
        <v/>
      </c>
      <c r="K10" s="13">
        <f>IF(AND(K7&gt;=Hypothèses!$D$8,K7&lt;$B$5),1,0)</f>
        <v/>
      </c>
      <c r="L10" s="13">
        <f>IF(AND(L7&gt;=Hypothèses!$D$8,L7&lt;$B$5),1,0)</f>
        <v/>
      </c>
      <c r="M10" s="13">
        <f>IF(AND(M7&gt;=Hypothèses!$D$8,M7&lt;$B$5),1,0)</f>
        <v/>
      </c>
      <c r="N10" s="13">
        <f>IF(AND(N7&gt;=Hypothèses!$D$8,N7&lt;$B$5),1,0)</f>
        <v/>
      </c>
      <c r="O10" s="13">
        <f>IF(AND(O7&gt;=Hypothèses!$D$8,O7&lt;$B$5),1,0)</f>
        <v/>
      </c>
      <c r="P10" s="13">
        <f>IF(AND(P7&gt;=Hypothèses!$D$8,P7&lt;$B$5),1,0)</f>
        <v/>
      </c>
      <c r="Q10" s="13">
        <f>IF(AND(Q7&gt;=Hypothèses!$D$8,Q7&lt;$B$5),1,0)</f>
        <v/>
      </c>
      <c r="R10" s="13">
        <f>IF(AND(R7&gt;=Hypothèses!$D$8,R7&lt;$B$5),1,0)</f>
        <v/>
      </c>
      <c r="S10" s="13">
        <f>IF(AND(S7&gt;=Hypothèses!$D$8,S7&lt;$B$5),1,0)</f>
        <v/>
      </c>
      <c r="T10" s="13">
        <f>IF(AND(T7&gt;=Hypothèses!$D$8,T7&lt;$B$5),1,0)</f>
        <v/>
      </c>
      <c r="U10" s="13">
        <f>IF(AND(U7&gt;=Hypothèses!$D$8,U7&lt;$B$5),1,0)</f>
        <v/>
      </c>
      <c r="V10" s="13">
        <f>IF(AND(V7&gt;=Hypothèses!$D$8,V7&lt;$B$5),1,0)</f>
        <v/>
      </c>
      <c r="W10" s="13">
        <f>IF(AND(W7&gt;=Hypothèses!$D$8,W7&lt;$B$5),1,0)</f>
        <v/>
      </c>
      <c r="X10" s="13">
        <f>IF(AND(X7&gt;=Hypothèses!$D$8,X7&lt;$B$5),1,0)</f>
        <v/>
      </c>
      <c r="Y10" s="13">
        <f>IF(AND(Y7&gt;=Hypothèses!$D$8,Y7&lt;$B$5),1,0)</f>
        <v/>
      </c>
      <c r="Z10" s="13">
        <f>IF(AND(Z7&gt;=Hypothèses!$D$8,Z7&lt;$B$5),1,0)</f>
        <v/>
      </c>
      <c r="AA10" s="13">
        <f>IF(AND(AA7&gt;=Hypothèses!$D$8,AA7&lt;$B$5),1,0)</f>
        <v/>
      </c>
      <c r="AB10" s="13">
        <f>IF(AND(AB7&gt;=Hypothèses!$D$8,AB7&lt;$B$5),1,0)</f>
        <v/>
      </c>
      <c r="AC10" s="13">
        <f>IF(AND(AC7&gt;=Hypothèses!$D$8,AC7&lt;$B$5),1,0)</f>
        <v/>
      </c>
      <c r="AD10" s="13">
        <f>IF(AND(AD7&gt;=Hypothèses!$D$8,AD7&lt;$B$5),1,0)</f>
        <v/>
      </c>
      <c r="AE10" s="13">
        <f>IF(AND(AE7&gt;=Hypothèses!$D$8,AE7&lt;$B$5),1,0)</f>
        <v/>
      </c>
      <c r="AF10" s="13">
        <f>IF(AND(AF7&gt;=Hypothèses!$D$8,AF7&lt;$B$5),1,0)</f>
        <v/>
      </c>
      <c r="AG10" s="13">
        <f>IF(AND(AG7&gt;=Hypothèses!$D$8,AG7&lt;$B$5),1,0)</f>
        <v/>
      </c>
      <c r="AH10" s="13">
        <f>IF(AND(AH7&gt;=Hypothèses!$D$8,AH7&lt;$B$5),1,0)</f>
        <v/>
      </c>
      <c r="AI10" s="13">
        <f>IF(AND(AI7&gt;=Hypothèses!$D$8,AI7&lt;$B$5),1,0)</f>
        <v/>
      </c>
      <c r="AJ10" s="13">
        <f>IF(AND(AJ7&gt;=Hypothèses!$D$8,AJ7&lt;$B$5),1,0)</f>
        <v/>
      </c>
      <c r="AK10" s="13">
        <f>IF(AND(AK7&gt;=Hypothèses!$D$8,AK7&lt;$B$5),1,0)</f>
        <v/>
      </c>
      <c r="AL10" s="13">
        <f>IF(AND(AL7&gt;=Hypothèses!$D$8,AL7&lt;$B$5),1,0)</f>
        <v/>
      </c>
    </row>
    <row r="11">
      <c r="A11" s="9" t="inlineStr">
        <is>
          <t>Budget d'acquisition du mois</t>
        </is>
      </c>
      <c r="B11" s="4" t="inlineStr">
        <is>
          <t>€ HT</t>
        </is>
      </c>
      <c r="C11" s="15">
        <f>IF(C9=1,IF(C7&lt;=12,Hypothèses!$D$20,IF(C7&lt;=24,Hypothèses!$D$21,Hypothèses!$D$22)),0)</f>
        <v/>
      </c>
      <c r="D11" s="15">
        <f>IF(D9=1,IF(D7&lt;=12,Hypothèses!$D$20,IF(D7&lt;=24,Hypothèses!$D$21,Hypothèses!$D$22)),0)</f>
        <v/>
      </c>
      <c r="E11" s="15">
        <f>IF(E9=1,IF(E7&lt;=12,Hypothèses!$D$20,IF(E7&lt;=24,Hypothèses!$D$21,Hypothèses!$D$22)),0)</f>
        <v/>
      </c>
      <c r="F11" s="15">
        <f>IF(F9=1,IF(F7&lt;=12,Hypothèses!$D$20,IF(F7&lt;=24,Hypothèses!$D$21,Hypothèses!$D$22)),0)</f>
        <v/>
      </c>
      <c r="G11" s="15">
        <f>IF(G9=1,IF(G7&lt;=12,Hypothèses!$D$20,IF(G7&lt;=24,Hypothèses!$D$21,Hypothèses!$D$22)),0)</f>
        <v/>
      </c>
      <c r="H11" s="15">
        <f>IF(H9=1,IF(H7&lt;=12,Hypothèses!$D$20,IF(H7&lt;=24,Hypothèses!$D$21,Hypothèses!$D$22)),0)</f>
        <v/>
      </c>
      <c r="I11" s="15">
        <f>IF(I9=1,IF(I7&lt;=12,Hypothèses!$D$20,IF(I7&lt;=24,Hypothèses!$D$21,Hypothèses!$D$22)),0)</f>
        <v/>
      </c>
      <c r="J11" s="15">
        <f>IF(J9=1,IF(J7&lt;=12,Hypothèses!$D$20,IF(J7&lt;=24,Hypothèses!$D$21,Hypothèses!$D$22)),0)</f>
        <v/>
      </c>
      <c r="K11" s="15">
        <f>IF(K9=1,IF(K7&lt;=12,Hypothèses!$D$20,IF(K7&lt;=24,Hypothèses!$D$21,Hypothèses!$D$22)),0)</f>
        <v/>
      </c>
      <c r="L11" s="15">
        <f>IF(L9=1,IF(L7&lt;=12,Hypothèses!$D$20,IF(L7&lt;=24,Hypothèses!$D$21,Hypothèses!$D$22)),0)</f>
        <v/>
      </c>
      <c r="M11" s="15">
        <f>IF(M9=1,IF(M7&lt;=12,Hypothèses!$D$20,IF(M7&lt;=24,Hypothèses!$D$21,Hypothèses!$D$22)),0)</f>
        <v/>
      </c>
      <c r="N11" s="15">
        <f>IF(N9=1,IF(N7&lt;=12,Hypothèses!$D$20,IF(N7&lt;=24,Hypothèses!$D$21,Hypothèses!$D$22)),0)</f>
        <v/>
      </c>
      <c r="O11" s="15">
        <f>IF(O9=1,IF(O7&lt;=12,Hypothèses!$D$20,IF(O7&lt;=24,Hypothèses!$D$21,Hypothèses!$D$22)),0)</f>
        <v/>
      </c>
      <c r="P11" s="15">
        <f>IF(P9=1,IF(P7&lt;=12,Hypothèses!$D$20,IF(P7&lt;=24,Hypothèses!$D$21,Hypothèses!$D$22)),0)</f>
        <v/>
      </c>
      <c r="Q11" s="15">
        <f>IF(Q9=1,IF(Q7&lt;=12,Hypothèses!$D$20,IF(Q7&lt;=24,Hypothèses!$D$21,Hypothèses!$D$22)),0)</f>
        <v/>
      </c>
      <c r="R11" s="15">
        <f>IF(R9=1,IF(R7&lt;=12,Hypothèses!$D$20,IF(R7&lt;=24,Hypothèses!$D$21,Hypothèses!$D$22)),0)</f>
        <v/>
      </c>
      <c r="S11" s="15">
        <f>IF(S9=1,IF(S7&lt;=12,Hypothèses!$D$20,IF(S7&lt;=24,Hypothèses!$D$21,Hypothèses!$D$22)),0)</f>
        <v/>
      </c>
      <c r="T11" s="15">
        <f>IF(T9=1,IF(T7&lt;=12,Hypothèses!$D$20,IF(T7&lt;=24,Hypothèses!$D$21,Hypothèses!$D$22)),0)</f>
        <v/>
      </c>
      <c r="U11" s="15">
        <f>IF(U9=1,IF(U7&lt;=12,Hypothèses!$D$20,IF(U7&lt;=24,Hypothèses!$D$21,Hypothèses!$D$22)),0)</f>
        <v/>
      </c>
      <c r="V11" s="15">
        <f>IF(V9=1,IF(V7&lt;=12,Hypothèses!$D$20,IF(V7&lt;=24,Hypothèses!$D$21,Hypothèses!$D$22)),0)</f>
        <v/>
      </c>
      <c r="W11" s="15">
        <f>IF(W9=1,IF(W7&lt;=12,Hypothèses!$D$20,IF(W7&lt;=24,Hypothèses!$D$21,Hypothèses!$D$22)),0)</f>
        <v/>
      </c>
      <c r="X11" s="15">
        <f>IF(X9=1,IF(X7&lt;=12,Hypothèses!$D$20,IF(X7&lt;=24,Hypothèses!$D$21,Hypothèses!$D$22)),0)</f>
        <v/>
      </c>
      <c r="Y11" s="15">
        <f>IF(Y9=1,IF(Y7&lt;=12,Hypothèses!$D$20,IF(Y7&lt;=24,Hypothèses!$D$21,Hypothèses!$D$22)),0)</f>
        <v/>
      </c>
      <c r="Z11" s="15">
        <f>IF(Z9=1,IF(Z7&lt;=12,Hypothèses!$D$20,IF(Z7&lt;=24,Hypothèses!$D$21,Hypothèses!$D$22)),0)</f>
        <v/>
      </c>
      <c r="AA11" s="15">
        <f>IF(AA9=1,IF(AA7&lt;=12,Hypothèses!$D$20,IF(AA7&lt;=24,Hypothèses!$D$21,Hypothèses!$D$22)),0)</f>
        <v/>
      </c>
      <c r="AB11" s="15">
        <f>IF(AB9=1,IF(AB7&lt;=12,Hypothèses!$D$20,IF(AB7&lt;=24,Hypothèses!$D$21,Hypothèses!$D$22)),0)</f>
        <v/>
      </c>
      <c r="AC11" s="15">
        <f>IF(AC9=1,IF(AC7&lt;=12,Hypothèses!$D$20,IF(AC7&lt;=24,Hypothèses!$D$21,Hypothèses!$D$22)),0)</f>
        <v/>
      </c>
      <c r="AD11" s="15">
        <f>IF(AD9=1,IF(AD7&lt;=12,Hypothèses!$D$20,IF(AD7&lt;=24,Hypothèses!$D$21,Hypothèses!$D$22)),0)</f>
        <v/>
      </c>
      <c r="AE11" s="15">
        <f>IF(AE9=1,IF(AE7&lt;=12,Hypothèses!$D$20,IF(AE7&lt;=24,Hypothèses!$D$21,Hypothèses!$D$22)),0)</f>
        <v/>
      </c>
      <c r="AF11" s="15">
        <f>IF(AF9=1,IF(AF7&lt;=12,Hypothèses!$D$20,IF(AF7&lt;=24,Hypothèses!$D$21,Hypothèses!$D$22)),0)</f>
        <v/>
      </c>
      <c r="AG11" s="15">
        <f>IF(AG9=1,IF(AG7&lt;=12,Hypothèses!$D$20,IF(AG7&lt;=24,Hypothèses!$D$21,Hypothèses!$D$22)),0)</f>
        <v/>
      </c>
      <c r="AH11" s="15">
        <f>IF(AH9=1,IF(AH7&lt;=12,Hypothèses!$D$20,IF(AH7&lt;=24,Hypothèses!$D$21,Hypothèses!$D$22)),0)</f>
        <v/>
      </c>
      <c r="AI11" s="15">
        <f>IF(AI9=1,IF(AI7&lt;=12,Hypothèses!$D$20,IF(AI7&lt;=24,Hypothèses!$D$21,Hypothèses!$D$22)),0)</f>
        <v/>
      </c>
      <c r="AJ11" s="15">
        <f>IF(AJ9=1,IF(AJ7&lt;=12,Hypothèses!$D$20,IF(AJ7&lt;=24,Hypothèses!$D$21,Hypothèses!$D$22)),0)</f>
        <v/>
      </c>
      <c r="AK11" s="15">
        <f>IF(AK9=1,IF(AK7&lt;=12,Hypothèses!$D$20,IF(AK7&lt;=24,Hypothèses!$D$21,Hypothèses!$D$22)),0)</f>
        <v/>
      </c>
      <c r="AL11" s="15">
        <f>IF(AL9=1,IF(AL7&lt;=12,Hypothèses!$D$20,IF(AL7&lt;=24,Hypothèses!$D$21,Hypothèses!$D$22)),0)</f>
        <v/>
      </c>
      <c r="AN11" s="15">
        <f>SUM(C11:N11)</f>
        <v/>
      </c>
      <c r="AO11" s="15">
        <f>SUM(O11:Z11)</f>
        <v/>
      </c>
      <c r="AP11" s="15">
        <f>SUM(AA11:AL11)</f>
        <v/>
      </c>
    </row>
    <row r="12">
      <c r="A12" s="8" t="inlineStr">
        <is>
          <t>Abonnés</t>
        </is>
      </c>
    </row>
    <row r="13">
      <c r="A13" s="9" t="inlineStr">
        <is>
          <t>Abonnés en début de mois</t>
        </is>
      </c>
      <c r="B13" s="4" t="inlineStr">
        <is>
          <t>abonnés</t>
        </is>
      </c>
      <c r="C13" s="38">
        <f>0</f>
        <v/>
      </c>
      <c r="D13" s="38">
        <f>C18</f>
        <v/>
      </c>
      <c r="E13" s="38">
        <f>D18</f>
        <v/>
      </c>
      <c r="F13" s="38">
        <f>E18</f>
        <v/>
      </c>
      <c r="G13" s="38">
        <f>F18</f>
        <v/>
      </c>
      <c r="H13" s="38">
        <f>G18</f>
        <v/>
      </c>
      <c r="I13" s="38">
        <f>H18</f>
        <v/>
      </c>
      <c r="J13" s="38">
        <f>I18</f>
        <v/>
      </c>
      <c r="K13" s="38">
        <f>J18</f>
        <v/>
      </c>
      <c r="L13" s="38">
        <f>K18</f>
        <v/>
      </c>
      <c r="M13" s="38">
        <f>L18</f>
        <v/>
      </c>
      <c r="N13" s="38">
        <f>M18</f>
        <v/>
      </c>
      <c r="O13" s="38">
        <f>N18</f>
        <v/>
      </c>
      <c r="P13" s="38">
        <f>O18</f>
        <v/>
      </c>
      <c r="Q13" s="38">
        <f>P18</f>
        <v/>
      </c>
      <c r="R13" s="38">
        <f>Q18</f>
        <v/>
      </c>
      <c r="S13" s="38">
        <f>R18</f>
        <v/>
      </c>
      <c r="T13" s="38">
        <f>S18</f>
        <v/>
      </c>
      <c r="U13" s="38">
        <f>T18</f>
        <v/>
      </c>
      <c r="V13" s="38">
        <f>U18</f>
        <v/>
      </c>
      <c r="W13" s="38">
        <f>V18</f>
        <v/>
      </c>
      <c r="X13" s="38">
        <f>W18</f>
        <v/>
      </c>
      <c r="Y13" s="38">
        <f>X18</f>
        <v/>
      </c>
      <c r="Z13" s="38">
        <f>Y18</f>
        <v/>
      </c>
      <c r="AA13" s="38">
        <f>Z18</f>
        <v/>
      </c>
      <c r="AB13" s="38">
        <f>AA18</f>
        <v/>
      </c>
      <c r="AC13" s="38">
        <f>AB18</f>
        <v/>
      </c>
      <c r="AD13" s="38">
        <f>AC18</f>
        <v/>
      </c>
      <c r="AE13" s="38">
        <f>AD18</f>
        <v/>
      </c>
      <c r="AF13" s="38">
        <f>AE18</f>
        <v/>
      </c>
      <c r="AG13" s="38">
        <f>AF18</f>
        <v/>
      </c>
      <c r="AH13" s="38">
        <f>AG18</f>
        <v/>
      </c>
      <c r="AI13" s="38">
        <f>AH18</f>
        <v/>
      </c>
      <c r="AJ13" s="38">
        <f>AI18</f>
        <v/>
      </c>
      <c r="AK13" s="38">
        <f>AJ18</f>
        <v/>
      </c>
      <c r="AL13" s="38">
        <f>AK18</f>
        <v/>
      </c>
    </row>
    <row r="14">
      <c r="A14" s="9" t="inlineStr">
        <is>
          <t>Nouveaux abonnés par acquisition payante</t>
        </is>
      </c>
      <c r="B14" s="4" t="inlineStr">
        <is>
          <t>abonnés</t>
        </is>
      </c>
      <c r="C14" s="38">
        <f>C11/(Hypothèses!$D$23*$E$4)</f>
        <v/>
      </c>
      <c r="D14" s="38">
        <f>D11/(Hypothèses!$D$23*$E$4)</f>
        <v/>
      </c>
      <c r="E14" s="38">
        <f>E11/(Hypothèses!$D$23*$E$4)</f>
        <v/>
      </c>
      <c r="F14" s="38">
        <f>F11/(Hypothèses!$D$23*$E$4)</f>
        <v/>
      </c>
      <c r="G14" s="38">
        <f>G11/(Hypothèses!$D$23*$E$4)</f>
        <v/>
      </c>
      <c r="H14" s="38">
        <f>H11/(Hypothèses!$D$23*$E$4)</f>
        <v/>
      </c>
      <c r="I14" s="38">
        <f>I11/(Hypothèses!$D$23*$E$4)</f>
        <v/>
      </c>
      <c r="J14" s="38">
        <f>J11/(Hypothèses!$D$23*$E$4)</f>
        <v/>
      </c>
      <c r="K14" s="38">
        <f>K11/(Hypothèses!$D$23*$E$4)</f>
        <v/>
      </c>
      <c r="L14" s="38">
        <f>L11/(Hypothèses!$D$23*$E$4)</f>
        <v/>
      </c>
      <c r="M14" s="38">
        <f>M11/(Hypothèses!$D$23*$E$4)</f>
        <v/>
      </c>
      <c r="N14" s="38">
        <f>N11/(Hypothèses!$D$23*$E$4)</f>
        <v/>
      </c>
      <c r="O14" s="38">
        <f>O11/(Hypothèses!$D$23*$E$4)</f>
        <v/>
      </c>
      <c r="P14" s="38">
        <f>P11/(Hypothèses!$D$23*$E$4)</f>
        <v/>
      </c>
      <c r="Q14" s="38">
        <f>Q11/(Hypothèses!$D$23*$E$4)</f>
        <v/>
      </c>
      <c r="R14" s="38">
        <f>R11/(Hypothèses!$D$23*$E$4)</f>
        <v/>
      </c>
      <c r="S14" s="38">
        <f>S11/(Hypothèses!$D$23*$E$4)</f>
        <v/>
      </c>
      <c r="T14" s="38">
        <f>T11/(Hypothèses!$D$23*$E$4)</f>
        <v/>
      </c>
      <c r="U14" s="38">
        <f>U11/(Hypothèses!$D$23*$E$4)</f>
        <v/>
      </c>
      <c r="V14" s="38">
        <f>V11/(Hypothèses!$D$23*$E$4)</f>
        <v/>
      </c>
      <c r="W14" s="38">
        <f>W11/(Hypothèses!$D$23*$E$4)</f>
        <v/>
      </c>
      <c r="X14" s="38">
        <f>X11/(Hypothèses!$D$23*$E$4)</f>
        <v/>
      </c>
      <c r="Y14" s="38">
        <f>Y11/(Hypothèses!$D$23*$E$4)</f>
        <v/>
      </c>
      <c r="Z14" s="38">
        <f>Z11/(Hypothèses!$D$23*$E$4)</f>
        <v/>
      </c>
      <c r="AA14" s="38">
        <f>AA11/(Hypothèses!$D$23*$E$4)</f>
        <v/>
      </c>
      <c r="AB14" s="38">
        <f>AB11/(Hypothèses!$D$23*$E$4)</f>
        <v/>
      </c>
      <c r="AC14" s="38">
        <f>AC11/(Hypothèses!$D$23*$E$4)</f>
        <v/>
      </c>
      <c r="AD14" s="38">
        <f>AD11/(Hypothèses!$D$23*$E$4)</f>
        <v/>
      </c>
      <c r="AE14" s="38">
        <f>AE11/(Hypothèses!$D$23*$E$4)</f>
        <v/>
      </c>
      <c r="AF14" s="38">
        <f>AF11/(Hypothèses!$D$23*$E$4)</f>
        <v/>
      </c>
      <c r="AG14" s="38">
        <f>AG11/(Hypothèses!$D$23*$E$4)</f>
        <v/>
      </c>
      <c r="AH14" s="38">
        <f>AH11/(Hypothèses!$D$23*$E$4)</f>
        <v/>
      </c>
      <c r="AI14" s="38">
        <f>AI11/(Hypothèses!$D$23*$E$4)</f>
        <v/>
      </c>
      <c r="AJ14" s="38">
        <f>AJ11/(Hypothèses!$D$23*$E$4)</f>
        <v/>
      </c>
      <c r="AK14" s="38">
        <f>AK11/(Hypothèses!$D$23*$E$4)</f>
        <v/>
      </c>
      <c r="AL14" s="38">
        <f>AL11/(Hypothèses!$D$23*$E$4)</f>
        <v/>
      </c>
      <c r="AN14" s="38">
        <f>SUM(C14:N14)</f>
        <v/>
      </c>
      <c r="AO14" s="38">
        <f>SUM(O14:Z14)</f>
        <v/>
      </c>
      <c r="AP14" s="38">
        <f>SUM(AA14:AL14)</f>
        <v/>
      </c>
    </row>
    <row r="15">
      <c r="A15" s="9" t="inlineStr">
        <is>
          <t>Nouveaux abonnés pilote</t>
        </is>
      </c>
      <c r="B15" s="4" t="inlineStr">
        <is>
          <t>abonnés</t>
        </is>
      </c>
      <c r="C15" s="38">
        <f>IF(C7=Hypothèses!$D$8,Hypothèses!$D$9,0)</f>
        <v/>
      </c>
      <c r="D15" s="38">
        <f>IF(D7=Hypothèses!$D$8,Hypothèses!$D$9,0)</f>
        <v/>
      </c>
      <c r="E15" s="38">
        <f>IF(E7=Hypothèses!$D$8,Hypothèses!$D$9,0)</f>
        <v/>
      </c>
      <c r="F15" s="38">
        <f>IF(F7=Hypothèses!$D$8,Hypothèses!$D$9,0)</f>
        <v/>
      </c>
      <c r="G15" s="38">
        <f>IF(G7=Hypothèses!$D$8,Hypothèses!$D$9,0)</f>
        <v/>
      </c>
      <c r="H15" s="38">
        <f>IF(H7=Hypothèses!$D$8,Hypothèses!$D$9,0)</f>
        <v/>
      </c>
      <c r="I15" s="38">
        <f>IF(I7=Hypothèses!$D$8,Hypothèses!$D$9,0)</f>
        <v/>
      </c>
      <c r="J15" s="38">
        <f>IF(J7=Hypothèses!$D$8,Hypothèses!$D$9,0)</f>
        <v/>
      </c>
      <c r="K15" s="38">
        <f>IF(K7=Hypothèses!$D$8,Hypothèses!$D$9,0)</f>
        <v/>
      </c>
      <c r="L15" s="38">
        <f>IF(L7=Hypothèses!$D$8,Hypothèses!$D$9,0)</f>
        <v/>
      </c>
      <c r="M15" s="38">
        <f>IF(M7=Hypothèses!$D$8,Hypothèses!$D$9,0)</f>
        <v/>
      </c>
      <c r="N15" s="38">
        <f>IF(N7=Hypothèses!$D$8,Hypothèses!$D$9,0)</f>
        <v/>
      </c>
      <c r="O15" s="38">
        <f>IF(O7=Hypothèses!$D$8,Hypothèses!$D$9,0)</f>
        <v/>
      </c>
      <c r="P15" s="38">
        <f>IF(P7=Hypothèses!$D$8,Hypothèses!$D$9,0)</f>
        <v/>
      </c>
      <c r="Q15" s="38">
        <f>IF(Q7=Hypothèses!$D$8,Hypothèses!$D$9,0)</f>
        <v/>
      </c>
      <c r="R15" s="38">
        <f>IF(R7=Hypothèses!$D$8,Hypothèses!$D$9,0)</f>
        <v/>
      </c>
      <c r="S15" s="38">
        <f>IF(S7=Hypothèses!$D$8,Hypothèses!$D$9,0)</f>
        <v/>
      </c>
      <c r="T15" s="38">
        <f>IF(T7=Hypothèses!$D$8,Hypothèses!$D$9,0)</f>
        <v/>
      </c>
      <c r="U15" s="38">
        <f>IF(U7=Hypothèses!$D$8,Hypothèses!$D$9,0)</f>
        <v/>
      </c>
      <c r="V15" s="38">
        <f>IF(V7=Hypothèses!$D$8,Hypothèses!$D$9,0)</f>
        <v/>
      </c>
      <c r="W15" s="38">
        <f>IF(W7=Hypothèses!$D$8,Hypothèses!$D$9,0)</f>
        <v/>
      </c>
      <c r="X15" s="38">
        <f>IF(X7=Hypothèses!$D$8,Hypothèses!$D$9,0)</f>
        <v/>
      </c>
      <c r="Y15" s="38">
        <f>IF(Y7=Hypothèses!$D$8,Hypothèses!$D$9,0)</f>
        <v/>
      </c>
      <c r="Z15" s="38">
        <f>IF(Z7=Hypothèses!$D$8,Hypothèses!$D$9,0)</f>
        <v/>
      </c>
      <c r="AA15" s="38">
        <f>IF(AA7=Hypothèses!$D$8,Hypothèses!$D$9,0)</f>
        <v/>
      </c>
      <c r="AB15" s="38">
        <f>IF(AB7=Hypothèses!$D$8,Hypothèses!$D$9,0)</f>
        <v/>
      </c>
      <c r="AC15" s="38">
        <f>IF(AC7=Hypothèses!$D$8,Hypothèses!$D$9,0)</f>
        <v/>
      </c>
      <c r="AD15" s="38">
        <f>IF(AD7=Hypothèses!$D$8,Hypothèses!$D$9,0)</f>
        <v/>
      </c>
      <c r="AE15" s="38">
        <f>IF(AE7=Hypothèses!$D$8,Hypothèses!$D$9,0)</f>
        <v/>
      </c>
      <c r="AF15" s="38">
        <f>IF(AF7=Hypothèses!$D$8,Hypothèses!$D$9,0)</f>
        <v/>
      </c>
      <c r="AG15" s="38">
        <f>IF(AG7=Hypothèses!$D$8,Hypothèses!$D$9,0)</f>
        <v/>
      </c>
      <c r="AH15" s="38">
        <f>IF(AH7=Hypothèses!$D$8,Hypothèses!$D$9,0)</f>
        <v/>
      </c>
      <c r="AI15" s="38">
        <f>IF(AI7=Hypothèses!$D$8,Hypothèses!$D$9,0)</f>
        <v/>
      </c>
      <c r="AJ15" s="38">
        <f>IF(AJ7=Hypothèses!$D$8,Hypothèses!$D$9,0)</f>
        <v/>
      </c>
      <c r="AK15" s="38">
        <f>IF(AK7=Hypothèses!$D$8,Hypothèses!$D$9,0)</f>
        <v/>
      </c>
      <c r="AL15" s="38">
        <f>IF(AL7=Hypothèses!$D$8,Hypothèses!$D$9,0)</f>
        <v/>
      </c>
      <c r="AN15" s="38">
        <f>SUM(C15:N15)</f>
        <v/>
      </c>
      <c r="AO15" s="38">
        <f>SUM(O15:Z15)</f>
        <v/>
      </c>
      <c r="AP15" s="38">
        <f>SUM(AA15:AL15)</f>
        <v/>
      </c>
    </row>
    <row r="16">
      <c r="A16" s="9" t="inlineStr">
        <is>
          <t>Nouveaux abonnés organiques (parrainage)</t>
        </is>
      </c>
      <c r="B16" s="4" t="inlineStr">
        <is>
          <t>abonnés</t>
        </is>
      </c>
      <c r="C16" s="38">
        <f>C9*C13*Hypothèses!$D$24</f>
        <v/>
      </c>
      <c r="D16" s="38">
        <f>D9*D13*Hypothèses!$D$24</f>
        <v/>
      </c>
      <c r="E16" s="38">
        <f>E9*E13*Hypothèses!$D$24</f>
        <v/>
      </c>
      <c r="F16" s="38">
        <f>F9*F13*Hypothèses!$D$24</f>
        <v/>
      </c>
      <c r="G16" s="38">
        <f>G9*G13*Hypothèses!$D$24</f>
        <v/>
      </c>
      <c r="H16" s="38">
        <f>H9*H13*Hypothèses!$D$24</f>
        <v/>
      </c>
      <c r="I16" s="38">
        <f>I9*I13*Hypothèses!$D$24</f>
        <v/>
      </c>
      <c r="J16" s="38">
        <f>J9*J13*Hypothèses!$D$24</f>
        <v/>
      </c>
      <c r="K16" s="38">
        <f>K9*K13*Hypothèses!$D$24</f>
        <v/>
      </c>
      <c r="L16" s="38">
        <f>L9*L13*Hypothèses!$D$24</f>
        <v/>
      </c>
      <c r="M16" s="38">
        <f>M9*M13*Hypothèses!$D$24</f>
        <v/>
      </c>
      <c r="N16" s="38">
        <f>N9*N13*Hypothèses!$D$24</f>
        <v/>
      </c>
      <c r="O16" s="38">
        <f>O9*O13*Hypothèses!$D$24</f>
        <v/>
      </c>
      <c r="P16" s="38">
        <f>P9*P13*Hypothèses!$D$24</f>
        <v/>
      </c>
      <c r="Q16" s="38">
        <f>Q9*Q13*Hypothèses!$D$24</f>
        <v/>
      </c>
      <c r="R16" s="38">
        <f>R9*R13*Hypothèses!$D$24</f>
        <v/>
      </c>
      <c r="S16" s="38">
        <f>S9*S13*Hypothèses!$D$24</f>
        <v/>
      </c>
      <c r="T16" s="38">
        <f>T9*T13*Hypothèses!$D$24</f>
        <v/>
      </c>
      <c r="U16" s="38">
        <f>U9*U13*Hypothèses!$D$24</f>
        <v/>
      </c>
      <c r="V16" s="38">
        <f>V9*V13*Hypothèses!$D$24</f>
        <v/>
      </c>
      <c r="W16" s="38">
        <f>W9*W13*Hypothèses!$D$24</f>
        <v/>
      </c>
      <c r="X16" s="38">
        <f>X9*X13*Hypothèses!$D$24</f>
        <v/>
      </c>
      <c r="Y16" s="38">
        <f>Y9*Y13*Hypothèses!$D$24</f>
        <v/>
      </c>
      <c r="Z16" s="38">
        <f>Z9*Z13*Hypothèses!$D$24</f>
        <v/>
      </c>
      <c r="AA16" s="38">
        <f>AA9*AA13*Hypothèses!$D$24</f>
        <v/>
      </c>
      <c r="AB16" s="38">
        <f>AB9*AB13*Hypothèses!$D$24</f>
        <v/>
      </c>
      <c r="AC16" s="38">
        <f>AC9*AC13*Hypothèses!$D$24</f>
        <v/>
      </c>
      <c r="AD16" s="38">
        <f>AD9*AD13*Hypothèses!$D$24</f>
        <v/>
      </c>
      <c r="AE16" s="38">
        <f>AE9*AE13*Hypothèses!$D$24</f>
        <v/>
      </c>
      <c r="AF16" s="38">
        <f>AF9*AF13*Hypothèses!$D$24</f>
        <v/>
      </c>
      <c r="AG16" s="38">
        <f>AG9*AG13*Hypothèses!$D$24</f>
        <v/>
      </c>
      <c r="AH16" s="38">
        <f>AH9*AH13*Hypothèses!$D$24</f>
        <v/>
      </c>
      <c r="AI16" s="38">
        <f>AI9*AI13*Hypothèses!$D$24</f>
        <v/>
      </c>
      <c r="AJ16" s="38">
        <f>AJ9*AJ13*Hypothèses!$D$24</f>
        <v/>
      </c>
      <c r="AK16" s="38">
        <f>AK9*AK13*Hypothèses!$D$24</f>
        <v/>
      </c>
      <c r="AL16" s="38">
        <f>AL9*AL13*Hypothèses!$D$24</f>
        <v/>
      </c>
      <c r="AN16" s="38">
        <f>SUM(C16:N16)</f>
        <v/>
      </c>
      <c r="AO16" s="38">
        <f>SUM(O16:Z16)</f>
        <v/>
      </c>
      <c r="AP16" s="38">
        <f>SUM(AA16:AL16)</f>
        <v/>
      </c>
    </row>
    <row r="17">
      <c r="A17" s="9" t="inlineStr">
        <is>
          <t>Résiliations</t>
        </is>
      </c>
      <c r="B17" s="4" t="inlineStr">
        <is>
          <t>abonnés</t>
        </is>
      </c>
      <c r="C17" s="38">
        <f>C13*Hypothèses!$D$26*$D$4</f>
        <v/>
      </c>
      <c r="D17" s="38">
        <f>D13*Hypothèses!$D$26*$D$4</f>
        <v/>
      </c>
      <c r="E17" s="38">
        <f>E13*Hypothèses!$D$26*$D$4</f>
        <v/>
      </c>
      <c r="F17" s="38">
        <f>F13*Hypothèses!$D$26*$D$4</f>
        <v/>
      </c>
      <c r="G17" s="38">
        <f>G13*Hypothèses!$D$26*$D$4</f>
        <v/>
      </c>
      <c r="H17" s="38">
        <f>H13*Hypothèses!$D$26*$D$4</f>
        <v/>
      </c>
      <c r="I17" s="38">
        <f>I13*Hypothèses!$D$26*$D$4</f>
        <v/>
      </c>
      <c r="J17" s="38">
        <f>J13*Hypothèses!$D$26*$D$4</f>
        <v/>
      </c>
      <c r="K17" s="38">
        <f>K13*Hypothèses!$D$26*$D$4</f>
        <v/>
      </c>
      <c r="L17" s="38">
        <f>L13*Hypothèses!$D$26*$D$4</f>
        <v/>
      </c>
      <c r="M17" s="38">
        <f>M13*Hypothèses!$D$26*$D$4</f>
        <v/>
      </c>
      <c r="N17" s="38">
        <f>N13*Hypothèses!$D$26*$D$4</f>
        <v/>
      </c>
      <c r="O17" s="38">
        <f>O13*Hypothèses!$D$26*$D$4</f>
        <v/>
      </c>
      <c r="P17" s="38">
        <f>P13*Hypothèses!$D$26*$D$4</f>
        <v/>
      </c>
      <c r="Q17" s="38">
        <f>Q13*Hypothèses!$D$26*$D$4</f>
        <v/>
      </c>
      <c r="R17" s="38">
        <f>R13*Hypothèses!$D$26*$D$4</f>
        <v/>
      </c>
      <c r="S17" s="38">
        <f>S13*Hypothèses!$D$26*$D$4</f>
        <v/>
      </c>
      <c r="T17" s="38">
        <f>T13*Hypothèses!$D$26*$D$4</f>
        <v/>
      </c>
      <c r="U17" s="38">
        <f>U13*Hypothèses!$D$26*$D$4</f>
        <v/>
      </c>
      <c r="V17" s="38">
        <f>V13*Hypothèses!$D$26*$D$4</f>
        <v/>
      </c>
      <c r="W17" s="38">
        <f>W13*Hypothèses!$D$26*$D$4</f>
        <v/>
      </c>
      <c r="X17" s="38">
        <f>X13*Hypothèses!$D$26*$D$4</f>
        <v/>
      </c>
      <c r="Y17" s="38">
        <f>Y13*Hypothèses!$D$26*$D$4</f>
        <v/>
      </c>
      <c r="Z17" s="38">
        <f>Z13*Hypothèses!$D$26*$D$4</f>
        <v/>
      </c>
      <c r="AA17" s="38">
        <f>AA13*Hypothèses!$D$26*$D$4</f>
        <v/>
      </c>
      <c r="AB17" s="38">
        <f>AB13*Hypothèses!$D$26*$D$4</f>
        <v/>
      </c>
      <c r="AC17" s="38">
        <f>AC13*Hypothèses!$D$26*$D$4</f>
        <v/>
      </c>
      <c r="AD17" s="38">
        <f>AD13*Hypothèses!$D$26*$D$4</f>
        <v/>
      </c>
      <c r="AE17" s="38">
        <f>AE13*Hypothèses!$D$26*$D$4</f>
        <v/>
      </c>
      <c r="AF17" s="38">
        <f>AF13*Hypothèses!$D$26*$D$4</f>
        <v/>
      </c>
      <c r="AG17" s="38">
        <f>AG13*Hypothèses!$D$26*$D$4</f>
        <v/>
      </c>
      <c r="AH17" s="38">
        <f>AH13*Hypothèses!$D$26*$D$4</f>
        <v/>
      </c>
      <c r="AI17" s="38">
        <f>AI13*Hypothèses!$D$26*$D$4</f>
        <v/>
      </c>
      <c r="AJ17" s="38">
        <f>AJ13*Hypothèses!$D$26*$D$4</f>
        <v/>
      </c>
      <c r="AK17" s="38">
        <f>AK13*Hypothèses!$D$26*$D$4</f>
        <v/>
      </c>
      <c r="AL17" s="38">
        <f>AL13*Hypothèses!$D$26*$D$4</f>
        <v/>
      </c>
      <c r="AN17" s="38">
        <f>SUM(C17:N17)</f>
        <v/>
      </c>
      <c r="AO17" s="38">
        <f>SUM(O17:Z17)</f>
        <v/>
      </c>
      <c r="AP17" s="38">
        <f>SUM(AA17:AL17)</f>
        <v/>
      </c>
    </row>
    <row r="18">
      <c r="A18" s="2" t="inlineStr">
        <is>
          <t>Abonnés en fin de mois</t>
        </is>
      </c>
      <c r="B18" s="4" t="inlineStr">
        <is>
          <t>abonnés</t>
        </is>
      </c>
      <c r="C18" s="39">
        <f>C13+C14+C15+C16-C17</f>
        <v/>
      </c>
      <c r="D18" s="39">
        <f>D13+D14+D15+D16-D17</f>
        <v/>
      </c>
      <c r="E18" s="39">
        <f>E13+E14+E15+E16-E17</f>
        <v/>
      </c>
      <c r="F18" s="39">
        <f>F13+F14+F15+F16-F17</f>
        <v/>
      </c>
      <c r="G18" s="39">
        <f>G13+G14+G15+G16-G17</f>
        <v/>
      </c>
      <c r="H18" s="39">
        <f>H13+H14+H15+H16-H17</f>
        <v/>
      </c>
      <c r="I18" s="39">
        <f>I13+I14+I15+I16-I17</f>
        <v/>
      </c>
      <c r="J18" s="39">
        <f>J13+J14+J15+J16-J17</f>
        <v/>
      </c>
      <c r="K18" s="39">
        <f>K13+K14+K15+K16-K17</f>
        <v/>
      </c>
      <c r="L18" s="39">
        <f>L13+L14+L15+L16-L17</f>
        <v/>
      </c>
      <c r="M18" s="39">
        <f>M13+M14+M15+M16-M17</f>
        <v/>
      </c>
      <c r="N18" s="39">
        <f>N13+N14+N15+N16-N17</f>
        <v/>
      </c>
      <c r="O18" s="39">
        <f>O13+O14+O15+O16-O17</f>
        <v/>
      </c>
      <c r="P18" s="39">
        <f>P13+P14+P15+P16-P17</f>
        <v/>
      </c>
      <c r="Q18" s="39">
        <f>Q13+Q14+Q15+Q16-Q17</f>
        <v/>
      </c>
      <c r="R18" s="39">
        <f>R13+R14+R15+R16-R17</f>
        <v/>
      </c>
      <c r="S18" s="39">
        <f>S13+S14+S15+S16-S17</f>
        <v/>
      </c>
      <c r="T18" s="39">
        <f>T13+T14+T15+T16-T17</f>
        <v/>
      </c>
      <c r="U18" s="39">
        <f>U13+U14+U15+U16-U17</f>
        <v/>
      </c>
      <c r="V18" s="39">
        <f>V13+V14+V15+V16-V17</f>
        <v/>
      </c>
      <c r="W18" s="39">
        <f>W13+W14+W15+W16-W17</f>
        <v/>
      </c>
      <c r="X18" s="39">
        <f>X13+X14+X15+X16-X17</f>
        <v/>
      </c>
      <c r="Y18" s="39">
        <f>Y13+Y14+Y15+Y16-Y17</f>
        <v/>
      </c>
      <c r="Z18" s="39">
        <f>Z13+Z14+Z15+Z16-Z17</f>
        <v/>
      </c>
      <c r="AA18" s="39">
        <f>AA13+AA14+AA15+AA16-AA17</f>
        <v/>
      </c>
      <c r="AB18" s="39">
        <f>AB13+AB14+AB15+AB16-AB17</f>
        <v/>
      </c>
      <c r="AC18" s="39">
        <f>AC13+AC14+AC15+AC16-AC17</f>
        <v/>
      </c>
      <c r="AD18" s="39">
        <f>AD13+AD14+AD15+AD16-AD17</f>
        <v/>
      </c>
      <c r="AE18" s="39">
        <f>AE13+AE14+AE15+AE16-AE17</f>
        <v/>
      </c>
      <c r="AF18" s="39">
        <f>AF13+AF14+AF15+AF16-AF17</f>
        <v/>
      </c>
      <c r="AG18" s="39">
        <f>AG13+AG14+AG15+AG16-AG17</f>
        <v/>
      </c>
      <c r="AH18" s="39">
        <f>AH13+AH14+AH15+AH16-AH17</f>
        <v/>
      </c>
      <c r="AI18" s="39">
        <f>AI13+AI14+AI15+AI16-AI17</f>
        <v/>
      </c>
      <c r="AJ18" s="39">
        <f>AJ13+AJ14+AJ15+AJ16-AJ17</f>
        <v/>
      </c>
      <c r="AK18" s="39">
        <f>AK13+AK14+AK15+AK16-AK17</f>
        <v/>
      </c>
      <c r="AL18" s="39">
        <f>AL13+AL14+AL15+AL16-AL17</f>
        <v/>
      </c>
      <c r="AN18" s="39">
        <f>N18</f>
        <v/>
      </c>
      <c r="AO18" s="39">
        <f>Z18</f>
        <v/>
      </c>
      <c r="AP18" s="39">
        <f>AL18</f>
        <v/>
      </c>
    </row>
    <row r="19">
      <c r="A19" s="9" t="inlineStr">
        <is>
          <t>dont Personal</t>
        </is>
      </c>
      <c r="B19" s="4" t="inlineStr">
        <is>
          <t>abonnés</t>
        </is>
      </c>
      <c r="C19" s="38">
        <f>C18*Hypothèses!$D$16</f>
        <v/>
      </c>
      <c r="D19" s="38">
        <f>D18*Hypothèses!$D$16</f>
        <v/>
      </c>
      <c r="E19" s="38">
        <f>E18*Hypothèses!$D$16</f>
        <v/>
      </c>
      <c r="F19" s="38">
        <f>F18*Hypothèses!$D$16</f>
        <v/>
      </c>
      <c r="G19" s="38">
        <f>G18*Hypothèses!$D$16</f>
        <v/>
      </c>
      <c r="H19" s="38">
        <f>H18*Hypothèses!$D$16</f>
        <v/>
      </c>
      <c r="I19" s="38">
        <f>I18*Hypothèses!$D$16</f>
        <v/>
      </c>
      <c r="J19" s="38">
        <f>J18*Hypothèses!$D$16</f>
        <v/>
      </c>
      <c r="K19" s="38">
        <f>K18*Hypothèses!$D$16</f>
        <v/>
      </c>
      <c r="L19" s="38">
        <f>L18*Hypothèses!$D$16</f>
        <v/>
      </c>
      <c r="M19" s="38">
        <f>M18*Hypothèses!$D$16</f>
        <v/>
      </c>
      <c r="N19" s="38">
        <f>N18*Hypothèses!$D$16</f>
        <v/>
      </c>
      <c r="O19" s="38">
        <f>O18*Hypothèses!$D$16</f>
        <v/>
      </c>
      <c r="P19" s="38">
        <f>P18*Hypothèses!$D$16</f>
        <v/>
      </c>
      <c r="Q19" s="38">
        <f>Q18*Hypothèses!$D$16</f>
        <v/>
      </c>
      <c r="R19" s="38">
        <f>R18*Hypothèses!$D$16</f>
        <v/>
      </c>
      <c r="S19" s="38">
        <f>S18*Hypothèses!$D$16</f>
        <v/>
      </c>
      <c r="T19" s="38">
        <f>T18*Hypothèses!$D$16</f>
        <v/>
      </c>
      <c r="U19" s="38">
        <f>U18*Hypothèses!$D$16</f>
        <v/>
      </c>
      <c r="V19" s="38">
        <f>V18*Hypothèses!$D$16</f>
        <v/>
      </c>
      <c r="W19" s="38">
        <f>W18*Hypothèses!$D$16</f>
        <v/>
      </c>
      <c r="X19" s="38">
        <f>X18*Hypothèses!$D$16</f>
        <v/>
      </c>
      <c r="Y19" s="38">
        <f>Y18*Hypothèses!$D$16</f>
        <v/>
      </c>
      <c r="Z19" s="38">
        <f>Z18*Hypothèses!$D$16</f>
        <v/>
      </c>
      <c r="AA19" s="38">
        <f>AA18*Hypothèses!$D$16</f>
        <v/>
      </c>
      <c r="AB19" s="38">
        <f>AB18*Hypothèses!$D$16</f>
        <v/>
      </c>
      <c r="AC19" s="38">
        <f>AC18*Hypothèses!$D$16</f>
        <v/>
      </c>
      <c r="AD19" s="38">
        <f>AD18*Hypothèses!$D$16</f>
        <v/>
      </c>
      <c r="AE19" s="38">
        <f>AE18*Hypothèses!$D$16</f>
        <v/>
      </c>
      <c r="AF19" s="38">
        <f>AF18*Hypothèses!$D$16</f>
        <v/>
      </c>
      <c r="AG19" s="38">
        <f>AG18*Hypothèses!$D$16</f>
        <v/>
      </c>
      <c r="AH19" s="38">
        <f>AH18*Hypothèses!$D$16</f>
        <v/>
      </c>
      <c r="AI19" s="38">
        <f>AI18*Hypothèses!$D$16</f>
        <v/>
      </c>
      <c r="AJ19" s="38">
        <f>AJ18*Hypothèses!$D$16</f>
        <v/>
      </c>
      <c r="AK19" s="38">
        <f>AK18*Hypothèses!$D$16</f>
        <v/>
      </c>
      <c r="AL19" s="38">
        <f>AL18*Hypothèses!$D$16</f>
        <v/>
      </c>
      <c r="AN19" s="38">
        <f>N19</f>
        <v/>
      </c>
      <c r="AO19" s="38">
        <f>Z19</f>
        <v/>
      </c>
      <c r="AP19" s="38">
        <f>AL19</f>
        <v/>
      </c>
    </row>
    <row r="20">
      <c r="A20" s="9" t="inlineStr">
        <is>
          <t>dont Premium</t>
        </is>
      </c>
      <c r="B20" s="4" t="inlineStr">
        <is>
          <t>abonnés</t>
        </is>
      </c>
      <c r="C20" s="38">
        <f>C18*Hypothèses!$D$17</f>
        <v/>
      </c>
      <c r="D20" s="38">
        <f>D18*Hypothèses!$D$17</f>
        <v/>
      </c>
      <c r="E20" s="38">
        <f>E18*Hypothèses!$D$17</f>
        <v/>
      </c>
      <c r="F20" s="38">
        <f>F18*Hypothèses!$D$17</f>
        <v/>
      </c>
      <c r="G20" s="38">
        <f>G18*Hypothèses!$D$17</f>
        <v/>
      </c>
      <c r="H20" s="38">
        <f>H18*Hypothèses!$D$17</f>
        <v/>
      </c>
      <c r="I20" s="38">
        <f>I18*Hypothèses!$D$17</f>
        <v/>
      </c>
      <c r="J20" s="38">
        <f>J18*Hypothèses!$D$17</f>
        <v/>
      </c>
      <c r="K20" s="38">
        <f>K18*Hypothèses!$D$17</f>
        <v/>
      </c>
      <c r="L20" s="38">
        <f>L18*Hypothèses!$D$17</f>
        <v/>
      </c>
      <c r="M20" s="38">
        <f>M18*Hypothèses!$D$17</f>
        <v/>
      </c>
      <c r="N20" s="38">
        <f>N18*Hypothèses!$D$17</f>
        <v/>
      </c>
      <c r="O20" s="38">
        <f>O18*Hypothèses!$D$17</f>
        <v/>
      </c>
      <c r="P20" s="38">
        <f>P18*Hypothèses!$D$17</f>
        <v/>
      </c>
      <c r="Q20" s="38">
        <f>Q18*Hypothèses!$D$17</f>
        <v/>
      </c>
      <c r="R20" s="38">
        <f>R18*Hypothèses!$D$17</f>
        <v/>
      </c>
      <c r="S20" s="38">
        <f>S18*Hypothèses!$D$17</f>
        <v/>
      </c>
      <c r="T20" s="38">
        <f>T18*Hypothèses!$D$17</f>
        <v/>
      </c>
      <c r="U20" s="38">
        <f>U18*Hypothèses!$D$17</f>
        <v/>
      </c>
      <c r="V20" s="38">
        <f>V18*Hypothèses!$D$17</f>
        <v/>
      </c>
      <c r="W20" s="38">
        <f>W18*Hypothèses!$D$17</f>
        <v/>
      </c>
      <c r="X20" s="38">
        <f>X18*Hypothèses!$D$17</f>
        <v/>
      </c>
      <c r="Y20" s="38">
        <f>Y18*Hypothèses!$D$17</f>
        <v/>
      </c>
      <c r="Z20" s="38">
        <f>Z18*Hypothèses!$D$17</f>
        <v/>
      </c>
      <c r="AA20" s="38">
        <f>AA18*Hypothèses!$D$17</f>
        <v/>
      </c>
      <c r="AB20" s="38">
        <f>AB18*Hypothèses!$D$17</f>
        <v/>
      </c>
      <c r="AC20" s="38">
        <f>AC18*Hypothèses!$D$17</f>
        <v/>
      </c>
      <c r="AD20" s="38">
        <f>AD18*Hypothèses!$D$17</f>
        <v/>
      </c>
      <c r="AE20" s="38">
        <f>AE18*Hypothèses!$D$17</f>
        <v/>
      </c>
      <c r="AF20" s="38">
        <f>AF18*Hypothèses!$D$17</f>
        <v/>
      </c>
      <c r="AG20" s="38">
        <f>AG18*Hypothèses!$D$17</f>
        <v/>
      </c>
      <c r="AH20" s="38">
        <f>AH18*Hypothèses!$D$17</f>
        <v/>
      </c>
      <c r="AI20" s="38">
        <f>AI18*Hypothèses!$D$17</f>
        <v/>
      </c>
      <c r="AJ20" s="38">
        <f>AJ18*Hypothèses!$D$17</f>
        <v/>
      </c>
      <c r="AK20" s="38">
        <f>AK18*Hypothèses!$D$17</f>
        <v/>
      </c>
      <c r="AL20" s="38">
        <f>AL18*Hypothèses!$D$17</f>
        <v/>
      </c>
      <c r="AN20" s="38">
        <f>N20</f>
        <v/>
      </c>
      <c r="AO20" s="38">
        <f>Z20</f>
        <v/>
      </c>
      <c r="AP20" s="38">
        <f>AL20</f>
        <v/>
      </c>
    </row>
    <row r="21">
      <c r="A21" s="9" t="inlineStr">
        <is>
          <t>dont Family</t>
        </is>
      </c>
      <c r="B21" s="4" t="inlineStr">
        <is>
          <t>abonnés</t>
        </is>
      </c>
      <c r="C21" s="38">
        <f>C18*Hypothèses!$D$18</f>
        <v/>
      </c>
      <c r="D21" s="38">
        <f>D18*Hypothèses!$D$18</f>
        <v/>
      </c>
      <c r="E21" s="38">
        <f>E18*Hypothèses!$D$18</f>
        <v/>
      </c>
      <c r="F21" s="38">
        <f>F18*Hypothèses!$D$18</f>
        <v/>
      </c>
      <c r="G21" s="38">
        <f>G18*Hypothèses!$D$18</f>
        <v/>
      </c>
      <c r="H21" s="38">
        <f>H18*Hypothèses!$D$18</f>
        <v/>
      </c>
      <c r="I21" s="38">
        <f>I18*Hypothèses!$D$18</f>
        <v/>
      </c>
      <c r="J21" s="38">
        <f>J18*Hypothèses!$D$18</f>
        <v/>
      </c>
      <c r="K21" s="38">
        <f>K18*Hypothèses!$D$18</f>
        <v/>
      </c>
      <c r="L21" s="38">
        <f>L18*Hypothèses!$D$18</f>
        <v/>
      </c>
      <c r="M21" s="38">
        <f>M18*Hypothèses!$D$18</f>
        <v/>
      </c>
      <c r="N21" s="38">
        <f>N18*Hypothèses!$D$18</f>
        <v/>
      </c>
      <c r="O21" s="38">
        <f>O18*Hypothèses!$D$18</f>
        <v/>
      </c>
      <c r="P21" s="38">
        <f>P18*Hypothèses!$D$18</f>
        <v/>
      </c>
      <c r="Q21" s="38">
        <f>Q18*Hypothèses!$D$18</f>
        <v/>
      </c>
      <c r="R21" s="38">
        <f>R18*Hypothèses!$D$18</f>
        <v/>
      </c>
      <c r="S21" s="38">
        <f>S18*Hypothèses!$D$18</f>
        <v/>
      </c>
      <c r="T21" s="38">
        <f>T18*Hypothèses!$D$18</f>
        <v/>
      </c>
      <c r="U21" s="38">
        <f>U18*Hypothèses!$D$18</f>
        <v/>
      </c>
      <c r="V21" s="38">
        <f>V18*Hypothèses!$D$18</f>
        <v/>
      </c>
      <c r="W21" s="38">
        <f>W18*Hypothèses!$D$18</f>
        <v/>
      </c>
      <c r="X21" s="38">
        <f>X18*Hypothèses!$D$18</f>
        <v/>
      </c>
      <c r="Y21" s="38">
        <f>Y18*Hypothèses!$D$18</f>
        <v/>
      </c>
      <c r="Z21" s="38">
        <f>Z18*Hypothèses!$D$18</f>
        <v/>
      </c>
      <c r="AA21" s="38">
        <f>AA18*Hypothèses!$D$18</f>
        <v/>
      </c>
      <c r="AB21" s="38">
        <f>AB18*Hypothèses!$D$18</f>
        <v/>
      </c>
      <c r="AC21" s="38">
        <f>AC18*Hypothèses!$D$18</f>
        <v/>
      </c>
      <c r="AD21" s="38">
        <f>AD18*Hypothèses!$D$18</f>
        <v/>
      </c>
      <c r="AE21" s="38">
        <f>AE18*Hypothèses!$D$18</f>
        <v/>
      </c>
      <c r="AF21" s="38">
        <f>AF18*Hypothèses!$D$18</f>
        <v/>
      </c>
      <c r="AG21" s="38">
        <f>AG18*Hypothèses!$D$18</f>
        <v/>
      </c>
      <c r="AH21" s="38">
        <f>AH18*Hypothèses!$D$18</f>
        <v/>
      </c>
      <c r="AI21" s="38">
        <f>AI18*Hypothèses!$D$18</f>
        <v/>
      </c>
      <c r="AJ21" s="38">
        <f>AJ18*Hypothèses!$D$18</f>
        <v/>
      </c>
      <c r="AK21" s="38">
        <f>AK18*Hypothèses!$D$18</f>
        <v/>
      </c>
      <c r="AL21" s="38">
        <f>AL18*Hypothèses!$D$18</f>
        <v/>
      </c>
      <c r="AN21" s="38">
        <f>N21</f>
        <v/>
      </c>
      <c r="AO21" s="38">
        <f>Z21</f>
        <v/>
      </c>
      <c r="AP21" s="38">
        <f>AL21</f>
        <v/>
      </c>
    </row>
    <row r="22">
      <c r="A22" s="8" t="inlineStr">
        <is>
          <t>Revenus</t>
        </is>
      </c>
    </row>
    <row r="23">
      <c r="A23" s="9" t="inlineStr">
        <is>
          <t>Facturation Personal TTC</t>
        </is>
      </c>
      <c r="B23" s="4" t="inlineStr">
        <is>
          <t>€ TTC</t>
        </is>
      </c>
      <c r="C23" s="15">
        <f>C19*Hypothèses!$D$12*$C$4</f>
        <v/>
      </c>
      <c r="D23" s="15">
        <f>D19*Hypothèses!$D$12*$C$4</f>
        <v/>
      </c>
      <c r="E23" s="15">
        <f>E19*Hypothèses!$D$12*$C$4</f>
        <v/>
      </c>
      <c r="F23" s="15">
        <f>F19*Hypothèses!$D$12*$C$4</f>
        <v/>
      </c>
      <c r="G23" s="15">
        <f>G19*Hypothèses!$D$12*$C$4</f>
        <v/>
      </c>
      <c r="H23" s="15">
        <f>H19*Hypothèses!$D$12*$C$4</f>
        <v/>
      </c>
      <c r="I23" s="15">
        <f>I19*Hypothèses!$D$12*$C$4</f>
        <v/>
      </c>
      <c r="J23" s="15">
        <f>J19*Hypothèses!$D$12*$C$4</f>
        <v/>
      </c>
      <c r="K23" s="15">
        <f>K19*Hypothèses!$D$12*$C$4</f>
        <v/>
      </c>
      <c r="L23" s="15">
        <f>L19*Hypothèses!$D$12*$C$4</f>
        <v/>
      </c>
      <c r="M23" s="15">
        <f>M19*Hypothèses!$D$12*$C$4</f>
        <v/>
      </c>
      <c r="N23" s="15">
        <f>N19*Hypothèses!$D$12*$C$4</f>
        <v/>
      </c>
      <c r="O23" s="15">
        <f>O19*Hypothèses!$D$12*$C$4</f>
        <v/>
      </c>
      <c r="P23" s="15">
        <f>P19*Hypothèses!$D$12*$C$4</f>
        <v/>
      </c>
      <c r="Q23" s="15">
        <f>Q19*Hypothèses!$D$12*$C$4</f>
        <v/>
      </c>
      <c r="R23" s="15">
        <f>R19*Hypothèses!$D$12*$C$4</f>
        <v/>
      </c>
      <c r="S23" s="15">
        <f>S19*Hypothèses!$D$12*$C$4</f>
        <v/>
      </c>
      <c r="T23" s="15">
        <f>T19*Hypothèses!$D$12*$C$4</f>
        <v/>
      </c>
      <c r="U23" s="15">
        <f>U19*Hypothèses!$D$12*$C$4</f>
        <v/>
      </c>
      <c r="V23" s="15">
        <f>V19*Hypothèses!$D$12*$C$4</f>
        <v/>
      </c>
      <c r="W23" s="15">
        <f>W19*Hypothèses!$D$12*$C$4</f>
        <v/>
      </c>
      <c r="X23" s="15">
        <f>X19*Hypothèses!$D$12*$C$4</f>
        <v/>
      </c>
      <c r="Y23" s="15">
        <f>Y19*Hypothèses!$D$12*$C$4</f>
        <v/>
      </c>
      <c r="Z23" s="15">
        <f>Z19*Hypothèses!$D$12*$C$4</f>
        <v/>
      </c>
      <c r="AA23" s="15">
        <f>AA19*Hypothèses!$D$12*$C$4</f>
        <v/>
      </c>
      <c r="AB23" s="15">
        <f>AB19*Hypothèses!$D$12*$C$4</f>
        <v/>
      </c>
      <c r="AC23" s="15">
        <f>AC19*Hypothèses!$D$12*$C$4</f>
        <v/>
      </c>
      <c r="AD23" s="15">
        <f>AD19*Hypothèses!$D$12*$C$4</f>
        <v/>
      </c>
      <c r="AE23" s="15">
        <f>AE19*Hypothèses!$D$12*$C$4</f>
        <v/>
      </c>
      <c r="AF23" s="15">
        <f>AF19*Hypothèses!$D$12*$C$4</f>
        <v/>
      </c>
      <c r="AG23" s="15">
        <f>AG19*Hypothèses!$D$12*$C$4</f>
        <v/>
      </c>
      <c r="AH23" s="15">
        <f>AH19*Hypothèses!$D$12*$C$4</f>
        <v/>
      </c>
      <c r="AI23" s="15">
        <f>AI19*Hypothèses!$D$12*$C$4</f>
        <v/>
      </c>
      <c r="AJ23" s="15">
        <f>AJ19*Hypothèses!$D$12*$C$4</f>
        <v/>
      </c>
      <c r="AK23" s="15">
        <f>AK19*Hypothèses!$D$12*$C$4</f>
        <v/>
      </c>
      <c r="AL23" s="15">
        <f>AL19*Hypothèses!$D$12*$C$4</f>
        <v/>
      </c>
      <c r="AN23" s="15">
        <f>SUM(C23:N23)</f>
        <v/>
      </c>
      <c r="AO23" s="15">
        <f>SUM(O23:Z23)</f>
        <v/>
      </c>
      <c r="AP23" s="15">
        <f>SUM(AA23:AL23)</f>
        <v/>
      </c>
    </row>
    <row r="24">
      <c r="A24" s="9" t="inlineStr">
        <is>
          <t>Facturation Premium TTC</t>
        </is>
      </c>
      <c r="B24" s="4" t="inlineStr">
        <is>
          <t>€ TTC</t>
        </is>
      </c>
      <c r="C24" s="15">
        <f>C20*Hypothèses!$D$13*$C$4</f>
        <v/>
      </c>
      <c r="D24" s="15">
        <f>D20*Hypothèses!$D$13*$C$4</f>
        <v/>
      </c>
      <c r="E24" s="15">
        <f>E20*Hypothèses!$D$13*$C$4</f>
        <v/>
      </c>
      <c r="F24" s="15">
        <f>F20*Hypothèses!$D$13*$C$4</f>
        <v/>
      </c>
      <c r="G24" s="15">
        <f>G20*Hypothèses!$D$13*$C$4</f>
        <v/>
      </c>
      <c r="H24" s="15">
        <f>H20*Hypothèses!$D$13*$C$4</f>
        <v/>
      </c>
      <c r="I24" s="15">
        <f>I20*Hypothèses!$D$13*$C$4</f>
        <v/>
      </c>
      <c r="J24" s="15">
        <f>J20*Hypothèses!$D$13*$C$4</f>
        <v/>
      </c>
      <c r="K24" s="15">
        <f>K20*Hypothèses!$D$13*$C$4</f>
        <v/>
      </c>
      <c r="L24" s="15">
        <f>L20*Hypothèses!$D$13*$C$4</f>
        <v/>
      </c>
      <c r="M24" s="15">
        <f>M20*Hypothèses!$D$13*$C$4</f>
        <v/>
      </c>
      <c r="N24" s="15">
        <f>N20*Hypothèses!$D$13*$C$4</f>
        <v/>
      </c>
      <c r="O24" s="15">
        <f>O20*Hypothèses!$D$13*$C$4</f>
        <v/>
      </c>
      <c r="P24" s="15">
        <f>P20*Hypothèses!$D$13*$C$4</f>
        <v/>
      </c>
      <c r="Q24" s="15">
        <f>Q20*Hypothèses!$D$13*$C$4</f>
        <v/>
      </c>
      <c r="R24" s="15">
        <f>R20*Hypothèses!$D$13*$C$4</f>
        <v/>
      </c>
      <c r="S24" s="15">
        <f>S20*Hypothèses!$D$13*$C$4</f>
        <v/>
      </c>
      <c r="T24" s="15">
        <f>T20*Hypothèses!$D$13*$C$4</f>
        <v/>
      </c>
      <c r="U24" s="15">
        <f>U20*Hypothèses!$D$13*$C$4</f>
        <v/>
      </c>
      <c r="V24" s="15">
        <f>V20*Hypothèses!$D$13*$C$4</f>
        <v/>
      </c>
      <c r="W24" s="15">
        <f>W20*Hypothèses!$D$13*$C$4</f>
        <v/>
      </c>
      <c r="X24" s="15">
        <f>X20*Hypothèses!$D$13*$C$4</f>
        <v/>
      </c>
      <c r="Y24" s="15">
        <f>Y20*Hypothèses!$D$13*$C$4</f>
        <v/>
      </c>
      <c r="Z24" s="15">
        <f>Z20*Hypothèses!$D$13*$C$4</f>
        <v/>
      </c>
      <c r="AA24" s="15">
        <f>AA20*Hypothèses!$D$13*$C$4</f>
        <v/>
      </c>
      <c r="AB24" s="15">
        <f>AB20*Hypothèses!$D$13*$C$4</f>
        <v/>
      </c>
      <c r="AC24" s="15">
        <f>AC20*Hypothèses!$D$13*$C$4</f>
        <v/>
      </c>
      <c r="AD24" s="15">
        <f>AD20*Hypothèses!$D$13*$C$4</f>
        <v/>
      </c>
      <c r="AE24" s="15">
        <f>AE20*Hypothèses!$D$13*$C$4</f>
        <v/>
      </c>
      <c r="AF24" s="15">
        <f>AF20*Hypothèses!$D$13*$C$4</f>
        <v/>
      </c>
      <c r="AG24" s="15">
        <f>AG20*Hypothèses!$D$13*$C$4</f>
        <v/>
      </c>
      <c r="AH24" s="15">
        <f>AH20*Hypothèses!$D$13*$C$4</f>
        <v/>
      </c>
      <c r="AI24" s="15">
        <f>AI20*Hypothèses!$D$13*$C$4</f>
        <v/>
      </c>
      <c r="AJ24" s="15">
        <f>AJ20*Hypothèses!$D$13*$C$4</f>
        <v/>
      </c>
      <c r="AK24" s="15">
        <f>AK20*Hypothèses!$D$13*$C$4</f>
        <v/>
      </c>
      <c r="AL24" s="15">
        <f>AL20*Hypothèses!$D$13*$C$4</f>
        <v/>
      </c>
      <c r="AN24" s="15">
        <f>SUM(C24:N24)</f>
        <v/>
      </c>
      <c r="AO24" s="15">
        <f>SUM(O24:Z24)</f>
        <v/>
      </c>
      <c r="AP24" s="15">
        <f>SUM(AA24:AL24)</f>
        <v/>
      </c>
    </row>
    <row r="25">
      <c r="A25" s="9" t="inlineStr">
        <is>
          <t>Facturation Family TTC</t>
        </is>
      </c>
      <c r="B25" s="4" t="inlineStr">
        <is>
          <t>€ TTC</t>
        </is>
      </c>
      <c r="C25" s="15">
        <f>C21*Hypothèses!$D$14*$C$4</f>
        <v/>
      </c>
      <c r="D25" s="15">
        <f>D21*Hypothèses!$D$14*$C$4</f>
        <v/>
      </c>
      <c r="E25" s="15">
        <f>E21*Hypothèses!$D$14*$C$4</f>
        <v/>
      </c>
      <c r="F25" s="15">
        <f>F21*Hypothèses!$D$14*$C$4</f>
        <v/>
      </c>
      <c r="G25" s="15">
        <f>G21*Hypothèses!$D$14*$C$4</f>
        <v/>
      </c>
      <c r="H25" s="15">
        <f>H21*Hypothèses!$D$14*$C$4</f>
        <v/>
      </c>
      <c r="I25" s="15">
        <f>I21*Hypothèses!$D$14*$C$4</f>
        <v/>
      </c>
      <c r="J25" s="15">
        <f>J21*Hypothèses!$D$14*$C$4</f>
        <v/>
      </c>
      <c r="K25" s="15">
        <f>K21*Hypothèses!$D$14*$C$4</f>
        <v/>
      </c>
      <c r="L25" s="15">
        <f>L21*Hypothèses!$D$14*$C$4</f>
        <v/>
      </c>
      <c r="M25" s="15">
        <f>M21*Hypothèses!$D$14*$C$4</f>
        <v/>
      </c>
      <c r="N25" s="15">
        <f>N21*Hypothèses!$D$14*$C$4</f>
        <v/>
      </c>
      <c r="O25" s="15">
        <f>O21*Hypothèses!$D$14*$C$4</f>
        <v/>
      </c>
      <c r="P25" s="15">
        <f>P21*Hypothèses!$D$14*$C$4</f>
        <v/>
      </c>
      <c r="Q25" s="15">
        <f>Q21*Hypothèses!$D$14*$C$4</f>
        <v/>
      </c>
      <c r="R25" s="15">
        <f>R21*Hypothèses!$D$14*$C$4</f>
        <v/>
      </c>
      <c r="S25" s="15">
        <f>S21*Hypothèses!$D$14*$C$4</f>
        <v/>
      </c>
      <c r="T25" s="15">
        <f>T21*Hypothèses!$D$14*$C$4</f>
        <v/>
      </c>
      <c r="U25" s="15">
        <f>U21*Hypothèses!$D$14*$C$4</f>
        <v/>
      </c>
      <c r="V25" s="15">
        <f>V21*Hypothèses!$D$14*$C$4</f>
        <v/>
      </c>
      <c r="W25" s="15">
        <f>W21*Hypothèses!$D$14*$C$4</f>
        <v/>
      </c>
      <c r="X25" s="15">
        <f>X21*Hypothèses!$D$14*$C$4</f>
        <v/>
      </c>
      <c r="Y25" s="15">
        <f>Y21*Hypothèses!$D$14*$C$4</f>
        <v/>
      </c>
      <c r="Z25" s="15">
        <f>Z21*Hypothèses!$D$14*$C$4</f>
        <v/>
      </c>
      <c r="AA25" s="15">
        <f>AA21*Hypothèses!$D$14*$C$4</f>
        <v/>
      </c>
      <c r="AB25" s="15">
        <f>AB21*Hypothèses!$D$14*$C$4</f>
        <v/>
      </c>
      <c r="AC25" s="15">
        <f>AC21*Hypothèses!$D$14*$C$4</f>
        <v/>
      </c>
      <c r="AD25" s="15">
        <f>AD21*Hypothèses!$D$14*$C$4</f>
        <v/>
      </c>
      <c r="AE25" s="15">
        <f>AE21*Hypothèses!$D$14*$C$4</f>
        <v/>
      </c>
      <c r="AF25" s="15">
        <f>AF21*Hypothèses!$D$14*$C$4</f>
        <v/>
      </c>
      <c r="AG25" s="15">
        <f>AG21*Hypothèses!$D$14*$C$4</f>
        <v/>
      </c>
      <c r="AH25" s="15">
        <f>AH21*Hypothèses!$D$14*$C$4</f>
        <v/>
      </c>
      <c r="AI25" s="15">
        <f>AI21*Hypothèses!$D$14*$C$4</f>
        <v/>
      </c>
      <c r="AJ25" s="15">
        <f>AJ21*Hypothèses!$D$14*$C$4</f>
        <v/>
      </c>
      <c r="AK25" s="15">
        <f>AK21*Hypothèses!$D$14*$C$4</f>
        <v/>
      </c>
      <c r="AL25" s="15">
        <f>AL21*Hypothèses!$D$14*$C$4</f>
        <v/>
      </c>
      <c r="AN25" s="15">
        <f>SUM(C25:N25)</f>
        <v/>
      </c>
      <c r="AO25" s="15">
        <f>SUM(O25:Z25)</f>
        <v/>
      </c>
      <c r="AP25" s="15">
        <f>SUM(AA25:AL25)</f>
        <v/>
      </c>
    </row>
    <row r="26">
      <c r="A26" s="2" t="inlineStr">
        <is>
          <t>Facturation totale TTC (MRR TTC)</t>
        </is>
      </c>
      <c r="B26" s="4" t="inlineStr">
        <is>
          <t>€ TTC</t>
        </is>
      </c>
      <c r="C26" s="40">
        <f>C23+C24+C25</f>
        <v/>
      </c>
      <c r="D26" s="40">
        <f>D23+D24+D25</f>
        <v/>
      </c>
      <c r="E26" s="40">
        <f>E23+E24+E25</f>
        <v/>
      </c>
      <c r="F26" s="40">
        <f>F23+F24+F25</f>
        <v/>
      </c>
      <c r="G26" s="40">
        <f>G23+G24+G25</f>
        <v/>
      </c>
      <c r="H26" s="40">
        <f>H23+H24+H25</f>
        <v/>
      </c>
      <c r="I26" s="40">
        <f>I23+I24+I25</f>
        <v/>
      </c>
      <c r="J26" s="40">
        <f>J23+J24+J25</f>
        <v/>
      </c>
      <c r="K26" s="40">
        <f>K23+K24+K25</f>
        <v/>
      </c>
      <c r="L26" s="40">
        <f>L23+L24+L25</f>
        <v/>
      </c>
      <c r="M26" s="40">
        <f>M23+M24+M25</f>
        <v/>
      </c>
      <c r="N26" s="40">
        <f>N23+N24+N25</f>
        <v/>
      </c>
      <c r="O26" s="40">
        <f>O23+O24+O25</f>
        <v/>
      </c>
      <c r="P26" s="40">
        <f>P23+P24+P25</f>
        <v/>
      </c>
      <c r="Q26" s="40">
        <f>Q23+Q24+Q25</f>
        <v/>
      </c>
      <c r="R26" s="40">
        <f>R23+R24+R25</f>
        <v/>
      </c>
      <c r="S26" s="40">
        <f>S23+S24+S25</f>
        <v/>
      </c>
      <c r="T26" s="40">
        <f>T23+T24+T25</f>
        <v/>
      </c>
      <c r="U26" s="40">
        <f>U23+U24+U25</f>
        <v/>
      </c>
      <c r="V26" s="40">
        <f>V23+V24+V25</f>
        <v/>
      </c>
      <c r="W26" s="40">
        <f>W23+W24+W25</f>
        <v/>
      </c>
      <c r="X26" s="40">
        <f>X23+X24+X25</f>
        <v/>
      </c>
      <c r="Y26" s="40">
        <f>Y23+Y24+Y25</f>
        <v/>
      </c>
      <c r="Z26" s="40">
        <f>Z23+Z24+Z25</f>
        <v/>
      </c>
      <c r="AA26" s="40">
        <f>AA23+AA24+AA25</f>
        <v/>
      </c>
      <c r="AB26" s="40">
        <f>AB23+AB24+AB25</f>
        <v/>
      </c>
      <c r="AC26" s="40">
        <f>AC23+AC24+AC25</f>
        <v/>
      </c>
      <c r="AD26" s="40">
        <f>AD23+AD24+AD25</f>
        <v/>
      </c>
      <c r="AE26" s="40">
        <f>AE23+AE24+AE25</f>
        <v/>
      </c>
      <c r="AF26" s="40">
        <f>AF23+AF24+AF25</f>
        <v/>
      </c>
      <c r="AG26" s="40">
        <f>AG23+AG24+AG25</f>
        <v/>
      </c>
      <c r="AH26" s="40">
        <f>AH23+AH24+AH25</f>
        <v/>
      </c>
      <c r="AI26" s="40">
        <f>AI23+AI24+AI25</f>
        <v/>
      </c>
      <c r="AJ26" s="40">
        <f>AJ23+AJ24+AJ25</f>
        <v/>
      </c>
      <c r="AK26" s="40">
        <f>AK23+AK24+AK25</f>
        <v/>
      </c>
      <c r="AL26" s="40">
        <f>AL23+AL24+AL25</f>
        <v/>
      </c>
      <c r="AN26" s="40">
        <f>SUM(C26:N26)</f>
        <v/>
      </c>
      <c r="AO26" s="40">
        <f>SUM(O26:Z26)</f>
        <v/>
      </c>
      <c r="AP26" s="40">
        <f>SUM(AA26:AL26)</f>
        <v/>
      </c>
    </row>
    <row r="27">
      <c r="A27" s="9" t="inlineStr">
        <is>
          <t>TVA collectée</t>
        </is>
      </c>
      <c r="B27" s="4" t="inlineStr">
        <is>
          <t>€</t>
        </is>
      </c>
      <c r="C27" s="15">
        <f>C26*Hypothèses!$D$15/(1+Hypothèses!$D$15)</f>
        <v/>
      </c>
      <c r="D27" s="15">
        <f>D26*Hypothèses!$D$15/(1+Hypothèses!$D$15)</f>
        <v/>
      </c>
      <c r="E27" s="15">
        <f>E26*Hypothèses!$D$15/(1+Hypothèses!$D$15)</f>
        <v/>
      </c>
      <c r="F27" s="15">
        <f>F26*Hypothèses!$D$15/(1+Hypothèses!$D$15)</f>
        <v/>
      </c>
      <c r="G27" s="15">
        <f>G26*Hypothèses!$D$15/(1+Hypothèses!$D$15)</f>
        <v/>
      </c>
      <c r="H27" s="15">
        <f>H26*Hypothèses!$D$15/(1+Hypothèses!$D$15)</f>
        <v/>
      </c>
      <c r="I27" s="15">
        <f>I26*Hypothèses!$D$15/(1+Hypothèses!$D$15)</f>
        <v/>
      </c>
      <c r="J27" s="15">
        <f>J26*Hypothèses!$D$15/(1+Hypothèses!$D$15)</f>
        <v/>
      </c>
      <c r="K27" s="15">
        <f>K26*Hypothèses!$D$15/(1+Hypothèses!$D$15)</f>
        <v/>
      </c>
      <c r="L27" s="15">
        <f>L26*Hypothèses!$D$15/(1+Hypothèses!$D$15)</f>
        <v/>
      </c>
      <c r="M27" s="15">
        <f>M26*Hypothèses!$D$15/(1+Hypothèses!$D$15)</f>
        <v/>
      </c>
      <c r="N27" s="15">
        <f>N26*Hypothèses!$D$15/(1+Hypothèses!$D$15)</f>
        <v/>
      </c>
      <c r="O27" s="15">
        <f>O26*Hypothèses!$D$15/(1+Hypothèses!$D$15)</f>
        <v/>
      </c>
      <c r="P27" s="15">
        <f>P26*Hypothèses!$D$15/(1+Hypothèses!$D$15)</f>
        <v/>
      </c>
      <c r="Q27" s="15">
        <f>Q26*Hypothèses!$D$15/(1+Hypothèses!$D$15)</f>
        <v/>
      </c>
      <c r="R27" s="15">
        <f>R26*Hypothèses!$D$15/(1+Hypothèses!$D$15)</f>
        <v/>
      </c>
      <c r="S27" s="15">
        <f>S26*Hypothèses!$D$15/(1+Hypothèses!$D$15)</f>
        <v/>
      </c>
      <c r="T27" s="15">
        <f>T26*Hypothèses!$D$15/(1+Hypothèses!$D$15)</f>
        <v/>
      </c>
      <c r="U27" s="15">
        <f>U26*Hypothèses!$D$15/(1+Hypothèses!$D$15)</f>
        <v/>
      </c>
      <c r="V27" s="15">
        <f>V26*Hypothèses!$D$15/(1+Hypothèses!$D$15)</f>
        <v/>
      </c>
      <c r="W27" s="15">
        <f>W26*Hypothèses!$D$15/(1+Hypothèses!$D$15)</f>
        <v/>
      </c>
      <c r="X27" s="15">
        <f>X26*Hypothèses!$D$15/(1+Hypothèses!$D$15)</f>
        <v/>
      </c>
      <c r="Y27" s="15">
        <f>Y26*Hypothèses!$D$15/(1+Hypothèses!$D$15)</f>
        <v/>
      </c>
      <c r="Z27" s="15">
        <f>Z26*Hypothèses!$D$15/(1+Hypothèses!$D$15)</f>
        <v/>
      </c>
      <c r="AA27" s="15">
        <f>AA26*Hypothèses!$D$15/(1+Hypothèses!$D$15)</f>
        <v/>
      </c>
      <c r="AB27" s="15">
        <f>AB26*Hypothèses!$D$15/(1+Hypothèses!$D$15)</f>
        <v/>
      </c>
      <c r="AC27" s="15">
        <f>AC26*Hypothèses!$D$15/(1+Hypothèses!$D$15)</f>
        <v/>
      </c>
      <c r="AD27" s="15">
        <f>AD26*Hypothèses!$D$15/(1+Hypothèses!$D$15)</f>
        <v/>
      </c>
      <c r="AE27" s="15">
        <f>AE26*Hypothèses!$D$15/(1+Hypothèses!$D$15)</f>
        <v/>
      </c>
      <c r="AF27" s="15">
        <f>AF26*Hypothèses!$D$15/(1+Hypothèses!$D$15)</f>
        <v/>
      </c>
      <c r="AG27" s="15">
        <f>AG26*Hypothèses!$D$15/(1+Hypothèses!$D$15)</f>
        <v/>
      </c>
      <c r="AH27" s="15">
        <f>AH26*Hypothèses!$D$15/(1+Hypothèses!$D$15)</f>
        <v/>
      </c>
      <c r="AI27" s="15">
        <f>AI26*Hypothèses!$D$15/(1+Hypothèses!$D$15)</f>
        <v/>
      </c>
      <c r="AJ27" s="15">
        <f>AJ26*Hypothèses!$D$15/(1+Hypothèses!$D$15)</f>
        <v/>
      </c>
      <c r="AK27" s="15">
        <f>AK26*Hypothèses!$D$15/(1+Hypothèses!$D$15)</f>
        <v/>
      </c>
      <c r="AL27" s="15">
        <f>AL26*Hypothèses!$D$15/(1+Hypothèses!$D$15)</f>
        <v/>
      </c>
      <c r="AN27" s="15">
        <f>SUM(C27:N27)</f>
        <v/>
      </c>
      <c r="AO27" s="15">
        <f>SUM(O27:Z27)</f>
        <v/>
      </c>
      <c r="AP27" s="15">
        <f>SUM(AA27:AL27)</f>
        <v/>
      </c>
    </row>
    <row r="28">
      <c r="A28" s="2" t="inlineStr">
        <is>
          <t>Chiffre d'affaires HT</t>
        </is>
      </c>
      <c r="B28" s="4" t="inlineStr">
        <is>
          <t>€ HT</t>
        </is>
      </c>
      <c r="C28" s="40">
        <f>C26-C27</f>
        <v/>
      </c>
      <c r="D28" s="40">
        <f>D26-D27</f>
        <v/>
      </c>
      <c r="E28" s="40">
        <f>E26-E27</f>
        <v/>
      </c>
      <c r="F28" s="40">
        <f>F26-F27</f>
        <v/>
      </c>
      <c r="G28" s="40">
        <f>G26-G27</f>
        <v/>
      </c>
      <c r="H28" s="40">
        <f>H26-H27</f>
        <v/>
      </c>
      <c r="I28" s="40">
        <f>I26-I27</f>
        <v/>
      </c>
      <c r="J28" s="40">
        <f>J26-J27</f>
        <v/>
      </c>
      <c r="K28" s="40">
        <f>K26-K27</f>
        <v/>
      </c>
      <c r="L28" s="40">
        <f>L26-L27</f>
        <v/>
      </c>
      <c r="M28" s="40">
        <f>M26-M27</f>
        <v/>
      </c>
      <c r="N28" s="40">
        <f>N26-N27</f>
        <v/>
      </c>
      <c r="O28" s="40">
        <f>O26-O27</f>
        <v/>
      </c>
      <c r="P28" s="40">
        <f>P26-P27</f>
        <v/>
      </c>
      <c r="Q28" s="40">
        <f>Q26-Q27</f>
        <v/>
      </c>
      <c r="R28" s="40">
        <f>R26-R27</f>
        <v/>
      </c>
      <c r="S28" s="40">
        <f>S26-S27</f>
        <v/>
      </c>
      <c r="T28" s="40">
        <f>T26-T27</f>
        <v/>
      </c>
      <c r="U28" s="40">
        <f>U26-U27</f>
        <v/>
      </c>
      <c r="V28" s="40">
        <f>V26-V27</f>
        <v/>
      </c>
      <c r="W28" s="40">
        <f>W26-W27</f>
        <v/>
      </c>
      <c r="X28" s="40">
        <f>X26-X27</f>
        <v/>
      </c>
      <c r="Y28" s="40">
        <f>Y26-Y27</f>
        <v/>
      </c>
      <c r="Z28" s="40">
        <f>Z26-Z27</f>
        <v/>
      </c>
      <c r="AA28" s="40">
        <f>AA26-AA27</f>
        <v/>
      </c>
      <c r="AB28" s="40">
        <f>AB26-AB27</f>
        <v/>
      </c>
      <c r="AC28" s="40">
        <f>AC26-AC27</f>
        <v/>
      </c>
      <c r="AD28" s="40">
        <f>AD26-AD27</f>
        <v/>
      </c>
      <c r="AE28" s="40">
        <f>AE26-AE27</f>
        <v/>
      </c>
      <c r="AF28" s="40">
        <f>AF26-AF27</f>
        <v/>
      </c>
      <c r="AG28" s="40">
        <f>AG26-AG27</f>
        <v/>
      </c>
      <c r="AH28" s="40">
        <f>AH26-AH27</f>
        <v/>
      </c>
      <c r="AI28" s="40">
        <f>AI26-AI27</f>
        <v/>
      </c>
      <c r="AJ28" s="40">
        <f>AJ26-AJ27</f>
        <v/>
      </c>
      <c r="AK28" s="40">
        <f>AK26-AK27</f>
        <v/>
      </c>
      <c r="AL28" s="40">
        <f>AL26-AL27</f>
        <v/>
      </c>
      <c r="AN28" s="40">
        <f>SUM(C28:N28)</f>
        <v/>
      </c>
      <c r="AO28" s="40">
        <f>SUM(O28:Z28)</f>
        <v/>
      </c>
      <c r="AP28" s="40">
        <f>SUM(AA28:AL28)</f>
        <v/>
      </c>
    </row>
    <row r="29">
      <c r="A29" s="9" t="inlineStr">
        <is>
          <t>Impayés (TTC)</t>
        </is>
      </c>
      <c r="B29" s="4" t="inlineStr">
        <is>
          <t>€ TTC</t>
        </is>
      </c>
      <c r="C29" s="15">
        <f>C26*Hypothèses!$D$27</f>
        <v/>
      </c>
      <c r="D29" s="15">
        <f>D26*Hypothèses!$D$27</f>
        <v/>
      </c>
      <c r="E29" s="15">
        <f>E26*Hypothèses!$D$27</f>
        <v/>
      </c>
      <c r="F29" s="15">
        <f>F26*Hypothèses!$D$27</f>
        <v/>
      </c>
      <c r="G29" s="15">
        <f>G26*Hypothèses!$D$27</f>
        <v/>
      </c>
      <c r="H29" s="15">
        <f>H26*Hypothèses!$D$27</f>
        <v/>
      </c>
      <c r="I29" s="15">
        <f>I26*Hypothèses!$D$27</f>
        <v/>
      </c>
      <c r="J29" s="15">
        <f>J26*Hypothèses!$D$27</f>
        <v/>
      </c>
      <c r="K29" s="15">
        <f>K26*Hypothèses!$D$27</f>
        <v/>
      </c>
      <c r="L29" s="15">
        <f>L26*Hypothèses!$D$27</f>
        <v/>
      </c>
      <c r="M29" s="15">
        <f>M26*Hypothèses!$D$27</f>
        <v/>
      </c>
      <c r="N29" s="15">
        <f>N26*Hypothèses!$D$27</f>
        <v/>
      </c>
      <c r="O29" s="15">
        <f>O26*Hypothèses!$D$27</f>
        <v/>
      </c>
      <c r="P29" s="15">
        <f>P26*Hypothèses!$D$27</f>
        <v/>
      </c>
      <c r="Q29" s="15">
        <f>Q26*Hypothèses!$D$27</f>
        <v/>
      </c>
      <c r="R29" s="15">
        <f>R26*Hypothèses!$D$27</f>
        <v/>
      </c>
      <c r="S29" s="15">
        <f>S26*Hypothèses!$D$27</f>
        <v/>
      </c>
      <c r="T29" s="15">
        <f>T26*Hypothèses!$D$27</f>
        <v/>
      </c>
      <c r="U29" s="15">
        <f>U26*Hypothèses!$D$27</f>
        <v/>
      </c>
      <c r="V29" s="15">
        <f>V26*Hypothèses!$D$27</f>
        <v/>
      </c>
      <c r="W29" s="15">
        <f>W26*Hypothèses!$D$27</f>
        <v/>
      </c>
      <c r="X29" s="15">
        <f>X26*Hypothèses!$D$27</f>
        <v/>
      </c>
      <c r="Y29" s="15">
        <f>Y26*Hypothèses!$D$27</f>
        <v/>
      </c>
      <c r="Z29" s="15">
        <f>Z26*Hypothèses!$D$27</f>
        <v/>
      </c>
      <c r="AA29" s="15">
        <f>AA26*Hypothèses!$D$27</f>
        <v/>
      </c>
      <c r="AB29" s="15">
        <f>AB26*Hypothèses!$D$27</f>
        <v/>
      </c>
      <c r="AC29" s="15">
        <f>AC26*Hypothèses!$D$27</f>
        <v/>
      </c>
      <c r="AD29" s="15">
        <f>AD26*Hypothèses!$D$27</f>
        <v/>
      </c>
      <c r="AE29" s="15">
        <f>AE26*Hypothèses!$D$27</f>
        <v/>
      </c>
      <c r="AF29" s="15">
        <f>AF26*Hypothèses!$D$27</f>
        <v/>
      </c>
      <c r="AG29" s="15">
        <f>AG26*Hypothèses!$D$27</f>
        <v/>
      </c>
      <c r="AH29" s="15">
        <f>AH26*Hypothèses!$D$27</f>
        <v/>
      </c>
      <c r="AI29" s="15">
        <f>AI26*Hypothèses!$D$27</f>
        <v/>
      </c>
      <c r="AJ29" s="15">
        <f>AJ26*Hypothèses!$D$27</f>
        <v/>
      </c>
      <c r="AK29" s="15">
        <f>AK26*Hypothèses!$D$27</f>
        <v/>
      </c>
      <c r="AL29" s="15">
        <f>AL26*Hypothèses!$D$27</f>
        <v/>
      </c>
      <c r="AN29" s="15">
        <f>SUM(C29:N29)</f>
        <v/>
      </c>
      <c r="AO29" s="15">
        <f>SUM(O29:Z29)</f>
        <v/>
      </c>
      <c r="AP29" s="15">
        <f>SUM(AA29:AL29)</f>
        <v/>
      </c>
    </row>
    <row r="30">
      <c r="A30" s="9" t="inlineStr">
        <is>
          <t>Frais de paiement</t>
        </is>
      </c>
      <c r="B30" s="4" t="inlineStr">
        <is>
          <t>€</t>
        </is>
      </c>
      <c r="C30" s="15">
        <f>(C26-C29)*Hypothèses!$D$28+C18*Hypothèses!$D$29</f>
        <v/>
      </c>
      <c r="D30" s="15">
        <f>(D26-D29)*Hypothèses!$D$28+D18*Hypothèses!$D$29</f>
        <v/>
      </c>
      <c r="E30" s="15">
        <f>(E26-E29)*Hypothèses!$D$28+E18*Hypothèses!$D$29</f>
        <v/>
      </c>
      <c r="F30" s="15">
        <f>(F26-F29)*Hypothèses!$D$28+F18*Hypothèses!$D$29</f>
        <v/>
      </c>
      <c r="G30" s="15">
        <f>(G26-G29)*Hypothèses!$D$28+G18*Hypothèses!$D$29</f>
        <v/>
      </c>
      <c r="H30" s="15">
        <f>(H26-H29)*Hypothèses!$D$28+H18*Hypothèses!$D$29</f>
        <v/>
      </c>
      <c r="I30" s="15">
        <f>(I26-I29)*Hypothèses!$D$28+I18*Hypothèses!$D$29</f>
        <v/>
      </c>
      <c r="J30" s="15">
        <f>(J26-J29)*Hypothèses!$D$28+J18*Hypothèses!$D$29</f>
        <v/>
      </c>
      <c r="K30" s="15">
        <f>(K26-K29)*Hypothèses!$D$28+K18*Hypothèses!$D$29</f>
        <v/>
      </c>
      <c r="L30" s="15">
        <f>(L26-L29)*Hypothèses!$D$28+L18*Hypothèses!$D$29</f>
        <v/>
      </c>
      <c r="M30" s="15">
        <f>(M26-M29)*Hypothèses!$D$28+M18*Hypothèses!$D$29</f>
        <v/>
      </c>
      <c r="N30" s="15">
        <f>(N26-N29)*Hypothèses!$D$28+N18*Hypothèses!$D$29</f>
        <v/>
      </c>
      <c r="O30" s="15">
        <f>(O26-O29)*Hypothèses!$D$28+O18*Hypothèses!$D$29</f>
        <v/>
      </c>
      <c r="P30" s="15">
        <f>(P26-P29)*Hypothèses!$D$28+P18*Hypothèses!$D$29</f>
        <v/>
      </c>
      <c r="Q30" s="15">
        <f>(Q26-Q29)*Hypothèses!$D$28+Q18*Hypothèses!$D$29</f>
        <v/>
      </c>
      <c r="R30" s="15">
        <f>(R26-R29)*Hypothèses!$D$28+R18*Hypothèses!$D$29</f>
        <v/>
      </c>
      <c r="S30" s="15">
        <f>(S26-S29)*Hypothèses!$D$28+S18*Hypothèses!$D$29</f>
        <v/>
      </c>
      <c r="T30" s="15">
        <f>(T26-T29)*Hypothèses!$D$28+T18*Hypothèses!$D$29</f>
        <v/>
      </c>
      <c r="U30" s="15">
        <f>(U26-U29)*Hypothèses!$D$28+U18*Hypothèses!$D$29</f>
        <v/>
      </c>
      <c r="V30" s="15">
        <f>(V26-V29)*Hypothèses!$D$28+V18*Hypothèses!$D$29</f>
        <v/>
      </c>
      <c r="W30" s="15">
        <f>(W26-W29)*Hypothèses!$D$28+W18*Hypothèses!$D$29</f>
        <v/>
      </c>
      <c r="X30" s="15">
        <f>(X26-X29)*Hypothèses!$D$28+X18*Hypothèses!$D$29</f>
        <v/>
      </c>
      <c r="Y30" s="15">
        <f>(Y26-Y29)*Hypothèses!$D$28+Y18*Hypothèses!$D$29</f>
        <v/>
      </c>
      <c r="Z30" s="15">
        <f>(Z26-Z29)*Hypothèses!$D$28+Z18*Hypothèses!$D$29</f>
        <v/>
      </c>
      <c r="AA30" s="15">
        <f>(AA26-AA29)*Hypothèses!$D$28+AA18*Hypothèses!$D$29</f>
        <v/>
      </c>
      <c r="AB30" s="15">
        <f>(AB26-AB29)*Hypothèses!$D$28+AB18*Hypothèses!$D$29</f>
        <v/>
      </c>
      <c r="AC30" s="15">
        <f>(AC26-AC29)*Hypothèses!$D$28+AC18*Hypothèses!$D$29</f>
        <v/>
      </c>
      <c r="AD30" s="15">
        <f>(AD26-AD29)*Hypothèses!$D$28+AD18*Hypothèses!$D$29</f>
        <v/>
      </c>
      <c r="AE30" s="15">
        <f>(AE26-AE29)*Hypothèses!$D$28+AE18*Hypothèses!$D$29</f>
        <v/>
      </c>
      <c r="AF30" s="15">
        <f>(AF26-AF29)*Hypothèses!$D$28+AF18*Hypothèses!$D$29</f>
        <v/>
      </c>
      <c r="AG30" s="15">
        <f>(AG26-AG29)*Hypothèses!$D$28+AG18*Hypothèses!$D$29</f>
        <v/>
      </c>
      <c r="AH30" s="15">
        <f>(AH26-AH29)*Hypothèses!$D$28+AH18*Hypothèses!$D$29</f>
        <v/>
      </c>
      <c r="AI30" s="15">
        <f>(AI26-AI29)*Hypothèses!$D$28+AI18*Hypothèses!$D$29</f>
        <v/>
      </c>
      <c r="AJ30" s="15">
        <f>(AJ26-AJ29)*Hypothèses!$D$28+AJ18*Hypothèses!$D$29</f>
        <v/>
      </c>
      <c r="AK30" s="15">
        <f>(AK26-AK29)*Hypothèses!$D$28+AK18*Hypothèses!$D$29</f>
        <v/>
      </c>
      <c r="AL30" s="15">
        <f>(AL26-AL29)*Hypothèses!$D$28+AL18*Hypothèses!$D$29</f>
        <v/>
      </c>
      <c r="AN30" s="15">
        <f>SUM(C30:N30)</f>
        <v/>
      </c>
      <c r="AO30" s="15">
        <f>SUM(O30:Z30)</f>
        <v/>
      </c>
      <c r="AP30" s="15">
        <f>SUM(AA30:AL30)</f>
        <v/>
      </c>
    </row>
    <row r="31">
      <c r="A31" s="2" t="inlineStr">
        <is>
          <t>Encaissements nets TTC</t>
        </is>
      </c>
      <c r="B31" s="4" t="inlineStr">
        <is>
          <t>€ TTC</t>
        </is>
      </c>
      <c r="C31" s="40">
        <f>C26-C29-C30</f>
        <v/>
      </c>
      <c r="D31" s="40">
        <f>D26-D29-D30</f>
        <v/>
      </c>
      <c r="E31" s="40">
        <f>E26-E29-E30</f>
        <v/>
      </c>
      <c r="F31" s="40">
        <f>F26-F29-F30</f>
        <v/>
      </c>
      <c r="G31" s="40">
        <f>G26-G29-G30</f>
        <v/>
      </c>
      <c r="H31" s="40">
        <f>H26-H29-H30</f>
        <v/>
      </c>
      <c r="I31" s="40">
        <f>I26-I29-I30</f>
        <v/>
      </c>
      <c r="J31" s="40">
        <f>J26-J29-J30</f>
        <v/>
      </c>
      <c r="K31" s="40">
        <f>K26-K29-K30</f>
        <v/>
      </c>
      <c r="L31" s="40">
        <f>L26-L29-L30</f>
        <v/>
      </c>
      <c r="M31" s="40">
        <f>M26-M29-M30</f>
        <v/>
      </c>
      <c r="N31" s="40">
        <f>N26-N29-N30</f>
        <v/>
      </c>
      <c r="O31" s="40">
        <f>O26-O29-O30</f>
        <v/>
      </c>
      <c r="P31" s="40">
        <f>P26-P29-P30</f>
        <v/>
      </c>
      <c r="Q31" s="40">
        <f>Q26-Q29-Q30</f>
        <v/>
      </c>
      <c r="R31" s="40">
        <f>R26-R29-R30</f>
        <v/>
      </c>
      <c r="S31" s="40">
        <f>S26-S29-S30</f>
        <v/>
      </c>
      <c r="T31" s="40">
        <f>T26-T29-T30</f>
        <v/>
      </c>
      <c r="U31" s="40">
        <f>U26-U29-U30</f>
        <v/>
      </c>
      <c r="V31" s="40">
        <f>V26-V29-V30</f>
        <v/>
      </c>
      <c r="W31" s="40">
        <f>W26-W29-W30</f>
        <v/>
      </c>
      <c r="X31" s="40">
        <f>X26-X29-X30</f>
        <v/>
      </c>
      <c r="Y31" s="40">
        <f>Y26-Y29-Y30</f>
        <v/>
      </c>
      <c r="Z31" s="40">
        <f>Z26-Z29-Z30</f>
        <v/>
      </c>
      <c r="AA31" s="40">
        <f>AA26-AA29-AA30</f>
        <v/>
      </c>
      <c r="AB31" s="40">
        <f>AB26-AB29-AB30</f>
        <v/>
      </c>
      <c r="AC31" s="40">
        <f>AC26-AC29-AC30</f>
        <v/>
      </c>
      <c r="AD31" s="40">
        <f>AD26-AD29-AD30</f>
        <v/>
      </c>
      <c r="AE31" s="40">
        <f>AE26-AE29-AE30</f>
        <v/>
      </c>
      <c r="AF31" s="40">
        <f>AF26-AF29-AF30</f>
        <v/>
      </c>
      <c r="AG31" s="40">
        <f>AG26-AG29-AG30</f>
        <v/>
      </c>
      <c r="AH31" s="40">
        <f>AH26-AH29-AH30</f>
        <v/>
      </c>
      <c r="AI31" s="40">
        <f>AI26-AI29-AI30</f>
        <v/>
      </c>
      <c r="AJ31" s="40">
        <f>AJ26-AJ29-AJ30</f>
        <v/>
      </c>
      <c r="AK31" s="40">
        <f>AK26-AK29-AK30</f>
        <v/>
      </c>
      <c r="AL31" s="40">
        <f>AL26-AL29-AL30</f>
        <v/>
      </c>
      <c r="AN31" s="40">
        <f>SUM(C31:N31)</f>
        <v/>
      </c>
      <c r="AO31" s="40">
        <f>SUM(O31:Z31)</f>
        <v/>
      </c>
      <c r="AP31" s="40">
        <f>SUM(AA31:AL31)</f>
        <v/>
      </c>
    </row>
    <row r="32">
      <c r="A32" s="8" t="inlineStr">
        <is>
          <t>Coûts variables</t>
        </is>
      </c>
    </row>
    <row r="33">
      <c r="A33" s="9" t="inlineStr">
        <is>
          <t>Coût IA et outils (missions × coût par mission)</t>
        </is>
      </c>
      <c r="B33" s="4" t="inlineStr">
        <is>
          <t>€ HT</t>
        </is>
      </c>
      <c r="C33" s="15">
        <f>(C19*Hypothèses!$D$31+C20*Hypothèses!$D$32+C21*Hypothèses!$D$33)*Hypothèses!$D$34*$F$4</f>
        <v/>
      </c>
      <c r="D33" s="15">
        <f>(D19*Hypothèses!$D$31+D20*Hypothèses!$D$32+D21*Hypothèses!$D$33)*Hypothèses!$D$34*$F$4</f>
        <v/>
      </c>
      <c r="E33" s="15">
        <f>(E19*Hypothèses!$D$31+E20*Hypothèses!$D$32+E21*Hypothèses!$D$33)*Hypothèses!$D$34*$F$4</f>
        <v/>
      </c>
      <c r="F33" s="15">
        <f>(F19*Hypothèses!$D$31+F20*Hypothèses!$D$32+F21*Hypothèses!$D$33)*Hypothèses!$D$34*$F$4</f>
        <v/>
      </c>
      <c r="G33" s="15">
        <f>(G19*Hypothèses!$D$31+G20*Hypothèses!$D$32+G21*Hypothèses!$D$33)*Hypothèses!$D$34*$F$4</f>
        <v/>
      </c>
      <c r="H33" s="15">
        <f>(H19*Hypothèses!$D$31+H20*Hypothèses!$D$32+H21*Hypothèses!$D$33)*Hypothèses!$D$34*$F$4</f>
        <v/>
      </c>
      <c r="I33" s="15">
        <f>(I19*Hypothèses!$D$31+I20*Hypothèses!$D$32+I21*Hypothèses!$D$33)*Hypothèses!$D$34*$F$4</f>
        <v/>
      </c>
      <c r="J33" s="15">
        <f>(J19*Hypothèses!$D$31+J20*Hypothèses!$D$32+J21*Hypothèses!$D$33)*Hypothèses!$D$34*$F$4</f>
        <v/>
      </c>
      <c r="K33" s="15">
        <f>(K19*Hypothèses!$D$31+K20*Hypothèses!$D$32+K21*Hypothèses!$D$33)*Hypothèses!$D$34*$F$4</f>
        <v/>
      </c>
      <c r="L33" s="15">
        <f>(L19*Hypothèses!$D$31+L20*Hypothèses!$D$32+L21*Hypothèses!$D$33)*Hypothèses!$D$34*$F$4</f>
        <v/>
      </c>
      <c r="M33" s="15">
        <f>(M19*Hypothèses!$D$31+M20*Hypothèses!$D$32+M21*Hypothèses!$D$33)*Hypothèses!$D$34*$F$4</f>
        <v/>
      </c>
      <c r="N33" s="15">
        <f>(N19*Hypothèses!$D$31+N20*Hypothèses!$D$32+N21*Hypothèses!$D$33)*Hypothèses!$D$34*$F$4</f>
        <v/>
      </c>
      <c r="O33" s="15">
        <f>(O19*Hypothèses!$D$31+O20*Hypothèses!$D$32+O21*Hypothèses!$D$33)*Hypothèses!$D$34*$F$4</f>
        <v/>
      </c>
      <c r="P33" s="15">
        <f>(P19*Hypothèses!$D$31+P20*Hypothèses!$D$32+P21*Hypothèses!$D$33)*Hypothèses!$D$34*$F$4</f>
        <v/>
      </c>
      <c r="Q33" s="15">
        <f>(Q19*Hypothèses!$D$31+Q20*Hypothèses!$D$32+Q21*Hypothèses!$D$33)*Hypothèses!$D$34*$F$4</f>
        <v/>
      </c>
      <c r="R33" s="15">
        <f>(R19*Hypothèses!$D$31+R20*Hypothèses!$D$32+R21*Hypothèses!$D$33)*Hypothèses!$D$34*$F$4</f>
        <v/>
      </c>
      <c r="S33" s="15">
        <f>(S19*Hypothèses!$D$31+S20*Hypothèses!$D$32+S21*Hypothèses!$D$33)*Hypothèses!$D$34*$F$4</f>
        <v/>
      </c>
      <c r="T33" s="15">
        <f>(T19*Hypothèses!$D$31+T20*Hypothèses!$D$32+T21*Hypothèses!$D$33)*Hypothèses!$D$34*$F$4</f>
        <v/>
      </c>
      <c r="U33" s="15">
        <f>(U19*Hypothèses!$D$31+U20*Hypothèses!$D$32+U21*Hypothèses!$D$33)*Hypothèses!$D$34*$F$4</f>
        <v/>
      </c>
      <c r="V33" s="15">
        <f>(V19*Hypothèses!$D$31+V20*Hypothèses!$D$32+V21*Hypothèses!$D$33)*Hypothèses!$D$34*$F$4</f>
        <v/>
      </c>
      <c r="W33" s="15">
        <f>(W19*Hypothèses!$D$31+W20*Hypothèses!$D$32+W21*Hypothèses!$D$33)*Hypothèses!$D$34*$F$4</f>
        <v/>
      </c>
      <c r="X33" s="15">
        <f>(X19*Hypothèses!$D$31+X20*Hypothèses!$D$32+X21*Hypothèses!$D$33)*Hypothèses!$D$34*$F$4</f>
        <v/>
      </c>
      <c r="Y33" s="15">
        <f>(Y19*Hypothèses!$D$31+Y20*Hypothèses!$D$32+Y21*Hypothèses!$D$33)*Hypothèses!$D$34*$F$4</f>
        <v/>
      </c>
      <c r="Z33" s="15">
        <f>(Z19*Hypothèses!$D$31+Z20*Hypothèses!$D$32+Z21*Hypothèses!$D$33)*Hypothèses!$D$34*$F$4</f>
        <v/>
      </c>
      <c r="AA33" s="15">
        <f>(AA19*Hypothèses!$D$31+AA20*Hypothèses!$D$32+AA21*Hypothèses!$D$33)*Hypothèses!$D$34*$F$4</f>
        <v/>
      </c>
      <c r="AB33" s="15">
        <f>(AB19*Hypothèses!$D$31+AB20*Hypothèses!$D$32+AB21*Hypothèses!$D$33)*Hypothèses!$D$34*$F$4</f>
        <v/>
      </c>
      <c r="AC33" s="15">
        <f>(AC19*Hypothèses!$D$31+AC20*Hypothèses!$D$32+AC21*Hypothèses!$D$33)*Hypothèses!$D$34*$F$4</f>
        <v/>
      </c>
      <c r="AD33" s="15">
        <f>(AD19*Hypothèses!$D$31+AD20*Hypothèses!$D$32+AD21*Hypothèses!$D$33)*Hypothèses!$D$34*$F$4</f>
        <v/>
      </c>
      <c r="AE33" s="15">
        <f>(AE19*Hypothèses!$D$31+AE20*Hypothèses!$D$32+AE21*Hypothèses!$D$33)*Hypothèses!$D$34*$F$4</f>
        <v/>
      </c>
      <c r="AF33" s="15">
        <f>(AF19*Hypothèses!$D$31+AF20*Hypothèses!$D$32+AF21*Hypothèses!$D$33)*Hypothèses!$D$34*$F$4</f>
        <v/>
      </c>
      <c r="AG33" s="15">
        <f>(AG19*Hypothèses!$D$31+AG20*Hypothèses!$D$32+AG21*Hypothèses!$D$33)*Hypothèses!$D$34*$F$4</f>
        <v/>
      </c>
      <c r="AH33" s="15">
        <f>(AH19*Hypothèses!$D$31+AH20*Hypothèses!$D$32+AH21*Hypothèses!$D$33)*Hypothèses!$D$34*$F$4</f>
        <v/>
      </c>
      <c r="AI33" s="15">
        <f>(AI19*Hypothèses!$D$31+AI20*Hypothèses!$D$32+AI21*Hypothèses!$D$33)*Hypothèses!$D$34*$F$4</f>
        <v/>
      </c>
      <c r="AJ33" s="15">
        <f>(AJ19*Hypothèses!$D$31+AJ20*Hypothèses!$D$32+AJ21*Hypothèses!$D$33)*Hypothèses!$D$34*$F$4</f>
        <v/>
      </c>
      <c r="AK33" s="15">
        <f>(AK19*Hypothèses!$D$31+AK20*Hypothèses!$D$32+AK21*Hypothèses!$D$33)*Hypothèses!$D$34*$F$4</f>
        <v/>
      </c>
      <c r="AL33" s="15">
        <f>(AL19*Hypothèses!$D$31+AL20*Hypothèses!$D$32+AL21*Hypothèses!$D$33)*Hypothèses!$D$34*$F$4</f>
        <v/>
      </c>
      <c r="AN33" s="15">
        <f>SUM(C33:N33)</f>
        <v/>
      </c>
      <c r="AO33" s="15">
        <f>SUM(O33:Z33)</f>
        <v/>
      </c>
      <c r="AP33" s="15">
        <f>SUM(AA33:AL33)</f>
        <v/>
      </c>
    </row>
    <row r="34">
      <c r="A34" s="9" t="inlineStr">
        <is>
          <t>Hébergement, stockage, connecteurs</t>
        </is>
      </c>
      <c r="B34" s="4" t="inlineStr">
        <is>
          <t>€ HT</t>
        </is>
      </c>
      <c r="C34" s="15">
        <f>C18*Hypothèses!$D$35</f>
        <v/>
      </c>
      <c r="D34" s="15">
        <f>D18*Hypothèses!$D$35</f>
        <v/>
      </c>
      <c r="E34" s="15">
        <f>E18*Hypothèses!$D$35</f>
        <v/>
      </c>
      <c r="F34" s="15">
        <f>F18*Hypothèses!$D$35</f>
        <v/>
      </c>
      <c r="G34" s="15">
        <f>G18*Hypothèses!$D$35</f>
        <v/>
      </c>
      <c r="H34" s="15">
        <f>H18*Hypothèses!$D$35</f>
        <v/>
      </c>
      <c r="I34" s="15">
        <f>I18*Hypothèses!$D$35</f>
        <v/>
      </c>
      <c r="J34" s="15">
        <f>J18*Hypothèses!$D$35</f>
        <v/>
      </c>
      <c r="K34" s="15">
        <f>K18*Hypothèses!$D$35</f>
        <v/>
      </c>
      <c r="L34" s="15">
        <f>L18*Hypothèses!$D$35</f>
        <v/>
      </c>
      <c r="M34" s="15">
        <f>M18*Hypothèses!$D$35</f>
        <v/>
      </c>
      <c r="N34" s="15">
        <f>N18*Hypothèses!$D$35</f>
        <v/>
      </c>
      <c r="O34" s="15">
        <f>O18*Hypothèses!$D$35</f>
        <v/>
      </c>
      <c r="P34" s="15">
        <f>P18*Hypothèses!$D$35</f>
        <v/>
      </c>
      <c r="Q34" s="15">
        <f>Q18*Hypothèses!$D$35</f>
        <v/>
      </c>
      <c r="R34" s="15">
        <f>R18*Hypothèses!$D$35</f>
        <v/>
      </c>
      <c r="S34" s="15">
        <f>S18*Hypothèses!$D$35</f>
        <v/>
      </c>
      <c r="T34" s="15">
        <f>T18*Hypothèses!$D$35</f>
        <v/>
      </c>
      <c r="U34" s="15">
        <f>U18*Hypothèses!$D$35</f>
        <v/>
      </c>
      <c r="V34" s="15">
        <f>V18*Hypothèses!$D$35</f>
        <v/>
      </c>
      <c r="W34" s="15">
        <f>W18*Hypothèses!$D$35</f>
        <v/>
      </c>
      <c r="X34" s="15">
        <f>X18*Hypothèses!$D$35</f>
        <v/>
      </c>
      <c r="Y34" s="15">
        <f>Y18*Hypothèses!$D$35</f>
        <v/>
      </c>
      <c r="Z34" s="15">
        <f>Z18*Hypothèses!$D$35</f>
        <v/>
      </c>
      <c r="AA34" s="15">
        <f>AA18*Hypothèses!$D$35</f>
        <v/>
      </c>
      <c r="AB34" s="15">
        <f>AB18*Hypothèses!$D$35</f>
        <v/>
      </c>
      <c r="AC34" s="15">
        <f>AC18*Hypothèses!$D$35</f>
        <v/>
      </c>
      <c r="AD34" s="15">
        <f>AD18*Hypothèses!$D$35</f>
        <v/>
      </c>
      <c r="AE34" s="15">
        <f>AE18*Hypothèses!$D$35</f>
        <v/>
      </c>
      <c r="AF34" s="15">
        <f>AF18*Hypothèses!$D$35</f>
        <v/>
      </c>
      <c r="AG34" s="15">
        <f>AG18*Hypothèses!$D$35</f>
        <v/>
      </c>
      <c r="AH34" s="15">
        <f>AH18*Hypothèses!$D$35</f>
        <v/>
      </c>
      <c r="AI34" s="15">
        <f>AI18*Hypothèses!$D$35</f>
        <v/>
      </c>
      <c r="AJ34" s="15">
        <f>AJ18*Hypothèses!$D$35</f>
        <v/>
      </c>
      <c r="AK34" s="15">
        <f>AK18*Hypothèses!$D$35</f>
        <v/>
      </c>
      <c r="AL34" s="15">
        <f>AL18*Hypothèses!$D$35</f>
        <v/>
      </c>
      <c r="AN34" s="15">
        <f>SUM(C34:N34)</f>
        <v/>
      </c>
      <c r="AO34" s="15">
        <f>SUM(O34:Z34)</f>
        <v/>
      </c>
      <c r="AP34" s="15">
        <f>SUM(AA34:AL34)</f>
        <v/>
      </c>
    </row>
    <row r="35">
      <c r="A35" s="9" t="inlineStr">
        <is>
          <t>Support humain</t>
        </is>
      </c>
      <c r="B35" s="4" t="inlineStr">
        <is>
          <t>€ HT</t>
        </is>
      </c>
      <c r="C35" s="15">
        <f>C18*Hypothèses!$D$36</f>
        <v/>
      </c>
      <c r="D35" s="15">
        <f>D18*Hypothèses!$D$36</f>
        <v/>
      </c>
      <c r="E35" s="15">
        <f>E18*Hypothèses!$D$36</f>
        <v/>
      </c>
      <c r="F35" s="15">
        <f>F18*Hypothèses!$D$36</f>
        <v/>
      </c>
      <c r="G35" s="15">
        <f>G18*Hypothèses!$D$36</f>
        <v/>
      </c>
      <c r="H35" s="15">
        <f>H18*Hypothèses!$D$36</f>
        <v/>
      </c>
      <c r="I35" s="15">
        <f>I18*Hypothèses!$D$36</f>
        <v/>
      </c>
      <c r="J35" s="15">
        <f>J18*Hypothèses!$D$36</f>
        <v/>
      </c>
      <c r="K35" s="15">
        <f>K18*Hypothèses!$D$36</f>
        <v/>
      </c>
      <c r="L35" s="15">
        <f>L18*Hypothèses!$D$36</f>
        <v/>
      </c>
      <c r="M35" s="15">
        <f>M18*Hypothèses!$D$36</f>
        <v/>
      </c>
      <c r="N35" s="15">
        <f>N18*Hypothèses!$D$36</f>
        <v/>
      </c>
      <c r="O35" s="15">
        <f>O18*Hypothèses!$D$36</f>
        <v/>
      </c>
      <c r="P35" s="15">
        <f>P18*Hypothèses!$D$36</f>
        <v/>
      </c>
      <c r="Q35" s="15">
        <f>Q18*Hypothèses!$D$36</f>
        <v/>
      </c>
      <c r="R35" s="15">
        <f>R18*Hypothèses!$D$36</f>
        <v/>
      </c>
      <c r="S35" s="15">
        <f>S18*Hypothèses!$D$36</f>
        <v/>
      </c>
      <c r="T35" s="15">
        <f>T18*Hypothèses!$D$36</f>
        <v/>
      </c>
      <c r="U35" s="15">
        <f>U18*Hypothèses!$D$36</f>
        <v/>
      </c>
      <c r="V35" s="15">
        <f>V18*Hypothèses!$D$36</f>
        <v/>
      </c>
      <c r="W35" s="15">
        <f>W18*Hypothèses!$D$36</f>
        <v/>
      </c>
      <c r="X35" s="15">
        <f>X18*Hypothèses!$D$36</f>
        <v/>
      </c>
      <c r="Y35" s="15">
        <f>Y18*Hypothèses!$D$36</f>
        <v/>
      </c>
      <c r="Z35" s="15">
        <f>Z18*Hypothèses!$D$36</f>
        <v/>
      </c>
      <c r="AA35" s="15">
        <f>AA18*Hypothèses!$D$36</f>
        <v/>
      </c>
      <c r="AB35" s="15">
        <f>AB18*Hypothèses!$D$36</f>
        <v/>
      </c>
      <c r="AC35" s="15">
        <f>AC18*Hypothèses!$D$36</f>
        <v/>
      </c>
      <c r="AD35" s="15">
        <f>AD18*Hypothèses!$D$36</f>
        <v/>
      </c>
      <c r="AE35" s="15">
        <f>AE18*Hypothèses!$D$36</f>
        <v/>
      </c>
      <c r="AF35" s="15">
        <f>AF18*Hypothèses!$D$36</f>
        <v/>
      </c>
      <c r="AG35" s="15">
        <f>AG18*Hypothèses!$D$36</f>
        <v/>
      </c>
      <c r="AH35" s="15">
        <f>AH18*Hypothèses!$D$36</f>
        <v/>
      </c>
      <c r="AI35" s="15">
        <f>AI18*Hypothèses!$D$36</f>
        <v/>
      </c>
      <c r="AJ35" s="15">
        <f>AJ18*Hypothèses!$D$36</f>
        <v/>
      </c>
      <c r="AK35" s="15">
        <f>AK18*Hypothèses!$D$36</f>
        <v/>
      </c>
      <c r="AL35" s="15">
        <f>AL18*Hypothèses!$D$36</f>
        <v/>
      </c>
      <c r="AN35" s="15">
        <f>SUM(C35:N35)</f>
        <v/>
      </c>
      <c r="AO35" s="15">
        <f>SUM(O35:Z35)</f>
        <v/>
      </c>
      <c r="AP35" s="15">
        <f>SUM(AA35:AL35)</f>
        <v/>
      </c>
    </row>
    <row r="36">
      <c r="A36" s="2" t="inlineStr">
        <is>
          <t>Total coûts variables</t>
        </is>
      </c>
      <c r="B36" s="4" t="inlineStr">
        <is>
          <t>€ HT</t>
        </is>
      </c>
      <c r="C36" s="40">
        <f>C33+C34+C35</f>
        <v/>
      </c>
      <c r="D36" s="40">
        <f>D33+D34+D35</f>
        <v/>
      </c>
      <c r="E36" s="40">
        <f>E33+E34+E35</f>
        <v/>
      </c>
      <c r="F36" s="40">
        <f>F33+F34+F35</f>
        <v/>
      </c>
      <c r="G36" s="40">
        <f>G33+G34+G35</f>
        <v/>
      </c>
      <c r="H36" s="40">
        <f>H33+H34+H35</f>
        <v/>
      </c>
      <c r="I36" s="40">
        <f>I33+I34+I35</f>
        <v/>
      </c>
      <c r="J36" s="40">
        <f>J33+J34+J35</f>
        <v/>
      </c>
      <c r="K36" s="40">
        <f>K33+K34+K35</f>
        <v/>
      </c>
      <c r="L36" s="40">
        <f>L33+L34+L35</f>
        <v/>
      </c>
      <c r="M36" s="40">
        <f>M33+M34+M35</f>
        <v/>
      </c>
      <c r="N36" s="40">
        <f>N33+N34+N35</f>
        <v/>
      </c>
      <c r="O36" s="40">
        <f>O33+O34+O35</f>
        <v/>
      </c>
      <c r="P36" s="40">
        <f>P33+P34+P35</f>
        <v/>
      </c>
      <c r="Q36" s="40">
        <f>Q33+Q34+Q35</f>
        <v/>
      </c>
      <c r="R36" s="40">
        <f>R33+R34+R35</f>
        <v/>
      </c>
      <c r="S36" s="40">
        <f>S33+S34+S35</f>
        <v/>
      </c>
      <c r="T36" s="40">
        <f>T33+T34+T35</f>
        <v/>
      </c>
      <c r="U36" s="40">
        <f>U33+U34+U35</f>
        <v/>
      </c>
      <c r="V36" s="40">
        <f>V33+V34+V35</f>
        <v/>
      </c>
      <c r="W36" s="40">
        <f>W33+W34+W35</f>
        <v/>
      </c>
      <c r="X36" s="40">
        <f>X33+X34+X35</f>
        <v/>
      </c>
      <c r="Y36" s="40">
        <f>Y33+Y34+Y35</f>
        <v/>
      </c>
      <c r="Z36" s="40">
        <f>Z33+Z34+Z35</f>
        <v/>
      </c>
      <c r="AA36" s="40">
        <f>AA33+AA34+AA35</f>
        <v/>
      </c>
      <c r="AB36" s="40">
        <f>AB33+AB34+AB35</f>
        <v/>
      </c>
      <c r="AC36" s="40">
        <f>AC33+AC34+AC35</f>
        <v/>
      </c>
      <c r="AD36" s="40">
        <f>AD33+AD34+AD35</f>
        <v/>
      </c>
      <c r="AE36" s="40">
        <f>AE33+AE34+AE35</f>
        <v/>
      </c>
      <c r="AF36" s="40">
        <f>AF33+AF34+AF35</f>
        <v/>
      </c>
      <c r="AG36" s="40">
        <f>AG33+AG34+AG35</f>
        <v/>
      </c>
      <c r="AH36" s="40">
        <f>AH33+AH34+AH35</f>
        <v/>
      </c>
      <c r="AI36" s="40">
        <f>AI33+AI34+AI35</f>
        <v/>
      </c>
      <c r="AJ36" s="40">
        <f>AJ33+AJ34+AJ35</f>
        <v/>
      </c>
      <c r="AK36" s="40">
        <f>AK33+AK34+AK35</f>
        <v/>
      </c>
      <c r="AL36" s="40">
        <f>AL33+AL34+AL35</f>
        <v/>
      </c>
      <c r="AN36" s="40">
        <f>SUM(C36:N36)</f>
        <v/>
      </c>
      <c r="AO36" s="40">
        <f>SUM(O36:Z36)</f>
        <v/>
      </c>
      <c r="AP36" s="40">
        <f>SUM(AA36:AL36)</f>
        <v/>
      </c>
    </row>
    <row r="37">
      <c r="A37" s="2" t="inlineStr">
        <is>
          <t>Marge sur coûts variables (CA HT − variables − frais − impayés HT)</t>
        </is>
      </c>
      <c r="B37" s="4" t="inlineStr">
        <is>
          <t>€ HT</t>
        </is>
      </c>
      <c r="C37" s="40">
        <f>C28-C36-C30-C29/(1+Hypothèses!$D$15)</f>
        <v/>
      </c>
      <c r="D37" s="40">
        <f>D28-D36-D30-D29/(1+Hypothèses!$D$15)</f>
        <v/>
      </c>
      <c r="E37" s="40">
        <f>E28-E36-E30-E29/(1+Hypothèses!$D$15)</f>
        <v/>
      </c>
      <c r="F37" s="40">
        <f>F28-F36-F30-F29/(1+Hypothèses!$D$15)</f>
        <v/>
      </c>
      <c r="G37" s="40">
        <f>G28-G36-G30-G29/(1+Hypothèses!$D$15)</f>
        <v/>
      </c>
      <c r="H37" s="40">
        <f>H28-H36-H30-H29/(1+Hypothèses!$D$15)</f>
        <v/>
      </c>
      <c r="I37" s="40">
        <f>I28-I36-I30-I29/(1+Hypothèses!$D$15)</f>
        <v/>
      </c>
      <c r="J37" s="40">
        <f>J28-J36-J30-J29/(1+Hypothèses!$D$15)</f>
        <v/>
      </c>
      <c r="K37" s="40">
        <f>K28-K36-K30-K29/(1+Hypothèses!$D$15)</f>
        <v/>
      </c>
      <c r="L37" s="40">
        <f>L28-L36-L30-L29/(1+Hypothèses!$D$15)</f>
        <v/>
      </c>
      <c r="M37" s="40">
        <f>M28-M36-M30-M29/(1+Hypothèses!$D$15)</f>
        <v/>
      </c>
      <c r="N37" s="40">
        <f>N28-N36-N30-N29/(1+Hypothèses!$D$15)</f>
        <v/>
      </c>
      <c r="O37" s="40">
        <f>O28-O36-O30-O29/(1+Hypothèses!$D$15)</f>
        <v/>
      </c>
      <c r="P37" s="40">
        <f>P28-P36-P30-P29/(1+Hypothèses!$D$15)</f>
        <v/>
      </c>
      <c r="Q37" s="40">
        <f>Q28-Q36-Q30-Q29/(1+Hypothèses!$D$15)</f>
        <v/>
      </c>
      <c r="R37" s="40">
        <f>R28-R36-R30-R29/(1+Hypothèses!$D$15)</f>
        <v/>
      </c>
      <c r="S37" s="40">
        <f>S28-S36-S30-S29/(1+Hypothèses!$D$15)</f>
        <v/>
      </c>
      <c r="T37" s="40">
        <f>T28-T36-T30-T29/(1+Hypothèses!$D$15)</f>
        <v/>
      </c>
      <c r="U37" s="40">
        <f>U28-U36-U30-U29/(1+Hypothèses!$D$15)</f>
        <v/>
      </c>
      <c r="V37" s="40">
        <f>V28-V36-V30-V29/(1+Hypothèses!$D$15)</f>
        <v/>
      </c>
      <c r="W37" s="40">
        <f>W28-W36-W30-W29/(1+Hypothèses!$D$15)</f>
        <v/>
      </c>
      <c r="X37" s="40">
        <f>X28-X36-X30-X29/(1+Hypothèses!$D$15)</f>
        <v/>
      </c>
      <c r="Y37" s="40">
        <f>Y28-Y36-Y30-Y29/(1+Hypothèses!$D$15)</f>
        <v/>
      </c>
      <c r="Z37" s="40">
        <f>Z28-Z36-Z30-Z29/(1+Hypothèses!$D$15)</f>
        <v/>
      </c>
      <c r="AA37" s="40">
        <f>AA28-AA36-AA30-AA29/(1+Hypothèses!$D$15)</f>
        <v/>
      </c>
      <c r="AB37" s="40">
        <f>AB28-AB36-AB30-AB29/(1+Hypothèses!$D$15)</f>
        <v/>
      </c>
      <c r="AC37" s="40">
        <f>AC28-AC36-AC30-AC29/(1+Hypothèses!$D$15)</f>
        <v/>
      </c>
      <c r="AD37" s="40">
        <f>AD28-AD36-AD30-AD29/(1+Hypothèses!$D$15)</f>
        <v/>
      </c>
      <c r="AE37" s="40">
        <f>AE28-AE36-AE30-AE29/(1+Hypothèses!$D$15)</f>
        <v/>
      </c>
      <c r="AF37" s="40">
        <f>AF28-AF36-AF30-AF29/(1+Hypothèses!$D$15)</f>
        <v/>
      </c>
      <c r="AG37" s="40">
        <f>AG28-AG36-AG30-AG29/(1+Hypothèses!$D$15)</f>
        <v/>
      </c>
      <c r="AH37" s="40">
        <f>AH28-AH36-AH30-AH29/(1+Hypothèses!$D$15)</f>
        <v/>
      </c>
      <c r="AI37" s="40">
        <f>AI28-AI36-AI30-AI29/(1+Hypothèses!$D$15)</f>
        <v/>
      </c>
      <c r="AJ37" s="40">
        <f>AJ28-AJ36-AJ30-AJ29/(1+Hypothèses!$D$15)</f>
        <v/>
      </c>
      <c r="AK37" s="40">
        <f>AK28-AK36-AK30-AK29/(1+Hypothèses!$D$15)</f>
        <v/>
      </c>
      <c r="AL37" s="40">
        <f>AL28-AL36-AL30-AL29/(1+Hypothèses!$D$15)</f>
        <v/>
      </c>
      <c r="AN37" s="40">
        <f>SUM(C37:N37)</f>
        <v/>
      </c>
      <c r="AO37" s="40">
        <f>SUM(O37:Z37)</f>
        <v/>
      </c>
      <c r="AP37" s="40">
        <f>SUM(AA37:AL37)</f>
        <v/>
      </c>
    </row>
    <row r="38">
      <c r="A38" s="8" t="inlineStr">
        <is>
          <t>Acquisition et coûts fixes</t>
        </is>
      </c>
    </row>
    <row r="39">
      <c r="A39" s="9" t="inlineStr">
        <is>
          <t>Dépenses d'acquisition</t>
        </is>
      </c>
      <c r="B39" s="4" t="inlineStr">
        <is>
          <t>€ HT</t>
        </is>
      </c>
      <c r="C39" s="15">
        <f>C11</f>
        <v/>
      </c>
      <c r="D39" s="15">
        <f>D11</f>
        <v/>
      </c>
      <c r="E39" s="15">
        <f>E11</f>
        <v/>
      </c>
      <c r="F39" s="15">
        <f>F11</f>
        <v/>
      </c>
      <c r="G39" s="15">
        <f>G11</f>
        <v/>
      </c>
      <c r="H39" s="15">
        <f>H11</f>
        <v/>
      </c>
      <c r="I39" s="15">
        <f>I11</f>
        <v/>
      </c>
      <c r="J39" s="15">
        <f>J11</f>
        <v/>
      </c>
      <c r="K39" s="15">
        <f>K11</f>
        <v/>
      </c>
      <c r="L39" s="15">
        <f>L11</f>
        <v/>
      </c>
      <c r="M39" s="15">
        <f>M11</f>
        <v/>
      </c>
      <c r="N39" s="15">
        <f>N11</f>
        <v/>
      </c>
      <c r="O39" s="15">
        <f>O11</f>
        <v/>
      </c>
      <c r="P39" s="15">
        <f>P11</f>
        <v/>
      </c>
      <c r="Q39" s="15">
        <f>Q11</f>
        <v/>
      </c>
      <c r="R39" s="15">
        <f>R11</f>
        <v/>
      </c>
      <c r="S39" s="15">
        <f>S11</f>
        <v/>
      </c>
      <c r="T39" s="15">
        <f>T11</f>
        <v/>
      </c>
      <c r="U39" s="15">
        <f>U11</f>
        <v/>
      </c>
      <c r="V39" s="15">
        <f>V11</f>
        <v/>
      </c>
      <c r="W39" s="15">
        <f>W11</f>
        <v/>
      </c>
      <c r="X39" s="15">
        <f>X11</f>
        <v/>
      </c>
      <c r="Y39" s="15">
        <f>Y11</f>
        <v/>
      </c>
      <c r="Z39" s="15">
        <f>Z11</f>
        <v/>
      </c>
      <c r="AA39" s="15">
        <f>AA11</f>
        <v/>
      </c>
      <c r="AB39" s="15">
        <f>AB11</f>
        <v/>
      </c>
      <c r="AC39" s="15">
        <f>AC11</f>
        <v/>
      </c>
      <c r="AD39" s="15">
        <f>AD11</f>
        <v/>
      </c>
      <c r="AE39" s="15">
        <f>AE11</f>
        <v/>
      </c>
      <c r="AF39" s="15">
        <f>AF11</f>
        <v/>
      </c>
      <c r="AG39" s="15">
        <f>AG11</f>
        <v/>
      </c>
      <c r="AH39" s="15">
        <f>AH11</f>
        <v/>
      </c>
      <c r="AI39" s="15">
        <f>AI11</f>
        <v/>
      </c>
      <c r="AJ39" s="15">
        <f>AJ11</f>
        <v/>
      </c>
      <c r="AK39" s="15">
        <f>AK11</f>
        <v/>
      </c>
      <c r="AL39" s="15">
        <f>AL11</f>
        <v/>
      </c>
      <c r="AN39" s="15">
        <f>SUM(C39:N39)</f>
        <v/>
      </c>
      <c r="AO39" s="15">
        <f>SUM(O39:Z39)</f>
        <v/>
      </c>
      <c r="AP39" s="15">
        <f>SUM(AA39:AL39)</f>
        <v/>
      </c>
    </row>
    <row r="40">
      <c r="A40" s="9" t="inlineStr">
        <is>
          <t>Rémunération des fondateurs</t>
        </is>
      </c>
      <c r="B40" s="4" t="inlineStr">
        <is>
          <t>€ HT</t>
        </is>
      </c>
      <c r="C40" s="15">
        <f>IF(C7&gt;=Hypothèses!$D$39,Hypothèses!$D$38*Hypothèses!$D$40,0)*$G$4</f>
        <v/>
      </c>
      <c r="D40" s="15">
        <f>IF(D7&gt;=Hypothèses!$D$39,Hypothèses!$D$38*Hypothèses!$D$40,0)*$G$4</f>
        <v/>
      </c>
      <c r="E40" s="15">
        <f>IF(E7&gt;=Hypothèses!$D$39,Hypothèses!$D$38*Hypothèses!$D$40,0)*$G$4</f>
        <v/>
      </c>
      <c r="F40" s="15">
        <f>IF(F7&gt;=Hypothèses!$D$39,Hypothèses!$D$38*Hypothèses!$D$40,0)*$G$4</f>
        <v/>
      </c>
      <c r="G40" s="15">
        <f>IF(G7&gt;=Hypothèses!$D$39,Hypothèses!$D$38*Hypothèses!$D$40,0)*$G$4</f>
        <v/>
      </c>
      <c r="H40" s="15">
        <f>IF(H7&gt;=Hypothèses!$D$39,Hypothèses!$D$38*Hypothèses!$D$40,0)*$G$4</f>
        <v/>
      </c>
      <c r="I40" s="15">
        <f>IF(I7&gt;=Hypothèses!$D$39,Hypothèses!$D$38*Hypothèses!$D$40,0)*$G$4</f>
        <v/>
      </c>
      <c r="J40" s="15">
        <f>IF(J7&gt;=Hypothèses!$D$39,Hypothèses!$D$38*Hypothèses!$D$40,0)*$G$4</f>
        <v/>
      </c>
      <c r="K40" s="15">
        <f>IF(K7&gt;=Hypothèses!$D$39,Hypothèses!$D$38*Hypothèses!$D$40,0)*$G$4</f>
        <v/>
      </c>
      <c r="L40" s="15">
        <f>IF(L7&gt;=Hypothèses!$D$39,Hypothèses!$D$38*Hypothèses!$D$40,0)*$G$4</f>
        <v/>
      </c>
      <c r="M40" s="15">
        <f>IF(M7&gt;=Hypothèses!$D$39,Hypothèses!$D$38*Hypothèses!$D$40,0)*$G$4</f>
        <v/>
      </c>
      <c r="N40" s="15">
        <f>IF(N7&gt;=Hypothèses!$D$39,Hypothèses!$D$38*Hypothèses!$D$40,0)*$G$4</f>
        <v/>
      </c>
      <c r="O40" s="15">
        <f>IF(O7&gt;=Hypothèses!$D$39,Hypothèses!$D$38*Hypothèses!$D$40,0)*$G$4</f>
        <v/>
      </c>
      <c r="P40" s="15">
        <f>IF(P7&gt;=Hypothèses!$D$39,Hypothèses!$D$38*Hypothèses!$D$40,0)*$G$4</f>
        <v/>
      </c>
      <c r="Q40" s="15">
        <f>IF(Q7&gt;=Hypothèses!$D$39,Hypothèses!$D$38*Hypothèses!$D$40,0)*$G$4</f>
        <v/>
      </c>
      <c r="R40" s="15">
        <f>IF(R7&gt;=Hypothèses!$D$39,Hypothèses!$D$38*Hypothèses!$D$40,0)*$G$4</f>
        <v/>
      </c>
      <c r="S40" s="15">
        <f>IF(S7&gt;=Hypothèses!$D$39,Hypothèses!$D$38*Hypothèses!$D$40,0)*$G$4</f>
        <v/>
      </c>
      <c r="T40" s="15">
        <f>IF(T7&gt;=Hypothèses!$D$39,Hypothèses!$D$38*Hypothèses!$D$40,0)*$G$4</f>
        <v/>
      </c>
      <c r="U40" s="15">
        <f>IF(U7&gt;=Hypothèses!$D$39,Hypothèses!$D$38*Hypothèses!$D$40,0)*$G$4</f>
        <v/>
      </c>
      <c r="V40" s="15">
        <f>IF(V7&gt;=Hypothèses!$D$39,Hypothèses!$D$38*Hypothèses!$D$40,0)*$G$4</f>
        <v/>
      </c>
      <c r="W40" s="15">
        <f>IF(W7&gt;=Hypothèses!$D$39,Hypothèses!$D$38*Hypothèses!$D$40,0)*$G$4</f>
        <v/>
      </c>
      <c r="X40" s="15">
        <f>IF(X7&gt;=Hypothèses!$D$39,Hypothèses!$D$38*Hypothèses!$D$40,0)*$G$4</f>
        <v/>
      </c>
      <c r="Y40" s="15">
        <f>IF(Y7&gt;=Hypothèses!$D$39,Hypothèses!$D$38*Hypothèses!$D$40,0)*$G$4</f>
        <v/>
      </c>
      <c r="Z40" s="15">
        <f>IF(Z7&gt;=Hypothèses!$D$39,Hypothèses!$D$38*Hypothèses!$D$40,0)*$G$4</f>
        <v/>
      </c>
      <c r="AA40" s="15">
        <f>IF(AA7&gt;=Hypothèses!$D$39,Hypothèses!$D$38*Hypothèses!$D$40,0)*$G$4</f>
        <v/>
      </c>
      <c r="AB40" s="15">
        <f>IF(AB7&gt;=Hypothèses!$D$39,Hypothèses!$D$38*Hypothèses!$D$40,0)*$G$4</f>
        <v/>
      </c>
      <c r="AC40" s="15">
        <f>IF(AC7&gt;=Hypothèses!$D$39,Hypothèses!$D$38*Hypothèses!$D$40,0)*$G$4</f>
        <v/>
      </c>
      <c r="AD40" s="15">
        <f>IF(AD7&gt;=Hypothèses!$D$39,Hypothèses!$D$38*Hypothèses!$D$40,0)*$G$4</f>
        <v/>
      </c>
      <c r="AE40" s="15">
        <f>IF(AE7&gt;=Hypothèses!$D$39,Hypothèses!$D$38*Hypothèses!$D$40,0)*$G$4</f>
        <v/>
      </c>
      <c r="AF40" s="15">
        <f>IF(AF7&gt;=Hypothèses!$D$39,Hypothèses!$D$38*Hypothèses!$D$40,0)*$G$4</f>
        <v/>
      </c>
      <c r="AG40" s="15">
        <f>IF(AG7&gt;=Hypothèses!$D$39,Hypothèses!$D$38*Hypothèses!$D$40,0)*$G$4</f>
        <v/>
      </c>
      <c r="AH40" s="15">
        <f>IF(AH7&gt;=Hypothèses!$D$39,Hypothèses!$D$38*Hypothèses!$D$40,0)*$G$4</f>
        <v/>
      </c>
      <c r="AI40" s="15">
        <f>IF(AI7&gt;=Hypothèses!$D$39,Hypothèses!$D$38*Hypothèses!$D$40,0)*$G$4</f>
        <v/>
      </c>
      <c r="AJ40" s="15">
        <f>IF(AJ7&gt;=Hypothèses!$D$39,Hypothèses!$D$38*Hypothèses!$D$40,0)*$G$4</f>
        <v/>
      </c>
      <c r="AK40" s="15">
        <f>IF(AK7&gt;=Hypothèses!$D$39,Hypothèses!$D$38*Hypothèses!$D$40,0)*$G$4</f>
        <v/>
      </c>
      <c r="AL40" s="15">
        <f>IF(AL7&gt;=Hypothèses!$D$39,Hypothèses!$D$38*Hypothèses!$D$40,0)*$G$4</f>
        <v/>
      </c>
      <c r="AN40" s="15">
        <f>SUM(C40:N40)</f>
        <v/>
      </c>
      <c r="AO40" s="15">
        <f>SUM(O40:Z40)</f>
        <v/>
      </c>
      <c r="AP40" s="15">
        <f>SUM(AA40:AL40)</f>
        <v/>
      </c>
    </row>
    <row r="41">
      <c r="A41" s="9" t="inlineStr">
        <is>
          <t>Salarié 1 (growth / customer success)</t>
        </is>
      </c>
      <c r="B41" s="4" t="inlineStr">
        <is>
          <t>€ HT</t>
        </is>
      </c>
      <c r="C41" s="15">
        <f>IF(C7&gt;=Hypothèses!$D$41,Hypothèses!$D$42,0)*$G$4</f>
        <v/>
      </c>
      <c r="D41" s="15">
        <f>IF(D7&gt;=Hypothèses!$D$41,Hypothèses!$D$42,0)*$G$4</f>
        <v/>
      </c>
      <c r="E41" s="15">
        <f>IF(E7&gt;=Hypothèses!$D$41,Hypothèses!$D$42,0)*$G$4</f>
        <v/>
      </c>
      <c r="F41" s="15">
        <f>IF(F7&gt;=Hypothèses!$D$41,Hypothèses!$D$42,0)*$G$4</f>
        <v/>
      </c>
      <c r="G41" s="15">
        <f>IF(G7&gt;=Hypothèses!$D$41,Hypothèses!$D$42,0)*$G$4</f>
        <v/>
      </c>
      <c r="H41" s="15">
        <f>IF(H7&gt;=Hypothèses!$D$41,Hypothèses!$D$42,0)*$G$4</f>
        <v/>
      </c>
      <c r="I41" s="15">
        <f>IF(I7&gt;=Hypothèses!$D$41,Hypothèses!$D$42,0)*$G$4</f>
        <v/>
      </c>
      <c r="J41" s="15">
        <f>IF(J7&gt;=Hypothèses!$D$41,Hypothèses!$D$42,0)*$G$4</f>
        <v/>
      </c>
      <c r="K41" s="15">
        <f>IF(K7&gt;=Hypothèses!$D$41,Hypothèses!$D$42,0)*$G$4</f>
        <v/>
      </c>
      <c r="L41" s="15">
        <f>IF(L7&gt;=Hypothèses!$D$41,Hypothèses!$D$42,0)*$G$4</f>
        <v/>
      </c>
      <c r="M41" s="15">
        <f>IF(M7&gt;=Hypothèses!$D$41,Hypothèses!$D$42,0)*$G$4</f>
        <v/>
      </c>
      <c r="N41" s="15">
        <f>IF(N7&gt;=Hypothèses!$D$41,Hypothèses!$D$42,0)*$G$4</f>
        <v/>
      </c>
      <c r="O41" s="15">
        <f>IF(O7&gt;=Hypothèses!$D$41,Hypothèses!$D$42,0)*$G$4</f>
        <v/>
      </c>
      <c r="P41" s="15">
        <f>IF(P7&gt;=Hypothèses!$D$41,Hypothèses!$D$42,0)*$G$4</f>
        <v/>
      </c>
      <c r="Q41" s="15">
        <f>IF(Q7&gt;=Hypothèses!$D$41,Hypothèses!$D$42,0)*$G$4</f>
        <v/>
      </c>
      <c r="R41" s="15">
        <f>IF(R7&gt;=Hypothèses!$D$41,Hypothèses!$D$42,0)*$G$4</f>
        <v/>
      </c>
      <c r="S41" s="15">
        <f>IF(S7&gt;=Hypothèses!$D$41,Hypothèses!$D$42,0)*$G$4</f>
        <v/>
      </c>
      <c r="T41" s="15">
        <f>IF(T7&gt;=Hypothèses!$D$41,Hypothèses!$D$42,0)*$G$4</f>
        <v/>
      </c>
      <c r="U41" s="15">
        <f>IF(U7&gt;=Hypothèses!$D$41,Hypothèses!$D$42,0)*$G$4</f>
        <v/>
      </c>
      <c r="V41" s="15">
        <f>IF(V7&gt;=Hypothèses!$D$41,Hypothèses!$D$42,0)*$G$4</f>
        <v/>
      </c>
      <c r="W41" s="15">
        <f>IF(W7&gt;=Hypothèses!$D$41,Hypothèses!$D$42,0)*$G$4</f>
        <v/>
      </c>
      <c r="X41" s="15">
        <f>IF(X7&gt;=Hypothèses!$D$41,Hypothèses!$D$42,0)*$G$4</f>
        <v/>
      </c>
      <c r="Y41" s="15">
        <f>IF(Y7&gt;=Hypothèses!$D$41,Hypothèses!$D$42,0)*$G$4</f>
        <v/>
      </c>
      <c r="Z41" s="15">
        <f>IF(Z7&gt;=Hypothèses!$D$41,Hypothèses!$D$42,0)*$G$4</f>
        <v/>
      </c>
      <c r="AA41" s="15">
        <f>IF(AA7&gt;=Hypothèses!$D$41,Hypothèses!$D$42,0)*$G$4</f>
        <v/>
      </c>
      <c r="AB41" s="15">
        <f>IF(AB7&gt;=Hypothèses!$D$41,Hypothèses!$D$42,0)*$G$4</f>
        <v/>
      </c>
      <c r="AC41" s="15">
        <f>IF(AC7&gt;=Hypothèses!$D$41,Hypothèses!$D$42,0)*$G$4</f>
        <v/>
      </c>
      <c r="AD41" s="15">
        <f>IF(AD7&gt;=Hypothèses!$D$41,Hypothèses!$D$42,0)*$G$4</f>
        <v/>
      </c>
      <c r="AE41" s="15">
        <f>IF(AE7&gt;=Hypothèses!$D$41,Hypothèses!$D$42,0)*$G$4</f>
        <v/>
      </c>
      <c r="AF41" s="15">
        <f>IF(AF7&gt;=Hypothèses!$D$41,Hypothèses!$D$42,0)*$G$4</f>
        <v/>
      </c>
      <c r="AG41" s="15">
        <f>IF(AG7&gt;=Hypothèses!$D$41,Hypothèses!$D$42,0)*$G$4</f>
        <v/>
      </c>
      <c r="AH41" s="15">
        <f>IF(AH7&gt;=Hypothèses!$D$41,Hypothèses!$D$42,0)*$G$4</f>
        <v/>
      </c>
      <c r="AI41" s="15">
        <f>IF(AI7&gt;=Hypothèses!$D$41,Hypothèses!$D$42,0)*$G$4</f>
        <v/>
      </c>
      <c r="AJ41" s="15">
        <f>IF(AJ7&gt;=Hypothèses!$D$41,Hypothèses!$D$42,0)*$G$4</f>
        <v/>
      </c>
      <c r="AK41" s="15">
        <f>IF(AK7&gt;=Hypothèses!$D$41,Hypothèses!$D$42,0)*$G$4</f>
        <v/>
      </c>
      <c r="AL41" s="15">
        <f>IF(AL7&gt;=Hypothèses!$D$41,Hypothèses!$D$42,0)*$G$4</f>
        <v/>
      </c>
      <c r="AN41" s="15">
        <f>SUM(C41:N41)</f>
        <v/>
      </c>
      <c r="AO41" s="15">
        <f>SUM(O41:Z41)</f>
        <v/>
      </c>
      <c r="AP41" s="15">
        <f>SUM(AA41:AL41)</f>
        <v/>
      </c>
    </row>
    <row r="42">
      <c r="A42" s="9" t="inlineStr">
        <is>
          <t>Salarié 2 (ingénieur)</t>
        </is>
      </c>
      <c r="B42" s="4" t="inlineStr">
        <is>
          <t>€ HT</t>
        </is>
      </c>
      <c r="C42" s="15">
        <f>IF(C7&gt;=Hypothèses!$D$43,Hypothèses!$D$44,0)*$G$4</f>
        <v/>
      </c>
      <c r="D42" s="15">
        <f>IF(D7&gt;=Hypothèses!$D$43,Hypothèses!$D$44,0)*$G$4</f>
        <v/>
      </c>
      <c r="E42" s="15">
        <f>IF(E7&gt;=Hypothèses!$D$43,Hypothèses!$D$44,0)*$G$4</f>
        <v/>
      </c>
      <c r="F42" s="15">
        <f>IF(F7&gt;=Hypothèses!$D$43,Hypothèses!$D$44,0)*$G$4</f>
        <v/>
      </c>
      <c r="G42" s="15">
        <f>IF(G7&gt;=Hypothèses!$D$43,Hypothèses!$D$44,0)*$G$4</f>
        <v/>
      </c>
      <c r="H42" s="15">
        <f>IF(H7&gt;=Hypothèses!$D$43,Hypothèses!$D$44,0)*$G$4</f>
        <v/>
      </c>
      <c r="I42" s="15">
        <f>IF(I7&gt;=Hypothèses!$D$43,Hypothèses!$D$44,0)*$G$4</f>
        <v/>
      </c>
      <c r="J42" s="15">
        <f>IF(J7&gt;=Hypothèses!$D$43,Hypothèses!$D$44,0)*$G$4</f>
        <v/>
      </c>
      <c r="K42" s="15">
        <f>IF(K7&gt;=Hypothèses!$D$43,Hypothèses!$D$44,0)*$G$4</f>
        <v/>
      </c>
      <c r="L42" s="15">
        <f>IF(L7&gt;=Hypothèses!$D$43,Hypothèses!$D$44,0)*$G$4</f>
        <v/>
      </c>
      <c r="M42" s="15">
        <f>IF(M7&gt;=Hypothèses!$D$43,Hypothèses!$D$44,0)*$G$4</f>
        <v/>
      </c>
      <c r="N42" s="15">
        <f>IF(N7&gt;=Hypothèses!$D$43,Hypothèses!$D$44,0)*$G$4</f>
        <v/>
      </c>
      <c r="O42" s="15">
        <f>IF(O7&gt;=Hypothèses!$D$43,Hypothèses!$D$44,0)*$G$4</f>
        <v/>
      </c>
      <c r="P42" s="15">
        <f>IF(P7&gt;=Hypothèses!$D$43,Hypothèses!$D$44,0)*$G$4</f>
        <v/>
      </c>
      <c r="Q42" s="15">
        <f>IF(Q7&gt;=Hypothèses!$D$43,Hypothèses!$D$44,0)*$G$4</f>
        <v/>
      </c>
      <c r="R42" s="15">
        <f>IF(R7&gt;=Hypothèses!$D$43,Hypothèses!$D$44,0)*$G$4</f>
        <v/>
      </c>
      <c r="S42" s="15">
        <f>IF(S7&gt;=Hypothèses!$D$43,Hypothèses!$D$44,0)*$G$4</f>
        <v/>
      </c>
      <c r="T42" s="15">
        <f>IF(T7&gt;=Hypothèses!$D$43,Hypothèses!$D$44,0)*$G$4</f>
        <v/>
      </c>
      <c r="U42" s="15">
        <f>IF(U7&gt;=Hypothèses!$D$43,Hypothèses!$D$44,0)*$G$4</f>
        <v/>
      </c>
      <c r="V42" s="15">
        <f>IF(V7&gt;=Hypothèses!$D$43,Hypothèses!$D$44,0)*$G$4</f>
        <v/>
      </c>
      <c r="W42" s="15">
        <f>IF(W7&gt;=Hypothèses!$D$43,Hypothèses!$D$44,0)*$G$4</f>
        <v/>
      </c>
      <c r="X42" s="15">
        <f>IF(X7&gt;=Hypothèses!$D$43,Hypothèses!$D$44,0)*$G$4</f>
        <v/>
      </c>
      <c r="Y42" s="15">
        <f>IF(Y7&gt;=Hypothèses!$D$43,Hypothèses!$D$44,0)*$G$4</f>
        <v/>
      </c>
      <c r="Z42" s="15">
        <f>IF(Z7&gt;=Hypothèses!$D$43,Hypothèses!$D$44,0)*$G$4</f>
        <v/>
      </c>
      <c r="AA42" s="15">
        <f>IF(AA7&gt;=Hypothèses!$D$43,Hypothèses!$D$44,0)*$G$4</f>
        <v/>
      </c>
      <c r="AB42" s="15">
        <f>IF(AB7&gt;=Hypothèses!$D$43,Hypothèses!$D$44,0)*$G$4</f>
        <v/>
      </c>
      <c r="AC42" s="15">
        <f>IF(AC7&gt;=Hypothèses!$D$43,Hypothèses!$D$44,0)*$G$4</f>
        <v/>
      </c>
      <c r="AD42" s="15">
        <f>IF(AD7&gt;=Hypothèses!$D$43,Hypothèses!$D$44,0)*$G$4</f>
        <v/>
      </c>
      <c r="AE42" s="15">
        <f>IF(AE7&gt;=Hypothèses!$D$43,Hypothèses!$D$44,0)*$G$4</f>
        <v/>
      </c>
      <c r="AF42" s="15">
        <f>IF(AF7&gt;=Hypothèses!$D$43,Hypothèses!$D$44,0)*$G$4</f>
        <v/>
      </c>
      <c r="AG42" s="15">
        <f>IF(AG7&gt;=Hypothèses!$D$43,Hypothèses!$D$44,0)*$G$4</f>
        <v/>
      </c>
      <c r="AH42" s="15">
        <f>IF(AH7&gt;=Hypothèses!$D$43,Hypothèses!$D$44,0)*$G$4</f>
        <v/>
      </c>
      <c r="AI42" s="15">
        <f>IF(AI7&gt;=Hypothèses!$D$43,Hypothèses!$D$44,0)*$G$4</f>
        <v/>
      </c>
      <c r="AJ42" s="15">
        <f>IF(AJ7&gt;=Hypothèses!$D$43,Hypothèses!$D$44,0)*$G$4</f>
        <v/>
      </c>
      <c r="AK42" s="15">
        <f>IF(AK7&gt;=Hypothèses!$D$43,Hypothèses!$D$44,0)*$G$4</f>
        <v/>
      </c>
      <c r="AL42" s="15">
        <f>IF(AL7&gt;=Hypothèses!$D$43,Hypothèses!$D$44,0)*$G$4</f>
        <v/>
      </c>
      <c r="AN42" s="15">
        <f>SUM(C42:N42)</f>
        <v/>
      </c>
      <c r="AO42" s="15">
        <f>SUM(O42:Z42)</f>
        <v/>
      </c>
      <c r="AP42" s="15">
        <f>SUM(AA42:AL42)</f>
        <v/>
      </c>
    </row>
    <row r="43">
      <c r="A43" s="9" t="inlineStr">
        <is>
          <t>Développement MVP externe (étalé jusqu'au lancement)</t>
        </is>
      </c>
      <c r="B43" s="4" t="inlineStr">
        <is>
          <t>€ HT</t>
        </is>
      </c>
      <c r="C43" s="15">
        <f>IF(C7&lt;$B$5,Hypothèses!$D$45/MAX(1,$B$5-1),0)</f>
        <v/>
      </c>
      <c r="D43" s="15">
        <f>IF(D7&lt;$B$5,Hypothèses!$D$45/MAX(1,$B$5-1),0)</f>
        <v/>
      </c>
      <c r="E43" s="15">
        <f>IF(E7&lt;$B$5,Hypothèses!$D$45/MAX(1,$B$5-1),0)</f>
        <v/>
      </c>
      <c r="F43" s="15">
        <f>IF(F7&lt;$B$5,Hypothèses!$D$45/MAX(1,$B$5-1),0)</f>
        <v/>
      </c>
      <c r="G43" s="15">
        <f>IF(G7&lt;$B$5,Hypothèses!$D$45/MAX(1,$B$5-1),0)</f>
        <v/>
      </c>
      <c r="H43" s="15">
        <f>IF(H7&lt;$B$5,Hypothèses!$D$45/MAX(1,$B$5-1),0)</f>
        <v/>
      </c>
      <c r="I43" s="15">
        <f>IF(I7&lt;$B$5,Hypothèses!$D$45/MAX(1,$B$5-1),0)</f>
        <v/>
      </c>
      <c r="J43" s="15">
        <f>IF(J7&lt;$B$5,Hypothèses!$D$45/MAX(1,$B$5-1),0)</f>
        <v/>
      </c>
      <c r="K43" s="15">
        <f>IF(K7&lt;$B$5,Hypothèses!$D$45/MAX(1,$B$5-1),0)</f>
        <v/>
      </c>
      <c r="L43" s="15">
        <f>IF(L7&lt;$B$5,Hypothèses!$D$45/MAX(1,$B$5-1),0)</f>
        <v/>
      </c>
      <c r="M43" s="15">
        <f>IF(M7&lt;$B$5,Hypothèses!$D$45/MAX(1,$B$5-1),0)</f>
        <v/>
      </c>
      <c r="N43" s="15">
        <f>IF(N7&lt;$B$5,Hypothèses!$D$45/MAX(1,$B$5-1),0)</f>
        <v/>
      </c>
      <c r="O43" s="15">
        <f>IF(O7&lt;$B$5,Hypothèses!$D$45/MAX(1,$B$5-1),0)</f>
        <v/>
      </c>
      <c r="P43" s="15">
        <f>IF(P7&lt;$B$5,Hypothèses!$D$45/MAX(1,$B$5-1),0)</f>
        <v/>
      </c>
      <c r="Q43" s="15">
        <f>IF(Q7&lt;$B$5,Hypothèses!$D$45/MAX(1,$B$5-1),0)</f>
        <v/>
      </c>
      <c r="R43" s="15">
        <f>IF(R7&lt;$B$5,Hypothèses!$D$45/MAX(1,$B$5-1),0)</f>
        <v/>
      </c>
      <c r="S43" s="15">
        <f>IF(S7&lt;$B$5,Hypothèses!$D$45/MAX(1,$B$5-1),0)</f>
        <v/>
      </c>
      <c r="T43" s="15">
        <f>IF(T7&lt;$B$5,Hypothèses!$D$45/MAX(1,$B$5-1),0)</f>
        <v/>
      </c>
      <c r="U43" s="15">
        <f>IF(U7&lt;$B$5,Hypothèses!$D$45/MAX(1,$B$5-1),0)</f>
        <v/>
      </c>
      <c r="V43" s="15">
        <f>IF(V7&lt;$B$5,Hypothèses!$D$45/MAX(1,$B$5-1),0)</f>
        <v/>
      </c>
      <c r="W43" s="15">
        <f>IF(W7&lt;$B$5,Hypothèses!$D$45/MAX(1,$B$5-1),0)</f>
        <v/>
      </c>
      <c r="X43" s="15">
        <f>IF(X7&lt;$B$5,Hypothèses!$D$45/MAX(1,$B$5-1),0)</f>
        <v/>
      </c>
      <c r="Y43" s="15">
        <f>IF(Y7&lt;$B$5,Hypothèses!$D$45/MAX(1,$B$5-1),0)</f>
        <v/>
      </c>
      <c r="Z43" s="15">
        <f>IF(Z7&lt;$B$5,Hypothèses!$D$45/MAX(1,$B$5-1),0)</f>
        <v/>
      </c>
      <c r="AA43" s="15">
        <f>IF(AA7&lt;$B$5,Hypothèses!$D$45/MAX(1,$B$5-1),0)</f>
        <v/>
      </c>
      <c r="AB43" s="15">
        <f>IF(AB7&lt;$B$5,Hypothèses!$D$45/MAX(1,$B$5-1),0)</f>
        <v/>
      </c>
      <c r="AC43" s="15">
        <f>IF(AC7&lt;$B$5,Hypothèses!$D$45/MAX(1,$B$5-1),0)</f>
        <v/>
      </c>
      <c r="AD43" s="15">
        <f>IF(AD7&lt;$B$5,Hypothèses!$D$45/MAX(1,$B$5-1),0)</f>
        <v/>
      </c>
      <c r="AE43" s="15">
        <f>IF(AE7&lt;$B$5,Hypothèses!$D$45/MAX(1,$B$5-1),0)</f>
        <v/>
      </c>
      <c r="AF43" s="15">
        <f>IF(AF7&lt;$B$5,Hypothèses!$D$45/MAX(1,$B$5-1),0)</f>
        <v/>
      </c>
      <c r="AG43" s="15">
        <f>IF(AG7&lt;$B$5,Hypothèses!$D$45/MAX(1,$B$5-1),0)</f>
        <v/>
      </c>
      <c r="AH43" s="15">
        <f>IF(AH7&lt;$B$5,Hypothèses!$D$45/MAX(1,$B$5-1),0)</f>
        <v/>
      </c>
      <c r="AI43" s="15">
        <f>IF(AI7&lt;$B$5,Hypothèses!$D$45/MAX(1,$B$5-1),0)</f>
        <v/>
      </c>
      <c r="AJ43" s="15">
        <f>IF(AJ7&lt;$B$5,Hypothèses!$D$45/MAX(1,$B$5-1),0)</f>
        <v/>
      </c>
      <c r="AK43" s="15">
        <f>IF(AK7&lt;$B$5,Hypothèses!$D$45/MAX(1,$B$5-1),0)</f>
        <v/>
      </c>
      <c r="AL43" s="15">
        <f>IF(AL7&lt;$B$5,Hypothèses!$D$45/MAX(1,$B$5-1),0)</f>
        <v/>
      </c>
      <c r="AN43" s="15">
        <f>SUM(C43:N43)</f>
        <v/>
      </c>
      <c r="AO43" s="15">
        <f>SUM(O43:Z43)</f>
        <v/>
      </c>
      <c r="AP43" s="15">
        <f>SUM(AA43:AL43)</f>
        <v/>
      </c>
    </row>
    <row r="44">
      <c r="A44" s="9" t="inlineStr">
        <is>
          <t>Outils et SaaS</t>
        </is>
      </c>
      <c r="B44" s="4" t="inlineStr">
        <is>
          <t>€ HT</t>
        </is>
      </c>
      <c r="C44" s="15">
        <f>Hypothèses!$D$46*$G$4</f>
        <v/>
      </c>
      <c r="D44" s="15">
        <f>Hypothèses!$D$46*$G$4</f>
        <v/>
      </c>
      <c r="E44" s="15">
        <f>Hypothèses!$D$46*$G$4</f>
        <v/>
      </c>
      <c r="F44" s="15">
        <f>Hypothèses!$D$46*$G$4</f>
        <v/>
      </c>
      <c r="G44" s="15">
        <f>Hypothèses!$D$46*$G$4</f>
        <v/>
      </c>
      <c r="H44" s="15">
        <f>Hypothèses!$D$46*$G$4</f>
        <v/>
      </c>
      <c r="I44" s="15">
        <f>Hypothèses!$D$46*$G$4</f>
        <v/>
      </c>
      <c r="J44" s="15">
        <f>Hypothèses!$D$46*$G$4</f>
        <v/>
      </c>
      <c r="K44" s="15">
        <f>Hypothèses!$D$46*$G$4</f>
        <v/>
      </c>
      <c r="L44" s="15">
        <f>Hypothèses!$D$46*$G$4</f>
        <v/>
      </c>
      <c r="M44" s="15">
        <f>Hypothèses!$D$46*$G$4</f>
        <v/>
      </c>
      <c r="N44" s="15">
        <f>Hypothèses!$D$46*$G$4</f>
        <v/>
      </c>
      <c r="O44" s="15">
        <f>Hypothèses!$D$46*$G$4</f>
        <v/>
      </c>
      <c r="P44" s="15">
        <f>Hypothèses!$D$46*$G$4</f>
        <v/>
      </c>
      <c r="Q44" s="15">
        <f>Hypothèses!$D$46*$G$4</f>
        <v/>
      </c>
      <c r="R44" s="15">
        <f>Hypothèses!$D$46*$G$4</f>
        <v/>
      </c>
      <c r="S44" s="15">
        <f>Hypothèses!$D$46*$G$4</f>
        <v/>
      </c>
      <c r="T44" s="15">
        <f>Hypothèses!$D$46*$G$4</f>
        <v/>
      </c>
      <c r="U44" s="15">
        <f>Hypothèses!$D$46*$G$4</f>
        <v/>
      </c>
      <c r="V44" s="15">
        <f>Hypothèses!$D$46*$G$4</f>
        <v/>
      </c>
      <c r="W44" s="15">
        <f>Hypothèses!$D$46*$G$4</f>
        <v/>
      </c>
      <c r="X44" s="15">
        <f>Hypothèses!$D$46*$G$4</f>
        <v/>
      </c>
      <c r="Y44" s="15">
        <f>Hypothèses!$D$46*$G$4</f>
        <v/>
      </c>
      <c r="Z44" s="15">
        <f>Hypothèses!$D$46*$G$4</f>
        <v/>
      </c>
      <c r="AA44" s="15">
        <f>Hypothèses!$D$46*$G$4</f>
        <v/>
      </c>
      <c r="AB44" s="15">
        <f>Hypothèses!$D$46*$G$4</f>
        <v/>
      </c>
      <c r="AC44" s="15">
        <f>Hypothèses!$D$46*$G$4</f>
        <v/>
      </c>
      <c r="AD44" s="15">
        <f>Hypothèses!$D$46*$G$4</f>
        <v/>
      </c>
      <c r="AE44" s="15">
        <f>Hypothèses!$D$46*$G$4</f>
        <v/>
      </c>
      <c r="AF44" s="15">
        <f>Hypothèses!$D$46*$G$4</f>
        <v/>
      </c>
      <c r="AG44" s="15">
        <f>Hypothèses!$D$46*$G$4</f>
        <v/>
      </c>
      <c r="AH44" s="15">
        <f>Hypothèses!$D$46*$G$4</f>
        <v/>
      </c>
      <c r="AI44" s="15">
        <f>Hypothèses!$D$46*$G$4</f>
        <v/>
      </c>
      <c r="AJ44" s="15">
        <f>Hypothèses!$D$46*$G$4</f>
        <v/>
      </c>
      <c r="AK44" s="15">
        <f>Hypothèses!$D$46*$G$4</f>
        <v/>
      </c>
      <c r="AL44" s="15">
        <f>Hypothèses!$D$46*$G$4</f>
        <v/>
      </c>
      <c r="AN44" s="15">
        <f>SUM(C44:N44)</f>
        <v/>
      </c>
      <c r="AO44" s="15">
        <f>SUM(O44:Z44)</f>
        <v/>
      </c>
      <c r="AP44" s="15">
        <f>SUM(AA44:AL44)</f>
        <v/>
      </c>
    </row>
    <row r="45">
      <c r="A45" s="9" t="inlineStr">
        <is>
          <t>Juridique et comptabilité</t>
        </is>
      </c>
      <c r="B45" s="4" t="inlineStr">
        <is>
          <t>€ HT</t>
        </is>
      </c>
      <c r="C45" s="15">
        <f>Hypothèses!$D$47*$G$4</f>
        <v/>
      </c>
      <c r="D45" s="15">
        <f>Hypothèses!$D$47*$G$4</f>
        <v/>
      </c>
      <c r="E45" s="15">
        <f>Hypothèses!$D$47*$G$4</f>
        <v/>
      </c>
      <c r="F45" s="15">
        <f>Hypothèses!$D$47*$G$4</f>
        <v/>
      </c>
      <c r="G45" s="15">
        <f>Hypothèses!$D$47*$G$4</f>
        <v/>
      </c>
      <c r="H45" s="15">
        <f>Hypothèses!$D$47*$G$4</f>
        <v/>
      </c>
      <c r="I45" s="15">
        <f>Hypothèses!$D$47*$G$4</f>
        <v/>
      </c>
      <c r="J45" s="15">
        <f>Hypothèses!$D$47*$G$4</f>
        <v/>
      </c>
      <c r="K45" s="15">
        <f>Hypothèses!$D$47*$G$4</f>
        <v/>
      </c>
      <c r="L45" s="15">
        <f>Hypothèses!$D$47*$G$4</f>
        <v/>
      </c>
      <c r="M45" s="15">
        <f>Hypothèses!$D$47*$G$4</f>
        <v/>
      </c>
      <c r="N45" s="15">
        <f>Hypothèses!$D$47*$G$4</f>
        <v/>
      </c>
      <c r="O45" s="15">
        <f>Hypothèses!$D$47*$G$4</f>
        <v/>
      </c>
      <c r="P45" s="15">
        <f>Hypothèses!$D$47*$G$4</f>
        <v/>
      </c>
      <c r="Q45" s="15">
        <f>Hypothèses!$D$47*$G$4</f>
        <v/>
      </c>
      <c r="R45" s="15">
        <f>Hypothèses!$D$47*$G$4</f>
        <v/>
      </c>
      <c r="S45" s="15">
        <f>Hypothèses!$D$47*$G$4</f>
        <v/>
      </c>
      <c r="T45" s="15">
        <f>Hypothèses!$D$47*$G$4</f>
        <v/>
      </c>
      <c r="U45" s="15">
        <f>Hypothèses!$D$47*$G$4</f>
        <v/>
      </c>
      <c r="V45" s="15">
        <f>Hypothèses!$D$47*$G$4</f>
        <v/>
      </c>
      <c r="W45" s="15">
        <f>Hypothèses!$D$47*$G$4</f>
        <v/>
      </c>
      <c r="X45" s="15">
        <f>Hypothèses!$D$47*$G$4</f>
        <v/>
      </c>
      <c r="Y45" s="15">
        <f>Hypothèses!$D$47*$G$4</f>
        <v/>
      </c>
      <c r="Z45" s="15">
        <f>Hypothèses!$D$47*$G$4</f>
        <v/>
      </c>
      <c r="AA45" s="15">
        <f>Hypothèses!$D$47*$G$4</f>
        <v/>
      </c>
      <c r="AB45" s="15">
        <f>Hypothèses!$D$47*$G$4</f>
        <v/>
      </c>
      <c r="AC45" s="15">
        <f>Hypothèses!$D$47*$G$4</f>
        <v/>
      </c>
      <c r="AD45" s="15">
        <f>Hypothèses!$D$47*$G$4</f>
        <v/>
      </c>
      <c r="AE45" s="15">
        <f>Hypothèses!$D$47*$G$4</f>
        <v/>
      </c>
      <c r="AF45" s="15">
        <f>Hypothèses!$D$47*$G$4</f>
        <v/>
      </c>
      <c r="AG45" s="15">
        <f>Hypothèses!$D$47*$G$4</f>
        <v/>
      </c>
      <c r="AH45" s="15">
        <f>Hypothèses!$D$47*$G$4</f>
        <v/>
      </c>
      <c r="AI45" s="15">
        <f>Hypothèses!$D$47*$G$4</f>
        <v/>
      </c>
      <c r="AJ45" s="15">
        <f>Hypothèses!$D$47*$G$4</f>
        <v/>
      </c>
      <c r="AK45" s="15">
        <f>Hypothèses!$D$47*$G$4</f>
        <v/>
      </c>
      <c r="AL45" s="15">
        <f>Hypothèses!$D$47*$G$4</f>
        <v/>
      </c>
      <c r="AN45" s="15">
        <f>SUM(C45:N45)</f>
        <v/>
      </c>
      <c r="AO45" s="15">
        <f>SUM(O45:Z45)</f>
        <v/>
      </c>
      <c r="AP45" s="15">
        <f>SUM(AA45:AL45)</f>
        <v/>
      </c>
    </row>
    <row r="46">
      <c r="A46" s="9" t="inlineStr">
        <is>
          <t>Assurance RC pro</t>
        </is>
      </c>
      <c r="B46" s="4" t="inlineStr">
        <is>
          <t>€</t>
        </is>
      </c>
      <c r="C46" s="15">
        <f>C9*Hypothèses!$D$48*$G$4</f>
        <v/>
      </c>
      <c r="D46" s="15">
        <f>D9*Hypothèses!$D$48*$G$4</f>
        <v/>
      </c>
      <c r="E46" s="15">
        <f>E9*Hypothèses!$D$48*$G$4</f>
        <v/>
      </c>
      <c r="F46" s="15">
        <f>F9*Hypothèses!$D$48*$G$4</f>
        <v/>
      </c>
      <c r="G46" s="15">
        <f>G9*Hypothèses!$D$48*$G$4</f>
        <v/>
      </c>
      <c r="H46" s="15">
        <f>H9*Hypothèses!$D$48*$G$4</f>
        <v/>
      </c>
      <c r="I46" s="15">
        <f>I9*Hypothèses!$D$48*$G$4</f>
        <v/>
      </c>
      <c r="J46" s="15">
        <f>J9*Hypothèses!$D$48*$G$4</f>
        <v/>
      </c>
      <c r="K46" s="15">
        <f>K9*Hypothèses!$D$48*$G$4</f>
        <v/>
      </c>
      <c r="L46" s="15">
        <f>L9*Hypothèses!$D$48*$G$4</f>
        <v/>
      </c>
      <c r="M46" s="15">
        <f>M9*Hypothèses!$D$48*$G$4</f>
        <v/>
      </c>
      <c r="N46" s="15">
        <f>N9*Hypothèses!$D$48*$G$4</f>
        <v/>
      </c>
      <c r="O46" s="15">
        <f>O9*Hypothèses!$D$48*$G$4</f>
        <v/>
      </c>
      <c r="P46" s="15">
        <f>P9*Hypothèses!$D$48*$G$4</f>
        <v/>
      </c>
      <c r="Q46" s="15">
        <f>Q9*Hypothèses!$D$48*$G$4</f>
        <v/>
      </c>
      <c r="R46" s="15">
        <f>R9*Hypothèses!$D$48*$G$4</f>
        <v/>
      </c>
      <c r="S46" s="15">
        <f>S9*Hypothèses!$D$48*$G$4</f>
        <v/>
      </c>
      <c r="T46" s="15">
        <f>T9*Hypothèses!$D$48*$G$4</f>
        <v/>
      </c>
      <c r="U46" s="15">
        <f>U9*Hypothèses!$D$48*$G$4</f>
        <v/>
      </c>
      <c r="V46" s="15">
        <f>V9*Hypothèses!$D$48*$G$4</f>
        <v/>
      </c>
      <c r="W46" s="15">
        <f>W9*Hypothèses!$D$48*$G$4</f>
        <v/>
      </c>
      <c r="X46" s="15">
        <f>X9*Hypothèses!$D$48*$G$4</f>
        <v/>
      </c>
      <c r="Y46" s="15">
        <f>Y9*Hypothèses!$D$48*$G$4</f>
        <v/>
      </c>
      <c r="Z46" s="15">
        <f>Z9*Hypothèses!$D$48*$G$4</f>
        <v/>
      </c>
      <c r="AA46" s="15">
        <f>AA9*Hypothèses!$D$48*$G$4</f>
        <v/>
      </c>
      <c r="AB46" s="15">
        <f>AB9*Hypothèses!$D$48*$G$4</f>
        <v/>
      </c>
      <c r="AC46" s="15">
        <f>AC9*Hypothèses!$D$48*$G$4</f>
        <v/>
      </c>
      <c r="AD46" s="15">
        <f>AD9*Hypothèses!$D$48*$G$4</f>
        <v/>
      </c>
      <c r="AE46" s="15">
        <f>AE9*Hypothèses!$D$48*$G$4</f>
        <v/>
      </c>
      <c r="AF46" s="15">
        <f>AF9*Hypothèses!$D$48*$G$4</f>
        <v/>
      </c>
      <c r="AG46" s="15">
        <f>AG9*Hypothèses!$D$48*$G$4</f>
        <v/>
      </c>
      <c r="AH46" s="15">
        <f>AH9*Hypothèses!$D$48*$G$4</f>
        <v/>
      </c>
      <c r="AI46" s="15">
        <f>AI9*Hypothèses!$D$48*$G$4</f>
        <v/>
      </c>
      <c r="AJ46" s="15">
        <f>AJ9*Hypothèses!$D$48*$G$4</f>
        <v/>
      </c>
      <c r="AK46" s="15">
        <f>AK9*Hypothèses!$D$48*$G$4</f>
        <v/>
      </c>
      <c r="AL46" s="15">
        <f>AL9*Hypothèses!$D$48*$G$4</f>
        <v/>
      </c>
      <c r="AN46" s="15">
        <f>SUM(C46:N46)</f>
        <v/>
      </c>
      <c r="AO46" s="15">
        <f>SUM(O46:Z46)</f>
        <v/>
      </c>
      <c r="AP46" s="15">
        <f>SUM(AA46:AL46)</f>
        <v/>
      </c>
    </row>
    <row r="47">
      <c r="A47" s="9" t="inlineStr">
        <is>
          <t>Marketing fixe</t>
        </is>
      </c>
      <c r="B47" s="4" t="inlineStr">
        <is>
          <t>€ HT</t>
        </is>
      </c>
      <c r="C47" s="15">
        <f>C9*Hypothèses!$D$49*$G$4</f>
        <v/>
      </c>
      <c r="D47" s="15">
        <f>D9*Hypothèses!$D$49*$G$4</f>
        <v/>
      </c>
      <c r="E47" s="15">
        <f>E9*Hypothèses!$D$49*$G$4</f>
        <v/>
      </c>
      <c r="F47" s="15">
        <f>F9*Hypothèses!$D$49*$G$4</f>
        <v/>
      </c>
      <c r="G47" s="15">
        <f>G9*Hypothèses!$D$49*$G$4</f>
        <v/>
      </c>
      <c r="H47" s="15">
        <f>H9*Hypothèses!$D$49*$G$4</f>
        <v/>
      </c>
      <c r="I47" s="15">
        <f>I9*Hypothèses!$D$49*$G$4</f>
        <v/>
      </c>
      <c r="J47" s="15">
        <f>J9*Hypothèses!$D$49*$G$4</f>
        <v/>
      </c>
      <c r="K47" s="15">
        <f>K9*Hypothèses!$D$49*$G$4</f>
        <v/>
      </c>
      <c r="L47" s="15">
        <f>L9*Hypothèses!$D$49*$G$4</f>
        <v/>
      </c>
      <c r="M47" s="15">
        <f>M9*Hypothèses!$D$49*$G$4</f>
        <v/>
      </c>
      <c r="N47" s="15">
        <f>N9*Hypothèses!$D$49*$G$4</f>
        <v/>
      </c>
      <c r="O47" s="15">
        <f>O9*Hypothèses!$D$49*$G$4</f>
        <v/>
      </c>
      <c r="P47" s="15">
        <f>P9*Hypothèses!$D$49*$G$4</f>
        <v/>
      </c>
      <c r="Q47" s="15">
        <f>Q9*Hypothèses!$D$49*$G$4</f>
        <v/>
      </c>
      <c r="R47" s="15">
        <f>R9*Hypothèses!$D$49*$G$4</f>
        <v/>
      </c>
      <c r="S47" s="15">
        <f>S9*Hypothèses!$D$49*$G$4</f>
        <v/>
      </c>
      <c r="T47" s="15">
        <f>T9*Hypothèses!$D$49*$G$4</f>
        <v/>
      </c>
      <c r="U47" s="15">
        <f>U9*Hypothèses!$D$49*$G$4</f>
        <v/>
      </c>
      <c r="V47" s="15">
        <f>V9*Hypothèses!$D$49*$G$4</f>
        <v/>
      </c>
      <c r="W47" s="15">
        <f>W9*Hypothèses!$D$49*$G$4</f>
        <v/>
      </c>
      <c r="X47" s="15">
        <f>X9*Hypothèses!$D$49*$G$4</f>
        <v/>
      </c>
      <c r="Y47" s="15">
        <f>Y9*Hypothèses!$D$49*$G$4</f>
        <v/>
      </c>
      <c r="Z47" s="15">
        <f>Z9*Hypothèses!$D$49*$G$4</f>
        <v/>
      </c>
      <c r="AA47" s="15">
        <f>AA9*Hypothèses!$D$49*$G$4</f>
        <v/>
      </c>
      <c r="AB47" s="15">
        <f>AB9*Hypothèses!$D$49*$G$4</f>
        <v/>
      </c>
      <c r="AC47" s="15">
        <f>AC9*Hypothèses!$D$49*$G$4</f>
        <v/>
      </c>
      <c r="AD47" s="15">
        <f>AD9*Hypothèses!$D$49*$G$4</f>
        <v/>
      </c>
      <c r="AE47" s="15">
        <f>AE9*Hypothèses!$D$49*$G$4</f>
        <v/>
      </c>
      <c r="AF47" s="15">
        <f>AF9*Hypothèses!$D$49*$G$4</f>
        <v/>
      </c>
      <c r="AG47" s="15">
        <f>AG9*Hypothèses!$D$49*$G$4</f>
        <v/>
      </c>
      <c r="AH47" s="15">
        <f>AH9*Hypothèses!$D$49*$G$4</f>
        <v/>
      </c>
      <c r="AI47" s="15">
        <f>AI9*Hypothèses!$D$49*$G$4</f>
        <v/>
      </c>
      <c r="AJ47" s="15">
        <f>AJ9*Hypothèses!$D$49*$G$4</f>
        <v/>
      </c>
      <c r="AK47" s="15">
        <f>AK9*Hypothèses!$D$49*$G$4</f>
        <v/>
      </c>
      <c r="AL47" s="15">
        <f>AL9*Hypothèses!$D$49*$G$4</f>
        <v/>
      </c>
      <c r="AN47" s="15">
        <f>SUM(C47:N47)</f>
        <v/>
      </c>
      <c r="AO47" s="15">
        <f>SUM(O47:Z47)</f>
        <v/>
      </c>
      <c r="AP47" s="15">
        <f>SUM(AA47:AL47)</f>
        <v/>
      </c>
    </row>
    <row r="48">
      <c r="A48" s="9" t="inlineStr">
        <is>
          <t>Frais généraux</t>
        </is>
      </c>
      <c r="B48" s="4" t="inlineStr">
        <is>
          <t>€ HT</t>
        </is>
      </c>
      <c r="C48" s="15">
        <f>Hypothèses!$D$50*$G$4</f>
        <v/>
      </c>
      <c r="D48" s="15">
        <f>Hypothèses!$D$50*$G$4</f>
        <v/>
      </c>
      <c r="E48" s="15">
        <f>Hypothèses!$D$50*$G$4</f>
        <v/>
      </c>
      <c r="F48" s="15">
        <f>Hypothèses!$D$50*$G$4</f>
        <v/>
      </c>
      <c r="G48" s="15">
        <f>Hypothèses!$D$50*$G$4</f>
        <v/>
      </c>
      <c r="H48" s="15">
        <f>Hypothèses!$D$50*$G$4</f>
        <v/>
      </c>
      <c r="I48" s="15">
        <f>Hypothèses!$D$50*$G$4</f>
        <v/>
      </c>
      <c r="J48" s="15">
        <f>Hypothèses!$D$50*$G$4</f>
        <v/>
      </c>
      <c r="K48" s="15">
        <f>Hypothèses!$D$50*$G$4</f>
        <v/>
      </c>
      <c r="L48" s="15">
        <f>Hypothèses!$D$50*$G$4</f>
        <v/>
      </c>
      <c r="M48" s="15">
        <f>Hypothèses!$D$50*$G$4</f>
        <v/>
      </c>
      <c r="N48" s="15">
        <f>Hypothèses!$D$50*$G$4</f>
        <v/>
      </c>
      <c r="O48" s="15">
        <f>Hypothèses!$D$50*$G$4</f>
        <v/>
      </c>
      <c r="P48" s="15">
        <f>Hypothèses!$D$50*$G$4</f>
        <v/>
      </c>
      <c r="Q48" s="15">
        <f>Hypothèses!$D$50*$G$4</f>
        <v/>
      </c>
      <c r="R48" s="15">
        <f>Hypothèses!$D$50*$G$4</f>
        <v/>
      </c>
      <c r="S48" s="15">
        <f>Hypothèses!$D$50*$G$4</f>
        <v/>
      </c>
      <c r="T48" s="15">
        <f>Hypothèses!$D$50*$G$4</f>
        <v/>
      </c>
      <c r="U48" s="15">
        <f>Hypothèses!$D$50*$G$4</f>
        <v/>
      </c>
      <c r="V48" s="15">
        <f>Hypothèses!$D$50*$G$4</f>
        <v/>
      </c>
      <c r="W48" s="15">
        <f>Hypothèses!$D$50*$G$4</f>
        <v/>
      </c>
      <c r="X48" s="15">
        <f>Hypothèses!$D$50*$G$4</f>
        <v/>
      </c>
      <c r="Y48" s="15">
        <f>Hypothèses!$D$50*$G$4</f>
        <v/>
      </c>
      <c r="Z48" s="15">
        <f>Hypothèses!$D$50*$G$4</f>
        <v/>
      </c>
      <c r="AA48" s="15">
        <f>Hypothèses!$D$50*$G$4</f>
        <v/>
      </c>
      <c r="AB48" s="15">
        <f>Hypothèses!$D$50*$G$4</f>
        <v/>
      </c>
      <c r="AC48" s="15">
        <f>Hypothèses!$D$50*$G$4</f>
        <v/>
      </c>
      <c r="AD48" s="15">
        <f>Hypothèses!$D$50*$G$4</f>
        <v/>
      </c>
      <c r="AE48" s="15">
        <f>Hypothèses!$D$50*$G$4</f>
        <v/>
      </c>
      <c r="AF48" s="15">
        <f>Hypothèses!$D$50*$G$4</f>
        <v/>
      </c>
      <c r="AG48" s="15">
        <f>Hypothèses!$D$50*$G$4</f>
        <v/>
      </c>
      <c r="AH48" s="15">
        <f>Hypothèses!$D$50*$G$4</f>
        <v/>
      </c>
      <c r="AI48" s="15">
        <f>Hypothèses!$D$50*$G$4</f>
        <v/>
      </c>
      <c r="AJ48" s="15">
        <f>Hypothèses!$D$50*$G$4</f>
        <v/>
      </c>
      <c r="AK48" s="15">
        <f>Hypothèses!$D$50*$G$4</f>
        <v/>
      </c>
      <c r="AL48" s="15">
        <f>Hypothèses!$D$50*$G$4</f>
        <v/>
      </c>
      <c r="AN48" s="15">
        <f>SUM(C48:N48)</f>
        <v/>
      </c>
      <c r="AO48" s="15">
        <f>SUM(O48:Z48)</f>
        <v/>
      </c>
      <c r="AP48" s="15">
        <f>SUM(AA48:AL48)</f>
        <v/>
      </c>
    </row>
    <row r="49">
      <c r="A49" s="9" t="inlineStr">
        <is>
          <t>Audit de sécurité (annuel, à partir du lancement)</t>
        </is>
      </c>
      <c r="B49" s="4" t="inlineStr">
        <is>
          <t>€ HT</t>
        </is>
      </c>
      <c r="C49" s="15">
        <f>IF(AND(C9=1,MOD(C7-$B$5,12)=0),Hypothèses!$D$51,0)*$G$4</f>
        <v/>
      </c>
      <c r="D49" s="15">
        <f>IF(AND(D9=1,MOD(D7-$B$5,12)=0),Hypothèses!$D$51,0)*$G$4</f>
        <v/>
      </c>
      <c r="E49" s="15">
        <f>IF(AND(E9=1,MOD(E7-$B$5,12)=0),Hypothèses!$D$51,0)*$G$4</f>
        <v/>
      </c>
      <c r="F49" s="15">
        <f>IF(AND(F9=1,MOD(F7-$B$5,12)=0),Hypothèses!$D$51,0)*$G$4</f>
        <v/>
      </c>
      <c r="G49" s="15">
        <f>IF(AND(G9=1,MOD(G7-$B$5,12)=0),Hypothèses!$D$51,0)*$G$4</f>
        <v/>
      </c>
      <c r="H49" s="15">
        <f>IF(AND(H9=1,MOD(H7-$B$5,12)=0),Hypothèses!$D$51,0)*$G$4</f>
        <v/>
      </c>
      <c r="I49" s="15">
        <f>IF(AND(I9=1,MOD(I7-$B$5,12)=0),Hypothèses!$D$51,0)*$G$4</f>
        <v/>
      </c>
      <c r="J49" s="15">
        <f>IF(AND(J9=1,MOD(J7-$B$5,12)=0),Hypothèses!$D$51,0)*$G$4</f>
        <v/>
      </c>
      <c r="K49" s="15">
        <f>IF(AND(K9=1,MOD(K7-$B$5,12)=0),Hypothèses!$D$51,0)*$G$4</f>
        <v/>
      </c>
      <c r="L49" s="15">
        <f>IF(AND(L9=1,MOD(L7-$B$5,12)=0),Hypothèses!$D$51,0)*$G$4</f>
        <v/>
      </c>
      <c r="M49" s="15">
        <f>IF(AND(M9=1,MOD(M7-$B$5,12)=0),Hypothèses!$D$51,0)*$G$4</f>
        <v/>
      </c>
      <c r="N49" s="15">
        <f>IF(AND(N9=1,MOD(N7-$B$5,12)=0),Hypothèses!$D$51,0)*$G$4</f>
        <v/>
      </c>
      <c r="O49" s="15">
        <f>IF(AND(O9=1,MOD(O7-$B$5,12)=0),Hypothèses!$D$51,0)*$G$4</f>
        <v/>
      </c>
      <c r="P49" s="15">
        <f>IF(AND(P9=1,MOD(P7-$B$5,12)=0),Hypothèses!$D$51,0)*$G$4</f>
        <v/>
      </c>
      <c r="Q49" s="15">
        <f>IF(AND(Q9=1,MOD(Q7-$B$5,12)=0),Hypothèses!$D$51,0)*$G$4</f>
        <v/>
      </c>
      <c r="R49" s="15">
        <f>IF(AND(R9=1,MOD(R7-$B$5,12)=0),Hypothèses!$D$51,0)*$G$4</f>
        <v/>
      </c>
      <c r="S49" s="15">
        <f>IF(AND(S9=1,MOD(S7-$B$5,12)=0),Hypothèses!$D$51,0)*$G$4</f>
        <v/>
      </c>
      <c r="T49" s="15">
        <f>IF(AND(T9=1,MOD(T7-$B$5,12)=0),Hypothèses!$D$51,0)*$G$4</f>
        <v/>
      </c>
      <c r="U49" s="15">
        <f>IF(AND(U9=1,MOD(U7-$B$5,12)=0),Hypothèses!$D$51,0)*$G$4</f>
        <v/>
      </c>
      <c r="V49" s="15">
        <f>IF(AND(V9=1,MOD(V7-$B$5,12)=0),Hypothèses!$D$51,0)*$G$4</f>
        <v/>
      </c>
      <c r="W49" s="15">
        <f>IF(AND(W9=1,MOD(W7-$B$5,12)=0),Hypothèses!$D$51,0)*$G$4</f>
        <v/>
      </c>
      <c r="X49" s="15">
        <f>IF(AND(X9=1,MOD(X7-$B$5,12)=0),Hypothèses!$D$51,0)*$G$4</f>
        <v/>
      </c>
      <c r="Y49" s="15">
        <f>IF(AND(Y9=1,MOD(Y7-$B$5,12)=0),Hypothèses!$D$51,0)*$G$4</f>
        <v/>
      </c>
      <c r="Z49" s="15">
        <f>IF(AND(Z9=1,MOD(Z7-$B$5,12)=0),Hypothèses!$D$51,0)*$G$4</f>
        <v/>
      </c>
      <c r="AA49" s="15">
        <f>IF(AND(AA9=1,MOD(AA7-$B$5,12)=0),Hypothèses!$D$51,0)*$G$4</f>
        <v/>
      </c>
      <c r="AB49" s="15">
        <f>IF(AND(AB9=1,MOD(AB7-$B$5,12)=0),Hypothèses!$D$51,0)*$G$4</f>
        <v/>
      </c>
      <c r="AC49" s="15">
        <f>IF(AND(AC9=1,MOD(AC7-$B$5,12)=0),Hypothèses!$D$51,0)*$G$4</f>
        <v/>
      </c>
      <c r="AD49" s="15">
        <f>IF(AND(AD9=1,MOD(AD7-$B$5,12)=0),Hypothèses!$D$51,0)*$G$4</f>
        <v/>
      </c>
      <c r="AE49" s="15">
        <f>IF(AND(AE9=1,MOD(AE7-$B$5,12)=0),Hypothèses!$D$51,0)*$G$4</f>
        <v/>
      </c>
      <c r="AF49" s="15">
        <f>IF(AND(AF9=1,MOD(AF7-$B$5,12)=0),Hypothèses!$D$51,0)*$G$4</f>
        <v/>
      </c>
      <c r="AG49" s="15">
        <f>IF(AND(AG9=1,MOD(AG7-$B$5,12)=0),Hypothèses!$D$51,0)*$G$4</f>
        <v/>
      </c>
      <c r="AH49" s="15">
        <f>IF(AND(AH9=1,MOD(AH7-$B$5,12)=0),Hypothèses!$D$51,0)*$G$4</f>
        <v/>
      </c>
      <c r="AI49" s="15">
        <f>IF(AND(AI9=1,MOD(AI7-$B$5,12)=0),Hypothèses!$D$51,0)*$G$4</f>
        <v/>
      </c>
      <c r="AJ49" s="15">
        <f>IF(AND(AJ9=1,MOD(AJ7-$B$5,12)=0),Hypothèses!$D$51,0)*$G$4</f>
        <v/>
      </c>
      <c r="AK49" s="15">
        <f>IF(AND(AK9=1,MOD(AK7-$B$5,12)=0),Hypothèses!$D$51,0)*$G$4</f>
        <v/>
      </c>
      <c r="AL49" s="15">
        <f>IF(AND(AL9=1,MOD(AL7-$B$5,12)=0),Hypothèses!$D$51,0)*$G$4</f>
        <v/>
      </c>
      <c r="AN49" s="15">
        <f>SUM(C49:N49)</f>
        <v/>
      </c>
      <c r="AO49" s="15">
        <f>SUM(O49:Z49)</f>
        <v/>
      </c>
      <c r="AP49" s="15">
        <f>SUM(AA49:AL49)</f>
        <v/>
      </c>
    </row>
    <row r="50">
      <c r="A50" s="9" t="inlineStr">
        <is>
          <t>Frais de constitution</t>
        </is>
      </c>
      <c r="B50" s="4" t="inlineStr">
        <is>
          <t>€ HT</t>
        </is>
      </c>
      <c r="C50" s="15">
        <f>IF(C7=2,Hypothèses!$D$52,0)</f>
        <v/>
      </c>
      <c r="D50" s="15">
        <f>IF(D7=2,Hypothèses!$D$52,0)</f>
        <v/>
      </c>
      <c r="E50" s="15">
        <f>IF(E7=2,Hypothèses!$D$52,0)</f>
        <v/>
      </c>
      <c r="F50" s="15">
        <f>IF(F7=2,Hypothèses!$D$52,0)</f>
        <v/>
      </c>
      <c r="G50" s="15">
        <f>IF(G7=2,Hypothèses!$D$52,0)</f>
        <v/>
      </c>
      <c r="H50" s="15">
        <f>IF(H7=2,Hypothèses!$D$52,0)</f>
        <v/>
      </c>
      <c r="I50" s="15">
        <f>IF(I7=2,Hypothèses!$D$52,0)</f>
        <v/>
      </c>
      <c r="J50" s="15">
        <f>IF(J7=2,Hypothèses!$D$52,0)</f>
        <v/>
      </c>
      <c r="K50" s="15">
        <f>IF(K7=2,Hypothèses!$D$52,0)</f>
        <v/>
      </c>
      <c r="L50" s="15">
        <f>IF(L7=2,Hypothèses!$D$52,0)</f>
        <v/>
      </c>
      <c r="M50" s="15">
        <f>IF(M7=2,Hypothèses!$D$52,0)</f>
        <v/>
      </c>
      <c r="N50" s="15">
        <f>IF(N7=2,Hypothèses!$D$52,0)</f>
        <v/>
      </c>
      <c r="O50" s="15">
        <f>IF(O7=2,Hypothèses!$D$52,0)</f>
        <v/>
      </c>
      <c r="P50" s="15">
        <f>IF(P7=2,Hypothèses!$D$52,0)</f>
        <v/>
      </c>
      <c r="Q50" s="15">
        <f>IF(Q7=2,Hypothèses!$D$52,0)</f>
        <v/>
      </c>
      <c r="R50" s="15">
        <f>IF(R7=2,Hypothèses!$D$52,0)</f>
        <v/>
      </c>
      <c r="S50" s="15">
        <f>IF(S7=2,Hypothèses!$D$52,0)</f>
        <v/>
      </c>
      <c r="T50" s="15">
        <f>IF(T7=2,Hypothèses!$D$52,0)</f>
        <v/>
      </c>
      <c r="U50" s="15">
        <f>IF(U7=2,Hypothèses!$D$52,0)</f>
        <v/>
      </c>
      <c r="V50" s="15">
        <f>IF(V7=2,Hypothèses!$D$52,0)</f>
        <v/>
      </c>
      <c r="W50" s="15">
        <f>IF(W7=2,Hypothèses!$D$52,0)</f>
        <v/>
      </c>
      <c r="X50" s="15">
        <f>IF(X7=2,Hypothèses!$D$52,0)</f>
        <v/>
      </c>
      <c r="Y50" s="15">
        <f>IF(Y7=2,Hypothèses!$D$52,0)</f>
        <v/>
      </c>
      <c r="Z50" s="15">
        <f>IF(Z7=2,Hypothèses!$D$52,0)</f>
        <v/>
      </c>
      <c r="AA50" s="15">
        <f>IF(AA7=2,Hypothèses!$D$52,0)</f>
        <v/>
      </c>
      <c r="AB50" s="15">
        <f>IF(AB7=2,Hypothèses!$D$52,0)</f>
        <v/>
      </c>
      <c r="AC50" s="15">
        <f>IF(AC7=2,Hypothèses!$D$52,0)</f>
        <v/>
      </c>
      <c r="AD50" s="15">
        <f>IF(AD7=2,Hypothèses!$D$52,0)</f>
        <v/>
      </c>
      <c r="AE50" s="15">
        <f>IF(AE7=2,Hypothèses!$D$52,0)</f>
        <v/>
      </c>
      <c r="AF50" s="15">
        <f>IF(AF7=2,Hypothèses!$D$52,0)</f>
        <v/>
      </c>
      <c r="AG50" s="15">
        <f>IF(AG7=2,Hypothèses!$D$52,0)</f>
        <v/>
      </c>
      <c r="AH50" s="15">
        <f>IF(AH7=2,Hypothèses!$D$52,0)</f>
        <v/>
      </c>
      <c r="AI50" s="15">
        <f>IF(AI7=2,Hypothèses!$D$52,0)</f>
        <v/>
      </c>
      <c r="AJ50" s="15">
        <f>IF(AJ7=2,Hypothèses!$D$52,0)</f>
        <v/>
      </c>
      <c r="AK50" s="15">
        <f>IF(AK7=2,Hypothèses!$D$52,0)</f>
        <v/>
      </c>
      <c r="AL50" s="15">
        <f>IF(AL7=2,Hypothèses!$D$52,0)</f>
        <v/>
      </c>
      <c r="AN50" s="15">
        <f>SUM(C50:N50)</f>
        <v/>
      </c>
      <c r="AO50" s="15">
        <f>SUM(O50:Z50)</f>
        <v/>
      </c>
      <c r="AP50" s="15">
        <f>SUM(AA50:AL50)</f>
        <v/>
      </c>
    </row>
    <row r="51">
      <c r="A51" s="2" t="inlineStr">
        <is>
          <t>Total coûts fixes</t>
        </is>
      </c>
      <c r="B51" s="4" t="inlineStr">
        <is>
          <t>€ HT</t>
        </is>
      </c>
      <c r="C51" s="40">
        <f>SUM(C40:C50)</f>
        <v/>
      </c>
      <c r="D51" s="40">
        <f>SUM(D40:D50)</f>
        <v/>
      </c>
      <c r="E51" s="40">
        <f>SUM(E40:E50)</f>
        <v/>
      </c>
      <c r="F51" s="40">
        <f>SUM(F40:F50)</f>
        <v/>
      </c>
      <c r="G51" s="40">
        <f>SUM(G40:G50)</f>
        <v/>
      </c>
      <c r="H51" s="40">
        <f>SUM(H40:H50)</f>
        <v/>
      </c>
      <c r="I51" s="40">
        <f>SUM(I40:I50)</f>
        <v/>
      </c>
      <c r="J51" s="40">
        <f>SUM(J40:J50)</f>
        <v/>
      </c>
      <c r="K51" s="40">
        <f>SUM(K40:K50)</f>
        <v/>
      </c>
      <c r="L51" s="40">
        <f>SUM(L40:L50)</f>
        <v/>
      </c>
      <c r="M51" s="40">
        <f>SUM(M40:M50)</f>
        <v/>
      </c>
      <c r="N51" s="40">
        <f>SUM(N40:N50)</f>
        <v/>
      </c>
      <c r="O51" s="40">
        <f>SUM(O40:O50)</f>
        <v/>
      </c>
      <c r="P51" s="40">
        <f>SUM(P40:P50)</f>
        <v/>
      </c>
      <c r="Q51" s="40">
        <f>SUM(Q40:Q50)</f>
        <v/>
      </c>
      <c r="R51" s="40">
        <f>SUM(R40:R50)</f>
        <v/>
      </c>
      <c r="S51" s="40">
        <f>SUM(S40:S50)</f>
        <v/>
      </c>
      <c r="T51" s="40">
        <f>SUM(T40:T50)</f>
        <v/>
      </c>
      <c r="U51" s="40">
        <f>SUM(U40:U50)</f>
        <v/>
      </c>
      <c r="V51" s="40">
        <f>SUM(V40:V50)</f>
        <v/>
      </c>
      <c r="W51" s="40">
        <f>SUM(W40:W50)</f>
        <v/>
      </c>
      <c r="X51" s="40">
        <f>SUM(X40:X50)</f>
        <v/>
      </c>
      <c r="Y51" s="40">
        <f>SUM(Y40:Y50)</f>
        <v/>
      </c>
      <c r="Z51" s="40">
        <f>SUM(Z40:Z50)</f>
        <v/>
      </c>
      <c r="AA51" s="40">
        <f>SUM(AA40:AA50)</f>
        <v/>
      </c>
      <c r="AB51" s="40">
        <f>SUM(AB40:AB50)</f>
        <v/>
      </c>
      <c r="AC51" s="40">
        <f>SUM(AC40:AC50)</f>
        <v/>
      </c>
      <c r="AD51" s="40">
        <f>SUM(AD40:AD50)</f>
        <v/>
      </c>
      <c r="AE51" s="40">
        <f>SUM(AE40:AE50)</f>
        <v/>
      </c>
      <c r="AF51" s="40">
        <f>SUM(AF40:AF50)</f>
        <v/>
      </c>
      <c r="AG51" s="40">
        <f>SUM(AG40:AG50)</f>
        <v/>
      </c>
      <c r="AH51" s="40">
        <f>SUM(AH40:AH50)</f>
        <v/>
      </c>
      <c r="AI51" s="40">
        <f>SUM(AI40:AI50)</f>
        <v/>
      </c>
      <c r="AJ51" s="40">
        <f>SUM(AJ40:AJ50)</f>
        <v/>
      </c>
      <c r="AK51" s="40">
        <f>SUM(AK40:AK50)</f>
        <v/>
      </c>
      <c r="AL51" s="40">
        <f>SUM(AL40:AL50)</f>
        <v/>
      </c>
      <c r="AN51" s="40">
        <f>SUM(C51:N51)</f>
        <v/>
      </c>
      <c r="AO51" s="40">
        <f>SUM(O51:Z51)</f>
        <v/>
      </c>
      <c r="AP51" s="40">
        <f>SUM(AA51:AL51)</f>
        <v/>
      </c>
    </row>
    <row r="52">
      <c r="A52" s="2" t="inlineStr">
        <is>
          <t>EBITDA (marge variable − acquisition − fixes)</t>
        </is>
      </c>
      <c r="B52" s="4" t="inlineStr">
        <is>
          <t>€ HT</t>
        </is>
      </c>
      <c r="C52" s="40">
        <f>C37-C39-C51</f>
        <v/>
      </c>
      <c r="D52" s="40">
        <f>D37-D39-D51</f>
        <v/>
      </c>
      <c r="E52" s="40">
        <f>E37-E39-E51</f>
        <v/>
      </c>
      <c r="F52" s="40">
        <f>F37-F39-F51</f>
        <v/>
      </c>
      <c r="G52" s="40">
        <f>G37-G39-G51</f>
        <v/>
      </c>
      <c r="H52" s="40">
        <f>H37-H39-H51</f>
        <v/>
      </c>
      <c r="I52" s="40">
        <f>I37-I39-I51</f>
        <v/>
      </c>
      <c r="J52" s="40">
        <f>J37-J39-J51</f>
        <v/>
      </c>
      <c r="K52" s="40">
        <f>K37-K39-K51</f>
        <v/>
      </c>
      <c r="L52" s="40">
        <f>L37-L39-L51</f>
        <v/>
      </c>
      <c r="M52" s="40">
        <f>M37-M39-M51</f>
        <v/>
      </c>
      <c r="N52" s="40">
        <f>N37-N39-N51</f>
        <v/>
      </c>
      <c r="O52" s="40">
        <f>O37-O39-O51</f>
        <v/>
      </c>
      <c r="P52" s="40">
        <f>P37-P39-P51</f>
        <v/>
      </c>
      <c r="Q52" s="40">
        <f>Q37-Q39-Q51</f>
        <v/>
      </c>
      <c r="R52" s="40">
        <f>R37-R39-R51</f>
        <v/>
      </c>
      <c r="S52" s="40">
        <f>S37-S39-S51</f>
        <v/>
      </c>
      <c r="T52" s="40">
        <f>T37-T39-T51</f>
        <v/>
      </c>
      <c r="U52" s="40">
        <f>U37-U39-U51</f>
        <v/>
      </c>
      <c r="V52" s="40">
        <f>V37-V39-V51</f>
        <v/>
      </c>
      <c r="W52" s="40">
        <f>W37-W39-W51</f>
        <v/>
      </c>
      <c r="X52" s="40">
        <f>X37-X39-X51</f>
        <v/>
      </c>
      <c r="Y52" s="40">
        <f>Y37-Y39-Y51</f>
        <v/>
      </c>
      <c r="Z52" s="40">
        <f>Z37-Z39-Z51</f>
        <v/>
      </c>
      <c r="AA52" s="40">
        <f>AA37-AA39-AA51</f>
        <v/>
      </c>
      <c r="AB52" s="40">
        <f>AB37-AB39-AB51</f>
        <v/>
      </c>
      <c r="AC52" s="40">
        <f>AC37-AC39-AC51</f>
        <v/>
      </c>
      <c r="AD52" s="40">
        <f>AD37-AD39-AD51</f>
        <v/>
      </c>
      <c r="AE52" s="40">
        <f>AE37-AE39-AE51</f>
        <v/>
      </c>
      <c r="AF52" s="40">
        <f>AF37-AF39-AF51</f>
        <v/>
      </c>
      <c r="AG52" s="40">
        <f>AG37-AG39-AG51</f>
        <v/>
      </c>
      <c r="AH52" s="40">
        <f>AH37-AH39-AH51</f>
        <v/>
      </c>
      <c r="AI52" s="40">
        <f>AI37-AI39-AI51</f>
        <v/>
      </c>
      <c r="AJ52" s="40">
        <f>AJ37-AJ39-AJ51</f>
        <v/>
      </c>
      <c r="AK52" s="40">
        <f>AK37-AK39-AK51</f>
        <v/>
      </c>
      <c r="AL52" s="40">
        <f>AL37-AL39-AL51</f>
        <v/>
      </c>
      <c r="AN52" s="40">
        <f>SUM(C52:N52)</f>
        <v/>
      </c>
      <c r="AO52" s="40">
        <f>SUM(O52:Z52)</f>
        <v/>
      </c>
      <c r="AP52" s="40">
        <f>SUM(AA52:AL52)</f>
        <v/>
      </c>
    </row>
    <row r="53">
      <c r="A53" s="9" t="inlineStr">
        <is>
          <t>EBITDA positif ? (1 = oui)</t>
        </is>
      </c>
      <c r="B53" s="4" t="inlineStr">
        <is>
          <t>0/1</t>
        </is>
      </c>
      <c r="C53" s="13">
        <f>IF(C52&gt;0,1,0)</f>
        <v/>
      </c>
      <c r="D53" s="13">
        <f>IF(D52&gt;0,1,0)</f>
        <v/>
      </c>
      <c r="E53" s="13">
        <f>IF(E52&gt;0,1,0)</f>
        <v/>
      </c>
      <c r="F53" s="13">
        <f>IF(F52&gt;0,1,0)</f>
        <v/>
      </c>
      <c r="G53" s="13">
        <f>IF(G52&gt;0,1,0)</f>
        <v/>
      </c>
      <c r="H53" s="13">
        <f>IF(H52&gt;0,1,0)</f>
        <v/>
      </c>
      <c r="I53" s="13">
        <f>IF(I52&gt;0,1,0)</f>
        <v/>
      </c>
      <c r="J53" s="13">
        <f>IF(J52&gt;0,1,0)</f>
        <v/>
      </c>
      <c r="K53" s="13">
        <f>IF(K52&gt;0,1,0)</f>
        <v/>
      </c>
      <c r="L53" s="13">
        <f>IF(L52&gt;0,1,0)</f>
        <v/>
      </c>
      <c r="M53" s="13">
        <f>IF(M52&gt;0,1,0)</f>
        <v/>
      </c>
      <c r="N53" s="13">
        <f>IF(N52&gt;0,1,0)</f>
        <v/>
      </c>
      <c r="O53" s="13">
        <f>IF(O52&gt;0,1,0)</f>
        <v/>
      </c>
      <c r="P53" s="13">
        <f>IF(P52&gt;0,1,0)</f>
        <v/>
      </c>
      <c r="Q53" s="13">
        <f>IF(Q52&gt;0,1,0)</f>
        <v/>
      </c>
      <c r="R53" s="13">
        <f>IF(R52&gt;0,1,0)</f>
        <v/>
      </c>
      <c r="S53" s="13">
        <f>IF(S52&gt;0,1,0)</f>
        <v/>
      </c>
      <c r="T53" s="13">
        <f>IF(T52&gt;0,1,0)</f>
        <v/>
      </c>
      <c r="U53" s="13">
        <f>IF(U52&gt;0,1,0)</f>
        <v/>
      </c>
      <c r="V53" s="13">
        <f>IF(V52&gt;0,1,0)</f>
        <v/>
      </c>
      <c r="W53" s="13">
        <f>IF(W52&gt;0,1,0)</f>
        <v/>
      </c>
      <c r="X53" s="13">
        <f>IF(X52&gt;0,1,0)</f>
        <v/>
      </c>
      <c r="Y53" s="13">
        <f>IF(Y52&gt;0,1,0)</f>
        <v/>
      </c>
      <c r="Z53" s="13">
        <f>IF(Z52&gt;0,1,0)</f>
        <v/>
      </c>
      <c r="AA53" s="13">
        <f>IF(AA52&gt;0,1,0)</f>
        <v/>
      </c>
      <c r="AB53" s="13">
        <f>IF(AB52&gt;0,1,0)</f>
        <v/>
      </c>
      <c r="AC53" s="13">
        <f>IF(AC52&gt;0,1,0)</f>
        <v/>
      </c>
      <c r="AD53" s="13">
        <f>IF(AD52&gt;0,1,0)</f>
        <v/>
      </c>
      <c r="AE53" s="13">
        <f>IF(AE52&gt;0,1,0)</f>
        <v/>
      </c>
      <c r="AF53" s="13">
        <f>IF(AF52&gt;0,1,0)</f>
        <v/>
      </c>
      <c r="AG53" s="13">
        <f>IF(AG52&gt;0,1,0)</f>
        <v/>
      </c>
      <c r="AH53" s="13">
        <f>IF(AH52&gt;0,1,0)</f>
        <v/>
      </c>
      <c r="AI53" s="13">
        <f>IF(AI52&gt;0,1,0)</f>
        <v/>
      </c>
      <c r="AJ53" s="13">
        <f>IF(AJ52&gt;0,1,0)</f>
        <v/>
      </c>
      <c r="AK53" s="13">
        <f>IF(AK52&gt;0,1,0)</f>
        <v/>
      </c>
      <c r="AL53" s="13">
        <f>IF(AL52&gt;0,1,0)</f>
        <v/>
      </c>
    </row>
    <row r="54">
      <c r="A54" s="8" t="inlineStr">
        <is>
          <t>Trésorerie</t>
        </is>
      </c>
    </row>
    <row r="55">
      <c r="A55" s="9" t="inlineStr">
        <is>
          <t>TVA collectée reversée (mois suivant)</t>
        </is>
      </c>
      <c r="B55" s="4" t="inlineStr">
        <is>
          <t>€</t>
        </is>
      </c>
      <c r="C55" s="15">
        <f>0</f>
        <v/>
      </c>
      <c r="D55" s="15">
        <f>C27</f>
        <v/>
      </c>
      <c r="E55" s="15">
        <f>D27</f>
        <v/>
      </c>
      <c r="F55" s="15">
        <f>E27</f>
        <v/>
      </c>
      <c r="G55" s="15">
        <f>F27</f>
        <v/>
      </c>
      <c r="H55" s="15">
        <f>G27</f>
        <v/>
      </c>
      <c r="I55" s="15">
        <f>H27</f>
        <v/>
      </c>
      <c r="J55" s="15">
        <f>I27</f>
        <v/>
      </c>
      <c r="K55" s="15">
        <f>J27</f>
        <v/>
      </c>
      <c r="L55" s="15">
        <f>K27</f>
        <v/>
      </c>
      <c r="M55" s="15">
        <f>L27</f>
        <v/>
      </c>
      <c r="N55" s="15">
        <f>M27</f>
        <v/>
      </c>
      <c r="O55" s="15">
        <f>N27</f>
        <v/>
      </c>
      <c r="P55" s="15">
        <f>O27</f>
        <v/>
      </c>
      <c r="Q55" s="15">
        <f>P27</f>
        <v/>
      </c>
      <c r="R55" s="15">
        <f>Q27</f>
        <v/>
      </c>
      <c r="S55" s="15">
        <f>R27</f>
        <v/>
      </c>
      <c r="T55" s="15">
        <f>S27</f>
        <v/>
      </c>
      <c r="U55" s="15">
        <f>T27</f>
        <v/>
      </c>
      <c r="V55" s="15">
        <f>U27</f>
        <v/>
      </c>
      <c r="W55" s="15">
        <f>V27</f>
        <v/>
      </c>
      <c r="X55" s="15">
        <f>W27</f>
        <v/>
      </c>
      <c r="Y55" s="15">
        <f>X27</f>
        <v/>
      </c>
      <c r="Z55" s="15">
        <f>Y27</f>
        <v/>
      </c>
      <c r="AA55" s="15">
        <f>Z27</f>
        <v/>
      </c>
      <c r="AB55" s="15">
        <f>AA27</f>
        <v/>
      </c>
      <c r="AC55" s="15">
        <f>AB27</f>
        <v/>
      </c>
      <c r="AD55" s="15">
        <f>AC27</f>
        <v/>
      </c>
      <c r="AE55" s="15">
        <f>AD27</f>
        <v/>
      </c>
      <c r="AF55" s="15">
        <f>AE27</f>
        <v/>
      </c>
      <c r="AG55" s="15">
        <f>AF27</f>
        <v/>
      </c>
      <c r="AH55" s="15">
        <f>AG27</f>
        <v/>
      </c>
      <c r="AI55" s="15">
        <f>AH27</f>
        <v/>
      </c>
      <c r="AJ55" s="15">
        <f>AI27</f>
        <v/>
      </c>
      <c r="AK55" s="15">
        <f>AJ27</f>
        <v/>
      </c>
      <c r="AL55" s="15">
        <f>AK27</f>
        <v/>
      </c>
      <c r="AN55" s="15">
        <f>SUM(C55:N55)</f>
        <v/>
      </c>
      <c r="AO55" s="15">
        <f>SUM(O55:Z55)</f>
        <v/>
      </c>
      <c r="AP55" s="15">
        <f>SUM(AA55:AL55)</f>
        <v/>
      </c>
    </row>
    <row r="56">
      <c r="A56" s="9" t="inlineStr">
        <is>
          <t>TVA déductible récupérée (mois suivant, coûts externes)</t>
        </is>
      </c>
      <c r="B56" s="4" t="inlineStr">
        <is>
          <t>€</t>
        </is>
      </c>
      <c r="C56" s="15">
        <f>0</f>
        <v/>
      </c>
      <c r="D56" s="15">
        <f>(C36+C39+C43+C44+C45+C47+C48+C49+C50)*Hypothèses!$D$15</f>
        <v/>
      </c>
      <c r="E56" s="15">
        <f>(D36+D39+D43+D44+D45+D47+D48+D49+D50)*Hypothèses!$D$15</f>
        <v/>
      </c>
      <c r="F56" s="15">
        <f>(E36+E39+E43+E44+E45+E47+E48+E49+E50)*Hypothèses!$D$15</f>
        <v/>
      </c>
      <c r="G56" s="15">
        <f>(F36+F39+F43+F44+F45+F47+F48+F49+F50)*Hypothèses!$D$15</f>
        <v/>
      </c>
      <c r="H56" s="15">
        <f>(G36+G39+G43+G44+G45+G47+G48+G49+G50)*Hypothèses!$D$15</f>
        <v/>
      </c>
      <c r="I56" s="15">
        <f>(H36+H39+H43+H44+H45+H47+H48+H49+H50)*Hypothèses!$D$15</f>
        <v/>
      </c>
      <c r="J56" s="15">
        <f>(I36+I39+I43+I44+I45+I47+I48+I49+I50)*Hypothèses!$D$15</f>
        <v/>
      </c>
      <c r="K56" s="15">
        <f>(J36+J39+J43+J44+J45+J47+J48+J49+J50)*Hypothèses!$D$15</f>
        <v/>
      </c>
      <c r="L56" s="15">
        <f>(K36+K39+K43+K44+K45+K47+K48+K49+K50)*Hypothèses!$D$15</f>
        <v/>
      </c>
      <c r="M56" s="15">
        <f>(L36+L39+L43+L44+L45+L47+L48+L49+L50)*Hypothèses!$D$15</f>
        <v/>
      </c>
      <c r="N56" s="15">
        <f>(M36+M39+M43+M44+M45+M47+M48+M49+M50)*Hypothèses!$D$15</f>
        <v/>
      </c>
      <c r="O56" s="15">
        <f>(N36+N39+N43+N44+N45+N47+N48+N49+N50)*Hypothèses!$D$15</f>
        <v/>
      </c>
      <c r="P56" s="15">
        <f>(O36+O39+O43+O44+O45+O47+O48+O49+O50)*Hypothèses!$D$15</f>
        <v/>
      </c>
      <c r="Q56" s="15">
        <f>(P36+P39+P43+P44+P45+P47+P48+P49+P50)*Hypothèses!$D$15</f>
        <v/>
      </c>
      <c r="R56" s="15">
        <f>(Q36+Q39+Q43+Q44+Q45+Q47+Q48+Q49+Q50)*Hypothèses!$D$15</f>
        <v/>
      </c>
      <c r="S56" s="15">
        <f>(R36+R39+R43+R44+R45+R47+R48+R49+R50)*Hypothèses!$D$15</f>
        <v/>
      </c>
      <c r="T56" s="15">
        <f>(S36+S39+S43+S44+S45+S47+S48+S49+S50)*Hypothèses!$D$15</f>
        <v/>
      </c>
      <c r="U56" s="15">
        <f>(T36+T39+T43+T44+T45+T47+T48+T49+T50)*Hypothèses!$D$15</f>
        <v/>
      </c>
      <c r="V56" s="15">
        <f>(U36+U39+U43+U44+U45+U47+U48+U49+U50)*Hypothèses!$D$15</f>
        <v/>
      </c>
      <c r="W56" s="15">
        <f>(V36+V39+V43+V44+V45+V47+V48+V49+V50)*Hypothèses!$D$15</f>
        <v/>
      </c>
      <c r="X56" s="15">
        <f>(W36+W39+W43+W44+W45+W47+W48+W49+W50)*Hypothèses!$D$15</f>
        <v/>
      </c>
      <c r="Y56" s="15">
        <f>(X36+X39+X43+X44+X45+X47+X48+X49+X50)*Hypothèses!$D$15</f>
        <v/>
      </c>
      <c r="Z56" s="15">
        <f>(Y36+Y39+Y43+Y44+Y45+Y47+Y48+Y49+Y50)*Hypothèses!$D$15</f>
        <v/>
      </c>
      <c r="AA56" s="15">
        <f>(Z36+Z39+Z43+Z44+Z45+Z47+Z48+Z49+Z50)*Hypothèses!$D$15</f>
        <v/>
      </c>
      <c r="AB56" s="15">
        <f>(AA36+AA39+AA43+AA44+AA45+AA47+AA48+AA49+AA50)*Hypothèses!$D$15</f>
        <v/>
      </c>
      <c r="AC56" s="15">
        <f>(AB36+AB39+AB43+AB44+AB45+AB47+AB48+AB49+AB50)*Hypothèses!$D$15</f>
        <v/>
      </c>
      <c r="AD56" s="15">
        <f>(AC36+AC39+AC43+AC44+AC45+AC47+AC48+AC49+AC50)*Hypothèses!$D$15</f>
        <v/>
      </c>
      <c r="AE56" s="15">
        <f>(AD36+AD39+AD43+AD44+AD45+AD47+AD48+AD49+AD50)*Hypothèses!$D$15</f>
        <v/>
      </c>
      <c r="AF56" s="15">
        <f>(AE36+AE39+AE43+AE44+AE45+AE47+AE48+AE49+AE50)*Hypothèses!$D$15</f>
        <v/>
      </c>
      <c r="AG56" s="15">
        <f>(AF36+AF39+AF43+AF44+AF45+AF47+AF48+AF49+AF50)*Hypothèses!$D$15</f>
        <v/>
      </c>
      <c r="AH56" s="15">
        <f>(AG36+AG39+AG43+AG44+AG45+AG47+AG48+AG49+AG50)*Hypothèses!$D$15</f>
        <v/>
      </c>
      <c r="AI56" s="15">
        <f>(AH36+AH39+AH43+AH44+AH45+AH47+AH48+AH49+AH50)*Hypothèses!$D$15</f>
        <v/>
      </c>
      <c r="AJ56" s="15">
        <f>(AI36+AI39+AI43+AI44+AI45+AI47+AI48+AI49+AI50)*Hypothèses!$D$15</f>
        <v/>
      </c>
      <c r="AK56" s="15">
        <f>(AJ36+AJ39+AJ43+AJ44+AJ45+AJ47+AJ48+AJ49+AJ50)*Hypothèses!$D$15</f>
        <v/>
      </c>
      <c r="AL56" s="15">
        <f>(AK36+AK39+AK43+AK44+AK45+AK47+AK48+AK49+AK50)*Hypothèses!$D$15</f>
        <v/>
      </c>
      <c r="AN56" s="15">
        <f>SUM(C56:N56)</f>
        <v/>
      </c>
      <c r="AO56" s="15">
        <f>SUM(O56:Z56)</f>
        <v/>
      </c>
      <c r="AP56" s="15">
        <f>SUM(AA56:AL56)</f>
        <v/>
      </c>
    </row>
    <row r="57">
      <c r="A57" s="9" t="inlineStr">
        <is>
          <t>Financement reçu</t>
        </is>
      </c>
      <c r="B57" s="4" t="inlineStr">
        <is>
          <t>€</t>
        </is>
      </c>
      <c r="C57" s="15">
        <f>Hypothèses!$D$56*(IF(C7=Hypothèses!$D$57,Hypothèses!$D$58,0)+IF(C7=Hypothèses!$D$59,Hypothèses!$D$60,0)+IF(C7=Hypothèses!$D$61,Hypothèses!$D$62,0))</f>
        <v/>
      </c>
      <c r="D57" s="15">
        <f>Hypothèses!$D$56*(IF(D7=Hypothèses!$D$57,Hypothèses!$D$58,0)+IF(D7=Hypothèses!$D$59,Hypothèses!$D$60,0)+IF(D7=Hypothèses!$D$61,Hypothèses!$D$62,0))</f>
        <v/>
      </c>
      <c r="E57" s="15">
        <f>Hypothèses!$D$56*(IF(E7=Hypothèses!$D$57,Hypothèses!$D$58,0)+IF(E7=Hypothèses!$D$59,Hypothèses!$D$60,0)+IF(E7=Hypothèses!$D$61,Hypothèses!$D$62,0))</f>
        <v/>
      </c>
      <c r="F57" s="15">
        <f>Hypothèses!$D$56*(IF(F7=Hypothèses!$D$57,Hypothèses!$D$58,0)+IF(F7=Hypothèses!$D$59,Hypothèses!$D$60,0)+IF(F7=Hypothèses!$D$61,Hypothèses!$D$62,0))</f>
        <v/>
      </c>
      <c r="G57" s="15">
        <f>Hypothèses!$D$56*(IF(G7=Hypothèses!$D$57,Hypothèses!$D$58,0)+IF(G7=Hypothèses!$D$59,Hypothèses!$D$60,0)+IF(G7=Hypothèses!$D$61,Hypothèses!$D$62,0))</f>
        <v/>
      </c>
      <c r="H57" s="15">
        <f>Hypothèses!$D$56*(IF(H7=Hypothèses!$D$57,Hypothèses!$D$58,0)+IF(H7=Hypothèses!$D$59,Hypothèses!$D$60,0)+IF(H7=Hypothèses!$D$61,Hypothèses!$D$62,0))</f>
        <v/>
      </c>
      <c r="I57" s="15">
        <f>Hypothèses!$D$56*(IF(I7=Hypothèses!$D$57,Hypothèses!$D$58,0)+IF(I7=Hypothèses!$D$59,Hypothèses!$D$60,0)+IF(I7=Hypothèses!$D$61,Hypothèses!$D$62,0))</f>
        <v/>
      </c>
      <c r="J57" s="15">
        <f>Hypothèses!$D$56*(IF(J7=Hypothèses!$D$57,Hypothèses!$D$58,0)+IF(J7=Hypothèses!$D$59,Hypothèses!$D$60,0)+IF(J7=Hypothèses!$D$61,Hypothèses!$D$62,0))</f>
        <v/>
      </c>
      <c r="K57" s="15">
        <f>Hypothèses!$D$56*(IF(K7=Hypothèses!$D$57,Hypothèses!$D$58,0)+IF(K7=Hypothèses!$D$59,Hypothèses!$D$60,0)+IF(K7=Hypothèses!$D$61,Hypothèses!$D$62,0))</f>
        <v/>
      </c>
      <c r="L57" s="15">
        <f>Hypothèses!$D$56*(IF(L7=Hypothèses!$D$57,Hypothèses!$D$58,0)+IF(L7=Hypothèses!$D$59,Hypothèses!$D$60,0)+IF(L7=Hypothèses!$D$61,Hypothèses!$D$62,0))</f>
        <v/>
      </c>
      <c r="M57" s="15">
        <f>Hypothèses!$D$56*(IF(M7=Hypothèses!$D$57,Hypothèses!$D$58,0)+IF(M7=Hypothèses!$D$59,Hypothèses!$D$60,0)+IF(M7=Hypothèses!$D$61,Hypothèses!$D$62,0))</f>
        <v/>
      </c>
      <c r="N57" s="15">
        <f>Hypothèses!$D$56*(IF(N7=Hypothèses!$D$57,Hypothèses!$D$58,0)+IF(N7=Hypothèses!$D$59,Hypothèses!$D$60,0)+IF(N7=Hypothèses!$D$61,Hypothèses!$D$62,0))</f>
        <v/>
      </c>
      <c r="O57" s="15">
        <f>Hypothèses!$D$56*(IF(O7=Hypothèses!$D$57,Hypothèses!$D$58,0)+IF(O7=Hypothèses!$D$59,Hypothèses!$D$60,0)+IF(O7=Hypothèses!$D$61,Hypothèses!$D$62,0))</f>
        <v/>
      </c>
      <c r="P57" s="15">
        <f>Hypothèses!$D$56*(IF(P7=Hypothèses!$D$57,Hypothèses!$D$58,0)+IF(P7=Hypothèses!$D$59,Hypothèses!$D$60,0)+IF(P7=Hypothèses!$D$61,Hypothèses!$D$62,0))</f>
        <v/>
      </c>
      <c r="Q57" s="15">
        <f>Hypothèses!$D$56*(IF(Q7=Hypothèses!$D$57,Hypothèses!$D$58,0)+IF(Q7=Hypothèses!$D$59,Hypothèses!$D$60,0)+IF(Q7=Hypothèses!$D$61,Hypothèses!$D$62,0))</f>
        <v/>
      </c>
      <c r="R57" s="15">
        <f>Hypothèses!$D$56*(IF(R7=Hypothèses!$D$57,Hypothèses!$D$58,0)+IF(R7=Hypothèses!$D$59,Hypothèses!$D$60,0)+IF(R7=Hypothèses!$D$61,Hypothèses!$D$62,0))</f>
        <v/>
      </c>
      <c r="S57" s="15">
        <f>Hypothèses!$D$56*(IF(S7=Hypothèses!$D$57,Hypothèses!$D$58,0)+IF(S7=Hypothèses!$D$59,Hypothèses!$D$60,0)+IF(S7=Hypothèses!$D$61,Hypothèses!$D$62,0))</f>
        <v/>
      </c>
      <c r="T57" s="15">
        <f>Hypothèses!$D$56*(IF(T7=Hypothèses!$D$57,Hypothèses!$D$58,0)+IF(T7=Hypothèses!$D$59,Hypothèses!$D$60,0)+IF(T7=Hypothèses!$D$61,Hypothèses!$D$62,0))</f>
        <v/>
      </c>
      <c r="U57" s="15">
        <f>Hypothèses!$D$56*(IF(U7=Hypothèses!$D$57,Hypothèses!$D$58,0)+IF(U7=Hypothèses!$D$59,Hypothèses!$D$60,0)+IF(U7=Hypothèses!$D$61,Hypothèses!$D$62,0))</f>
        <v/>
      </c>
      <c r="V57" s="15">
        <f>Hypothèses!$D$56*(IF(V7=Hypothèses!$D$57,Hypothèses!$D$58,0)+IF(V7=Hypothèses!$D$59,Hypothèses!$D$60,0)+IF(V7=Hypothèses!$D$61,Hypothèses!$D$62,0))</f>
        <v/>
      </c>
      <c r="W57" s="15">
        <f>Hypothèses!$D$56*(IF(W7=Hypothèses!$D$57,Hypothèses!$D$58,0)+IF(W7=Hypothèses!$D$59,Hypothèses!$D$60,0)+IF(W7=Hypothèses!$D$61,Hypothèses!$D$62,0))</f>
        <v/>
      </c>
      <c r="X57" s="15">
        <f>Hypothèses!$D$56*(IF(X7=Hypothèses!$D$57,Hypothèses!$D$58,0)+IF(X7=Hypothèses!$D$59,Hypothèses!$D$60,0)+IF(X7=Hypothèses!$D$61,Hypothèses!$D$62,0))</f>
        <v/>
      </c>
      <c r="Y57" s="15">
        <f>Hypothèses!$D$56*(IF(Y7=Hypothèses!$D$57,Hypothèses!$D$58,0)+IF(Y7=Hypothèses!$D$59,Hypothèses!$D$60,0)+IF(Y7=Hypothèses!$D$61,Hypothèses!$D$62,0))</f>
        <v/>
      </c>
      <c r="Z57" s="15">
        <f>Hypothèses!$D$56*(IF(Z7=Hypothèses!$D$57,Hypothèses!$D$58,0)+IF(Z7=Hypothèses!$D$59,Hypothèses!$D$60,0)+IF(Z7=Hypothèses!$D$61,Hypothèses!$D$62,0))</f>
        <v/>
      </c>
      <c r="AA57" s="15">
        <f>Hypothèses!$D$56*(IF(AA7=Hypothèses!$D$57,Hypothèses!$D$58,0)+IF(AA7=Hypothèses!$D$59,Hypothèses!$D$60,0)+IF(AA7=Hypothèses!$D$61,Hypothèses!$D$62,0))</f>
        <v/>
      </c>
      <c r="AB57" s="15">
        <f>Hypothèses!$D$56*(IF(AB7=Hypothèses!$D$57,Hypothèses!$D$58,0)+IF(AB7=Hypothèses!$D$59,Hypothèses!$D$60,0)+IF(AB7=Hypothèses!$D$61,Hypothèses!$D$62,0))</f>
        <v/>
      </c>
      <c r="AC57" s="15">
        <f>Hypothèses!$D$56*(IF(AC7=Hypothèses!$D$57,Hypothèses!$D$58,0)+IF(AC7=Hypothèses!$D$59,Hypothèses!$D$60,0)+IF(AC7=Hypothèses!$D$61,Hypothèses!$D$62,0))</f>
        <v/>
      </c>
      <c r="AD57" s="15">
        <f>Hypothèses!$D$56*(IF(AD7=Hypothèses!$D$57,Hypothèses!$D$58,0)+IF(AD7=Hypothèses!$D$59,Hypothèses!$D$60,0)+IF(AD7=Hypothèses!$D$61,Hypothèses!$D$62,0))</f>
        <v/>
      </c>
      <c r="AE57" s="15">
        <f>Hypothèses!$D$56*(IF(AE7=Hypothèses!$D$57,Hypothèses!$D$58,0)+IF(AE7=Hypothèses!$D$59,Hypothèses!$D$60,0)+IF(AE7=Hypothèses!$D$61,Hypothèses!$D$62,0))</f>
        <v/>
      </c>
      <c r="AF57" s="15">
        <f>Hypothèses!$D$56*(IF(AF7=Hypothèses!$D$57,Hypothèses!$D$58,0)+IF(AF7=Hypothèses!$D$59,Hypothèses!$D$60,0)+IF(AF7=Hypothèses!$D$61,Hypothèses!$D$62,0))</f>
        <v/>
      </c>
      <c r="AG57" s="15">
        <f>Hypothèses!$D$56*(IF(AG7=Hypothèses!$D$57,Hypothèses!$D$58,0)+IF(AG7=Hypothèses!$D$59,Hypothèses!$D$60,0)+IF(AG7=Hypothèses!$D$61,Hypothèses!$D$62,0))</f>
        <v/>
      </c>
      <c r="AH57" s="15">
        <f>Hypothèses!$D$56*(IF(AH7=Hypothèses!$D$57,Hypothèses!$D$58,0)+IF(AH7=Hypothèses!$D$59,Hypothèses!$D$60,0)+IF(AH7=Hypothèses!$D$61,Hypothèses!$D$62,0))</f>
        <v/>
      </c>
      <c r="AI57" s="15">
        <f>Hypothèses!$D$56*(IF(AI7=Hypothèses!$D$57,Hypothèses!$D$58,0)+IF(AI7=Hypothèses!$D$59,Hypothèses!$D$60,0)+IF(AI7=Hypothèses!$D$61,Hypothèses!$D$62,0))</f>
        <v/>
      </c>
      <c r="AJ57" s="15">
        <f>Hypothèses!$D$56*(IF(AJ7=Hypothèses!$D$57,Hypothèses!$D$58,0)+IF(AJ7=Hypothèses!$D$59,Hypothèses!$D$60,0)+IF(AJ7=Hypothèses!$D$61,Hypothèses!$D$62,0))</f>
        <v/>
      </c>
      <c r="AK57" s="15">
        <f>Hypothèses!$D$56*(IF(AK7=Hypothèses!$D$57,Hypothèses!$D$58,0)+IF(AK7=Hypothèses!$D$59,Hypothèses!$D$60,0)+IF(AK7=Hypothèses!$D$61,Hypothèses!$D$62,0))</f>
        <v/>
      </c>
      <c r="AL57" s="15">
        <f>Hypothèses!$D$56*(IF(AL7=Hypothèses!$D$57,Hypothèses!$D$58,0)+IF(AL7=Hypothèses!$D$59,Hypothèses!$D$60,0)+IF(AL7=Hypothèses!$D$61,Hypothèses!$D$62,0))</f>
        <v/>
      </c>
      <c r="AN57" s="15">
        <f>SUM(C57:N57)</f>
        <v/>
      </c>
      <c r="AO57" s="15">
        <f>SUM(O57:Z57)</f>
        <v/>
      </c>
      <c r="AP57" s="15">
        <f>SUM(AA57:AL57)</f>
        <v/>
      </c>
    </row>
    <row r="58">
      <c r="A58" s="9" t="inlineStr">
        <is>
          <t>Trésorerie d'ouverture</t>
        </is>
      </c>
      <c r="B58" s="4" t="inlineStr">
        <is>
          <t>€</t>
        </is>
      </c>
      <c r="C58" s="15">
        <f>Hypothèses!$D$54</f>
        <v/>
      </c>
      <c r="D58" s="15">
        <f>C60</f>
        <v/>
      </c>
      <c r="E58" s="15">
        <f>D60</f>
        <v/>
      </c>
      <c r="F58" s="15">
        <f>E60</f>
        <v/>
      </c>
      <c r="G58" s="15">
        <f>F60</f>
        <v/>
      </c>
      <c r="H58" s="15">
        <f>G60</f>
        <v/>
      </c>
      <c r="I58" s="15">
        <f>H60</f>
        <v/>
      </c>
      <c r="J58" s="15">
        <f>I60</f>
        <v/>
      </c>
      <c r="K58" s="15">
        <f>J60</f>
        <v/>
      </c>
      <c r="L58" s="15">
        <f>K60</f>
        <v/>
      </c>
      <c r="M58" s="15">
        <f>L60</f>
        <v/>
      </c>
      <c r="N58" s="15">
        <f>M60</f>
        <v/>
      </c>
      <c r="O58" s="15">
        <f>N60</f>
        <v/>
      </c>
      <c r="P58" s="15">
        <f>O60</f>
        <v/>
      </c>
      <c r="Q58" s="15">
        <f>P60</f>
        <v/>
      </c>
      <c r="R58" s="15">
        <f>Q60</f>
        <v/>
      </c>
      <c r="S58" s="15">
        <f>R60</f>
        <v/>
      </c>
      <c r="T58" s="15">
        <f>S60</f>
        <v/>
      </c>
      <c r="U58" s="15">
        <f>T60</f>
        <v/>
      </c>
      <c r="V58" s="15">
        <f>U60</f>
        <v/>
      </c>
      <c r="W58" s="15">
        <f>V60</f>
        <v/>
      </c>
      <c r="X58" s="15">
        <f>W60</f>
        <v/>
      </c>
      <c r="Y58" s="15">
        <f>X60</f>
        <v/>
      </c>
      <c r="Z58" s="15">
        <f>Y60</f>
        <v/>
      </c>
      <c r="AA58" s="15">
        <f>Z60</f>
        <v/>
      </c>
      <c r="AB58" s="15">
        <f>AA60</f>
        <v/>
      </c>
      <c r="AC58" s="15">
        <f>AB60</f>
        <v/>
      </c>
      <c r="AD58" s="15">
        <f>AC60</f>
        <v/>
      </c>
      <c r="AE58" s="15">
        <f>AD60</f>
        <v/>
      </c>
      <c r="AF58" s="15">
        <f>AE60</f>
        <v/>
      </c>
      <c r="AG58" s="15">
        <f>AF60</f>
        <v/>
      </c>
      <c r="AH58" s="15">
        <f>AG60</f>
        <v/>
      </c>
      <c r="AI58" s="15">
        <f>AH60</f>
        <v/>
      </c>
      <c r="AJ58" s="15">
        <f>AI60</f>
        <v/>
      </c>
      <c r="AK58" s="15">
        <f>AJ60</f>
        <v/>
      </c>
      <c r="AL58" s="15">
        <f>AK60</f>
        <v/>
      </c>
    </row>
    <row r="59">
      <c r="A59" s="9" t="inlineStr">
        <is>
          <t>Flux de trésorerie du mois</t>
        </is>
      </c>
      <c r="B59" s="4" t="inlineStr">
        <is>
          <t>€</t>
        </is>
      </c>
      <c r="C59" s="15">
        <f>C31-C36-C39-C51-C55+C56+C57</f>
        <v/>
      </c>
      <c r="D59" s="15">
        <f>D31-D36-D39-D51-D55+D56+D57</f>
        <v/>
      </c>
      <c r="E59" s="15">
        <f>E31-E36-E39-E51-E55+E56+E57</f>
        <v/>
      </c>
      <c r="F59" s="15">
        <f>F31-F36-F39-F51-F55+F56+F57</f>
        <v/>
      </c>
      <c r="G59" s="15">
        <f>G31-G36-G39-G51-G55+G56+G57</f>
        <v/>
      </c>
      <c r="H59" s="15">
        <f>H31-H36-H39-H51-H55+H56+H57</f>
        <v/>
      </c>
      <c r="I59" s="15">
        <f>I31-I36-I39-I51-I55+I56+I57</f>
        <v/>
      </c>
      <c r="J59" s="15">
        <f>J31-J36-J39-J51-J55+J56+J57</f>
        <v/>
      </c>
      <c r="K59" s="15">
        <f>K31-K36-K39-K51-K55+K56+K57</f>
        <v/>
      </c>
      <c r="L59" s="15">
        <f>L31-L36-L39-L51-L55+L56+L57</f>
        <v/>
      </c>
      <c r="M59" s="15">
        <f>M31-M36-M39-M51-M55+M56+M57</f>
        <v/>
      </c>
      <c r="N59" s="15">
        <f>N31-N36-N39-N51-N55+N56+N57</f>
        <v/>
      </c>
      <c r="O59" s="15">
        <f>O31-O36-O39-O51-O55+O56+O57</f>
        <v/>
      </c>
      <c r="P59" s="15">
        <f>P31-P36-P39-P51-P55+P56+P57</f>
        <v/>
      </c>
      <c r="Q59" s="15">
        <f>Q31-Q36-Q39-Q51-Q55+Q56+Q57</f>
        <v/>
      </c>
      <c r="R59" s="15">
        <f>R31-R36-R39-R51-R55+R56+R57</f>
        <v/>
      </c>
      <c r="S59" s="15">
        <f>S31-S36-S39-S51-S55+S56+S57</f>
        <v/>
      </c>
      <c r="T59" s="15">
        <f>T31-T36-T39-T51-T55+T56+T57</f>
        <v/>
      </c>
      <c r="U59" s="15">
        <f>U31-U36-U39-U51-U55+U56+U57</f>
        <v/>
      </c>
      <c r="V59" s="15">
        <f>V31-V36-V39-V51-V55+V56+V57</f>
        <v/>
      </c>
      <c r="W59" s="15">
        <f>W31-W36-W39-W51-W55+W56+W57</f>
        <v/>
      </c>
      <c r="X59" s="15">
        <f>X31-X36-X39-X51-X55+X56+X57</f>
        <v/>
      </c>
      <c r="Y59" s="15">
        <f>Y31-Y36-Y39-Y51-Y55+Y56+Y57</f>
        <v/>
      </c>
      <c r="Z59" s="15">
        <f>Z31-Z36-Z39-Z51-Z55+Z56+Z57</f>
        <v/>
      </c>
      <c r="AA59" s="15">
        <f>AA31-AA36-AA39-AA51-AA55+AA56+AA57</f>
        <v/>
      </c>
      <c r="AB59" s="15">
        <f>AB31-AB36-AB39-AB51-AB55+AB56+AB57</f>
        <v/>
      </c>
      <c r="AC59" s="15">
        <f>AC31-AC36-AC39-AC51-AC55+AC56+AC57</f>
        <v/>
      </c>
      <c r="AD59" s="15">
        <f>AD31-AD36-AD39-AD51-AD55+AD56+AD57</f>
        <v/>
      </c>
      <c r="AE59" s="15">
        <f>AE31-AE36-AE39-AE51-AE55+AE56+AE57</f>
        <v/>
      </c>
      <c r="AF59" s="15">
        <f>AF31-AF36-AF39-AF51-AF55+AF56+AF57</f>
        <v/>
      </c>
      <c r="AG59" s="15">
        <f>AG31-AG36-AG39-AG51-AG55+AG56+AG57</f>
        <v/>
      </c>
      <c r="AH59" s="15">
        <f>AH31-AH36-AH39-AH51-AH55+AH56+AH57</f>
        <v/>
      </c>
      <c r="AI59" s="15">
        <f>AI31-AI36-AI39-AI51-AI55+AI56+AI57</f>
        <v/>
      </c>
      <c r="AJ59" s="15">
        <f>AJ31-AJ36-AJ39-AJ51-AJ55+AJ56+AJ57</f>
        <v/>
      </c>
      <c r="AK59" s="15">
        <f>AK31-AK36-AK39-AK51-AK55+AK56+AK57</f>
        <v/>
      </c>
      <c r="AL59" s="15">
        <f>AL31-AL36-AL39-AL51-AL55+AL56+AL57</f>
        <v/>
      </c>
      <c r="AN59" s="15">
        <f>SUM(C59:N59)</f>
        <v/>
      </c>
      <c r="AO59" s="15">
        <f>SUM(O59:Z59)</f>
        <v/>
      </c>
      <c r="AP59" s="15">
        <f>SUM(AA59:AL59)</f>
        <v/>
      </c>
    </row>
    <row r="60">
      <c r="A60" s="2" t="inlineStr">
        <is>
          <t>Trésorerie de clôture</t>
        </is>
      </c>
      <c r="B60" s="4" t="inlineStr">
        <is>
          <t>€</t>
        </is>
      </c>
      <c r="C60" s="40">
        <f>C58+C59</f>
        <v/>
      </c>
      <c r="D60" s="40">
        <f>D58+D59</f>
        <v/>
      </c>
      <c r="E60" s="40">
        <f>E58+E59</f>
        <v/>
      </c>
      <c r="F60" s="40">
        <f>F58+F59</f>
        <v/>
      </c>
      <c r="G60" s="40">
        <f>G58+G59</f>
        <v/>
      </c>
      <c r="H60" s="40">
        <f>H58+H59</f>
        <v/>
      </c>
      <c r="I60" s="40">
        <f>I58+I59</f>
        <v/>
      </c>
      <c r="J60" s="40">
        <f>J58+J59</f>
        <v/>
      </c>
      <c r="K60" s="40">
        <f>K58+K59</f>
        <v/>
      </c>
      <c r="L60" s="40">
        <f>L58+L59</f>
        <v/>
      </c>
      <c r="M60" s="40">
        <f>M58+M59</f>
        <v/>
      </c>
      <c r="N60" s="40">
        <f>N58+N59</f>
        <v/>
      </c>
      <c r="O60" s="40">
        <f>O58+O59</f>
        <v/>
      </c>
      <c r="P60" s="40">
        <f>P58+P59</f>
        <v/>
      </c>
      <c r="Q60" s="40">
        <f>Q58+Q59</f>
        <v/>
      </c>
      <c r="R60" s="40">
        <f>R58+R59</f>
        <v/>
      </c>
      <c r="S60" s="40">
        <f>S58+S59</f>
        <v/>
      </c>
      <c r="T60" s="40">
        <f>T58+T59</f>
        <v/>
      </c>
      <c r="U60" s="40">
        <f>U58+U59</f>
        <v/>
      </c>
      <c r="V60" s="40">
        <f>V58+V59</f>
        <v/>
      </c>
      <c r="W60" s="40">
        <f>W58+W59</f>
        <v/>
      </c>
      <c r="X60" s="40">
        <f>X58+X59</f>
        <v/>
      </c>
      <c r="Y60" s="40">
        <f>Y58+Y59</f>
        <v/>
      </c>
      <c r="Z60" s="40">
        <f>Z58+Z59</f>
        <v/>
      </c>
      <c r="AA60" s="40">
        <f>AA58+AA59</f>
        <v/>
      </c>
      <c r="AB60" s="40">
        <f>AB58+AB59</f>
        <v/>
      </c>
      <c r="AC60" s="40">
        <f>AC58+AC59</f>
        <v/>
      </c>
      <c r="AD60" s="40">
        <f>AD58+AD59</f>
        <v/>
      </c>
      <c r="AE60" s="40">
        <f>AE58+AE59</f>
        <v/>
      </c>
      <c r="AF60" s="40">
        <f>AF58+AF59</f>
        <v/>
      </c>
      <c r="AG60" s="40">
        <f>AG58+AG59</f>
        <v/>
      </c>
      <c r="AH60" s="40">
        <f>AH58+AH59</f>
        <v/>
      </c>
      <c r="AI60" s="40">
        <f>AI58+AI59</f>
        <v/>
      </c>
      <c r="AJ60" s="40">
        <f>AJ58+AJ59</f>
        <v/>
      </c>
      <c r="AK60" s="40">
        <f>AK58+AK59</f>
        <v/>
      </c>
      <c r="AL60" s="40">
        <f>AL58+AL59</f>
        <v/>
      </c>
      <c r="AN60" s="40">
        <f>N60</f>
        <v/>
      </c>
      <c r="AO60" s="40">
        <f>Z60</f>
        <v/>
      </c>
      <c r="AP60" s="40">
        <f>AL60</f>
        <v/>
      </c>
    </row>
    <row r="61">
      <c r="A61" s="9" t="inlineStr">
        <is>
          <t>Financement cumulé</t>
        </is>
      </c>
      <c r="B61" s="4" t="inlineStr">
        <is>
          <t>€</t>
        </is>
      </c>
      <c r="C61" s="15">
        <f>0+C57</f>
        <v/>
      </c>
      <c r="D61" s="15">
        <f>C61+D57</f>
        <v/>
      </c>
      <c r="E61" s="15">
        <f>D61+E57</f>
        <v/>
      </c>
      <c r="F61" s="15">
        <f>E61+F57</f>
        <v/>
      </c>
      <c r="G61" s="15">
        <f>F61+G57</f>
        <v/>
      </c>
      <c r="H61" s="15">
        <f>G61+H57</f>
        <v/>
      </c>
      <c r="I61" s="15">
        <f>H61+I57</f>
        <v/>
      </c>
      <c r="J61" s="15">
        <f>I61+J57</f>
        <v/>
      </c>
      <c r="K61" s="15">
        <f>J61+K57</f>
        <v/>
      </c>
      <c r="L61" s="15">
        <f>K61+L57</f>
        <v/>
      </c>
      <c r="M61" s="15">
        <f>L61+M57</f>
        <v/>
      </c>
      <c r="N61" s="15">
        <f>M61+N57</f>
        <v/>
      </c>
      <c r="O61" s="15">
        <f>N61+O57</f>
        <v/>
      </c>
      <c r="P61" s="15">
        <f>O61+P57</f>
        <v/>
      </c>
      <c r="Q61" s="15">
        <f>P61+Q57</f>
        <v/>
      </c>
      <c r="R61" s="15">
        <f>Q61+R57</f>
        <v/>
      </c>
      <c r="S61" s="15">
        <f>R61+S57</f>
        <v/>
      </c>
      <c r="T61" s="15">
        <f>S61+T57</f>
        <v/>
      </c>
      <c r="U61" s="15">
        <f>T61+U57</f>
        <v/>
      </c>
      <c r="V61" s="15">
        <f>U61+V57</f>
        <v/>
      </c>
      <c r="W61" s="15">
        <f>V61+W57</f>
        <v/>
      </c>
      <c r="X61" s="15">
        <f>W61+X57</f>
        <v/>
      </c>
      <c r="Y61" s="15">
        <f>X61+Y57</f>
        <v/>
      </c>
      <c r="Z61" s="15">
        <f>Y61+Z57</f>
        <v/>
      </c>
      <c r="AA61" s="15">
        <f>Z61+AA57</f>
        <v/>
      </c>
      <c r="AB61" s="15">
        <f>AA61+AB57</f>
        <v/>
      </c>
      <c r="AC61" s="15">
        <f>AB61+AC57</f>
        <v/>
      </c>
      <c r="AD61" s="15">
        <f>AC61+AD57</f>
        <v/>
      </c>
      <c r="AE61" s="15">
        <f>AD61+AE57</f>
        <v/>
      </c>
      <c r="AF61" s="15">
        <f>AE61+AF57</f>
        <v/>
      </c>
      <c r="AG61" s="15">
        <f>AF61+AG57</f>
        <v/>
      </c>
      <c r="AH61" s="15">
        <f>AG61+AH57</f>
        <v/>
      </c>
      <c r="AI61" s="15">
        <f>AH61+AI57</f>
        <v/>
      </c>
      <c r="AJ61" s="15">
        <f>AI61+AJ57</f>
        <v/>
      </c>
      <c r="AK61" s="15">
        <f>AJ61+AK57</f>
        <v/>
      </c>
      <c r="AL61" s="15">
        <f>AK61+AL57</f>
        <v/>
      </c>
      <c r="AN61" s="15">
        <f>N61</f>
        <v/>
      </c>
      <c r="AO61" s="15">
        <f>Z61</f>
        <v/>
      </c>
      <c r="AP61" s="15">
        <f>AL61</f>
        <v/>
      </c>
    </row>
    <row r="62">
      <c r="A62" s="2" t="inlineStr">
        <is>
          <t>Trésorerie cumulée hors financement</t>
        </is>
      </c>
      <c r="B62" s="4" t="inlineStr">
        <is>
          <t>€</t>
        </is>
      </c>
      <c r="C62" s="40">
        <f>C60-C61</f>
        <v/>
      </c>
      <c r="D62" s="40">
        <f>D60-D61</f>
        <v/>
      </c>
      <c r="E62" s="40">
        <f>E60-E61</f>
        <v/>
      </c>
      <c r="F62" s="40">
        <f>F60-F61</f>
        <v/>
      </c>
      <c r="G62" s="40">
        <f>G60-G61</f>
        <v/>
      </c>
      <c r="H62" s="40">
        <f>H60-H61</f>
        <v/>
      </c>
      <c r="I62" s="40">
        <f>I60-I61</f>
        <v/>
      </c>
      <c r="J62" s="40">
        <f>J60-J61</f>
        <v/>
      </c>
      <c r="K62" s="40">
        <f>K60-K61</f>
        <v/>
      </c>
      <c r="L62" s="40">
        <f>L60-L61</f>
        <v/>
      </c>
      <c r="M62" s="40">
        <f>M60-M61</f>
        <v/>
      </c>
      <c r="N62" s="40">
        <f>N60-N61</f>
        <v/>
      </c>
      <c r="O62" s="40">
        <f>O60-O61</f>
        <v/>
      </c>
      <c r="P62" s="40">
        <f>P60-P61</f>
        <v/>
      </c>
      <c r="Q62" s="40">
        <f>Q60-Q61</f>
        <v/>
      </c>
      <c r="R62" s="40">
        <f>R60-R61</f>
        <v/>
      </c>
      <c r="S62" s="40">
        <f>S60-S61</f>
        <v/>
      </c>
      <c r="T62" s="40">
        <f>T60-T61</f>
        <v/>
      </c>
      <c r="U62" s="40">
        <f>U60-U61</f>
        <v/>
      </c>
      <c r="V62" s="40">
        <f>V60-V61</f>
        <v/>
      </c>
      <c r="W62" s="40">
        <f>W60-W61</f>
        <v/>
      </c>
      <c r="X62" s="40">
        <f>X60-X61</f>
        <v/>
      </c>
      <c r="Y62" s="40">
        <f>Y60-Y61</f>
        <v/>
      </c>
      <c r="Z62" s="40">
        <f>Z60-Z61</f>
        <v/>
      </c>
      <c r="AA62" s="40">
        <f>AA60-AA61</f>
        <v/>
      </c>
      <c r="AB62" s="40">
        <f>AB60-AB61</f>
        <v/>
      </c>
      <c r="AC62" s="40">
        <f>AC60-AC61</f>
        <v/>
      </c>
      <c r="AD62" s="40">
        <f>AD60-AD61</f>
        <v/>
      </c>
      <c r="AE62" s="40">
        <f>AE60-AE61</f>
        <v/>
      </c>
      <c r="AF62" s="40">
        <f>AF60-AF61</f>
        <v/>
      </c>
      <c r="AG62" s="40">
        <f>AG60-AG61</f>
        <v/>
      </c>
      <c r="AH62" s="40">
        <f>AH60-AH61</f>
        <v/>
      </c>
      <c r="AI62" s="40">
        <f>AI60-AI61</f>
        <v/>
      </c>
      <c r="AJ62" s="40">
        <f>AJ60-AJ61</f>
        <v/>
      </c>
      <c r="AK62" s="40">
        <f>AK60-AK61</f>
        <v/>
      </c>
      <c r="AL62" s="40">
        <f>AL60-AL61</f>
        <v/>
      </c>
      <c r="AN62" s="40">
        <f>N62</f>
        <v/>
      </c>
      <c r="AO62" s="40">
        <f>Z62</f>
        <v/>
      </c>
      <c r="AP62" s="40">
        <f>AL62</f>
        <v/>
      </c>
    </row>
    <row r="63">
      <c r="A63" s="9" t="inlineStr">
        <is>
          <t>Point bas glissant hors financement</t>
        </is>
      </c>
      <c r="B63" s="4" t="inlineStr">
        <is>
          <t>€</t>
        </is>
      </c>
      <c r="C63" s="15">
        <f>C62</f>
        <v/>
      </c>
      <c r="D63" s="15">
        <f>MIN(C63,D62)</f>
        <v/>
      </c>
      <c r="E63" s="15">
        <f>MIN(D63,E62)</f>
        <v/>
      </c>
      <c r="F63" s="15">
        <f>MIN(E63,F62)</f>
        <v/>
      </c>
      <c r="G63" s="15">
        <f>MIN(F63,G62)</f>
        <v/>
      </c>
      <c r="H63" s="15">
        <f>MIN(G63,H62)</f>
        <v/>
      </c>
      <c r="I63" s="15">
        <f>MIN(H63,I62)</f>
        <v/>
      </c>
      <c r="J63" s="15">
        <f>MIN(I63,J62)</f>
        <v/>
      </c>
      <c r="K63" s="15">
        <f>MIN(J63,K62)</f>
        <v/>
      </c>
      <c r="L63" s="15">
        <f>MIN(K63,L62)</f>
        <v/>
      </c>
      <c r="M63" s="15">
        <f>MIN(L63,M62)</f>
        <v/>
      </c>
      <c r="N63" s="15">
        <f>MIN(M63,N62)</f>
        <v/>
      </c>
      <c r="O63" s="15">
        <f>MIN(N63,O62)</f>
        <v/>
      </c>
      <c r="P63" s="15">
        <f>MIN(O63,P62)</f>
        <v/>
      </c>
      <c r="Q63" s="15">
        <f>MIN(P63,Q62)</f>
        <v/>
      </c>
      <c r="R63" s="15">
        <f>MIN(Q63,R62)</f>
        <v/>
      </c>
      <c r="S63" s="15">
        <f>MIN(R63,S62)</f>
        <v/>
      </c>
      <c r="T63" s="15">
        <f>MIN(S63,T62)</f>
        <v/>
      </c>
      <c r="U63" s="15">
        <f>MIN(T63,U62)</f>
        <v/>
      </c>
      <c r="V63" s="15">
        <f>MIN(U63,V62)</f>
        <v/>
      </c>
      <c r="W63" s="15">
        <f>MIN(V63,W62)</f>
        <v/>
      </c>
      <c r="X63" s="15">
        <f>MIN(W63,X62)</f>
        <v/>
      </c>
      <c r="Y63" s="15">
        <f>MIN(X63,Y62)</f>
        <v/>
      </c>
      <c r="Z63" s="15">
        <f>MIN(Y63,Z62)</f>
        <v/>
      </c>
      <c r="AA63" s="15">
        <f>MIN(Z63,AA62)</f>
        <v/>
      </c>
      <c r="AB63" s="15">
        <f>MIN(AA63,AB62)</f>
        <v/>
      </c>
      <c r="AC63" s="15">
        <f>MIN(AB63,AC62)</f>
        <v/>
      </c>
      <c r="AD63" s="15">
        <f>MIN(AC63,AD62)</f>
        <v/>
      </c>
      <c r="AE63" s="15">
        <f>MIN(AD63,AE62)</f>
        <v/>
      </c>
      <c r="AF63" s="15">
        <f>MIN(AE63,AF62)</f>
        <v/>
      </c>
      <c r="AG63" s="15">
        <f>MIN(AF63,AG62)</f>
        <v/>
      </c>
      <c r="AH63" s="15">
        <f>MIN(AG63,AH62)</f>
        <v/>
      </c>
      <c r="AI63" s="15">
        <f>MIN(AH63,AI62)</f>
        <v/>
      </c>
      <c r="AJ63" s="15">
        <f>MIN(AI63,AJ62)</f>
        <v/>
      </c>
      <c r="AK63" s="15">
        <f>MIN(AJ63,AK62)</f>
        <v/>
      </c>
      <c r="AL63" s="15">
        <f>MIN(AK63,AL62)</f>
        <v/>
      </c>
      <c r="AN63" s="15">
        <f>N63</f>
        <v/>
      </c>
      <c r="AO63" s="15">
        <f>Z63</f>
        <v/>
      </c>
      <c r="AP63" s="15">
        <f>AL63</f>
        <v/>
      </c>
    </row>
    <row r="64">
      <c r="A64" s="9" t="inlineStr">
        <is>
          <t>Trésorerie cumulée hors financement positive après lancement ? (1 = oui)</t>
        </is>
      </c>
      <c r="B64" s="4" t="inlineStr">
        <is>
          <t>0/1</t>
        </is>
      </c>
      <c r="C64" s="13">
        <f>IF(AND(C9=1,C62&gt;0),1,0)</f>
        <v/>
      </c>
      <c r="D64" s="13">
        <f>IF(AND(D9=1,D62&gt;0),1,0)</f>
        <v/>
      </c>
      <c r="E64" s="13">
        <f>IF(AND(E9=1,E62&gt;0),1,0)</f>
        <v/>
      </c>
      <c r="F64" s="13">
        <f>IF(AND(F9=1,F62&gt;0),1,0)</f>
        <v/>
      </c>
      <c r="G64" s="13">
        <f>IF(AND(G9=1,G62&gt;0),1,0)</f>
        <v/>
      </c>
      <c r="H64" s="13">
        <f>IF(AND(H9=1,H62&gt;0),1,0)</f>
        <v/>
      </c>
      <c r="I64" s="13">
        <f>IF(AND(I9=1,I62&gt;0),1,0)</f>
        <v/>
      </c>
      <c r="J64" s="13">
        <f>IF(AND(J9=1,J62&gt;0),1,0)</f>
        <v/>
      </c>
      <c r="K64" s="13">
        <f>IF(AND(K9=1,K62&gt;0),1,0)</f>
        <v/>
      </c>
      <c r="L64" s="13">
        <f>IF(AND(L9=1,L62&gt;0),1,0)</f>
        <v/>
      </c>
      <c r="M64" s="13">
        <f>IF(AND(M9=1,M62&gt;0),1,0)</f>
        <v/>
      </c>
      <c r="N64" s="13">
        <f>IF(AND(N9=1,N62&gt;0),1,0)</f>
        <v/>
      </c>
      <c r="O64" s="13">
        <f>IF(AND(O9=1,O62&gt;0),1,0)</f>
        <v/>
      </c>
      <c r="P64" s="13">
        <f>IF(AND(P9=1,P62&gt;0),1,0)</f>
        <v/>
      </c>
      <c r="Q64" s="13">
        <f>IF(AND(Q9=1,Q62&gt;0),1,0)</f>
        <v/>
      </c>
      <c r="R64" s="13">
        <f>IF(AND(R9=1,R62&gt;0),1,0)</f>
        <v/>
      </c>
      <c r="S64" s="13">
        <f>IF(AND(S9=1,S62&gt;0),1,0)</f>
        <v/>
      </c>
      <c r="T64" s="13">
        <f>IF(AND(T9=1,T62&gt;0),1,0)</f>
        <v/>
      </c>
      <c r="U64" s="13">
        <f>IF(AND(U9=1,U62&gt;0),1,0)</f>
        <v/>
      </c>
      <c r="V64" s="13">
        <f>IF(AND(V9=1,V62&gt;0),1,0)</f>
        <v/>
      </c>
      <c r="W64" s="13">
        <f>IF(AND(W9=1,W62&gt;0),1,0)</f>
        <v/>
      </c>
      <c r="X64" s="13">
        <f>IF(AND(X9=1,X62&gt;0),1,0)</f>
        <v/>
      </c>
      <c r="Y64" s="13">
        <f>IF(AND(Y9=1,Y62&gt;0),1,0)</f>
        <v/>
      </c>
      <c r="Z64" s="13">
        <f>IF(AND(Z9=1,Z62&gt;0),1,0)</f>
        <v/>
      </c>
      <c r="AA64" s="13">
        <f>IF(AND(AA9=1,AA62&gt;0),1,0)</f>
        <v/>
      </c>
      <c r="AB64" s="13">
        <f>IF(AND(AB9=1,AB62&gt;0),1,0)</f>
        <v/>
      </c>
      <c r="AC64" s="13">
        <f>IF(AND(AC9=1,AC62&gt;0),1,0)</f>
        <v/>
      </c>
      <c r="AD64" s="13">
        <f>IF(AND(AD9=1,AD62&gt;0),1,0)</f>
        <v/>
      </c>
      <c r="AE64" s="13">
        <f>IF(AND(AE9=1,AE62&gt;0),1,0)</f>
        <v/>
      </c>
      <c r="AF64" s="13">
        <f>IF(AND(AF9=1,AF62&gt;0),1,0)</f>
        <v/>
      </c>
      <c r="AG64" s="13">
        <f>IF(AND(AG9=1,AG62&gt;0),1,0)</f>
        <v/>
      </c>
      <c r="AH64" s="13">
        <f>IF(AND(AH9=1,AH62&gt;0),1,0)</f>
        <v/>
      </c>
      <c r="AI64" s="13">
        <f>IF(AND(AI9=1,AI62&gt;0),1,0)</f>
        <v/>
      </c>
      <c r="AJ64" s="13">
        <f>IF(AND(AJ9=1,AJ62&gt;0),1,0)</f>
        <v/>
      </c>
      <c r="AK64" s="13">
        <f>IF(AND(AK9=1,AK62&gt;0),1,0)</f>
        <v/>
      </c>
      <c r="AL64" s="13">
        <f>IF(AND(AL9=1,AL62&gt;0),1,0)</f>
        <v/>
      </c>
    </row>
    <row r="65">
      <c r="A65" s="8" t="inlineStr">
        <is>
          <t>Indicateurs</t>
        </is>
      </c>
    </row>
    <row r="66">
      <c r="A66" s="9" t="inlineStr">
        <is>
          <t>ARR HT instantané (CA HT × 12)</t>
        </is>
      </c>
      <c r="B66" s="4" t="inlineStr">
        <is>
          <t>€ HT</t>
        </is>
      </c>
      <c r="C66" s="15">
        <f>C28*12</f>
        <v/>
      </c>
      <c r="D66" s="15">
        <f>D28*12</f>
        <v/>
      </c>
      <c r="E66" s="15">
        <f>E28*12</f>
        <v/>
      </c>
      <c r="F66" s="15">
        <f>F28*12</f>
        <v/>
      </c>
      <c r="G66" s="15">
        <f>G28*12</f>
        <v/>
      </c>
      <c r="H66" s="15">
        <f>H28*12</f>
        <v/>
      </c>
      <c r="I66" s="15">
        <f>I28*12</f>
        <v/>
      </c>
      <c r="J66" s="15">
        <f>J28*12</f>
        <v/>
      </c>
      <c r="K66" s="15">
        <f>K28*12</f>
        <v/>
      </c>
      <c r="L66" s="15">
        <f>L28*12</f>
        <v/>
      </c>
      <c r="M66" s="15">
        <f>M28*12</f>
        <v/>
      </c>
      <c r="N66" s="15">
        <f>N28*12</f>
        <v/>
      </c>
      <c r="O66" s="15">
        <f>O28*12</f>
        <v/>
      </c>
      <c r="P66" s="15">
        <f>P28*12</f>
        <v/>
      </c>
      <c r="Q66" s="15">
        <f>Q28*12</f>
        <v/>
      </c>
      <c r="R66" s="15">
        <f>R28*12</f>
        <v/>
      </c>
      <c r="S66" s="15">
        <f>S28*12</f>
        <v/>
      </c>
      <c r="T66" s="15">
        <f>T28*12</f>
        <v/>
      </c>
      <c r="U66" s="15">
        <f>U28*12</f>
        <v/>
      </c>
      <c r="V66" s="15">
        <f>V28*12</f>
        <v/>
      </c>
      <c r="W66" s="15">
        <f>W28*12</f>
        <v/>
      </c>
      <c r="X66" s="15">
        <f>X28*12</f>
        <v/>
      </c>
      <c r="Y66" s="15">
        <f>Y28*12</f>
        <v/>
      </c>
      <c r="Z66" s="15">
        <f>Z28*12</f>
        <v/>
      </c>
      <c r="AA66" s="15">
        <f>AA28*12</f>
        <v/>
      </c>
      <c r="AB66" s="15">
        <f>AB28*12</f>
        <v/>
      </c>
      <c r="AC66" s="15">
        <f>AC28*12</f>
        <v/>
      </c>
      <c r="AD66" s="15">
        <f>AD28*12</f>
        <v/>
      </c>
      <c r="AE66" s="15">
        <f>AE28*12</f>
        <v/>
      </c>
      <c r="AF66" s="15">
        <f>AF28*12</f>
        <v/>
      </c>
      <c r="AG66" s="15">
        <f>AG28*12</f>
        <v/>
      </c>
      <c r="AH66" s="15">
        <f>AH28*12</f>
        <v/>
      </c>
      <c r="AI66" s="15">
        <f>AI28*12</f>
        <v/>
      </c>
      <c r="AJ66" s="15">
        <f>AJ28*12</f>
        <v/>
      </c>
      <c r="AK66" s="15">
        <f>AK28*12</f>
        <v/>
      </c>
      <c r="AL66" s="15">
        <f>AL28*12</f>
        <v/>
      </c>
      <c r="AN66" s="15">
        <f>N66</f>
        <v/>
      </c>
      <c r="AO66" s="15">
        <f>Z66</f>
        <v/>
      </c>
      <c r="AP66" s="15">
        <f>AL66</f>
        <v/>
      </c>
    </row>
    <row r="67">
      <c r="A67" s="9" t="inlineStr">
        <is>
          <t>ARPA HT (CA HT / abonnés)</t>
        </is>
      </c>
      <c r="B67" s="4" t="inlineStr">
        <is>
          <t>€ HT</t>
        </is>
      </c>
      <c r="C67" s="19">
        <f>IF(C18&gt;0,C28/C18,0)</f>
        <v/>
      </c>
      <c r="D67" s="19">
        <f>IF(D18&gt;0,D28/D18,0)</f>
        <v/>
      </c>
      <c r="E67" s="19">
        <f>IF(E18&gt;0,E28/E18,0)</f>
        <v/>
      </c>
      <c r="F67" s="19">
        <f>IF(F18&gt;0,F28/F18,0)</f>
        <v/>
      </c>
      <c r="G67" s="19">
        <f>IF(G18&gt;0,G28/G18,0)</f>
        <v/>
      </c>
      <c r="H67" s="19">
        <f>IF(H18&gt;0,H28/H18,0)</f>
        <v/>
      </c>
      <c r="I67" s="19">
        <f>IF(I18&gt;0,I28/I18,0)</f>
        <v/>
      </c>
      <c r="J67" s="19">
        <f>IF(J18&gt;0,J28/J18,0)</f>
        <v/>
      </c>
      <c r="K67" s="19">
        <f>IF(K18&gt;0,K28/K18,0)</f>
        <v/>
      </c>
      <c r="L67" s="19">
        <f>IF(L18&gt;0,L28/L18,0)</f>
        <v/>
      </c>
      <c r="M67" s="19">
        <f>IF(M18&gt;0,M28/M18,0)</f>
        <v/>
      </c>
      <c r="N67" s="19">
        <f>IF(N18&gt;0,N28/N18,0)</f>
        <v/>
      </c>
      <c r="O67" s="19">
        <f>IF(O18&gt;0,O28/O18,0)</f>
        <v/>
      </c>
      <c r="P67" s="19">
        <f>IF(P18&gt;0,P28/P18,0)</f>
        <v/>
      </c>
      <c r="Q67" s="19">
        <f>IF(Q18&gt;0,Q28/Q18,0)</f>
        <v/>
      </c>
      <c r="R67" s="19">
        <f>IF(R18&gt;0,R28/R18,0)</f>
        <v/>
      </c>
      <c r="S67" s="19">
        <f>IF(S18&gt;0,S28/S18,0)</f>
        <v/>
      </c>
      <c r="T67" s="19">
        <f>IF(T18&gt;0,T28/T18,0)</f>
        <v/>
      </c>
      <c r="U67" s="19">
        <f>IF(U18&gt;0,U28/U18,0)</f>
        <v/>
      </c>
      <c r="V67" s="19">
        <f>IF(V18&gt;0,V28/V18,0)</f>
        <v/>
      </c>
      <c r="W67" s="19">
        <f>IF(W18&gt;0,W28/W18,0)</f>
        <v/>
      </c>
      <c r="X67" s="19">
        <f>IF(X18&gt;0,X28/X18,0)</f>
        <v/>
      </c>
      <c r="Y67" s="19">
        <f>IF(Y18&gt;0,Y28/Y18,0)</f>
        <v/>
      </c>
      <c r="Z67" s="19">
        <f>IF(Z18&gt;0,Z28/Z18,0)</f>
        <v/>
      </c>
      <c r="AA67" s="19">
        <f>IF(AA18&gt;0,AA28/AA18,0)</f>
        <v/>
      </c>
      <c r="AB67" s="19">
        <f>IF(AB18&gt;0,AB28/AB18,0)</f>
        <v/>
      </c>
      <c r="AC67" s="19">
        <f>IF(AC18&gt;0,AC28/AC18,0)</f>
        <v/>
      </c>
      <c r="AD67" s="19">
        <f>IF(AD18&gt;0,AD28/AD18,0)</f>
        <v/>
      </c>
      <c r="AE67" s="19">
        <f>IF(AE18&gt;0,AE28/AE18,0)</f>
        <v/>
      </c>
      <c r="AF67" s="19">
        <f>IF(AF18&gt;0,AF28/AF18,0)</f>
        <v/>
      </c>
      <c r="AG67" s="19">
        <f>IF(AG18&gt;0,AG28/AG18,0)</f>
        <v/>
      </c>
      <c r="AH67" s="19">
        <f>IF(AH18&gt;0,AH28/AH18,0)</f>
        <v/>
      </c>
      <c r="AI67" s="19">
        <f>IF(AI18&gt;0,AI28/AI18,0)</f>
        <v/>
      </c>
      <c r="AJ67" s="19">
        <f>IF(AJ18&gt;0,AJ28/AJ18,0)</f>
        <v/>
      </c>
      <c r="AK67" s="19">
        <f>IF(AK18&gt;0,AK28/AK18,0)</f>
        <v/>
      </c>
      <c r="AL67" s="19">
        <f>IF(AL18&gt;0,AL28/AL18,0)</f>
        <v/>
      </c>
      <c r="AN67" s="19">
        <f>N67</f>
        <v/>
      </c>
      <c r="AO67" s="19">
        <f>Z67</f>
        <v/>
      </c>
      <c r="AP67" s="19">
        <f>AL67</f>
        <v/>
      </c>
    </row>
    <row r="68">
      <c r="A68" s="9" t="inlineStr">
        <is>
          <t>Coût variable par abonné</t>
        </is>
      </c>
      <c r="B68" s="4" t="inlineStr">
        <is>
          <t>€ HT</t>
        </is>
      </c>
      <c r="C68" s="19">
        <f>IF(C18&gt;0,C36/C18,0)</f>
        <v/>
      </c>
      <c r="D68" s="19">
        <f>IF(D18&gt;0,D36/D18,0)</f>
        <v/>
      </c>
      <c r="E68" s="19">
        <f>IF(E18&gt;0,E36/E18,0)</f>
        <v/>
      </c>
      <c r="F68" s="19">
        <f>IF(F18&gt;0,F36/F18,0)</f>
        <v/>
      </c>
      <c r="G68" s="19">
        <f>IF(G18&gt;0,G36/G18,0)</f>
        <v/>
      </c>
      <c r="H68" s="19">
        <f>IF(H18&gt;0,H36/H18,0)</f>
        <v/>
      </c>
      <c r="I68" s="19">
        <f>IF(I18&gt;0,I36/I18,0)</f>
        <v/>
      </c>
      <c r="J68" s="19">
        <f>IF(J18&gt;0,J36/J18,0)</f>
        <v/>
      </c>
      <c r="K68" s="19">
        <f>IF(K18&gt;0,K36/K18,0)</f>
        <v/>
      </c>
      <c r="L68" s="19">
        <f>IF(L18&gt;0,L36/L18,0)</f>
        <v/>
      </c>
      <c r="M68" s="19">
        <f>IF(M18&gt;0,M36/M18,0)</f>
        <v/>
      </c>
      <c r="N68" s="19">
        <f>IF(N18&gt;0,N36/N18,0)</f>
        <v/>
      </c>
      <c r="O68" s="19">
        <f>IF(O18&gt;0,O36/O18,0)</f>
        <v/>
      </c>
      <c r="P68" s="19">
        <f>IF(P18&gt;0,P36/P18,0)</f>
        <v/>
      </c>
      <c r="Q68" s="19">
        <f>IF(Q18&gt;0,Q36/Q18,0)</f>
        <v/>
      </c>
      <c r="R68" s="19">
        <f>IF(R18&gt;0,R36/R18,0)</f>
        <v/>
      </c>
      <c r="S68" s="19">
        <f>IF(S18&gt;0,S36/S18,0)</f>
        <v/>
      </c>
      <c r="T68" s="19">
        <f>IF(T18&gt;0,T36/T18,0)</f>
        <v/>
      </c>
      <c r="U68" s="19">
        <f>IF(U18&gt;0,U36/U18,0)</f>
        <v/>
      </c>
      <c r="V68" s="19">
        <f>IF(V18&gt;0,V36/V18,0)</f>
        <v/>
      </c>
      <c r="W68" s="19">
        <f>IF(W18&gt;0,W36/W18,0)</f>
        <v/>
      </c>
      <c r="X68" s="19">
        <f>IF(X18&gt;0,X36/X18,0)</f>
        <v/>
      </c>
      <c r="Y68" s="19">
        <f>IF(Y18&gt;0,Y36/Y18,0)</f>
        <v/>
      </c>
      <c r="Z68" s="19">
        <f>IF(Z18&gt;0,Z36/Z18,0)</f>
        <v/>
      </c>
      <c r="AA68" s="19">
        <f>IF(AA18&gt;0,AA36/AA18,0)</f>
        <v/>
      </c>
      <c r="AB68" s="19">
        <f>IF(AB18&gt;0,AB36/AB18,0)</f>
        <v/>
      </c>
      <c r="AC68" s="19">
        <f>IF(AC18&gt;0,AC36/AC18,0)</f>
        <v/>
      </c>
      <c r="AD68" s="19">
        <f>IF(AD18&gt;0,AD36/AD18,0)</f>
        <v/>
      </c>
      <c r="AE68" s="19">
        <f>IF(AE18&gt;0,AE36/AE18,0)</f>
        <v/>
      </c>
      <c r="AF68" s="19">
        <f>IF(AF18&gt;0,AF36/AF18,0)</f>
        <v/>
      </c>
      <c r="AG68" s="19">
        <f>IF(AG18&gt;0,AG36/AG18,0)</f>
        <v/>
      </c>
      <c r="AH68" s="19">
        <f>IF(AH18&gt;0,AH36/AH18,0)</f>
        <v/>
      </c>
      <c r="AI68" s="19">
        <f>IF(AI18&gt;0,AI36/AI18,0)</f>
        <v/>
      </c>
      <c r="AJ68" s="19">
        <f>IF(AJ18&gt;0,AJ36/AJ18,0)</f>
        <v/>
      </c>
      <c r="AK68" s="19">
        <f>IF(AK18&gt;0,AK36/AK18,0)</f>
        <v/>
      </c>
      <c r="AL68" s="19">
        <f>IF(AL18&gt;0,AL36/AL18,0)</f>
        <v/>
      </c>
      <c r="AN68" s="19">
        <f>N68</f>
        <v/>
      </c>
      <c r="AO68" s="19">
        <f>Z68</f>
        <v/>
      </c>
      <c r="AP68" s="19">
        <f>AL68</f>
        <v/>
      </c>
    </row>
    <row r="69">
      <c r="A69" s="9" t="inlineStr">
        <is>
          <t>Contribution par abonné</t>
        </is>
      </c>
      <c r="B69" s="4" t="inlineStr">
        <is>
          <t>€ HT</t>
        </is>
      </c>
      <c r="C69" s="19">
        <f>IF(C18&gt;0,C37/C18,0)</f>
        <v/>
      </c>
      <c r="D69" s="19">
        <f>IF(D18&gt;0,D37/D18,0)</f>
        <v/>
      </c>
      <c r="E69" s="19">
        <f>IF(E18&gt;0,E37/E18,0)</f>
        <v/>
      </c>
      <c r="F69" s="19">
        <f>IF(F18&gt;0,F37/F18,0)</f>
        <v/>
      </c>
      <c r="G69" s="19">
        <f>IF(G18&gt;0,G37/G18,0)</f>
        <v/>
      </c>
      <c r="H69" s="19">
        <f>IF(H18&gt;0,H37/H18,0)</f>
        <v/>
      </c>
      <c r="I69" s="19">
        <f>IF(I18&gt;0,I37/I18,0)</f>
        <v/>
      </c>
      <c r="J69" s="19">
        <f>IF(J18&gt;0,J37/J18,0)</f>
        <v/>
      </c>
      <c r="K69" s="19">
        <f>IF(K18&gt;0,K37/K18,0)</f>
        <v/>
      </c>
      <c r="L69" s="19">
        <f>IF(L18&gt;0,L37/L18,0)</f>
        <v/>
      </c>
      <c r="M69" s="19">
        <f>IF(M18&gt;0,M37/M18,0)</f>
        <v/>
      </c>
      <c r="N69" s="19">
        <f>IF(N18&gt;0,N37/N18,0)</f>
        <v/>
      </c>
      <c r="O69" s="19">
        <f>IF(O18&gt;0,O37/O18,0)</f>
        <v/>
      </c>
      <c r="P69" s="19">
        <f>IF(P18&gt;0,P37/P18,0)</f>
        <v/>
      </c>
      <c r="Q69" s="19">
        <f>IF(Q18&gt;0,Q37/Q18,0)</f>
        <v/>
      </c>
      <c r="R69" s="19">
        <f>IF(R18&gt;0,R37/R18,0)</f>
        <v/>
      </c>
      <c r="S69" s="19">
        <f>IF(S18&gt;0,S37/S18,0)</f>
        <v/>
      </c>
      <c r="T69" s="19">
        <f>IF(T18&gt;0,T37/T18,0)</f>
        <v/>
      </c>
      <c r="U69" s="19">
        <f>IF(U18&gt;0,U37/U18,0)</f>
        <v/>
      </c>
      <c r="V69" s="19">
        <f>IF(V18&gt;0,V37/V18,0)</f>
        <v/>
      </c>
      <c r="W69" s="19">
        <f>IF(W18&gt;0,W37/W18,0)</f>
        <v/>
      </c>
      <c r="X69" s="19">
        <f>IF(X18&gt;0,X37/X18,0)</f>
        <v/>
      </c>
      <c r="Y69" s="19">
        <f>IF(Y18&gt;0,Y37/Y18,0)</f>
        <v/>
      </c>
      <c r="Z69" s="19">
        <f>IF(Z18&gt;0,Z37/Z18,0)</f>
        <v/>
      </c>
      <c r="AA69" s="19">
        <f>IF(AA18&gt;0,AA37/AA18,0)</f>
        <v/>
      </c>
      <c r="AB69" s="19">
        <f>IF(AB18&gt;0,AB37/AB18,0)</f>
        <v/>
      </c>
      <c r="AC69" s="19">
        <f>IF(AC18&gt;0,AC37/AC18,0)</f>
        <v/>
      </c>
      <c r="AD69" s="19">
        <f>IF(AD18&gt;0,AD37/AD18,0)</f>
        <v/>
      </c>
      <c r="AE69" s="19">
        <f>IF(AE18&gt;0,AE37/AE18,0)</f>
        <v/>
      </c>
      <c r="AF69" s="19">
        <f>IF(AF18&gt;0,AF37/AF18,0)</f>
        <v/>
      </c>
      <c r="AG69" s="19">
        <f>IF(AG18&gt;0,AG37/AG18,0)</f>
        <v/>
      </c>
      <c r="AH69" s="19">
        <f>IF(AH18&gt;0,AH37/AH18,0)</f>
        <v/>
      </c>
      <c r="AI69" s="19">
        <f>IF(AI18&gt;0,AI37/AI18,0)</f>
        <v/>
      </c>
      <c r="AJ69" s="19">
        <f>IF(AJ18&gt;0,AJ37/AJ18,0)</f>
        <v/>
      </c>
      <c r="AK69" s="19">
        <f>IF(AK18&gt;0,AK37/AK18,0)</f>
        <v/>
      </c>
      <c r="AL69" s="19">
        <f>IF(AL18&gt;0,AL37/AL18,0)</f>
        <v/>
      </c>
      <c r="AN69" s="19">
        <f>N69</f>
        <v/>
      </c>
      <c r="AO69" s="19">
        <f>Z69</f>
        <v/>
      </c>
      <c r="AP69" s="19">
        <f>AL69</f>
        <v/>
      </c>
    </row>
    <row r="70">
      <c r="A70" s="9" t="inlineStr">
        <is>
          <t>Marge variable (% du CA HT)</t>
        </is>
      </c>
      <c r="B70" s="4" t="inlineStr">
        <is>
          <t>%</t>
        </is>
      </c>
      <c r="C70" s="17">
        <f>IF(C28&gt;0,C37/C28,0)</f>
        <v/>
      </c>
      <c r="D70" s="17">
        <f>IF(D28&gt;0,D37/D28,0)</f>
        <v/>
      </c>
      <c r="E70" s="17">
        <f>IF(E28&gt;0,E37/E28,0)</f>
        <v/>
      </c>
      <c r="F70" s="17">
        <f>IF(F28&gt;0,F37/F28,0)</f>
        <v/>
      </c>
      <c r="G70" s="17">
        <f>IF(G28&gt;0,G37/G28,0)</f>
        <v/>
      </c>
      <c r="H70" s="17">
        <f>IF(H28&gt;0,H37/H28,0)</f>
        <v/>
      </c>
      <c r="I70" s="17">
        <f>IF(I28&gt;0,I37/I28,0)</f>
        <v/>
      </c>
      <c r="J70" s="17">
        <f>IF(J28&gt;0,J37/J28,0)</f>
        <v/>
      </c>
      <c r="K70" s="17">
        <f>IF(K28&gt;0,K37/K28,0)</f>
        <v/>
      </c>
      <c r="L70" s="17">
        <f>IF(L28&gt;0,L37/L28,0)</f>
        <v/>
      </c>
      <c r="M70" s="17">
        <f>IF(M28&gt;0,M37/M28,0)</f>
        <v/>
      </c>
      <c r="N70" s="17">
        <f>IF(N28&gt;0,N37/N28,0)</f>
        <v/>
      </c>
      <c r="O70" s="17">
        <f>IF(O28&gt;0,O37/O28,0)</f>
        <v/>
      </c>
      <c r="P70" s="17">
        <f>IF(P28&gt;0,P37/P28,0)</f>
        <v/>
      </c>
      <c r="Q70" s="17">
        <f>IF(Q28&gt;0,Q37/Q28,0)</f>
        <v/>
      </c>
      <c r="R70" s="17">
        <f>IF(R28&gt;0,R37/R28,0)</f>
        <v/>
      </c>
      <c r="S70" s="17">
        <f>IF(S28&gt;0,S37/S28,0)</f>
        <v/>
      </c>
      <c r="T70" s="17">
        <f>IF(T28&gt;0,T37/T28,0)</f>
        <v/>
      </c>
      <c r="U70" s="17">
        <f>IF(U28&gt;0,U37/U28,0)</f>
        <v/>
      </c>
      <c r="V70" s="17">
        <f>IF(V28&gt;0,V37/V28,0)</f>
        <v/>
      </c>
      <c r="W70" s="17">
        <f>IF(W28&gt;0,W37/W28,0)</f>
        <v/>
      </c>
      <c r="X70" s="17">
        <f>IF(X28&gt;0,X37/X28,0)</f>
        <v/>
      </c>
      <c r="Y70" s="17">
        <f>IF(Y28&gt;0,Y37/Y28,0)</f>
        <v/>
      </c>
      <c r="Z70" s="17">
        <f>IF(Z28&gt;0,Z37/Z28,0)</f>
        <v/>
      </c>
      <c r="AA70" s="17">
        <f>IF(AA28&gt;0,AA37/AA28,0)</f>
        <v/>
      </c>
      <c r="AB70" s="17">
        <f>IF(AB28&gt;0,AB37/AB28,0)</f>
        <v/>
      </c>
      <c r="AC70" s="17">
        <f>IF(AC28&gt;0,AC37/AC28,0)</f>
        <v/>
      </c>
      <c r="AD70" s="17">
        <f>IF(AD28&gt;0,AD37/AD28,0)</f>
        <v/>
      </c>
      <c r="AE70" s="17">
        <f>IF(AE28&gt;0,AE37/AE28,0)</f>
        <v/>
      </c>
      <c r="AF70" s="17">
        <f>IF(AF28&gt;0,AF37/AF28,0)</f>
        <v/>
      </c>
      <c r="AG70" s="17">
        <f>IF(AG28&gt;0,AG37/AG28,0)</f>
        <v/>
      </c>
      <c r="AH70" s="17">
        <f>IF(AH28&gt;0,AH37/AH28,0)</f>
        <v/>
      </c>
      <c r="AI70" s="17">
        <f>IF(AI28&gt;0,AI37/AI28,0)</f>
        <v/>
      </c>
      <c r="AJ70" s="17">
        <f>IF(AJ28&gt;0,AJ37/AJ28,0)</f>
        <v/>
      </c>
      <c r="AK70" s="17">
        <f>IF(AK28&gt;0,AK37/AK28,0)</f>
        <v/>
      </c>
      <c r="AL70" s="17">
        <f>IF(AL28&gt;0,AL37/AL28,0)</f>
        <v/>
      </c>
      <c r="AN70" s="17">
        <f>N70</f>
        <v/>
      </c>
      <c r="AO70" s="17">
        <f>Z70</f>
        <v/>
      </c>
      <c r="AP70" s="17">
        <f>AL70</f>
        <v/>
      </c>
    </row>
    <row r="71">
      <c r="A71" s="9" t="inlineStr">
        <is>
          <t>CAC effectif</t>
        </is>
      </c>
      <c r="B71" s="4" t="inlineStr">
        <is>
          <t>€</t>
        </is>
      </c>
      <c r="C71" s="15">
        <f>IF(C14&gt;0,C39/C14,0)</f>
        <v/>
      </c>
      <c r="D71" s="15">
        <f>IF(D14&gt;0,D39/D14,0)</f>
        <v/>
      </c>
      <c r="E71" s="15">
        <f>IF(E14&gt;0,E39/E14,0)</f>
        <v/>
      </c>
      <c r="F71" s="15">
        <f>IF(F14&gt;0,F39/F14,0)</f>
        <v/>
      </c>
      <c r="G71" s="15">
        <f>IF(G14&gt;0,G39/G14,0)</f>
        <v/>
      </c>
      <c r="H71" s="15">
        <f>IF(H14&gt;0,H39/H14,0)</f>
        <v/>
      </c>
      <c r="I71" s="15">
        <f>IF(I14&gt;0,I39/I14,0)</f>
        <v/>
      </c>
      <c r="J71" s="15">
        <f>IF(J14&gt;0,J39/J14,0)</f>
        <v/>
      </c>
      <c r="K71" s="15">
        <f>IF(K14&gt;0,K39/K14,0)</f>
        <v/>
      </c>
      <c r="L71" s="15">
        <f>IF(L14&gt;0,L39/L14,0)</f>
        <v/>
      </c>
      <c r="M71" s="15">
        <f>IF(M14&gt;0,M39/M14,0)</f>
        <v/>
      </c>
      <c r="N71" s="15">
        <f>IF(N14&gt;0,N39/N14,0)</f>
        <v/>
      </c>
      <c r="O71" s="15">
        <f>IF(O14&gt;0,O39/O14,0)</f>
        <v/>
      </c>
      <c r="P71" s="15">
        <f>IF(P14&gt;0,P39/P14,0)</f>
        <v/>
      </c>
      <c r="Q71" s="15">
        <f>IF(Q14&gt;0,Q39/Q14,0)</f>
        <v/>
      </c>
      <c r="R71" s="15">
        <f>IF(R14&gt;0,R39/R14,0)</f>
        <v/>
      </c>
      <c r="S71" s="15">
        <f>IF(S14&gt;0,S39/S14,0)</f>
        <v/>
      </c>
      <c r="T71" s="15">
        <f>IF(T14&gt;0,T39/T14,0)</f>
        <v/>
      </c>
      <c r="U71" s="15">
        <f>IF(U14&gt;0,U39/U14,0)</f>
        <v/>
      </c>
      <c r="V71" s="15">
        <f>IF(V14&gt;0,V39/V14,0)</f>
        <v/>
      </c>
      <c r="W71" s="15">
        <f>IF(W14&gt;0,W39/W14,0)</f>
        <v/>
      </c>
      <c r="X71" s="15">
        <f>IF(X14&gt;0,X39/X14,0)</f>
        <v/>
      </c>
      <c r="Y71" s="15">
        <f>IF(Y14&gt;0,Y39/Y14,0)</f>
        <v/>
      </c>
      <c r="Z71" s="15">
        <f>IF(Z14&gt;0,Z39/Z14,0)</f>
        <v/>
      </c>
      <c r="AA71" s="15">
        <f>IF(AA14&gt;0,AA39/AA14,0)</f>
        <v/>
      </c>
      <c r="AB71" s="15">
        <f>IF(AB14&gt;0,AB39/AB14,0)</f>
        <v/>
      </c>
      <c r="AC71" s="15">
        <f>IF(AC14&gt;0,AC39/AC14,0)</f>
        <v/>
      </c>
      <c r="AD71" s="15">
        <f>IF(AD14&gt;0,AD39/AD14,0)</f>
        <v/>
      </c>
      <c r="AE71" s="15">
        <f>IF(AE14&gt;0,AE39/AE14,0)</f>
        <v/>
      </c>
      <c r="AF71" s="15">
        <f>IF(AF14&gt;0,AF39/AF14,0)</f>
        <v/>
      </c>
      <c r="AG71" s="15">
        <f>IF(AG14&gt;0,AG39/AG14,0)</f>
        <v/>
      </c>
      <c r="AH71" s="15">
        <f>IF(AH14&gt;0,AH39/AH14,0)</f>
        <v/>
      </c>
      <c r="AI71" s="15">
        <f>IF(AI14&gt;0,AI39/AI14,0)</f>
        <v/>
      </c>
      <c r="AJ71" s="15">
        <f>IF(AJ14&gt;0,AJ39/AJ14,0)</f>
        <v/>
      </c>
      <c r="AK71" s="15">
        <f>IF(AK14&gt;0,AK39/AK14,0)</f>
        <v/>
      </c>
      <c r="AL71" s="15">
        <f>IF(AL14&gt;0,AL39/AL14,0)</f>
        <v/>
      </c>
      <c r="AN71" s="15">
        <f>N71</f>
        <v/>
      </c>
      <c r="AO71" s="15">
        <f>Z71</f>
        <v/>
      </c>
      <c r="AP71" s="15">
        <f>AL71</f>
        <v/>
      </c>
    </row>
    <row r="72">
      <c r="A72" s="9" t="inlineStr">
        <is>
          <t>Payback du CAC (mois)</t>
        </is>
      </c>
      <c r="B72" s="4" t="inlineStr">
        <is>
          <t>mois</t>
        </is>
      </c>
      <c r="C72" s="38">
        <f>IF(C69&gt;0,Hypothèses!$D$23*$E$4/C69,0)</f>
        <v/>
      </c>
      <c r="D72" s="38">
        <f>IF(D69&gt;0,Hypothèses!$D$23*$E$4/D69,0)</f>
        <v/>
      </c>
      <c r="E72" s="38">
        <f>IF(E69&gt;0,Hypothèses!$D$23*$E$4/E69,0)</f>
        <v/>
      </c>
      <c r="F72" s="38">
        <f>IF(F69&gt;0,Hypothèses!$D$23*$E$4/F69,0)</f>
        <v/>
      </c>
      <c r="G72" s="38">
        <f>IF(G69&gt;0,Hypothèses!$D$23*$E$4/G69,0)</f>
        <v/>
      </c>
      <c r="H72" s="38">
        <f>IF(H69&gt;0,Hypothèses!$D$23*$E$4/H69,0)</f>
        <v/>
      </c>
      <c r="I72" s="38">
        <f>IF(I69&gt;0,Hypothèses!$D$23*$E$4/I69,0)</f>
        <v/>
      </c>
      <c r="J72" s="38">
        <f>IF(J69&gt;0,Hypothèses!$D$23*$E$4/J69,0)</f>
        <v/>
      </c>
      <c r="K72" s="38">
        <f>IF(K69&gt;0,Hypothèses!$D$23*$E$4/K69,0)</f>
        <v/>
      </c>
      <c r="L72" s="38">
        <f>IF(L69&gt;0,Hypothèses!$D$23*$E$4/L69,0)</f>
        <v/>
      </c>
      <c r="M72" s="38">
        <f>IF(M69&gt;0,Hypothèses!$D$23*$E$4/M69,0)</f>
        <v/>
      </c>
      <c r="N72" s="38">
        <f>IF(N69&gt;0,Hypothèses!$D$23*$E$4/N69,0)</f>
        <v/>
      </c>
      <c r="O72" s="38">
        <f>IF(O69&gt;0,Hypothèses!$D$23*$E$4/O69,0)</f>
        <v/>
      </c>
      <c r="P72" s="38">
        <f>IF(P69&gt;0,Hypothèses!$D$23*$E$4/P69,0)</f>
        <v/>
      </c>
      <c r="Q72" s="38">
        <f>IF(Q69&gt;0,Hypothèses!$D$23*$E$4/Q69,0)</f>
        <v/>
      </c>
      <c r="R72" s="38">
        <f>IF(R69&gt;0,Hypothèses!$D$23*$E$4/R69,0)</f>
        <v/>
      </c>
      <c r="S72" s="38">
        <f>IF(S69&gt;0,Hypothèses!$D$23*$E$4/S69,0)</f>
        <v/>
      </c>
      <c r="T72" s="38">
        <f>IF(T69&gt;0,Hypothèses!$D$23*$E$4/T69,0)</f>
        <v/>
      </c>
      <c r="U72" s="38">
        <f>IF(U69&gt;0,Hypothèses!$D$23*$E$4/U69,0)</f>
        <v/>
      </c>
      <c r="V72" s="38">
        <f>IF(V69&gt;0,Hypothèses!$D$23*$E$4/V69,0)</f>
        <v/>
      </c>
      <c r="W72" s="38">
        <f>IF(W69&gt;0,Hypothèses!$D$23*$E$4/W69,0)</f>
        <v/>
      </c>
      <c r="X72" s="38">
        <f>IF(X69&gt;0,Hypothèses!$D$23*$E$4/X69,0)</f>
        <v/>
      </c>
      <c r="Y72" s="38">
        <f>IF(Y69&gt;0,Hypothèses!$D$23*$E$4/Y69,0)</f>
        <v/>
      </c>
      <c r="Z72" s="38">
        <f>IF(Z69&gt;0,Hypothèses!$D$23*$E$4/Z69,0)</f>
        <v/>
      </c>
      <c r="AA72" s="38">
        <f>IF(AA69&gt;0,Hypothèses!$D$23*$E$4/AA69,0)</f>
        <v/>
      </c>
      <c r="AB72" s="38">
        <f>IF(AB69&gt;0,Hypothèses!$D$23*$E$4/AB69,0)</f>
        <v/>
      </c>
      <c r="AC72" s="38">
        <f>IF(AC69&gt;0,Hypothèses!$D$23*$E$4/AC69,0)</f>
        <v/>
      </c>
      <c r="AD72" s="38">
        <f>IF(AD69&gt;0,Hypothèses!$D$23*$E$4/AD69,0)</f>
        <v/>
      </c>
      <c r="AE72" s="38">
        <f>IF(AE69&gt;0,Hypothèses!$D$23*$E$4/AE69,0)</f>
        <v/>
      </c>
      <c r="AF72" s="38">
        <f>IF(AF69&gt;0,Hypothèses!$D$23*$E$4/AF69,0)</f>
        <v/>
      </c>
      <c r="AG72" s="38">
        <f>IF(AG69&gt;0,Hypothèses!$D$23*$E$4/AG69,0)</f>
        <v/>
      </c>
      <c r="AH72" s="38">
        <f>IF(AH69&gt;0,Hypothèses!$D$23*$E$4/AH69,0)</f>
        <v/>
      </c>
      <c r="AI72" s="38">
        <f>IF(AI69&gt;0,Hypothèses!$D$23*$E$4/AI69,0)</f>
        <v/>
      </c>
      <c r="AJ72" s="38">
        <f>IF(AJ69&gt;0,Hypothèses!$D$23*$E$4/AJ69,0)</f>
        <v/>
      </c>
      <c r="AK72" s="38">
        <f>IF(AK69&gt;0,Hypothèses!$D$23*$E$4/AK69,0)</f>
        <v/>
      </c>
      <c r="AL72" s="38">
        <f>IF(AL69&gt;0,Hypothèses!$D$23*$E$4/AL69,0)</f>
        <v/>
      </c>
      <c r="AN72" s="38">
        <f>N72</f>
        <v/>
      </c>
      <c r="AO72" s="38">
        <f>Z72</f>
        <v/>
      </c>
      <c r="AP72" s="38">
        <f>AL72</f>
        <v/>
      </c>
    </row>
    <row r="73">
      <c r="A73" s="9" t="inlineStr">
        <is>
          <t>LTV contributive simplifiée (contribution / churn)</t>
        </is>
      </c>
      <c r="B73" s="4" t="inlineStr">
        <is>
          <t>€ HT</t>
        </is>
      </c>
      <c r="C73" s="15">
        <f>IF(Hypothèses!$D$26*$D$4&gt;0,C69/(Hypothèses!$D$26*$D$4),0)</f>
        <v/>
      </c>
      <c r="D73" s="15">
        <f>IF(Hypothèses!$D$26*$D$4&gt;0,D69/(Hypothèses!$D$26*$D$4),0)</f>
        <v/>
      </c>
      <c r="E73" s="15">
        <f>IF(Hypothèses!$D$26*$D$4&gt;0,E69/(Hypothèses!$D$26*$D$4),0)</f>
        <v/>
      </c>
      <c r="F73" s="15">
        <f>IF(Hypothèses!$D$26*$D$4&gt;0,F69/(Hypothèses!$D$26*$D$4),0)</f>
        <v/>
      </c>
      <c r="G73" s="15">
        <f>IF(Hypothèses!$D$26*$D$4&gt;0,G69/(Hypothèses!$D$26*$D$4),0)</f>
        <v/>
      </c>
      <c r="H73" s="15">
        <f>IF(Hypothèses!$D$26*$D$4&gt;0,H69/(Hypothèses!$D$26*$D$4),0)</f>
        <v/>
      </c>
      <c r="I73" s="15">
        <f>IF(Hypothèses!$D$26*$D$4&gt;0,I69/(Hypothèses!$D$26*$D$4),0)</f>
        <v/>
      </c>
      <c r="J73" s="15">
        <f>IF(Hypothèses!$D$26*$D$4&gt;0,J69/(Hypothèses!$D$26*$D$4),0)</f>
        <v/>
      </c>
      <c r="K73" s="15">
        <f>IF(Hypothèses!$D$26*$D$4&gt;0,K69/(Hypothèses!$D$26*$D$4),0)</f>
        <v/>
      </c>
      <c r="L73" s="15">
        <f>IF(Hypothèses!$D$26*$D$4&gt;0,L69/(Hypothèses!$D$26*$D$4),0)</f>
        <v/>
      </c>
      <c r="M73" s="15">
        <f>IF(Hypothèses!$D$26*$D$4&gt;0,M69/(Hypothèses!$D$26*$D$4),0)</f>
        <v/>
      </c>
      <c r="N73" s="15">
        <f>IF(Hypothèses!$D$26*$D$4&gt;0,N69/(Hypothèses!$D$26*$D$4),0)</f>
        <v/>
      </c>
      <c r="O73" s="15">
        <f>IF(Hypothèses!$D$26*$D$4&gt;0,O69/(Hypothèses!$D$26*$D$4),0)</f>
        <v/>
      </c>
      <c r="P73" s="15">
        <f>IF(Hypothèses!$D$26*$D$4&gt;0,P69/(Hypothèses!$D$26*$D$4),0)</f>
        <v/>
      </c>
      <c r="Q73" s="15">
        <f>IF(Hypothèses!$D$26*$D$4&gt;0,Q69/(Hypothèses!$D$26*$D$4),0)</f>
        <v/>
      </c>
      <c r="R73" s="15">
        <f>IF(Hypothèses!$D$26*$D$4&gt;0,R69/(Hypothèses!$D$26*$D$4),0)</f>
        <v/>
      </c>
      <c r="S73" s="15">
        <f>IF(Hypothèses!$D$26*$D$4&gt;0,S69/(Hypothèses!$D$26*$D$4),0)</f>
        <v/>
      </c>
      <c r="T73" s="15">
        <f>IF(Hypothèses!$D$26*$D$4&gt;0,T69/(Hypothèses!$D$26*$D$4),0)</f>
        <v/>
      </c>
      <c r="U73" s="15">
        <f>IF(Hypothèses!$D$26*$D$4&gt;0,U69/(Hypothèses!$D$26*$D$4),0)</f>
        <v/>
      </c>
      <c r="V73" s="15">
        <f>IF(Hypothèses!$D$26*$D$4&gt;0,V69/(Hypothèses!$D$26*$D$4),0)</f>
        <v/>
      </c>
      <c r="W73" s="15">
        <f>IF(Hypothèses!$D$26*$D$4&gt;0,W69/(Hypothèses!$D$26*$D$4),0)</f>
        <v/>
      </c>
      <c r="X73" s="15">
        <f>IF(Hypothèses!$D$26*$D$4&gt;0,X69/(Hypothèses!$D$26*$D$4),0)</f>
        <v/>
      </c>
      <c r="Y73" s="15">
        <f>IF(Hypothèses!$D$26*$D$4&gt;0,Y69/(Hypothèses!$D$26*$D$4),0)</f>
        <v/>
      </c>
      <c r="Z73" s="15">
        <f>IF(Hypothèses!$D$26*$D$4&gt;0,Z69/(Hypothèses!$D$26*$D$4),0)</f>
        <v/>
      </c>
      <c r="AA73" s="15">
        <f>IF(Hypothèses!$D$26*$D$4&gt;0,AA69/(Hypothèses!$D$26*$D$4),0)</f>
        <v/>
      </c>
      <c r="AB73" s="15">
        <f>IF(Hypothèses!$D$26*$D$4&gt;0,AB69/(Hypothèses!$D$26*$D$4),0)</f>
        <v/>
      </c>
      <c r="AC73" s="15">
        <f>IF(Hypothèses!$D$26*$D$4&gt;0,AC69/(Hypothèses!$D$26*$D$4),0)</f>
        <v/>
      </c>
      <c r="AD73" s="15">
        <f>IF(Hypothèses!$D$26*$D$4&gt;0,AD69/(Hypothèses!$D$26*$D$4),0)</f>
        <v/>
      </c>
      <c r="AE73" s="15">
        <f>IF(Hypothèses!$D$26*$D$4&gt;0,AE69/(Hypothèses!$D$26*$D$4),0)</f>
        <v/>
      </c>
      <c r="AF73" s="15">
        <f>IF(Hypothèses!$D$26*$D$4&gt;0,AF69/(Hypothèses!$D$26*$D$4),0)</f>
        <v/>
      </c>
      <c r="AG73" s="15">
        <f>IF(Hypothèses!$D$26*$D$4&gt;0,AG69/(Hypothèses!$D$26*$D$4),0)</f>
        <v/>
      </c>
      <c r="AH73" s="15">
        <f>IF(Hypothèses!$D$26*$D$4&gt;0,AH69/(Hypothèses!$D$26*$D$4),0)</f>
        <v/>
      </c>
      <c r="AI73" s="15">
        <f>IF(Hypothèses!$D$26*$D$4&gt;0,AI69/(Hypothèses!$D$26*$D$4),0)</f>
        <v/>
      </c>
      <c r="AJ73" s="15">
        <f>IF(Hypothèses!$D$26*$D$4&gt;0,AJ69/(Hypothèses!$D$26*$D$4),0)</f>
        <v/>
      </c>
      <c r="AK73" s="15">
        <f>IF(Hypothèses!$D$26*$D$4&gt;0,AK69/(Hypothèses!$D$26*$D$4),0)</f>
        <v/>
      </c>
      <c r="AL73" s="15">
        <f>IF(Hypothèses!$D$26*$D$4&gt;0,AL69/(Hypothèses!$D$26*$D$4),0)</f>
        <v/>
      </c>
      <c r="AN73" s="15">
        <f>N73</f>
        <v/>
      </c>
      <c r="AO73" s="15">
        <f>Z73</f>
        <v/>
      </c>
      <c r="AP73" s="15">
        <f>AL73</f>
        <v/>
      </c>
    </row>
    <row r="74">
      <c r="A74" s="9" t="inlineStr">
        <is>
          <t>LTV / CAC</t>
        </is>
      </c>
      <c r="B74" s="4" t="inlineStr">
        <is>
          <t>x</t>
        </is>
      </c>
      <c r="C74" s="41">
        <f>IF(Hypothèses!$D$23*$E$4&gt;0,C73/(Hypothèses!$D$23*$E$4),0)</f>
        <v/>
      </c>
      <c r="D74" s="41">
        <f>IF(Hypothèses!$D$23*$E$4&gt;0,D73/(Hypothèses!$D$23*$E$4),0)</f>
        <v/>
      </c>
      <c r="E74" s="41">
        <f>IF(Hypothèses!$D$23*$E$4&gt;0,E73/(Hypothèses!$D$23*$E$4),0)</f>
        <v/>
      </c>
      <c r="F74" s="41">
        <f>IF(Hypothèses!$D$23*$E$4&gt;0,F73/(Hypothèses!$D$23*$E$4),0)</f>
        <v/>
      </c>
      <c r="G74" s="41">
        <f>IF(Hypothèses!$D$23*$E$4&gt;0,G73/(Hypothèses!$D$23*$E$4),0)</f>
        <v/>
      </c>
      <c r="H74" s="41">
        <f>IF(Hypothèses!$D$23*$E$4&gt;0,H73/(Hypothèses!$D$23*$E$4),0)</f>
        <v/>
      </c>
      <c r="I74" s="41">
        <f>IF(Hypothèses!$D$23*$E$4&gt;0,I73/(Hypothèses!$D$23*$E$4),0)</f>
        <v/>
      </c>
      <c r="J74" s="41">
        <f>IF(Hypothèses!$D$23*$E$4&gt;0,J73/(Hypothèses!$D$23*$E$4),0)</f>
        <v/>
      </c>
      <c r="K74" s="41">
        <f>IF(Hypothèses!$D$23*$E$4&gt;0,K73/(Hypothèses!$D$23*$E$4),0)</f>
        <v/>
      </c>
      <c r="L74" s="41">
        <f>IF(Hypothèses!$D$23*$E$4&gt;0,L73/(Hypothèses!$D$23*$E$4),0)</f>
        <v/>
      </c>
      <c r="M74" s="41">
        <f>IF(Hypothèses!$D$23*$E$4&gt;0,M73/(Hypothèses!$D$23*$E$4),0)</f>
        <v/>
      </c>
      <c r="N74" s="41">
        <f>IF(Hypothèses!$D$23*$E$4&gt;0,N73/(Hypothèses!$D$23*$E$4),0)</f>
        <v/>
      </c>
      <c r="O74" s="41">
        <f>IF(Hypothèses!$D$23*$E$4&gt;0,O73/(Hypothèses!$D$23*$E$4),0)</f>
        <v/>
      </c>
      <c r="P74" s="41">
        <f>IF(Hypothèses!$D$23*$E$4&gt;0,P73/(Hypothèses!$D$23*$E$4),0)</f>
        <v/>
      </c>
      <c r="Q74" s="41">
        <f>IF(Hypothèses!$D$23*$E$4&gt;0,Q73/(Hypothèses!$D$23*$E$4),0)</f>
        <v/>
      </c>
      <c r="R74" s="41">
        <f>IF(Hypothèses!$D$23*$E$4&gt;0,R73/(Hypothèses!$D$23*$E$4),0)</f>
        <v/>
      </c>
      <c r="S74" s="41">
        <f>IF(Hypothèses!$D$23*$E$4&gt;0,S73/(Hypothèses!$D$23*$E$4),0)</f>
        <v/>
      </c>
      <c r="T74" s="41">
        <f>IF(Hypothèses!$D$23*$E$4&gt;0,T73/(Hypothèses!$D$23*$E$4),0)</f>
        <v/>
      </c>
      <c r="U74" s="41">
        <f>IF(Hypothèses!$D$23*$E$4&gt;0,U73/(Hypothèses!$D$23*$E$4),0)</f>
        <v/>
      </c>
      <c r="V74" s="41">
        <f>IF(Hypothèses!$D$23*$E$4&gt;0,V73/(Hypothèses!$D$23*$E$4),0)</f>
        <v/>
      </c>
      <c r="W74" s="41">
        <f>IF(Hypothèses!$D$23*$E$4&gt;0,W73/(Hypothèses!$D$23*$E$4),0)</f>
        <v/>
      </c>
      <c r="X74" s="41">
        <f>IF(Hypothèses!$D$23*$E$4&gt;0,X73/(Hypothèses!$D$23*$E$4),0)</f>
        <v/>
      </c>
      <c r="Y74" s="41">
        <f>IF(Hypothèses!$D$23*$E$4&gt;0,Y73/(Hypothèses!$D$23*$E$4),0)</f>
        <v/>
      </c>
      <c r="Z74" s="41">
        <f>IF(Hypothèses!$D$23*$E$4&gt;0,Z73/(Hypothèses!$D$23*$E$4),0)</f>
        <v/>
      </c>
      <c r="AA74" s="41">
        <f>IF(Hypothèses!$D$23*$E$4&gt;0,AA73/(Hypothèses!$D$23*$E$4),0)</f>
        <v/>
      </c>
      <c r="AB74" s="41">
        <f>IF(Hypothèses!$D$23*$E$4&gt;0,AB73/(Hypothèses!$D$23*$E$4),0)</f>
        <v/>
      </c>
      <c r="AC74" s="41">
        <f>IF(Hypothèses!$D$23*$E$4&gt;0,AC73/(Hypothèses!$D$23*$E$4),0)</f>
        <v/>
      </c>
      <c r="AD74" s="41">
        <f>IF(Hypothèses!$D$23*$E$4&gt;0,AD73/(Hypothèses!$D$23*$E$4),0)</f>
        <v/>
      </c>
      <c r="AE74" s="41">
        <f>IF(Hypothèses!$D$23*$E$4&gt;0,AE73/(Hypothèses!$D$23*$E$4),0)</f>
        <v/>
      </c>
      <c r="AF74" s="41">
        <f>IF(Hypothèses!$D$23*$E$4&gt;0,AF73/(Hypothèses!$D$23*$E$4),0)</f>
        <v/>
      </c>
      <c r="AG74" s="41">
        <f>IF(Hypothèses!$D$23*$E$4&gt;0,AG73/(Hypothèses!$D$23*$E$4),0)</f>
        <v/>
      </c>
      <c r="AH74" s="41">
        <f>IF(Hypothèses!$D$23*$E$4&gt;0,AH73/(Hypothèses!$D$23*$E$4),0)</f>
        <v/>
      </c>
      <c r="AI74" s="41">
        <f>IF(Hypothèses!$D$23*$E$4&gt;0,AI73/(Hypothèses!$D$23*$E$4),0)</f>
        <v/>
      </c>
      <c r="AJ74" s="41">
        <f>IF(Hypothèses!$D$23*$E$4&gt;0,AJ73/(Hypothèses!$D$23*$E$4),0)</f>
        <v/>
      </c>
      <c r="AK74" s="41">
        <f>IF(Hypothèses!$D$23*$E$4&gt;0,AK73/(Hypothèses!$D$23*$E$4),0)</f>
        <v/>
      </c>
      <c r="AL74" s="41">
        <f>IF(Hypothèses!$D$23*$E$4&gt;0,AL73/(Hypothèses!$D$23*$E$4),0)</f>
        <v/>
      </c>
      <c r="AN74" s="41">
        <f>N74</f>
        <v/>
      </c>
      <c r="AO74" s="41">
        <f>Z74</f>
        <v/>
      </c>
      <c r="AP74" s="41">
        <f>AL74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4DDD2"/>
    <outlinePr summaryBelow="1" summaryRight="1"/>
    <pageSetUpPr/>
  </sheetPr>
  <dimension ref="A1:AP7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40" max="40"/>
    <col width="13" customWidth="1" min="41" max="41"/>
    <col width="13" customWidth="1" min="42" max="42"/>
  </cols>
  <sheetData>
    <row r="1">
      <c r="A1" s="1" t="inlineStr">
        <is>
          <t>Sensibilité S07 : Prix −20 % (copie du Central)</t>
        </is>
      </c>
    </row>
    <row r="2">
      <c r="A2" s="4" t="inlineStr">
        <is>
          <t>Flux en € HT sauf mention TTC. Formules vivantes ; ne saisir que dans l'onglet Hypothèses et la ligne de chocs ci-dessous.</t>
        </is>
      </c>
    </row>
    <row r="3">
      <c r="A3" s="2" t="inlineStr">
        <is>
          <t>Chocs de sensibilité (1 = aucun ; retard en mois)</t>
        </is>
      </c>
      <c r="C3" s="33" t="inlineStr">
        <is>
          <t>Prix ×</t>
        </is>
      </c>
      <c r="D3" s="33" t="inlineStr">
        <is>
          <t>Churn ×</t>
        </is>
      </c>
      <c r="E3" s="33" t="inlineStr">
        <is>
          <t>CAC ×</t>
        </is>
      </c>
      <c r="F3" s="33" t="inlineStr">
        <is>
          <t>Coût IA ×</t>
        </is>
      </c>
      <c r="G3" s="33" t="inlineStr">
        <is>
          <t>Coûts fixes ×</t>
        </is>
      </c>
      <c r="H3" s="33" t="inlineStr">
        <is>
          <t>Retard lancement (mois)</t>
        </is>
      </c>
    </row>
    <row r="4">
      <c r="C4" s="34" t="n">
        <v>0.8</v>
      </c>
      <c r="D4" s="34" t="n">
        <v>1</v>
      </c>
      <c r="E4" s="34" t="n">
        <v>1</v>
      </c>
      <c r="F4" s="34" t="n">
        <v>1</v>
      </c>
      <c r="G4" s="34" t="n">
        <v>1</v>
      </c>
      <c r="H4" s="35" t="n">
        <v>0</v>
      </c>
    </row>
    <row r="5">
      <c r="A5" s="2" t="inlineStr">
        <is>
          <t>Mois de lancement effectif</t>
        </is>
      </c>
      <c r="B5" s="22">
        <f>Hypothèses!$D$10+$H$4</f>
        <v/>
      </c>
    </row>
    <row r="6">
      <c r="A6" s="28" t="inlineStr">
        <is>
          <t>Ligne</t>
        </is>
      </c>
      <c r="B6" s="28" t="inlineStr">
        <is>
          <t>Unité</t>
        </is>
      </c>
      <c r="C6" s="36" t="inlineStr">
        <is>
          <t>M1</t>
        </is>
      </c>
      <c r="D6" s="36" t="inlineStr">
        <is>
          <t>M2</t>
        </is>
      </c>
      <c r="E6" s="36" t="inlineStr">
        <is>
          <t>M3</t>
        </is>
      </c>
      <c r="F6" s="36" t="inlineStr">
        <is>
          <t>M4</t>
        </is>
      </c>
      <c r="G6" s="36" t="inlineStr">
        <is>
          <t>M5</t>
        </is>
      </c>
      <c r="H6" s="36" t="inlineStr">
        <is>
          <t>M6</t>
        </is>
      </c>
      <c r="I6" s="36" t="inlineStr">
        <is>
          <t>M7</t>
        </is>
      </c>
      <c r="J6" s="36" t="inlineStr">
        <is>
          <t>M8</t>
        </is>
      </c>
      <c r="K6" s="36" t="inlineStr">
        <is>
          <t>M9</t>
        </is>
      </c>
      <c r="L6" s="36" t="inlineStr">
        <is>
          <t>M10</t>
        </is>
      </c>
      <c r="M6" s="36" t="inlineStr">
        <is>
          <t>M11</t>
        </is>
      </c>
      <c r="N6" s="36" t="inlineStr">
        <is>
          <t>M12</t>
        </is>
      </c>
      <c r="O6" s="36" t="inlineStr">
        <is>
          <t>M13</t>
        </is>
      </c>
      <c r="P6" s="36" t="inlineStr">
        <is>
          <t>M14</t>
        </is>
      </c>
      <c r="Q6" s="36" t="inlineStr">
        <is>
          <t>M15</t>
        </is>
      </c>
      <c r="R6" s="36" t="inlineStr">
        <is>
          <t>M16</t>
        </is>
      </c>
      <c r="S6" s="36" t="inlineStr">
        <is>
          <t>M17</t>
        </is>
      </c>
      <c r="T6" s="36" t="inlineStr">
        <is>
          <t>M18</t>
        </is>
      </c>
      <c r="U6" s="36" t="inlineStr">
        <is>
          <t>M19</t>
        </is>
      </c>
      <c r="V6" s="36" t="inlineStr">
        <is>
          <t>M20</t>
        </is>
      </c>
      <c r="W6" s="36" t="inlineStr">
        <is>
          <t>M21</t>
        </is>
      </c>
      <c r="X6" s="36" t="inlineStr">
        <is>
          <t>M22</t>
        </is>
      </c>
      <c r="Y6" s="36" t="inlineStr">
        <is>
          <t>M23</t>
        </is>
      </c>
      <c r="Z6" s="36" t="inlineStr">
        <is>
          <t>M24</t>
        </is>
      </c>
      <c r="AA6" s="36" t="inlineStr">
        <is>
          <t>M25</t>
        </is>
      </c>
      <c r="AB6" s="36" t="inlineStr">
        <is>
          <t>M26</t>
        </is>
      </c>
      <c r="AC6" s="36" t="inlineStr">
        <is>
          <t>M27</t>
        </is>
      </c>
      <c r="AD6" s="36" t="inlineStr">
        <is>
          <t>M28</t>
        </is>
      </c>
      <c r="AE6" s="36" t="inlineStr">
        <is>
          <t>M29</t>
        </is>
      </c>
      <c r="AF6" s="36" t="inlineStr">
        <is>
          <t>M30</t>
        </is>
      </c>
      <c r="AG6" s="36" t="inlineStr">
        <is>
          <t>M31</t>
        </is>
      </c>
      <c r="AH6" s="36" t="inlineStr">
        <is>
          <t>M32</t>
        </is>
      </c>
      <c r="AI6" s="36" t="inlineStr">
        <is>
          <t>M33</t>
        </is>
      </c>
      <c r="AJ6" s="36" t="inlineStr">
        <is>
          <t>M34</t>
        </is>
      </c>
      <c r="AK6" s="36" t="inlineStr">
        <is>
          <t>M35</t>
        </is>
      </c>
      <c r="AL6" s="36" t="inlineStr">
        <is>
          <t>M36</t>
        </is>
      </c>
      <c r="AN6" s="37" t="inlineStr">
        <is>
          <t>Année 1</t>
        </is>
      </c>
      <c r="AO6" s="37" t="inlineStr">
        <is>
          <t>Année 2</t>
        </is>
      </c>
      <c r="AP6" s="37" t="inlineStr">
        <is>
          <t>Année 3</t>
        </is>
      </c>
    </row>
    <row r="7">
      <c r="A7" s="9" t="inlineStr">
        <is>
          <t>Mois</t>
        </is>
      </c>
      <c r="B7" s="4" t="inlineStr">
        <is>
          <t>n°</t>
        </is>
      </c>
      <c r="C7" s="13" t="n">
        <v>1</v>
      </c>
      <c r="D7" s="13" t="n">
        <v>2</v>
      </c>
      <c r="E7" s="13" t="n">
        <v>3</v>
      </c>
      <c r="F7" s="13" t="n">
        <v>4</v>
      </c>
      <c r="G7" s="13" t="n">
        <v>5</v>
      </c>
      <c r="H7" s="13" t="n">
        <v>6</v>
      </c>
      <c r="I7" s="13" t="n">
        <v>7</v>
      </c>
      <c r="J7" s="13" t="n">
        <v>8</v>
      </c>
      <c r="K7" s="13" t="n">
        <v>9</v>
      </c>
      <c r="L7" s="13" t="n">
        <v>10</v>
      </c>
      <c r="M7" s="13" t="n">
        <v>11</v>
      </c>
      <c r="N7" s="13" t="n">
        <v>12</v>
      </c>
      <c r="O7" s="13" t="n">
        <v>13</v>
      </c>
      <c r="P7" s="13" t="n">
        <v>14</v>
      </c>
      <c r="Q7" s="13" t="n">
        <v>15</v>
      </c>
      <c r="R7" s="13" t="n">
        <v>16</v>
      </c>
      <c r="S7" s="13" t="n">
        <v>17</v>
      </c>
      <c r="T7" s="13" t="n">
        <v>18</v>
      </c>
      <c r="U7" s="13" t="n">
        <v>19</v>
      </c>
      <c r="V7" s="13" t="n">
        <v>20</v>
      </c>
      <c r="W7" s="13" t="n">
        <v>21</v>
      </c>
      <c r="X7" s="13" t="n">
        <v>22</v>
      </c>
      <c r="Y7" s="13" t="n">
        <v>23</v>
      </c>
      <c r="Z7" s="13" t="n">
        <v>24</v>
      </c>
      <c r="AA7" s="13" t="n">
        <v>25</v>
      </c>
      <c r="AB7" s="13" t="n">
        <v>26</v>
      </c>
      <c r="AC7" s="13" t="n">
        <v>27</v>
      </c>
      <c r="AD7" s="13" t="n">
        <v>28</v>
      </c>
      <c r="AE7" s="13" t="n">
        <v>29</v>
      </c>
      <c r="AF7" s="13" t="n">
        <v>30</v>
      </c>
      <c r="AG7" s="13" t="n">
        <v>31</v>
      </c>
      <c r="AH7" s="13" t="n">
        <v>32</v>
      </c>
      <c r="AI7" s="13" t="n">
        <v>33</v>
      </c>
      <c r="AJ7" s="13" t="n">
        <v>34</v>
      </c>
      <c r="AK7" s="13" t="n">
        <v>35</v>
      </c>
      <c r="AL7" s="13" t="n">
        <v>36</v>
      </c>
    </row>
    <row r="8">
      <c r="A8" s="9" t="inlineStr">
        <is>
          <t>Date</t>
        </is>
      </c>
      <c r="B8" s="4" t="inlineStr"/>
      <c r="C8" s="11">
        <f>EDATE(Hypothèses!$D$7,C7-1)</f>
        <v/>
      </c>
      <c r="D8" s="11">
        <f>EDATE(Hypothèses!$D$7,D7-1)</f>
        <v/>
      </c>
      <c r="E8" s="11">
        <f>EDATE(Hypothèses!$D$7,E7-1)</f>
        <v/>
      </c>
      <c r="F8" s="11">
        <f>EDATE(Hypothèses!$D$7,F7-1)</f>
        <v/>
      </c>
      <c r="G8" s="11">
        <f>EDATE(Hypothèses!$D$7,G7-1)</f>
        <v/>
      </c>
      <c r="H8" s="11">
        <f>EDATE(Hypothèses!$D$7,H7-1)</f>
        <v/>
      </c>
      <c r="I8" s="11">
        <f>EDATE(Hypothèses!$D$7,I7-1)</f>
        <v/>
      </c>
      <c r="J8" s="11">
        <f>EDATE(Hypothèses!$D$7,J7-1)</f>
        <v/>
      </c>
      <c r="K8" s="11">
        <f>EDATE(Hypothèses!$D$7,K7-1)</f>
        <v/>
      </c>
      <c r="L8" s="11">
        <f>EDATE(Hypothèses!$D$7,L7-1)</f>
        <v/>
      </c>
      <c r="M8" s="11">
        <f>EDATE(Hypothèses!$D$7,M7-1)</f>
        <v/>
      </c>
      <c r="N8" s="11">
        <f>EDATE(Hypothèses!$D$7,N7-1)</f>
        <v/>
      </c>
      <c r="O8" s="11">
        <f>EDATE(Hypothèses!$D$7,O7-1)</f>
        <v/>
      </c>
      <c r="P8" s="11">
        <f>EDATE(Hypothèses!$D$7,P7-1)</f>
        <v/>
      </c>
      <c r="Q8" s="11">
        <f>EDATE(Hypothèses!$D$7,Q7-1)</f>
        <v/>
      </c>
      <c r="R8" s="11">
        <f>EDATE(Hypothèses!$D$7,R7-1)</f>
        <v/>
      </c>
      <c r="S8" s="11">
        <f>EDATE(Hypothèses!$D$7,S7-1)</f>
        <v/>
      </c>
      <c r="T8" s="11">
        <f>EDATE(Hypothèses!$D$7,T7-1)</f>
        <v/>
      </c>
      <c r="U8" s="11">
        <f>EDATE(Hypothèses!$D$7,U7-1)</f>
        <v/>
      </c>
      <c r="V8" s="11">
        <f>EDATE(Hypothèses!$D$7,V7-1)</f>
        <v/>
      </c>
      <c r="W8" s="11">
        <f>EDATE(Hypothèses!$D$7,W7-1)</f>
        <v/>
      </c>
      <c r="X8" s="11">
        <f>EDATE(Hypothèses!$D$7,X7-1)</f>
        <v/>
      </c>
      <c r="Y8" s="11">
        <f>EDATE(Hypothèses!$D$7,Y7-1)</f>
        <v/>
      </c>
      <c r="Z8" s="11">
        <f>EDATE(Hypothèses!$D$7,Z7-1)</f>
        <v/>
      </c>
      <c r="AA8" s="11">
        <f>EDATE(Hypothèses!$D$7,AA7-1)</f>
        <v/>
      </c>
      <c r="AB8" s="11">
        <f>EDATE(Hypothèses!$D$7,AB7-1)</f>
        <v/>
      </c>
      <c r="AC8" s="11">
        <f>EDATE(Hypothèses!$D$7,AC7-1)</f>
        <v/>
      </c>
      <c r="AD8" s="11">
        <f>EDATE(Hypothèses!$D$7,AD7-1)</f>
        <v/>
      </c>
      <c r="AE8" s="11">
        <f>EDATE(Hypothèses!$D$7,AE7-1)</f>
        <v/>
      </c>
      <c r="AF8" s="11">
        <f>EDATE(Hypothèses!$D$7,AF7-1)</f>
        <v/>
      </c>
      <c r="AG8" s="11">
        <f>EDATE(Hypothèses!$D$7,AG7-1)</f>
        <v/>
      </c>
      <c r="AH8" s="11">
        <f>EDATE(Hypothèses!$D$7,AH7-1)</f>
        <v/>
      </c>
      <c r="AI8" s="11">
        <f>EDATE(Hypothèses!$D$7,AI7-1)</f>
        <v/>
      </c>
      <c r="AJ8" s="11">
        <f>EDATE(Hypothèses!$D$7,AJ7-1)</f>
        <v/>
      </c>
      <c r="AK8" s="11">
        <f>EDATE(Hypothèses!$D$7,AK7-1)</f>
        <v/>
      </c>
      <c r="AL8" s="11">
        <f>EDATE(Hypothèses!$D$7,AL7-1)</f>
        <v/>
      </c>
    </row>
    <row r="9">
      <c r="A9" s="9" t="inlineStr">
        <is>
          <t>Lancé ? (1 = oui)</t>
        </is>
      </c>
      <c r="B9" s="4" t="inlineStr">
        <is>
          <t>0/1</t>
        </is>
      </c>
      <c r="C9" s="13">
        <f>IF(C7&gt;=$B$5,1,0)</f>
        <v/>
      </c>
      <c r="D9" s="13">
        <f>IF(D7&gt;=$B$5,1,0)</f>
        <v/>
      </c>
      <c r="E9" s="13">
        <f>IF(E7&gt;=$B$5,1,0)</f>
        <v/>
      </c>
      <c r="F9" s="13">
        <f>IF(F7&gt;=$B$5,1,0)</f>
        <v/>
      </c>
      <c r="G9" s="13">
        <f>IF(G7&gt;=$B$5,1,0)</f>
        <v/>
      </c>
      <c r="H9" s="13">
        <f>IF(H7&gt;=$B$5,1,0)</f>
        <v/>
      </c>
      <c r="I9" s="13">
        <f>IF(I7&gt;=$B$5,1,0)</f>
        <v/>
      </c>
      <c r="J9" s="13">
        <f>IF(J7&gt;=$B$5,1,0)</f>
        <v/>
      </c>
      <c r="K9" s="13">
        <f>IF(K7&gt;=$B$5,1,0)</f>
        <v/>
      </c>
      <c r="L9" s="13">
        <f>IF(L7&gt;=$B$5,1,0)</f>
        <v/>
      </c>
      <c r="M9" s="13">
        <f>IF(M7&gt;=$B$5,1,0)</f>
        <v/>
      </c>
      <c r="N9" s="13">
        <f>IF(N7&gt;=$B$5,1,0)</f>
        <v/>
      </c>
      <c r="O9" s="13">
        <f>IF(O7&gt;=$B$5,1,0)</f>
        <v/>
      </c>
      <c r="P9" s="13">
        <f>IF(P7&gt;=$B$5,1,0)</f>
        <v/>
      </c>
      <c r="Q9" s="13">
        <f>IF(Q7&gt;=$B$5,1,0)</f>
        <v/>
      </c>
      <c r="R9" s="13">
        <f>IF(R7&gt;=$B$5,1,0)</f>
        <v/>
      </c>
      <c r="S9" s="13">
        <f>IF(S7&gt;=$B$5,1,0)</f>
        <v/>
      </c>
      <c r="T9" s="13">
        <f>IF(T7&gt;=$B$5,1,0)</f>
        <v/>
      </c>
      <c r="U9" s="13">
        <f>IF(U7&gt;=$B$5,1,0)</f>
        <v/>
      </c>
      <c r="V9" s="13">
        <f>IF(V7&gt;=$B$5,1,0)</f>
        <v/>
      </c>
      <c r="W9" s="13">
        <f>IF(W7&gt;=$B$5,1,0)</f>
        <v/>
      </c>
      <c r="X9" s="13">
        <f>IF(X7&gt;=$B$5,1,0)</f>
        <v/>
      </c>
      <c r="Y9" s="13">
        <f>IF(Y7&gt;=$B$5,1,0)</f>
        <v/>
      </c>
      <c r="Z9" s="13">
        <f>IF(Z7&gt;=$B$5,1,0)</f>
        <v/>
      </c>
      <c r="AA9" s="13">
        <f>IF(AA7&gt;=$B$5,1,0)</f>
        <v/>
      </c>
      <c r="AB9" s="13">
        <f>IF(AB7&gt;=$B$5,1,0)</f>
        <v/>
      </c>
      <c r="AC9" s="13">
        <f>IF(AC7&gt;=$B$5,1,0)</f>
        <v/>
      </c>
      <c r="AD9" s="13">
        <f>IF(AD7&gt;=$B$5,1,0)</f>
        <v/>
      </c>
      <c r="AE9" s="13">
        <f>IF(AE7&gt;=$B$5,1,0)</f>
        <v/>
      </c>
      <c r="AF9" s="13">
        <f>IF(AF7&gt;=$B$5,1,0)</f>
        <v/>
      </c>
      <c r="AG9" s="13">
        <f>IF(AG7&gt;=$B$5,1,0)</f>
        <v/>
      </c>
      <c r="AH9" s="13">
        <f>IF(AH7&gt;=$B$5,1,0)</f>
        <v/>
      </c>
      <c r="AI9" s="13">
        <f>IF(AI7&gt;=$B$5,1,0)</f>
        <v/>
      </c>
      <c r="AJ9" s="13">
        <f>IF(AJ7&gt;=$B$5,1,0)</f>
        <v/>
      </c>
      <c r="AK9" s="13">
        <f>IF(AK7&gt;=$B$5,1,0)</f>
        <v/>
      </c>
      <c r="AL9" s="13">
        <f>IF(AL7&gt;=$B$5,1,0)</f>
        <v/>
      </c>
    </row>
    <row r="10">
      <c r="A10" s="9" t="inlineStr">
        <is>
          <t>Pilote en cours ? (1 = oui)</t>
        </is>
      </c>
      <c r="B10" s="4" t="inlineStr">
        <is>
          <t>0/1</t>
        </is>
      </c>
      <c r="C10" s="13">
        <f>IF(AND(C7&gt;=Hypothèses!$D$8,C7&lt;$B$5),1,0)</f>
        <v/>
      </c>
      <c r="D10" s="13">
        <f>IF(AND(D7&gt;=Hypothèses!$D$8,D7&lt;$B$5),1,0)</f>
        <v/>
      </c>
      <c r="E10" s="13">
        <f>IF(AND(E7&gt;=Hypothèses!$D$8,E7&lt;$B$5),1,0)</f>
        <v/>
      </c>
      <c r="F10" s="13">
        <f>IF(AND(F7&gt;=Hypothèses!$D$8,F7&lt;$B$5),1,0)</f>
        <v/>
      </c>
      <c r="G10" s="13">
        <f>IF(AND(G7&gt;=Hypothèses!$D$8,G7&lt;$B$5),1,0)</f>
        <v/>
      </c>
      <c r="H10" s="13">
        <f>IF(AND(H7&gt;=Hypothèses!$D$8,H7&lt;$B$5),1,0)</f>
        <v/>
      </c>
      <c r="I10" s="13">
        <f>IF(AND(I7&gt;=Hypothèses!$D$8,I7&lt;$B$5),1,0)</f>
        <v/>
      </c>
      <c r="J10" s="13">
        <f>IF(AND(J7&gt;=Hypothèses!$D$8,J7&lt;$B$5),1,0)</f>
        <v/>
      </c>
      <c r="K10" s="13">
        <f>IF(AND(K7&gt;=Hypothèses!$D$8,K7&lt;$B$5),1,0)</f>
        <v/>
      </c>
      <c r="L10" s="13">
        <f>IF(AND(L7&gt;=Hypothèses!$D$8,L7&lt;$B$5),1,0)</f>
        <v/>
      </c>
      <c r="M10" s="13">
        <f>IF(AND(M7&gt;=Hypothèses!$D$8,M7&lt;$B$5),1,0)</f>
        <v/>
      </c>
      <c r="N10" s="13">
        <f>IF(AND(N7&gt;=Hypothèses!$D$8,N7&lt;$B$5),1,0)</f>
        <v/>
      </c>
      <c r="O10" s="13">
        <f>IF(AND(O7&gt;=Hypothèses!$D$8,O7&lt;$B$5),1,0)</f>
        <v/>
      </c>
      <c r="P10" s="13">
        <f>IF(AND(P7&gt;=Hypothèses!$D$8,P7&lt;$B$5),1,0)</f>
        <v/>
      </c>
      <c r="Q10" s="13">
        <f>IF(AND(Q7&gt;=Hypothèses!$D$8,Q7&lt;$B$5),1,0)</f>
        <v/>
      </c>
      <c r="R10" s="13">
        <f>IF(AND(R7&gt;=Hypothèses!$D$8,R7&lt;$B$5),1,0)</f>
        <v/>
      </c>
      <c r="S10" s="13">
        <f>IF(AND(S7&gt;=Hypothèses!$D$8,S7&lt;$B$5),1,0)</f>
        <v/>
      </c>
      <c r="T10" s="13">
        <f>IF(AND(T7&gt;=Hypothèses!$D$8,T7&lt;$B$5),1,0)</f>
        <v/>
      </c>
      <c r="U10" s="13">
        <f>IF(AND(U7&gt;=Hypothèses!$D$8,U7&lt;$B$5),1,0)</f>
        <v/>
      </c>
      <c r="V10" s="13">
        <f>IF(AND(V7&gt;=Hypothèses!$D$8,V7&lt;$B$5),1,0)</f>
        <v/>
      </c>
      <c r="W10" s="13">
        <f>IF(AND(W7&gt;=Hypothèses!$D$8,W7&lt;$B$5),1,0)</f>
        <v/>
      </c>
      <c r="X10" s="13">
        <f>IF(AND(X7&gt;=Hypothèses!$D$8,X7&lt;$B$5),1,0)</f>
        <v/>
      </c>
      <c r="Y10" s="13">
        <f>IF(AND(Y7&gt;=Hypothèses!$D$8,Y7&lt;$B$5),1,0)</f>
        <v/>
      </c>
      <c r="Z10" s="13">
        <f>IF(AND(Z7&gt;=Hypothèses!$D$8,Z7&lt;$B$5),1,0)</f>
        <v/>
      </c>
      <c r="AA10" s="13">
        <f>IF(AND(AA7&gt;=Hypothèses!$D$8,AA7&lt;$B$5),1,0)</f>
        <v/>
      </c>
      <c r="AB10" s="13">
        <f>IF(AND(AB7&gt;=Hypothèses!$D$8,AB7&lt;$B$5),1,0)</f>
        <v/>
      </c>
      <c r="AC10" s="13">
        <f>IF(AND(AC7&gt;=Hypothèses!$D$8,AC7&lt;$B$5),1,0)</f>
        <v/>
      </c>
      <c r="AD10" s="13">
        <f>IF(AND(AD7&gt;=Hypothèses!$D$8,AD7&lt;$B$5),1,0)</f>
        <v/>
      </c>
      <c r="AE10" s="13">
        <f>IF(AND(AE7&gt;=Hypothèses!$D$8,AE7&lt;$B$5),1,0)</f>
        <v/>
      </c>
      <c r="AF10" s="13">
        <f>IF(AND(AF7&gt;=Hypothèses!$D$8,AF7&lt;$B$5),1,0)</f>
        <v/>
      </c>
      <c r="AG10" s="13">
        <f>IF(AND(AG7&gt;=Hypothèses!$D$8,AG7&lt;$B$5),1,0)</f>
        <v/>
      </c>
      <c r="AH10" s="13">
        <f>IF(AND(AH7&gt;=Hypothèses!$D$8,AH7&lt;$B$5),1,0)</f>
        <v/>
      </c>
      <c r="AI10" s="13">
        <f>IF(AND(AI7&gt;=Hypothèses!$D$8,AI7&lt;$B$5),1,0)</f>
        <v/>
      </c>
      <c r="AJ10" s="13">
        <f>IF(AND(AJ7&gt;=Hypothèses!$D$8,AJ7&lt;$B$5),1,0)</f>
        <v/>
      </c>
      <c r="AK10" s="13">
        <f>IF(AND(AK7&gt;=Hypothèses!$D$8,AK7&lt;$B$5),1,0)</f>
        <v/>
      </c>
      <c r="AL10" s="13">
        <f>IF(AND(AL7&gt;=Hypothèses!$D$8,AL7&lt;$B$5),1,0)</f>
        <v/>
      </c>
    </row>
    <row r="11">
      <c r="A11" s="9" t="inlineStr">
        <is>
          <t>Budget d'acquisition du mois</t>
        </is>
      </c>
      <c r="B11" s="4" t="inlineStr">
        <is>
          <t>€ HT</t>
        </is>
      </c>
      <c r="C11" s="15">
        <f>IF(C9=1,IF(C7&lt;=12,Hypothèses!$D$20,IF(C7&lt;=24,Hypothèses!$D$21,Hypothèses!$D$22)),0)</f>
        <v/>
      </c>
      <c r="D11" s="15">
        <f>IF(D9=1,IF(D7&lt;=12,Hypothèses!$D$20,IF(D7&lt;=24,Hypothèses!$D$21,Hypothèses!$D$22)),0)</f>
        <v/>
      </c>
      <c r="E11" s="15">
        <f>IF(E9=1,IF(E7&lt;=12,Hypothèses!$D$20,IF(E7&lt;=24,Hypothèses!$D$21,Hypothèses!$D$22)),0)</f>
        <v/>
      </c>
      <c r="F11" s="15">
        <f>IF(F9=1,IF(F7&lt;=12,Hypothèses!$D$20,IF(F7&lt;=24,Hypothèses!$D$21,Hypothèses!$D$22)),0)</f>
        <v/>
      </c>
      <c r="G11" s="15">
        <f>IF(G9=1,IF(G7&lt;=12,Hypothèses!$D$20,IF(G7&lt;=24,Hypothèses!$D$21,Hypothèses!$D$22)),0)</f>
        <v/>
      </c>
      <c r="H11" s="15">
        <f>IF(H9=1,IF(H7&lt;=12,Hypothèses!$D$20,IF(H7&lt;=24,Hypothèses!$D$21,Hypothèses!$D$22)),0)</f>
        <v/>
      </c>
      <c r="I11" s="15">
        <f>IF(I9=1,IF(I7&lt;=12,Hypothèses!$D$20,IF(I7&lt;=24,Hypothèses!$D$21,Hypothèses!$D$22)),0)</f>
        <v/>
      </c>
      <c r="J11" s="15">
        <f>IF(J9=1,IF(J7&lt;=12,Hypothèses!$D$20,IF(J7&lt;=24,Hypothèses!$D$21,Hypothèses!$D$22)),0)</f>
        <v/>
      </c>
      <c r="K11" s="15">
        <f>IF(K9=1,IF(K7&lt;=12,Hypothèses!$D$20,IF(K7&lt;=24,Hypothèses!$D$21,Hypothèses!$D$22)),0)</f>
        <v/>
      </c>
      <c r="L11" s="15">
        <f>IF(L9=1,IF(L7&lt;=12,Hypothèses!$D$20,IF(L7&lt;=24,Hypothèses!$D$21,Hypothèses!$D$22)),0)</f>
        <v/>
      </c>
      <c r="M11" s="15">
        <f>IF(M9=1,IF(M7&lt;=12,Hypothèses!$D$20,IF(M7&lt;=24,Hypothèses!$D$21,Hypothèses!$D$22)),0)</f>
        <v/>
      </c>
      <c r="N11" s="15">
        <f>IF(N9=1,IF(N7&lt;=12,Hypothèses!$D$20,IF(N7&lt;=24,Hypothèses!$D$21,Hypothèses!$D$22)),0)</f>
        <v/>
      </c>
      <c r="O11" s="15">
        <f>IF(O9=1,IF(O7&lt;=12,Hypothèses!$D$20,IF(O7&lt;=24,Hypothèses!$D$21,Hypothèses!$D$22)),0)</f>
        <v/>
      </c>
      <c r="P11" s="15">
        <f>IF(P9=1,IF(P7&lt;=12,Hypothèses!$D$20,IF(P7&lt;=24,Hypothèses!$D$21,Hypothèses!$D$22)),0)</f>
        <v/>
      </c>
      <c r="Q11" s="15">
        <f>IF(Q9=1,IF(Q7&lt;=12,Hypothèses!$D$20,IF(Q7&lt;=24,Hypothèses!$D$21,Hypothèses!$D$22)),0)</f>
        <v/>
      </c>
      <c r="R11" s="15">
        <f>IF(R9=1,IF(R7&lt;=12,Hypothèses!$D$20,IF(R7&lt;=24,Hypothèses!$D$21,Hypothèses!$D$22)),0)</f>
        <v/>
      </c>
      <c r="S11" s="15">
        <f>IF(S9=1,IF(S7&lt;=12,Hypothèses!$D$20,IF(S7&lt;=24,Hypothèses!$D$21,Hypothèses!$D$22)),0)</f>
        <v/>
      </c>
      <c r="T11" s="15">
        <f>IF(T9=1,IF(T7&lt;=12,Hypothèses!$D$20,IF(T7&lt;=24,Hypothèses!$D$21,Hypothèses!$D$22)),0)</f>
        <v/>
      </c>
      <c r="U11" s="15">
        <f>IF(U9=1,IF(U7&lt;=12,Hypothèses!$D$20,IF(U7&lt;=24,Hypothèses!$D$21,Hypothèses!$D$22)),0)</f>
        <v/>
      </c>
      <c r="V11" s="15">
        <f>IF(V9=1,IF(V7&lt;=12,Hypothèses!$D$20,IF(V7&lt;=24,Hypothèses!$D$21,Hypothèses!$D$22)),0)</f>
        <v/>
      </c>
      <c r="W11" s="15">
        <f>IF(W9=1,IF(W7&lt;=12,Hypothèses!$D$20,IF(W7&lt;=24,Hypothèses!$D$21,Hypothèses!$D$22)),0)</f>
        <v/>
      </c>
      <c r="X11" s="15">
        <f>IF(X9=1,IF(X7&lt;=12,Hypothèses!$D$20,IF(X7&lt;=24,Hypothèses!$D$21,Hypothèses!$D$22)),0)</f>
        <v/>
      </c>
      <c r="Y11" s="15">
        <f>IF(Y9=1,IF(Y7&lt;=12,Hypothèses!$D$20,IF(Y7&lt;=24,Hypothèses!$D$21,Hypothèses!$D$22)),0)</f>
        <v/>
      </c>
      <c r="Z11" s="15">
        <f>IF(Z9=1,IF(Z7&lt;=12,Hypothèses!$D$20,IF(Z7&lt;=24,Hypothèses!$D$21,Hypothèses!$D$22)),0)</f>
        <v/>
      </c>
      <c r="AA11" s="15">
        <f>IF(AA9=1,IF(AA7&lt;=12,Hypothèses!$D$20,IF(AA7&lt;=24,Hypothèses!$D$21,Hypothèses!$D$22)),0)</f>
        <v/>
      </c>
      <c r="AB11" s="15">
        <f>IF(AB9=1,IF(AB7&lt;=12,Hypothèses!$D$20,IF(AB7&lt;=24,Hypothèses!$D$21,Hypothèses!$D$22)),0)</f>
        <v/>
      </c>
      <c r="AC11" s="15">
        <f>IF(AC9=1,IF(AC7&lt;=12,Hypothèses!$D$20,IF(AC7&lt;=24,Hypothèses!$D$21,Hypothèses!$D$22)),0)</f>
        <v/>
      </c>
      <c r="AD11" s="15">
        <f>IF(AD9=1,IF(AD7&lt;=12,Hypothèses!$D$20,IF(AD7&lt;=24,Hypothèses!$D$21,Hypothèses!$D$22)),0)</f>
        <v/>
      </c>
      <c r="AE11" s="15">
        <f>IF(AE9=1,IF(AE7&lt;=12,Hypothèses!$D$20,IF(AE7&lt;=24,Hypothèses!$D$21,Hypothèses!$D$22)),0)</f>
        <v/>
      </c>
      <c r="AF11" s="15">
        <f>IF(AF9=1,IF(AF7&lt;=12,Hypothèses!$D$20,IF(AF7&lt;=24,Hypothèses!$D$21,Hypothèses!$D$22)),0)</f>
        <v/>
      </c>
      <c r="AG11" s="15">
        <f>IF(AG9=1,IF(AG7&lt;=12,Hypothèses!$D$20,IF(AG7&lt;=24,Hypothèses!$D$21,Hypothèses!$D$22)),0)</f>
        <v/>
      </c>
      <c r="AH11" s="15">
        <f>IF(AH9=1,IF(AH7&lt;=12,Hypothèses!$D$20,IF(AH7&lt;=24,Hypothèses!$D$21,Hypothèses!$D$22)),0)</f>
        <v/>
      </c>
      <c r="AI11" s="15">
        <f>IF(AI9=1,IF(AI7&lt;=12,Hypothèses!$D$20,IF(AI7&lt;=24,Hypothèses!$D$21,Hypothèses!$D$22)),0)</f>
        <v/>
      </c>
      <c r="AJ11" s="15">
        <f>IF(AJ9=1,IF(AJ7&lt;=12,Hypothèses!$D$20,IF(AJ7&lt;=24,Hypothèses!$D$21,Hypothèses!$D$22)),0)</f>
        <v/>
      </c>
      <c r="AK11" s="15">
        <f>IF(AK9=1,IF(AK7&lt;=12,Hypothèses!$D$20,IF(AK7&lt;=24,Hypothèses!$D$21,Hypothèses!$D$22)),0)</f>
        <v/>
      </c>
      <c r="AL11" s="15">
        <f>IF(AL9=1,IF(AL7&lt;=12,Hypothèses!$D$20,IF(AL7&lt;=24,Hypothèses!$D$21,Hypothèses!$D$22)),0)</f>
        <v/>
      </c>
      <c r="AN11" s="15">
        <f>SUM(C11:N11)</f>
        <v/>
      </c>
      <c r="AO11" s="15">
        <f>SUM(O11:Z11)</f>
        <v/>
      </c>
      <c r="AP11" s="15">
        <f>SUM(AA11:AL11)</f>
        <v/>
      </c>
    </row>
    <row r="12">
      <c r="A12" s="8" t="inlineStr">
        <is>
          <t>Abonnés</t>
        </is>
      </c>
    </row>
    <row r="13">
      <c r="A13" s="9" t="inlineStr">
        <is>
          <t>Abonnés en début de mois</t>
        </is>
      </c>
      <c r="B13" s="4" t="inlineStr">
        <is>
          <t>abonnés</t>
        </is>
      </c>
      <c r="C13" s="38">
        <f>0</f>
        <v/>
      </c>
      <c r="D13" s="38">
        <f>C18</f>
        <v/>
      </c>
      <c r="E13" s="38">
        <f>D18</f>
        <v/>
      </c>
      <c r="F13" s="38">
        <f>E18</f>
        <v/>
      </c>
      <c r="G13" s="38">
        <f>F18</f>
        <v/>
      </c>
      <c r="H13" s="38">
        <f>G18</f>
        <v/>
      </c>
      <c r="I13" s="38">
        <f>H18</f>
        <v/>
      </c>
      <c r="J13" s="38">
        <f>I18</f>
        <v/>
      </c>
      <c r="K13" s="38">
        <f>J18</f>
        <v/>
      </c>
      <c r="L13" s="38">
        <f>K18</f>
        <v/>
      </c>
      <c r="M13" s="38">
        <f>L18</f>
        <v/>
      </c>
      <c r="N13" s="38">
        <f>M18</f>
        <v/>
      </c>
      <c r="O13" s="38">
        <f>N18</f>
        <v/>
      </c>
      <c r="P13" s="38">
        <f>O18</f>
        <v/>
      </c>
      <c r="Q13" s="38">
        <f>P18</f>
        <v/>
      </c>
      <c r="R13" s="38">
        <f>Q18</f>
        <v/>
      </c>
      <c r="S13" s="38">
        <f>R18</f>
        <v/>
      </c>
      <c r="T13" s="38">
        <f>S18</f>
        <v/>
      </c>
      <c r="U13" s="38">
        <f>T18</f>
        <v/>
      </c>
      <c r="V13" s="38">
        <f>U18</f>
        <v/>
      </c>
      <c r="W13" s="38">
        <f>V18</f>
        <v/>
      </c>
      <c r="X13" s="38">
        <f>W18</f>
        <v/>
      </c>
      <c r="Y13" s="38">
        <f>X18</f>
        <v/>
      </c>
      <c r="Z13" s="38">
        <f>Y18</f>
        <v/>
      </c>
      <c r="AA13" s="38">
        <f>Z18</f>
        <v/>
      </c>
      <c r="AB13" s="38">
        <f>AA18</f>
        <v/>
      </c>
      <c r="AC13" s="38">
        <f>AB18</f>
        <v/>
      </c>
      <c r="AD13" s="38">
        <f>AC18</f>
        <v/>
      </c>
      <c r="AE13" s="38">
        <f>AD18</f>
        <v/>
      </c>
      <c r="AF13" s="38">
        <f>AE18</f>
        <v/>
      </c>
      <c r="AG13" s="38">
        <f>AF18</f>
        <v/>
      </c>
      <c r="AH13" s="38">
        <f>AG18</f>
        <v/>
      </c>
      <c r="AI13" s="38">
        <f>AH18</f>
        <v/>
      </c>
      <c r="AJ13" s="38">
        <f>AI18</f>
        <v/>
      </c>
      <c r="AK13" s="38">
        <f>AJ18</f>
        <v/>
      </c>
      <c r="AL13" s="38">
        <f>AK18</f>
        <v/>
      </c>
    </row>
    <row r="14">
      <c r="A14" s="9" t="inlineStr">
        <is>
          <t>Nouveaux abonnés par acquisition payante</t>
        </is>
      </c>
      <c r="B14" s="4" t="inlineStr">
        <is>
          <t>abonnés</t>
        </is>
      </c>
      <c r="C14" s="38">
        <f>C11/(Hypothèses!$D$23*$E$4)</f>
        <v/>
      </c>
      <c r="D14" s="38">
        <f>D11/(Hypothèses!$D$23*$E$4)</f>
        <v/>
      </c>
      <c r="E14" s="38">
        <f>E11/(Hypothèses!$D$23*$E$4)</f>
        <v/>
      </c>
      <c r="F14" s="38">
        <f>F11/(Hypothèses!$D$23*$E$4)</f>
        <v/>
      </c>
      <c r="G14" s="38">
        <f>G11/(Hypothèses!$D$23*$E$4)</f>
        <v/>
      </c>
      <c r="H14" s="38">
        <f>H11/(Hypothèses!$D$23*$E$4)</f>
        <v/>
      </c>
      <c r="I14" s="38">
        <f>I11/(Hypothèses!$D$23*$E$4)</f>
        <v/>
      </c>
      <c r="J14" s="38">
        <f>J11/(Hypothèses!$D$23*$E$4)</f>
        <v/>
      </c>
      <c r="K14" s="38">
        <f>K11/(Hypothèses!$D$23*$E$4)</f>
        <v/>
      </c>
      <c r="L14" s="38">
        <f>L11/(Hypothèses!$D$23*$E$4)</f>
        <v/>
      </c>
      <c r="M14" s="38">
        <f>M11/(Hypothèses!$D$23*$E$4)</f>
        <v/>
      </c>
      <c r="N14" s="38">
        <f>N11/(Hypothèses!$D$23*$E$4)</f>
        <v/>
      </c>
      <c r="O14" s="38">
        <f>O11/(Hypothèses!$D$23*$E$4)</f>
        <v/>
      </c>
      <c r="P14" s="38">
        <f>P11/(Hypothèses!$D$23*$E$4)</f>
        <v/>
      </c>
      <c r="Q14" s="38">
        <f>Q11/(Hypothèses!$D$23*$E$4)</f>
        <v/>
      </c>
      <c r="R14" s="38">
        <f>R11/(Hypothèses!$D$23*$E$4)</f>
        <v/>
      </c>
      <c r="S14" s="38">
        <f>S11/(Hypothèses!$D$23*$E$4)</f>
        <v/>
      </c>
      <c r="T14" s="38">
        <f>T11/(Hypothèses!$D$23*$E$4)</f>
        <v/>
      </c>
      <c r="U14" s="38">
        <f>U11/(Hypothèses!$D$23*$E$4)</f>
        <v/>
      </c>
      <c r="V14" s="38">
        <f>V11/(Hypothèses!$D$23*$E$4)</f>
        <v/>
      </c>
      <c r="W14" s="38">
        <f>W11/(Hypothèses!$D$23*$E$4)</f>
        <v/>
      </c>
      <c r="X14" s="38">
        <f>X11/(Hypothèses!$D$23*$E$4)</f>
        <v/>
      </c>
      <c r="Y14" s="38">
        <f>Y11/(Hypothèses!$D$23*$E$4)</f>
        <v/>
      </c>
      <c r="Z14" s="38">
        <f>Z11/(Hypothèses!$D$23*$E$4)</f>
        <v/>
      </c>
      <c r="AA14" s="38">
        <f>AA11/(Hypothèses!$D$23*$E$4)</f>
        <v/>
      </c>
      <c r="AB14" s="38">
        <f>AB11/(Hypothèses!$D$23*$E$4)</f>
        <v/>
      </c>
      <c r="AC14" s="38">
        <f>AC11/(Hypothèses!$D$23*$E$4)</f>
        <v/>
      </c>
      <c r="AD14" s="38">
        <f>AD11/(Hypothèses!$D$23*$E$4)</f>
        <v/>
      </c>
      <c r="AE14" s="38">
        <f>AE11/(Hypothèses!$D$23*$E$4)</f>
        <v/>
      </c>
      <c r="AF14" s="38">
        <f>AF11/(Hypothèses!$D$23*$E$4)</f>
        <v/>
      </c>
      <c r="AG14" s="38">
        <f>AG11/(Hypothèses!$D$23*$E$4)</f>
        <v/>
      </c>
      <c r="AH14" s="38">
        <f>AH11/(Hypothèses!$D$23*$E$4)</f>
        <v/>
      </c>
      <c r="AI14" s="38">
        <f>AI11/(Hypothèses!$D$23*$E$4)</f>
        <v/>
      </c>
      <c r="AJ14" s="38">
        <f>AJ11/(Hypothèses!$D$23*$E$4)</f>
        <v/>
      </c>
      <c r="AK14" s="38">
        <f>AK11/(Hypothèses!$D$23*$E$4)</f>
        <v/>
      </c>
      <c r="AL14" s="38">
        <f>AL11/(Hypothèses!$D$23*$E$4)</f>
        <v/>
      </c>
      <c r="AN14" s="38">
        <f>SUM(C14:N14)</f>
        <v/>
      </c>
      <c r="AO14" s="38">
        <f>SUM(O14:Z14)</f>
        <v/>
      </c>
      <c r="AP14" s="38">
        <f>SUM(AA14:AL14)</f>
        <v/>
      </c>
    </row>
    <row r="15">
      <c r="A15" s="9" t="inlineStr">
        <is>
          <t>Nouveaux abonnés pilote</t>
        </is>
      </c>
      <c r="B15" s="4" t="inlineStr">
        <is>
          <t>abonnés</t>
        </is>
      </c>
      <c r="C15" s="38">
        <f>IF(C7=Hypothèses!$D$8,Hypothèses!$D$9,0)</f>
        <v/>
      </c>
      <c r="D15" s="38">
        <f>IF(D7=Hypothèses!$D$8,Hypothèses!$D$9,0)</f>
        <v/>
      </c>
      <c r="E15" s="38">
        <f>IF(E7=Hypothèses!$D$8,Hypothèses!$D$9,0)</f>
        <v/>
      </c>
      <c r="F15" s="38">
        <f>IF(F7=Hypothèses!$D$8,Hypothèses!$D$9,0)</f>
        <v/>
      </c>
      <c r="G15" s="38">
        <f>IF(G7=Hypothèses!$D$8,Hypothèses!$D$9,0)</f>
        <v/>
      </c>
      <c r="H15" s="38">
        <f>IF(H7=Hypothèses!$D$8,Hypothèses!$D$9,0)</f>
        <v/>
      </c>
      <c r="I15" s="38">
        <f>IF(I7=Hypothèses!$D$8,Hypothèses!$D$9,0)</f>
        <v/>
      </c>
      <c r="J15" s="38">
        <f>IF(J7=Hypothèses!$D$8,Hypothèses!$D$9,0)</f>
        <v/>
      </c>
      <c r="K15" s="38">
        <f>IF(K7=Hypothèses!$D$8,Hypothèses!$D$9,0)</f>
        <v/>
      </c>
      <c r="L15" s="38">
        <f>IF(L7=Hypothèses!$D$8,Hypothèses!$D$9,0)</f>
        <v/>
      </c>
      <c r="M15" s="38">
        <f>IF(M7=Hypothèses!$D$8,Hypothèses!$D$9,0)</f>
        <v/>
      </c>
      <c r="N15" s="38">
        <f>IF(N7=Hypothèses!$D$8,Hypothèses!$D$9,0)</f>
        <v/>
      </c>
      <c r="O15" s="38">
        <f>IF(O7=Hypothèses!$D$8,Hypothèses!$D$9,0)</f>
        <v/>
      </c>
      <c r="P15" s="38">
        <f>IF(P7=Hypothèses!$D$8,Hypothèses!$D$9,0)</f>
        <v/>
      </c>
      <c r="Q15" s="38">
        <f>IF(Q7=Hypothèses!$D$8,Hypothèses!$D$9,0)</f>
        <v/>
      </c>
      <c r="R15" s="38">
        <f>IF(R7=Hypothèses!$D$8,Hypothèses!$D$9,0)</f>
        <v/>
      </c>
      <c r="S15" s="38">
        <f>IF(S7=Hypothèses!$D$8,Hypothèses!$D$9,0)</f>
        <v/>
      </c>
      <c r="T15" s="38">
        <f>IF(T7=Hypothèses!$D$8,Hypothèses!$D$9,0)</f>
        <v/>
      </c>
      <c r="U15" s="38">
        <f>IF(U7=Hypothèses!$D$8,Hypothèses!$D$9,0)</f>
        <v/>
      </c>
      <c r="V15" s="38">
        <f>IF(V7=Hypothèses!$D$8,Hypothèses!$D$9,0)</f>
        <v/>
      </c>
      <c r="W15" s="38">
        <f>IF(W7=Hypothèses!$D$8,Hypothèses!$D$9,0)</f>
        <v/>
      </c>
      <c r="X15" s="38">
        <f>IF(X7=Hypothèses!$D$8,Hypothèses!$D$9,0)</f>
        <v/>
      </c>
      <c r="Y15" s="38">
        <f>IF(Y7=Hypothèses!$D$8,Hypothèses!$D$9,0)</f>
        <v/>
      </c>
      <c r="Z15" s="38">
        <f>IF(Z7=Hypothèses!$D$8,Hypothèses!$D$9,0)</f>
        <v/>
      </c>
      <c r="AA15" s="38">
        <f>IF(AA7=Hypothèses!$D$8,Hypothèses!$D$9,0)</f>
        <v/>
      </c>
      <c r="AB15" s="38">
        <f>IF(AB7=Hypothèses!$D$8,Hypothèses!$D$9,0)</f>
        <v/>
      </c>
      <c r="AC15" s="38">
        <f>IF(AC7=Hypothèses!$D$8,Hypothèses!$D$9,0)</f>
        <v/>
      </c>
      <c r="AD15" s="38">
        <f>IF(AD7=Hypothèses!$D$8,Hypothèses!$D$9,0)</f>
        <v/>
      </c>
      <c r="AE15" s="38">
        <f>IF(AE7=Hypothèses!$D$8,Hypothèses!$D$9,0)</f>
        <v/>
      </c>
      <c r="AF15" s="38">
        <f>IF(AF7=Hypothèses!$D$8,Hypothèses!$D$9,0)</f>
        <v/>
      </c>
      <c r="AG15" s="38">
        <f>IF(AG7=Hypothèses!$D$8,Hypothèses!$D$9,0)</f>
        <v/>
      </c>
      <c r="AH15" s="38">
        <f>IF(AH7=Hypothèses!$D$8,Hypothèses!$D$9,0)</f>
        <v/>
      </c>
      <c r="AI15" s="38">
        <f>IF(AI7=Hypothèses!$D$8,Hypothèses!$D$9,0)</f>
        <v/>
      </c>
      <c r="AJ15" s="38">
        <f>IF(AJ7=Hypothèses!$D$8,Hypothèses!$D$9,0)</f>
        <v/>
      </c>
      <c r="AK15" s="38">
        <f>IF(AK7=Hypothèses!$D$8,Hypothèses!$D$9,0)</f>
        <v/>
      </c>
      <c r="AL15" s="38">
        <f>IF(AL7=Hypothèses!$D$8,Hypothèses!$D$9,0)</f>
        <v/>
      </c>
      <c r="AN15" s="38">
        <f>SUM(C15:N15)</f>
        <v/>
      </c>
      <c r="AO15" s="38">
        <f>SUM(O15:Z15)</f>
        <v/>
      </c>
      <c r="AP15" s="38">
        <f>SUM(AA15:AL15)</f>
        <v/>
      </c>
    </row>
    <row r="16">
      <c r="A16" s="9" t="inlineStr">
        <is>
          <t>Nouveaux abonnés organiques (parrainage)</t>
        </is>
      </c>
      <c r="B16" s="4" t="inlineStr">
        <is>
          <t>abonnés</t>
        </is>
      </c>
      <c r="C16" s="38">
        <f>C9*C13*Hypothèses!$D$24</f>
        <v/>
      </c>
      <c r="D16" s="38">
        <f>D9*D13*Hypothèses!$D$24</f>
        <v/>
      </c>
      <c r="E16" s="38">
        <f>E9*E13*Hypothèses!$D$24</f>
        <v/>
      </c>
      <c r="F16" s="38">
        <f>F9*F13*Hypothèses!$D$24</f>
        <v/>
      </c>
      <c r="G16" s="38">
        <f>G9*G13*Hypothèses!$D$24</f>
        <v/>
      </c>
      <c r="H16" s="38">
        <f>H9*H13*Hypothèses!$D$24</f>
        <v/>
      </c>
      <c r="I16" s="38">
        <f>I9*I13*Hypothèses!$D$24</f>
        <v/>
      </c>
      <c r="J16" s="38">
        <f>J9*J13*Hypothèses!$D$24</f>
        <v/>
      </c>
      <c r="K16" s="38">
        <f>K9*K13*Hypothèses!$D$24</f>
        <v/>
      </c>
      <c r="L16" s="38">
        <f>L9*L13*Hypothèses!$D$24</f>
        <v/>
      </c>
      <c r="M16" s="38">
        <f>M9*M13*Hypothèses!$D$24</f>
        <v/>
      </c>
      <c r="N16" s="38">
        <f>N9*N13*Hypothèses!$D$24</f>
        <v/>
      </c>
      <c r="O16" s="38">
        <f>O9*O13*Hypothèses!$D$24</f>
        <v/>
      </c>
      <c r="P16" s="38">
        <f>P9*P13*Hypothèses!$D$24</f>
        <v/>
      </c>
      <c r="Q16" s="38">
        <f>Q9*Q13*Hypothèses!$D$24</f>
        <v/>
      </c>
      <c r="R16" s="38">
        <f>R9*R13*Hypothèses!$D$24</f>
        <v/>
      </c>
      <c r="S16" s="38">
        <f>S9*S13*Hypothèses!$D$24</f>
        <v/>
      </c>
      <c r="T16" s="38">
        <f>T9*T13*Hypothèses!$D$24</f>
        <v/>
      </c>
      <c r="U16" s="38">
        <f>U9*U13*Hypothèses!$D$24</f>
        <v/>
      </c>
      <c r="V16" s="38">
        <f>V9*V13*Hypothèses!$D$24</f>
        <v/>
      </c>
      <c r="W16" s="38">
        <f>W9*W13*Hypothèses!$D$24</f>
        <v/>
      </c>
      <c r="X16" s="38">
        <f>X9*X13*Hypothèses!$D$24</f>
        <v/>
      </c>
      <c r="Y16" s="38">
        <f>Y9*Y13*Hypothèses!$D$24</f>
        <v/>
      </c>
      <c r="Z16" s="38">
        <f>Z9*Z13*Hypothèses!$D$24</f>
        <v/>
      </c>
      <c r="AA16" s="38">
        <f>AA9*AA13*Hypothèses!$D$24</f>
        <v/>
      </c>
      <c r="AB16" s="38">
        <f>AB9*AB13*Hypothèses!$D$24</f>
        <v/>
      </c>
      <c r="AC16" s="38">
        <f>AC9*AC13*Hypothèses!$D$24</f>
        <v/>
      </c>
      <c r="AD16" s="38">
        <f>AD9*AD13*Hypothèses!$D$24</f>
        <v/>
      </c>
      <c r="AE16" s="38">
        <f>AE9*AE13*Hypothèses!$D$24</f>
        <v/>
      </c>
      <c r="AF16" s="38">
        <f>AF9*AF13*Hypothèses!$D$24</f>
        <v/>
      </c>
      <c r="AG16" s="38">
        <f>AG9*AG13*Hypothèses!$D$24</f>
        <v/>
      </c>
      <c r="AH16" s="38">
        <f>AH9*AH13*Hypothèses!$D$24</f>
        <v/>
      </c>
      <c r="AI16" s="38">
        <f>AI9*AI13*Hypothèses!$D$24</f>
        <v/>
      </c>
      <c r="AJ16" s="38">
        <f>AJ9*AJ13*Hypothèses!$D$24</f>
        <v/>
      </c>
      <c r="AK16" s="38">
        <f>AK9*AK13*Hypothèses!$D$24</f>
        <v/>
      </c>
      <c r="AL16" s="38">
        <f>AL9*AL13*Hypothèses!$D$24</f>
        <v/>
      </c>
      <c r="AN16" s="38">
        <f>SUM(C16:N16)</f>
        <v/>
      </c>
      <c r="AO16" s="38">
        <f>SUM(O16:Z16)</f>
        <v/>
      </c>
      <c r="AP16" s="38">
        <f>SUM(AA16:AL16)</f>
        <v/>
      </c>
    </row>
    <row r="17">
      <c r="A17" s="9" t="inlineStr">
        <is>
          <t>Résiliations</t>
        </is>
      </c>
      <c r="B17" s="4" t="inlineStr">
        <is>
          <t>abonnés</t>
        </is>
      </c>
      <c r="C17" s="38">
        <f>C13*Hypothèses!$D$26*$D$4</f>
        <v/>
      </c>
      <c r="D17" s="38">
        <f>D13*Hypothèses!$D$26*$D$4</f>
        <v/>
      </c>
      <c r="E17" s="38">
        <f>E13*Hypothèses!$D$26*$D$4</f>
        <v/>
      </c>
      <c r="F17" s="38">
        <f>F13*Hypothèses!$D$26*$D$4</f>
        <v/>
      </c>
      <c r="G17" s="38">
        <f>G13*Hypothèses!$D$26*$D$4</f>
        <v/>
      </c>
      <c r="H17" s="38">
        <f>H13*Hypothèses!$D$26*$D$4</f>
        <v/>
      </c>
      <c r="I17" s="38">
        <f>I13*Hypothèses!$D$26*$D$4</f>
        <v/>
      </c>
      <c r="J17" s="38">
        <f>J13*Hypothèses!$D$26*$D$4</f>
        <v/>
      </c>
      <c r="K17" s="38">
        <f>K13*Hypothèses!$D$26*$D$4</f>
        <v/>
      </c>
      <c r="L17" s="38">
        <f>L13*Hypothèses!$D$26*$D$4</f>
        <v/>
      </c>
      <c r="M17" s="38">
        <f>M13*Hypothèses!$D$26*$D$4</f>
        <v/>
      </c>
      <c r="N17" s="38">
        <f>N13*Hypothèses!$D$26*$D$4</f>
        <v/>
      </c>
      <c r="O17" s="38">
        <f>O13*Hypothèses!$D$26*$D$4</f>
        <v/>
      </c>
      <c r="P17" s="38">
        <f>P13*Hypothèses!$D$26*$D$4</f>
        <v/>
      </c>
      <c r="Q17" s="38">
        <f>Q13*Hypothèses!$D$26*$D$4</f>
        <v/>
      </c>
      <c r="R17" s="38">
        <f>R13*Hypothèses!$D$26*$D$4</f>
        <v/>
      </c>
      <c r="S17" s="38">
        <f>S13*Hypothèses!$D$26*$D$4</f>
        <v/>
      </c>
      <c r="T17" s="38">
        <f>T13*Hypothèses!$D$26*$D$4</f>
        <v/>
      </c>
      <c r="U17" s="38">
        <f>U13*Hypothèses!$D$26*$D$4</f>
        <v/>
      </c>
      <c r="V17" s="38">
        <f>V13*Hypothèses!$D$26*$D$4</f>
        <v/>
      </c>
      <c r="W17" s="38">
        <f>W13*Hypothèses!$D$26*$D$4</f>
        <v/>
      </c>
      <c r="X17" s="38">
        <f>X13*Hypothèses!$D$26*$D$4</f>
        <v/>
      </c>
      <c r="Y17" s="38">
        <f>Y13*Hypothèses!$D$26*$D$4</f>
        <v/>
      </c>
      <c r="Z17" s="38">
        <f>Z13*Hypothèses!$D$26*$D$4</f>
        <v/>
      </c>
      <c r="AA17" s="38">
        <f>AA13*Hypothèses!$D$26*$D$4</f>
        <v/>
      </c>
      <c r="AB17" s="38">
        <f>AB13*Hypothèses!$D$26*$D$4</f>
        <v/>
      </c>
      <c r="AC17" s="38">
        <f>AC13*Hypothèses!$D$26*$D$4</f>
        <v/>
      </c>
      <c r="AD17" s="38">
        <f>AD13*Hypothèses!$D$26*$D$4</f>
        <v/>
      </c>
      <c r="AE17" s="38">
        <f>AE13*Hypothèses!$D$26*$D$4</f>
        <v/>
      </c>
      <c r="AF17" s="38">
        <f>AF13*Hypothèses!$D$26*$D$4</f>
        <v/>
      </c>
      <c r="AG17" s="38">
        <f>AG13*Hypothèses!$D$26*$D$4</f>
        <v/>
      </c>
      <c r="AH17" s="38">
        <f>AH13*Hypothèses!$D$26*$D$4</f>
        <v/>
      </c>
      <c r="AI17" s="38">
        <f>AI13*Hypothèses!$D$26*$D$4</f>
        <v/>
      </c>
      <c r="AJ17" s="38">
        <f>AJ13*Hypothèses!$D$26*$D$4</f>
        <v/>
      </c>
      <c r="AK17" s="38">
        <f>AK13*Hypothèses!$D$26*$D$4</f>
        <v/>
      </c>
      <c r="AL17" s="38">
        <f>AL13*Hypothèses!$D$26*$D$4</f>
        <v/>
      </c>
      <c r="AN17" s="38">
        <f>SUM(C17:N17)</f>
        <v/>
      </c>
      <c r="AO17" s="38">
        <f>SUM(O17:Z17)</f>
        <v/>
      </c>
      <c r="AP17" s="38">
        <f>SUM(AA17:AL17)</f>
        <v/>
      </c>
    </row>
    <row r="18">
      <c r="A18" s="2" t="inlineStr">
        <is>
          <t>Abonnés en fin de mois</t>
        </is>
      </c>
      <c r="B18" s="4" t="inlineStr">
        <is>
          <t>abonnés</t>
        </is>
      </c>
      <c r="C18" s="39">
        <f>C13+C14+C15+C16-C17</f>
        <v/>
      </c>
      <c r="D18" s="39">
        <f>D13+D14+D15+D16-D17</f>
        <v/>
      </c>
      <c r="E18" s="39">
        <f>E13+E14+E15+E16-E17</f>
        <v/>
      </c>
      <c r="F18" s="39">
        <f>F13+F14+F15+F16-F17</f>
        <v/>
      </c>
      <c r="G18" s="39">
        <f>G13+G14+G15+G16-G17</f>
        <v/>
      </c>
      <c r="H18" s="39">
        <f>H13+H14+H15+H16-H17</f>
        <v/>
      </c>
      <c r="I18" s="39">
        <f>I13+I14+I15+I16-I17</f>
        <v/>
      </c>
      <c r="J18" s="39">
        <f>J13+J14+J15+J16-J17</f>
        <v/>
      </c>
      <c r="K18" s="39">
        <f>K13+K14+K15+K16-K17</f>
        <v/>
      </c>
      <c r="L18" s="39">
        <f>L13+L14+L15+L16-L17</f>
        <v/>
      </c>
      <c r="M18" s="39">
        <f>M13+M14+M15+M16-M17</f>
        <v/>
      </c>
      <c r="N18" s="39">
        <f>N13+N14+N15+N16-N17</f>
        <v/>
      </c>
      <c r="O18" s="39">
        <f>O13+O14+O15+O16-O17</f>
        <v/>
      </c>
      <c r="P18" s="39">
        <f>P13+P14+P15+P16-P17</f>
        <v/>
      </c>
      <c r="Q18" s="39">
        <f>Q13+Q14+Q15+Q16-Q17</f>
        <v/>
      </c>
      <c r="R18" s="39">
        <f>R13+R14+R15+R16-R17</f>
        <v/>
      </c>
      <c r="S18" s="39">
        <f>S13+S14+S15+S16-S17</f>
        <v/>
      </c>
      <c r="T18" s="39">
        <f>T13+T14+T15+T16-T17</f>
        <v/>
      </c>
      <c r="U18" s="39">
        <f>U13+U14+U15+U16-U17</f>
        <v/>
      </c>
      <c r="V18" s="39">
        <f>V13+V14+V15+V16-V17</f>
        <v/>
      </c>
      <c r="W18" s="39">
        <f>W13+W14+W15+W16-W17</f>
        <v/>
      </c>
      <c r="X18" s="39">
        <f>X13+X14+X15+X16-X17</f>
        <v/>
      </c>
      <c r="Y18" s="39">
        <f>Y13+Y14+Y15+Y16-Y17</f>
        <v/>
      </c>
      <c r="Z18" s="39">
        <f>Z13+Z14+Z15+Z16-Z17</f>
        <v/>
      </c>
      <c r="AA18" s="39">
        <f>AA13+AA14+AA15+AA16-AA17</f>
        <v/>
      </c>
      <c r="AB18" s="39">
        <f>AB13+AB14+AB15+AB16-AB17</f>
        <v/>
      </c>
      <c r="AC18" s="39">
        <f>AC13+AC14+AC15+AC16-AC17</f>
        <v/>
      </c>
      <c r="AD18" s="39">
        <f>AD13+AD14+AD15+AD16-AD17</f>
        <v/>
      </c>
      <c r="AE18" s="39">
        <f>AE13+AE14+AE15+AE16-AE17</f>
        <v/>
      </c>
      <c r="AF18" s="39">
        <f>AF13+AF14+AF15+AF16-AF17</f>
        <v/>
      </c>
      <c r="AG18" s="39">
        <f>AG13+AG14+AG15+AG16-AG17</f>
        <v/>
      </c>
      <c r="AH18" s="39">
        <f>AH13+AH14+AH15+AH16-AH17</f>
        <v/>
      </c>
      <c r="AI18" s="39">
        <f>AI13+AI14+AI15+AI16-AI17</f>
        <v/>
      </c>
      <c r="AJ18" s="39">
        <f>AJ13+AJ14+AJ15+AJ16-AJ17</f>
        <v/>
      </c>
      <c r="AK18" s="39">
        <f>AK13+AK14+AK15+AK16-AK17</f>
        <v/>
      </c>
      <c r="AL18" s="39">
        <f>AL13+AL14+AL15+AL16-AL17</f>
        <v/>
      </c>
      <c r="AN18" s="39">
        <f>N18</f>
        <v/>
      </c>
      <c r="AO18" s="39">
        <f>Z18</f>
        <v/>
      </c>
      <c r="AP18" s="39">
        <f>AL18</f>
        <v/>
      </c>
    </row>
    <row r="19">
      <c r="A19" s="9" t="inlineStr">
        <is>
          <t>dont Personal</t>
        </is>
      </c>
      <c r="B19" s="4" t="inlineStr">
        <is>
          <t>abonnés</t>
        </is>
      </c>
      <c r="C19" s="38">
        <f>C18*Hypothèses!$D$16</f>
        <v/>
      </c>
      <c r="D19" s="38">
        <f>D18*Hypothèses!$D$16</f>
        <v/>
      </c>
      <c r="E19" s="38">
        <f>E18*Hypothèses!$D$16</f>
        <v/>
      </c>
      <c r="F19" s="38">
        <f>F18*Hypothèses!$D$16</f>
        <v/>
      </c>
      <c r="G19" s="38">
        <f>G18*Hypothèses!$D$16</f>
        <v/>
      </c>
      <c r="H19" s="38">
        <f>H18*Hypothèses!$D$16</f>
        <v/>
      </c>
      <c r="I19" s="38">
        <f>I18*Hypothèses!$D$16</f>
        <v/>
      </c>
      <c r="J19" s="38">
        <f>J18*Hypothèses!$D$16</f>
        <v/>
      </c>
      <c r="K19" s="38">
        <f>K18*Hypothèses!$D$16</f>
        <v/>
      </c>
      <c r="L19" s="38">
        <f>L18*Hypothèses!$D$16</f>
        <v/>
      </c>
      <c r="M19" s="38">
        <f>M18*Hypothèses!$D$16</f>
        <v/>
      </c>
      <c r="N19" s="38">
        <f>N18*Hypothèses!$D$16</f>
        <v/>
      </c>
      <c r="O19" s="38">
        <f>O18*Hypothèses!$D$16</f>
        <v/>
      </c>
      <c r="P19" s="38">
        <f>P18*Hypothèses!$D$16</f>
        <v/>
      </c>
      <c r="Q19" s="38">
        <f>Q18*Hypothèses!$D$16</f>
        <v/>
      </c>
      <c r="R19" s="38">
        <f>R18*Hypothèses!$D$16</f>
        <v/>
      </c>
      <c r="S19" s="38">
        <f>S18*Hypothèses!$D$16</f>
        <v/>
      </c>
      <c r="T19" s="38">
        <f>T18*Hypothèses!$D$16</f>
        <v/>
      </c>
      <c r="U19" s="38">
        <f>U18*Hypothèses!$D$16</f>
        <v/>
      </c>
      <c r="V19" s="38">
        <f>V18*Hypothèses!$D$16</f>
        <v/>
      </c>
      <c r="W19" s="38">
        <f>W18*Hypothèses!$D$16</f>
        <v/>
      </c>
      <c r="X19" s="38">
        <f>X18*Hypothèses!$D$16</f>
        <v/>
      </c>
      <c r="Y19" s="38">
        <f>Y18*Hypothèses!$D$16</f>
        <v/>
      </c>
      <c r="Z19" s="38">
        <f>Z18*Hypothèses!$D$16</f>
        <v/>
      </c>
      <c r="AA19" s="38">
        <f>AA18*Hypothèses!$D$16</f>
        <v/>
      </c>
      <c r="AB19" s="38">
        <f>AB18*Hypothèses!$D$16</f>
        <v/>
      </c>
      <c r="AC19" s="38">
        <f>AC18*Hypothèses!$D$16</f>
        <v/>
      </c>
      <c r="AD19" s="38">
        <f>AD18*Hypothèses!$D$16</f>
        <v/>
      </c>
      <c r="AE19" s="38">
        <f>AE18*Hypothèses!$D$16</f>
        <v/>
      </c>
      <c r="AF19" s="38">
        <f>AF18*Hypothèses!$D$16</f>
        <v/>
      </c>
      <c r="AG19" s="38">
        <f>AG18*Hypothèses!$D$16</f>
        <v/>
      </c>
      <c r="AH19" s="38">
        <f>AH18*Hypothèses!$D$16</f>
        <v/>
      </c>
      <c r="AI19" s="38">
        <f>AI18*Hypothèses!$D$16</f>
        <v/>
      </c>
      <c r="AJ19" s="38">
        <f>AJ18*Hypothèses!$D$16</f>
        <v/>
      </c>
      <c r="AK19" s="38">
        <f>AK18*Hypothèses!$D$16</f>
        <v/>
      </c>
      <c r="AL19" s="38">
        <f>AL18*Hypothèses!$D$16</f>
        <v/>
      </c>
      <c r="AN19" s="38">
        <f>N19</f>
        <v/>
      </c>
      <c r="AO19" s="38">
        <f>Z19</f>
        <v/>
      </c>
      <c r="AP19" s="38">
        <f>AL19</f>
        <v/>
      </c>
    </row>
    <row r="20">
      <c r="A20" s="9" t="inlineStr">
        <is>
          <t>dont Premium</t>
        </is>
      </c>
      <c r="B20" s="4" t="inlineStr">
        <is>
          <t>abonnés</t>
        </is>
      </c>
      <c r="C20" s="38">
        <f>C18*Hypothèses!$D$17</f>
        <v/>
      </c>
      <c r="D20" s="38">
        <f>D18*Hypothèses!$D$17</f>
        <v/>
      </c>
      <c r="E20" s="38">
        <f>E18*Hypothèses!$D$17</f>
        <v/>
      </c>
      <c r="F20" s="38">
        <f>F18*Hypothèses!$D$17</f>
        <v/>
      </c>
      <c r="G20" s="38">
        <f>G18*Hypothèses!$D$17</f>
        <v/>
      </c>
      <c r="H20" s="38">
        <f>H18*Hypothèses!$D$17</f>
        <v/>
      </c>
      <c r="I20" s="38">
        <f>I18*Hypothèses!$D$17</f>
        <v/>
      </c>
      <c r="J20" s="38">
        <f>J18*Hypothèses!$D$17</f>
        <v/>
      </c>
      <c r="K20" s="38">
        <f>K18*Hypothèses!$D$17</f>
        <v/>
      </c>
      <c r="L20" s="38">
        <f>L18*Hypothèses!$D$17</f>
        <v/>
      </c>
      <c r="M20" s="38">
        <f>M18*Hypothèses!$D$17</f>
        <v/>
      </c>
      <c r="N20" s="38">
        <f>N18*Hypothèses!$D$17</f>
        <v/>
      </c>
      <c r="O20" s="38">
        <f>O18*Hypothèses!$D$17</f>
        <v/>
      </c>
      <c r="P20" s="38">
        <f>P18*Hypothèses!$D$17</f>
        <v/>
      </c>
      <c r="Q20" s="38">
        <f>Q18*Hypothèses!$D$17</f>
        <v/>
      </c>
      <c r="R20" s="38">
        <f>R18*Hypothèses!$D$17</f>
        <v/>
      </c>
      <c r="S20" s="38">
        <f>S18*Hypothèses!$D$17</f>
        <v/>
      </c>
      <c r="T20" s="38">
        <f>T18*Hypothèses!$D$17</f>
        <v/>
      </c>
      <c r="U20" s="38">
        <f>U18*Hypothèses!$D$17</f>
        <v/>
      </c>
      <c r="V20" s="38">
        <f>V18*Hypothèses!$D$17</f>
        <v/>
      </c>
      <c r="W20" s="38">
        <f>W18*Hypothèses!$D$17</f>
        <v/>
      </c>
      <c r="X20" s="38">
        <f>X18*Hypothèses!$D$17</f>
        <v/>
      </c>
      <c r="Y20" s="38">
        <f>Y18*Hypothèses!$D$17</f>
        <v/>
      </c>
      <c r="Z20" s="38">
        <f>Z18*Hypothèses!$D$17</f>
        <v/>
      </c>
      <c r="AA20" s="38">
        <f>AA18*Hypothèses!$D$17</f>
        <v/>
      </c>
      <c r="AB20" s="38">
        <f>AB18*Hypothèses!$D$17</f>
        <v/>
      </c>
      <c r="AC20" s="38">
        <f>AC18*Hypothèses!$D$17</f>
        <v/>
      </c>
      <c r="AD20" s="38">
        <f>AD18*Hypothèses!$D$17</f>
        <v/>
      </c>
      <c r="AE20" s="38">
        <f>AE18*Hypothèses!$D$17</f>
        <v/>
      </c>
      <c r="AF20" s="38">
        <f>AF18*Hypothèses!$D$17</f>
        <v/>
      </c>
      <c r="AG20" s="38">
        <f>AG18*Hypothèses!$D$17</f>
        <v/>
      </c>
      <c r="AH20" s="38">
        <f>AH18*Hypothèses!$D$17</f>
        <v/>
      </c>
      <c r="AI20" s="38">
        <f>AI18*Hypothèses!$D$17</f>
        <v/>
      </c>
      <c r="AJ20" s="38">
        <f>AJ18*Hypothèses!$D$17</f>
        <v/>
      </c>
      <c r="AK20" s="38">
        <f>AK18*Hypothèses!$D$17</f>
        <v/>
      </c>
      <c r="AL20" s="38">
        <f>AL18*Hypothèses!$D$17</f>
        <v/>
      </c>
      <c r="AN20" s="38">
        <f>N20</f>
        <v/>
      </c>
      <c r="AO20" s="38">
        <f>Z20</f>
        <v/>
      </c>
      <c r="AP20" s="38">
        <f>AL20</f>
        <v/>
      </c>
    </row>
    <row r="21">
      <c r="A21" s="9" t="inlineStr">
        <is>
          <t>dont Family</t>
        </is>
      </c>
      <c r="B21" s="4" t="inlineStr">
        <is>
          <t>abonnés</t>
        </is>
      </c>
      <c r="C21" s="38">
        <f>C18*Hypothèses!$D$18</f>
        <v/>
      </c>
      <c r="D21" s="38">
        <f>D18*Hypothèses!$D$18</f>
        <v/>
      </c>
      <c r="E21" s="38">
        <f>E18*Hypothèses!$D$18</f>
        <v/>
      </c>
      <c r="F21" s="38">
        <f>F18*Hypothèses!$D$18</f>
        <v/>
      </c>
      <c r="G21" s="38">
        <f>G18*Hypothèses!$D$18</f>
        <v/>
      </c>
      <c r="H21" s="38">
        <f>H18*Hypothèses!$D$18</f>
        <v/>
      </c>
      <c r="I21" s="38">
        <f>I18*Hypothèses!$D$18</f>
        <v/>
      </c>
      <c r="J21" s="38">
        <f>J18*Hypothèses!$D$18</f>
        <v/>
      </c>
      <c r="K21" s="38">
        <f>K18*Hypothèses!$D$18</f>
        <v/>
      </c>
      <c r="L21" s="38">
        <f>L18*Hypothèses!$D$18</f>
        <v/>
      </c>
      <c r="M21" s="38">
        <f>M18*Hypothèses!$D$18</f>
        <v/>
      </c>
      <c r="N21" s="38">
        <f>N18*Hypothèses!$D$18</f>
        <v/>
      </c>
      <c r="O21" s="38">
        <f>O18*Hypothèses!$D$18</f>
        <v/>
      </c>
      <c r="P21" s="38">
        <f>P18*Hypothèses!$D$18</f>
        <v/>
      </c>
      <c r="Q21" s="38">
        <f>Q18*Hypothèses!$D$18</f>
        <v/>
      </c>
      <c r="R21" s="38">
        <f>R18*Hypothèses!$D$18</f>
        <v/>
      </c>
      <c r="S21" s="38">
        <f>S18*Hypothèses!$D$18</f>
        <v/>
      </c>
      <c r="T21" s="38">
        <f>T18*Hypothèses!$D$18</f>
        <v/>
      </c>
      <c r="U21" s="38">
        <f>U18*Hypothèses!$D$18</f>
        <v/>
      </c>
      <c r="V21" s="38">
        <f>V18*Hypothèses!$D$18</f>
        <v/>
      </c>
      <c r="W21" s="38">
        <f>W18*Hypothèses!$D$18</f>
        <v/>
      </c>
      <c r="X21" s="38">
        <f>X18*Hypothèses!$D$18</f>
        <v/>
      </c>
      <c r="Y21" s="38">
        <f>Y18*Hypothèses!$D$18</f>
        <v/>
      </c>
      <c r="Z21" s="38">
        <f>Z18*Hypothèses!$D$18</f>
        <v/>
      </c>
      <c r="AA21" s="38">
        <f>AA18*Hypothèses!$D$18</f>
        <v/>
      </c>
      <c r="AB21" s="38">
        <f>AB18*Hypothèses!$D$18</f>
        <v/>
      </c>
      <c r="AC21" s="38">
        <f>AC18*Hypothèses!$D$18</f>
        <v/>
      </c>
      <c r="AD21" s="38">
        <f>AD18*Hypothèses!$D$18</f>
        <v/>
      </c>
      <c r="AE21" s="38">
        <f>AE18*Hypothèses!$D$18</f>
        <v/>
      </c>
      <c r="AF21" s="38">
        <f>AF18*Hypothèses!$D$18</f>
        <v/>
      </c>
      <c r="AG21" s="38">
        <f>AG18*Hypothèses!$D$18</f>
        <v/>
      </c>
      <c r="AH21" s="38">
        <f>AH18*Hypothèses!$D$18</f>
        <v/>
      </c>
      <c r="AI21" s="38">
        <f>AI18*Hypothèses!$D$18</f>
        <v/>
      </c>
      <c r="AJ21" s="38">
        <f>AJ18*Hypothèses!$D$18</f>
        <v/>
      </c>
      <c r="AK21" s="38">
        <f>AK18*Hypothèses!$D$18</f>
        <v/>
      </c>
      <c r="AL21" s="38">
        <f>AL18*Hypothèses!$D$18</f>
        <v/>
      </c>
      <c r="AN21" s="38">
        <f>N21</f>
        <v/>
      </c>
      <c r="AO21" s="38">
        <f>Z21</f>
        <v/>
      </c>
      <c r="AP21" s="38">
        <f>AL21</f>
        <v/>
      </c>
    </row>
    <row r="22">
      <c r="A22" s="8" t="inlineStr">
        <is>
          <t>Revenus</t>
        </is>
      </c>
    </row>
    <row r="23">
      <c r="A23" s="9" t="inlineStr">
        <is>
          <t>Facturation Personal TTC</t>
        </is>
      </c>
      <c r="B23" s="4" t="inlineStr">
        <is>
          <t>€ TTC</t>
        </is>
      </c>
      <c r="C23" s="15">
        <f>C19*Hypothèses!$D$12*$C$4</f>
        <v/>
      </c>
      <c r="D23" s="15">
        <f>D19*Hypothèses!$D$12*$C$4</f>
        <v/>
      </c>
      <c r="E23" s="15">
        <f>E19*Hypothèses!$D$12*$C$4</f>
        <v/>
      </c>
      <c r="F23" s="15">
        <f>F19*Hypothèses!$D$12*$C$4</f>
        <v/>
      </c>
      <c r="G23" s="15">
        <f>G19*Hypothèses!$D$12*$C$4</f>
        <v/>
      </c>
      <c r="H23" s="15">
        <f>H19*Hypothèses!$D$12*$C$4</f>
        <v/>
      </c>
      <c r="I23" s="15">
        <f>I19*Hypothèses!$D$12*$C$4</f>
        <v/>
      </c>
      <c r="J23" s="15">
        <f>J19*Hypothèses!$D$12*$C$4</f>
        <v/>
      </c>
      <c r="K23" s="15">
        <f>K19*Hypothèses!$D$12*$C$4</f>
        <v/>
      </c>
      <c r="L23" s="15">
        <f>L19*Hypothèses!$D$12*$C$4</f>
        <v/>
      </c>
      <c r="M23" s="15">
        <f>M19*Hypothèses!$D$12*$C$4</f>
        <v/>
      </c>
      <c r="N23" s="15">
        <f>N19*Hypothèses!$D$12*$C$4</f>
        <v/>
      </c>
      <c r="O23" s="15">
        <f>O19*Hypothèses!$D$12*$C$4</f>
        <v/>
      </c>
      <c r="P23" s="15">
        <f>P19*Hypothèses!$D$12*$C$4</f>
        <v/>
      </c>
      <c r="Q23" s="15">
        <f>Q19*Hypothèses!$D$12*$C$4</f>
        <v/>
      </c>
      <c r="R23" s="15">
        <f>R19*Hypothèses!$D$12*$C$4</f>
        <v/>
      </c>
      <c r="S23" s="15">
        <f>S19*Hypothèses!$D$12*$C$4</f>
        <v/>
      </c>
      <c r="T23" s="15">
        <f>T19*Hypothèses!$D$12*$C$4</f>
        <v/>
      </c>
      <c r="U23" s="15">
        <f>U19*Hypothèses!$D$12*$C$4</f>
        <v/>
      </c>
      <c r="V23" s="15">
        <f>V19*Hypothèses!$D$12*$C$4</f>
        <v/>
      </c>
      <c r="W23" s="15">
        <f>W19*Hypothèses!$D$12*$C$4</f>
        <v/>
      </c>
      <c r="X23" s="15">
        <f>X19*Hypothèses!$D$12*$C$4</f>
        <v/>
      </c>
      <c r="Y23" s="15">
        <f>Y19*Hypothèses!$D$12*$C$4</f>
        <v/>
      </c>
      <c r="Z23" s="15">
        <f>Z19*Hypothèses!$D$12*$C$4</f>
        <v/>
      </c>
      <c r="AA23" s="15">
        <f>AA19*Hypothèses!$D$12*$C$4</f>
        <v/>
      </c>
      <c r="AB23" s="15">
        <f>AB19*Hypothèses!$D$12*$C$4</f>
        <v/>
      </c>
      <c r="AC23" s="15">
        <f>AC19*Hypothèses!$D$12*$C$4</f>
        <v/>
      </c>
      <c r="AD23" s="15">
        <f>AD19*Hypothèses!$D$12*$C$4</f>
        <v/>
      </c>
      <c r="AE23" s="15">
        <f>AE19*Hypothèses!$D$12*$C$4</f>
        <v/>
      </c>
      <c r="AF23" s="15">
        <f>AF19*Hypothèses!$D$12*$C$4</f>
        <v/>
      </c>
      <c r="AG23" s="15">
        <f>AG19*Hypothèses!$D$12*$C$4</f>
        <v/>
      </c>
      <c r="AH23" s="15">
        <f>AH19*Hypothèses!$D$12*$C$4</f>
        <v/>
      </c>
      <c r="AI23" s="15">
        <f>AI19*Hypothèses!$D$12*$C$4</f>
        <v/>
      </c>
      <c r="AJ23" s="15">
        <f>AJ19*Hypothèses!$D$12*$C$4</f>
        <v/>
      </c>
      <c r="AK23" s="15">
        <f>AK19*Hypothèses!$D$12*$C$4</f>
        <v/>
      </c>
      <c r="AL23" s="15">
        <f>AL19*Hypothèses!$D$12*$C$4</f>
        <v/>
      </c>
      <c r="AN23" s="15">
        <f>SUM(C23:N23)</f>
        <v/>
      </c>
      <c r="AO23" s="15">
        <f>SUM(O23:Z23)</f>
        <v/>
      </c>
      <c r="AP23" s="15">
        <f>SUM(AA23:AL23)</f>
        <v/>
      </c>
    </row>
    <row r="24">
      <c r="A24" s="9" t="inlineStr">
        <is>
          <t>Facturation Premium TTC</t>
        </is>
      </c>
      <c r="B24" s="4" t="inlineStr">
        <is>
          <t>€ TTC</t>
        </is>
      </c>
      <c r="C24" s="15">
        <f>C20*Hypothèses!$D$13*$C$4</f>
        <v/>
      </c>
      <c r="D24" s="15">
        <f>D20*Hypothèses!$D$13*$C$4</f>
        <v/>
      </c>
      <c r="E24" s="15">
        <f>E20*Hypothèses!$D$13*$C$4</f>
        <v/>
      </c>
      <c r="F24" s="15">
        <f>F20*Hypothèses!$D$13*$C$4</f>
        <v/>
      </c>
      <c r="G24" s="15">
        <f>G20*Hypothèses!$D$13*$C$4</f>
        <v/>
      </c>
      <c r="H24" s="15">
        <f>H20*Hypothèses!$D$13*$C$4</f>
        <v/>
      </c>
      <c r="I24" s="15">
        <f>I20*Hypothèses!$D$13*$C$4</f>
        <v/>
      </c>
      <c r="J24" s="15">
        <f>J20*Hypothèses!$D$13*$C$4</f>
        <v/>
      </c>
      <c r="K24" s="15">
        <f>K20*Hypothèses!$D$13*$C$4</f>
        <v/>
      </c>
      <c r="L24" s="15">
        <f>L20*Hypothèses!$D$13*$C$4</f>
        <v/>
      </c>
      <c r="M24" s="15">
        <f>M20*Hypothèses!$D$13*$C$4</f>
        <v/>
      </c>
      <c r="N24" s="15">
        <f>N20*Hypothèses!$D$13*$C$4</f>
        <v/>
      </c>
      <c r="O24" s="15">
        <f>O20*Hypothèses!$D$13*$C$4</f>
        <v/>
      </c>
      <c r="P24" s="15">
        <f>P20*Hypothèses!$D$13*$C$4</f>
        <v/>
      </c>
      <c r="Q24" s="15">
        <f>Q20*Hypothèses!$D$13*$C$4</f>
        <v/>
      </c>
      <c r="R24" s="15">
        <f>R20*Hypothèses!$D$13*$C$4</f>
        <v/>
      </c>
      <c r="S24" s="15">
        <f>S20*Hypothèses!$D$13*$C$4</f>
        <v/>
      </c>
      <c r="T24" s="15">
        <f>T20*Hypothèses!$D$13*$C$4</f>
        <v/>
      </c>
      <c r="U24" s="15">
        <f>U20*Hypothèses!$D$13*$C$4</f>
        <v/>
      </c>
      <c r="V24" s="15">
        <f>V20*Hypothèses!$D$13*$C$4</f>
        <v/>
      </c>
      <c r="W24" s="15">
        <f>W20*Hypothèses!$D$13*$C$4</f>
        <v/>
      </c>
      <c r="X24" s="15">
        <f>X20*Hypothèses!$D$13*$C$4</f>
        <v/>
      </c>
      <c r="Y24" s="15">
        <f>Y20*Hypothèses!$D$13*$C$4</f>
        <v/>
      </c>
      <c r="Z24" s="15">
        <f>Z20*Hypothèses!$D$13*$C$4</f>
        <v/>
      </c>
      <c r="AA24" s="15">
        <f>AA20*Hypothèses!$D$13*$C$4</f>
        <v/>
      </c>
      <c r="AB24" s="15">
        <f>AB20*Hypothèses!$D$13*$C$4</f>
        <v/>
      </c>
      <c r="AC24" s="15">
        <f>AC20*Hypothèses!$D$13*$C$4</f>
        <v/>
      </c>
      <c r="AD24" s="15">
        <f>AD20*Hypothèses!$D$13*$C$4</f>
        <v/>
      </c>
      <c r="AE24" s="15">
        <f>AE20*Hypothèses!$D$13*$C$4</f>
        <v/>
      </c>
      <c r="AF24" s="15">
        <f>AF20*Hypothèses!$D$13*$C$4</f>
        <v/>
      </c>
      <c r="AG24" s="15">
        <f>AG20*Hypothèses!$D$13*$C$4</f>
        <v/>
      </c>
      <c r="AH24" s="15">
        <f>AH20*Hypothèses!$D$13*$C$4</f>
        <v/>
      </c>
      <c r="AI24" s="15">
        <f>AI20*Hypothèses!$D$13*$C$4</f>
        <v/>
      </c>
      <c r="AJ24" s="15">
        <f>AJ20*Hypothèses!$D$13*$C$4</f>
        <v/>
      </c>
      <c r="AK24" s="15">
        <f>AK20*Hypothèses!$D$13*$C$4</f>
        <v/>
      </c>
      <c r="AL24" s="15">
        <f>AL20*Hypothèses!$D$13*$C$4</f>
        <v/>
      </c>
      <c r="AN24" s="15">
        <f>SUM(C24:N24)</f>
        <v/>
      </c>
      <c r="AO24" s="15">
        <f>SUM(O24:Z24)</f>
        <v/>
      </c>
      <c r="AP24" s="15">
        <f>SUM(AA24:AL24)</f>
        <v/>
      </c>
    </row>
    <row r="25">
      <c r="A25" s="9" t="inlineStr">
        <is>
          <t>Facturation Family TTC</t>
        </is>
      </c>
      <c r="B25" s="4" t="inlineStr">
        <is>
          <t>€ TTC</t>
        </is>
      </c>
      <c r="C25" s="15">
        <f>C21*Hypothèses!$D$14*$C$4</f>
        <v/>
      </c>
      <c r="D25" s="15">
        <f>D21*Hypothèses!$D$14*$C$4</f>
        <v/>
      </c>
      <c r="E25" s="15">
        <f>E21*Hypothèses!$D$14*$C$4</f>
        <v/>
      </c>
      <c r="F25" s="15">
        <f>F21*Hypothèses!$D$14*$C$4</f>
        <v/>
      </c>
      <c r="G25" s="15">
        <f>G21*Hypothèses!$D$14*$C$4</f>
        <v/>
      </c>
      <c r="H25" s="15">
        <f>H21*Hypothèses!$D$14*$C$4</f>
        <v/>
      </c>
      <c r="I25" s="15">
        <f>I21*Hypothèses!$D$14*$C$4</f>
        <v/>
      </c>
      <c r="J25" s="15">
        <f>J21*Hypothèses!$D$14*$C$4</f>
        <v/>
      </c>
      <c r="K25" s="15">
        <f>K21*Hypothèses!$D$14*$C$4</f>
        <v/>
      </c>
      <c r="L25" s="15">
        <f>L21*Hypothèses!$D$14*$C$4</f>
        <v/>
      </c>
      <c r="M25" s="15">
        <f>M21*Hypothèses!$D$14*$C$4</f>
        <v/>
      </c>
      <c r="N25" s="15">
        <f>N21*Hypothèses!$D$14*$C$4</f>
        <v/>
      </c>
      <c r="O25" s="15">
        <f>O21*Hypothèses!$D$14*$C$4</f>
        <v/>
      </c>
      <c r="P25" s="15">
        <f>P21*Hypothèses!$D$14*$C$4</f>
        <v/>
      </c>
      <c r="Q25" s="15">
        <f>Q21*Hypothèses!$D$14*$C$4</f>
        <v/>
      </c>
      <c r="R25" s="15">
        <f>R21*Hypothèses!$D$14*$C$4</f>
        <v/>
      </c>
      <c r="S25" s="15">
        <f>S21*Hypothèses!$D$14*$C$4</f>
        <v/>
      </c>
      <c r="T25" s="15">
        <f>T21*Hypothèses!$D$14*$C$4</f>
        <v/>
      </c>
      <c r="U25" s="15">
        <f>U21*Hypothèses!$D$14*$C$4</f>
        <v/>
      </c>
      <c r="V25" s="15">
        <f>V21*Hypothèses!$D$14*$C$4</f>
        <v/>
      </c>
      <c r="W25" s="15">
        <f>W21*Hypothèses!$D$14*$C$4</f>
        <v/>
      </c>
      <c r="X25" s="15">
        <f>X21*Hypothèses!$D$14*$C$4</f>
        <v/>
      </c>
      <c r="Y25" s="15">
        <f>Y21*Hypothèses!$D$14*$C$4</f>
        <v/>
      </c>
      <c r="Z25" s="15">
        <f>Z21*Hypothèses!$D$14*$C$4</f>
        <v/>
      </c>
      <c r="AA25" s="15">
        <f>AA21*Hypothèses!$D$14*$C$4</f>
        <v/>
      </c>
      <c r="AB25" s="15">
        <f>AB21*Hypothèses!$D$14*$C$4</f>
        <v/>
      </c>
      <c r="AC25" s="15">
        <f>AC21*Hypothèses!$D$14*$C$4</f>
        <v/>
      </c>
      <c r="AD25" s="15">
        <f>AD21*Hypothèses!$D$14*$C$4</f>
        <v/>
      </c>
      <c r="AE25" s="15">
        <f>AE21*Hypothèses!$D$14*$C$4</f>
        <v/>
      </c>
      <c r="AF25" s="15">
        <f>AF21*Hypothèses!$D$14*$C$4</f>
        <v/>
      </c>
      <c r="AG25" s="15">
        <f>AG21*Hypothèses!$D$14*$C$4</f>
        <v/>
      </c>
      <c r="AH25" s="15">
        <f>AH21*Hypothèses!$D$14*$C$4</f>
        <v/>
      </c>
      <c r="AI25" s="15">
        <f>AI21*Hypothèses!$D$14*$C$4</f>
        <v/>
      </c>
      <c r="AJ25" s="15">
        <f>AJ21*Hypothèses!$D$14*$C$4</f>
        <v/>
      </c>
      <c r="AK25" s="15">
        <f>AK21*Hypothèses!$D$14*$C$4</f>
        <v/>
      </c>
      <c r="AL25" s="15">
        <f>AL21*Hypothèses!$D$14*$C$4</f>
        <v/>
      </c>
      <c r="AN25" s="15">
        <f>SUM(C25:N25)</f>
        <v/>
      </c>
      <c r="AO25" s="15">
        <f>SUM(O25:Z25)</f>
        <v/>
      </c>
      <c r="AP25" s="15">
        <f>SUM(AA25:AL25)</f>
        <v/>
      </c>
    </row>
    <row r="26">
      <c r="A26" s="2" t="inlineStr">
        <is>
          <t>Facturation totale TTC (MRR TTC)</t>
        </is>
      </c>
      <c r="B26" s="4" t="inlineStr">
        <is>
          <t>€ TTC</t>
        </is>
      </c>
      <c r="C26" s="40">
        <f>C23+C24+C25</f>
        <v/>
      </c>
      <c r="D26" s="40">
        <f>D23+D24+D25</f>
        <v/>
      </c>
      <c r="E26" s="40">
        <f>E23+E24+E25</f>
        <v/>
      </c>
      <c r="F26" s="40">
        <f>F23+F24+F25</f>
        <v/>
      </c>
      <c r="G26" s="40">
        <f>G23+G24+G25</f>
        <v/>
      </c>
      <c r="H26" s="40">
        <f>H23+H24+H25</f>
        <v/>
      </c>
      <c r="I26" s="40">
        <f>I23+I24+I25</f>
        <v/>
      </c>
      <c r="J26" s="40">
        <f>J23+J24+J25</f>
        <v/>
      </c>
      <c r="K26" s="40">
        <f>K23+K24+K25</f>
        <v/>
      </c>
      <c r="L26" s="40">
        <f>L23+L24+L25</f>
        <v/>
      </c>
      <c r="M26" s="40">
        <f>M23+M24+M25</f>
        <v/>
      </c>
      <c r="N26" s="40">
        <f>N23+N24+N25</f>
        <v/>
      </c>
      <c r="O26" s="40">
        <f>O23+O24+O25</f>
        <v/>
      </c>
      <c r="P26" s="40">
        <f>P23+P24+P25</f>
        <v/>
      </c>
      <c r="Q26" s="40">
        <f>Q23+Q24+Q25</f>
        <v/>
      </c>
      <c r="R26" s="40">
        <f>R23+R24+R25</f>
        <v/>
      </c>
      <c r="S26" s="40">
        <f>S23+S24+S25</f>
        <v/>
      </c>
      <c r="T26" s="40">
        <f>T23+T24+T25</f>
        <v/>
      </c>
      <c r="U26" s="40">
        <f>U23+U24+U25</f>
        <v/>
      </c>
      <c r="V26" s="40">
        <f>V23+V24+V25</f>
        <v/>
      </c>
      <c r="W26" s="40">
        <f>W23+W24+W25</f>
        <v/>
      </c>
      <c r="X26" s="40">
        <f>X23+X24+X25</f>
        <v/>
      </c>
      <c r="Y26" s="40">
        <f>Y23+Y24+Y25</f>
        <v/>
      </c>
      <c r="Z26" s="40">
        <f>Z23+Z24+Z25</f>
        <v/>
      </c>
      <c r="AA26" s="40">
        <f>AA23+AA24+AA25</f>
        <v/>
      </c>
      <c r="AB26" s="40">
        <f>AB23+AB24+AB25</f>
        <v/>
      </c>
      <c r="AC26" s="40">
        <f>AC23+AC24+AC25</f>
        <v/>
      </c>
      <c r="AD26" s="40">
        <f>AD23+AD24+AD25</f>
        <v/>
      </c>
      <c r="AE26" s="40">
        <f>AE23+AE24+AE25</f>
        <v/>
      </c>
      <c r="AF26" s="40">
        <f>AF23+AF24+AF25</f>
        <v/>
      </c>
      <c r="AG26" s="40">
        <f>AG23+AG24+AG25</f>
        <v/>
      </c>
      <c r="AH26" s="40">
        <f>AH23+AH24+AH25</f>
        <v/>
      </c>
      <c r="AI26" s="40">
        <f>AI23+AI24+AI25</f>
        <v/>
      </c>
      <c r="AJ26" s="40">
        <f>AJ23+AJ24+AJ25</f>
        <v/>
      </c>
      <c r="AK26" s="40">
        <f>AK23+AK24+AK25</f>
        <v/>
      </c>
      <c r="AL26" s="40">
        <f>AL23+AL24+AL25</f>
        <v/>
      </c>
      <c r="AN26" s="40">
        <f>SUM(C26:N26)</f>
        <v/>
      </c>
      <c r="AO26" s="40">
        <f>SUM(O26:Z26)</f>
        <v/>
      </c>
      <c r="AP26" s="40">
        <f>SUM(AA26:AL26)</f>
        <v/>
      </c>
    </row>
    <row r="27">
      <c r="A27" s="9" t="inlineStr">
        <is>
          <t>TVA collectée</t>
        </is>
      </c>
      <c r="B27" s="4" t="inlineStr">
        <is>
          <t>€</t>
        </is>
      </c>
      <c r="C27" s="15">
        <f>C26*Hypothèses!$D$15/(1+Hypothèses!$D$15)</f>
        <v/>
      </c>
      <c r="D27" s="15">
        <f>D26*Hypothèses!$D$15/(1+Hypothèses!$D$15)</f>
        <v/>
      </c>
      <c r="E27" s="15">
        <f>E26*Hypothèses!$D$15/(1+Hypothèses!$D$15)</f>
        <v/>
      </c>
      <c r="F27" s="15">
        <f>F26*Hypothèses!$D$15/(1+Hypothèses!$D$15)</f>
        <v/>
      </c>
      <c r="G27" s="15">
        <f>G26*Hypothèses!$D$15/(1+Hypothèses!$D$15)</f>
        <v/>
      </c>
      <c r="H27" s="15">
        <f>H26*Hypothèses!$D$15/(1+Hypothèses!$D$15)</f>
        <v/>
      </c>
      <c r="I27" s="15">
        <f>I26*Hypothèses!$D$15/(1+Hypothèses!$D$15)</f>
        <v/>
      </c>
      <c r="J27" s="15">
        <f>J26*Hypothèses!$D$15/(1+Hypothèses!$D$15)</f>
        <v/>
      </c>
      <c r="K27" s="15">
        <f>K26*Hypothèses!$D$15/(1+Hypothèses!$D$15)</f>
        <v/>
      </c>
      <c r="L27" s="15">
        <f>L26*Hypothèses!$D$15/(1+Hypothèses!$D$15)</f>
        <v/>
      </c>
      <c r="M27" s="15">
        <f>M26*Hypothèses!$D$15/(1+Hypothèses!$D$15)</f>
        <v/>
      </c>
      <c r="N27" s="15">
        <f>N26*Hypothèses!$D$15/(1+Hypothèses!$D$15)</f>
        <v/>
      </c>
      <c r="O27" s="15">
        <f>O26*Hypothèses!$D$15/(1+Hypothèses!$D$15)</f>
        <v/>
      </c>
      <c r="P27" s="15">
        <f>P26*Hypothèses!$D$15/(1+Hypothèses!$D$15)</f>
        <v/>
      </c>
      <c r="Q27" s="15">
        <f>Q26*Hypothèses!$D$15/(1+Hypothèses!$D$15)</f>
        <v/>
      </c>
      <c r="R27" s="15">
        <f>R26*Hypothèses!$D$15/(1+Hypothèses!$D$15)</f>
        <v/>
      </c>
      <c r="S27" s="15">
        <f>S26*Hypothèses!$D$15/(1+Hypothèses!$D$15)</f>
        <v/>
      </c>
      <c r="T27" s="15">
        <f>T26*Hypothèses!$D$15/(1+Hypothèses!$D$15)</f>
        <v/>
      </c>
      <c r="U27" s="15">
        <f>U26*Hypothèses!$D$15/(1+Hypothèses!$D$15)</f>
        <v/>
      </c>
      <c r="V27" s="15">
        <f>V26*Hypothèses!$D$15/(1+Hypothèses!$D$15)</f>
        <v/>
      </c>
      <c r="W27" s="15">
        <f>W26*Hypothèses!$D$15/(1+Hypothèses!$D$15)</f>
        <v/>
      </c>
      <c r="X27" s="15">
        <f>X26*Hypothèses!$D$15/(1+Hypothèses!$D$15)</f>
        <v/>
      </c>
      <c r="Y27" s="15">
        <f>Y26*Hypothèses!$D$15/(1+Hypothèses!$D$15)</f>
        <v/>
      </c>
      <c r="Z27" s="15">
        <f>Z26*Hypothèses!$D$15/(1+Hypothèses!$D$15)</f>
        <v/>
      </c>
      <c r="AA27" s="15">
        <f>AA26*Hypothèses!$D$15/(1+Hypothèses!$D$15)</f>
        <v/>
      </c>
      <c r="AB27" s="15">
        <f>AB26*Hypothèses!$D$15/(1+Hypothèses!$D$15)</f>
        <v/>
      </c>
      <c r="AC27" s="15">
        <f>AC26*Hypothèses!$D$15/(1+Hypothèses!$D$15)</f>
        <v/>
      </c>
      <c r="AD27" s="15">
        <f>AD26*Hypothèses!$D$15/(1+Hypothèses!$D$15)</f>
        <v/>
      </c>
      <c r="AE27" s="15">
        <f>AE26*Hypothèses!$D$15/(1+Hypothèses!$D$15)</f>
        <v/>
      </c>
      <c r="AF27" s="15">
        <f>AF26*Hypothèses!$D$15/(1+Hypothèses!$D$15)</f>
        <v/>
      </c>
      <c r="AG27" s="15">
        <f>AG26*Hypothèses!$D$15/(1+Hypothèses!$D$15)</f>
        <v/>
      </c>
      <c r="AH27" s="15">
        <f>AH26*Hypothèses!$D$15/(1+Hypothèses!$D$15)</f>
        <v/>
      </c>
      <c r="AI27" s="15">
        <f>AI26*Hypothèses!$D$15/(1+Hypothèses!$D$15)</f>
        <v/>
      </c>
      <c r="AJ27" s="15">
        <f>AJ26*Hypothèses!$D$15/(1+Hypothèses!$D$15)</f>
        <v/>
      </c>
      <c r="AK27" s="15">
        <f>AK26*Hypothèses!$D$15/(1+Hypothèses!$D$15)</f>
        <v/>
      </c>
      <c r="AL27" s="15">
        <f>AL26*Hypothèses!$D$15/(1+Hypothèses!$D$15)</f>
        <v/>
      </c>
      <c r="AN27" s="15">
        <f>SUM(C27:N27)</f>
        <v/>
      </c>
      <c r="AO27" s="15">
        <f>SUM(O27:Z27)</f>
        <v/>
      </c>
      <c r="AP27" s="15">
        <f>SUM(AA27:AL27)</f>
        <v/>
      </c>
    </row>
    <row r="28">
      <c r="A28" s="2" t="inlineStr">
        <is>
          <t>Chiffre d'affaires HT</t>
        </is>
      </c>
      <c r="B28" s="4" t="inlineStr">
        <is>
          <t>€ HT</t>
        </is>
      </c>
      <c r="C28" s="40">
        <f>C26-C27</f>
        <v/>
      </c>
      <c r="D28" s="40">
        <f>D26-D27</f>
        <v/>
      </c>
      <c r="E28" s="40">
        <f>E26-E27</f>
        <v/>
      </c>
      <c r="F28" s="40">
        <f>F26-F27</f>
        <v/>
      </c>
      <c r="G28" s="40">
        <f>G26-G27</f>
        <v/>
      </c>
      <c r="H28" s="40">
        <f>H26-H27</f>
        <v/>
      </c>
      <c r="I28" s="40">
        <f>I26-I27</f>
        <v/>
      </c>
      <c r="J28" s="40">
        <f>J26-J27</f>
        <v/>
      </c>
      <c r="K28" s="40">
        <f>K26-K27</f>
        <v/>
      </c>
      <c r="L28" s="40">
        <f>L26-L27</f>
        <v/>
      </c>
      <c r="M28" s="40">
        <f>M26-M27</f>
        <v/>
      </c>
      <c r="N28" s="40">
        <f>N26-N27</f>
        <v/>
      </c>
      <c r="O28" s="40">
        <f>O26-O27</f>
        <v/>
      </c>
      <c r="P28" s="40">
        <f>P26-P27</f>
        <v/>
      </c>
      <c r="Q28" s="40">
        <f>Q26-Q27</f>
        <v/>
      </c>
      <c r="R28" s="40">
        <f>R26-R27</f>
        <v/>
      </c>
      <c r="S28" s="40">
        <f>S26-S27</f>
        <v/>
      </c>
      <c r="T28" s="40">
        <f>T26-T27</f>
        <v/>
      </c>
      <c r="U28" s="40">
        <f>U26-U27</f>
        <v/>
      </c>
      <c r="V28" s="40">
        <f>V26-V27</f>
        <v/>
      </c>
      <c r="W28" s="40">
        <f>W26-W27</f>
        <v/>
      </c>
      <c r="X28" s="40">
        <f>X26-X27</f>
        <v/>
      </c>
      <c r="Y28" s="40">
        <f>Y26-Y27</f>
        <v/>
      </c>
      <c r="Z28" s="40">
        <f>Z26-Z27</f>
        <v/>
      </c>
      <c r="AA28" s="40">
        <f>AA26-AA27</f>
        <v/>
      </c>
      <c r="AB28" s="40">
        <f>AB26-AB27</f>
        <v/>
      </c>
      <c r="AC28" s="40">
        <f>AC26-AC27</f>
        <v/>
      </c>
      <c r="AD28" s="40">
        <f>AD26-AD27</f>
        <v/>
      </c>
      <c r="AE28" s="40">
        <f>AE26-AE27</f>
        <v/>
      </c>
      <c r="AF28" s="40">
        <f>AF26-AF27</f>
        <v/>
      </c>
      <c r="AG28" s="40">
        <f>AG26-AG27</f>
        <v/>
      </c>
      <c r="AH28" s="40">
        <f>AH26-AH27</f>
        <v/>
      </c>
      <c r="AI28" s="40">
        <f>AI26-AI27</f>
        <v/>
      </c>
      <c r="AJ28" s="40">
        <f>AJ26-AJ27</f>
        <v/>
      </c>
      <c r="AK28" s="40">
        <f>AK26-AK27</f>
        <v/>
      </c>
      <c r="AL28" s="40">
        <f>AL26-AL27</f>
        <v/>
      </c>
      <c r="AN28" s="40">
        <f>SUM(C28:N28)</f>
        <v/>
      </c>
      <c r="AO28" s="40">
        <f>SUM(O28:Z28)</f>
        <v/>
      </c>
      <c r="AP28" s="40">
        <f>SUM(AA28:AL28)</f>
        <v/>
      </c>
    </row>
    <row r="29">
      <c r="A29" s="9" t="inlineStr">
        <is>
          <t>Impayés (TTC)</t>
        </is>
      </c>
      <c r="B29" s="4" t="inlineStr">
        <is>
          <t>€ TTC</t>
        </is>
      </c>
      <c r="C29" s="15">
        <f>C26*Hypothèses!$D$27</f>
        <v/>
      </c>
      <c r="D29" s="15">
        <f>D26*Hypothèses!$D$27</f>
        <v/>
      </c>
      <c r="E29" s="15">
        <f>E26*Hypothèses!$D$27</f>
        <v/>
      </c>
      <c r="F29" s="15">
        <f>F26*Hypothèses!$D$27</f>
        <v/>
      </c>
      <c r="G29" s="15">
        <f>G26*Hypothèses!$D$27</f>
        <v/>
      </c>
      <c r="H29" s="15">
        <f>H26*Hypothèses!$D$27</f>
        <v/>
      </c>
      <c r="I29" s="15">
        <f>I26*Hypothèses!$D$27</f>
        <v/>
      </c>
      <c r="J29" s="15">
        <f>J26*Hypothèses!$D$27</f>
        <v/>
      </c>
      <c r="K29" s="15">
        <f>K26*Hypothèses!$D$27</f>
        <v/>
      </c>
      <c r="L29" s="15">
        <f>L26*Hypothèses!$D$27</f>
        <v/>
      </c>
      <c r="M29" s="15">
        <f>M26*Hypothèses!$D$27</f>
        <v/>
      </c>
      <c r="N29" s="15">
        <f>N26*Hypothèses!$D$27</f>
        <v/>
      </c>
      <c r="O29" s="15">
        <f>O26*Hypothèses!$D$27</f>
        <v/>
      </c>
      <c r="P29" s="15">
        <f>P26*Hypothèses!$D$27</f>
        <v/>
      </c>
      <c r="Q29" s="15">
        <f>Q26*Hypothèses!$D$27</f>
        <v/>
      </c>
      <c r="R29" s="15">
        <f>R26*Hypothèses!$D$27</f>
        <v/>
      </c>
      <c r="S29" s="15">
        <f>S26*Hypothèses!$D$27</f>
        <v/>
      </c>
      <c r="T29" s="15">
        <f>T26*Hypothèses!$D$27</f>
        <v/>
      </c>
      <c r="U29" s="15">
        <f>U26*Hypothèses!$D$27</f>
        <v/>
      </c>
      <c r="V29" s="15">
        <f>V26*Hypothèses!$D$27</f>
        <v/>
      </c>
      <c r="W29" s="15">
        <f>W26*Hypothèses!$D$27</f>
        <v/>
      </c>
      <c r="X29" s="15">
        <f>X26*Hypothèses!$D$27</f>
        <v/>
      </c>
      <c r="Y29" s="15">
        <f>Y26*Hypothèses!$D$27</f>
        <v/>
      </c>
      <c r="Z29" s="15">
        <f>Z26*Hypothèses!$D$27</f>
        <v/>
      </c>
      <c r="AA29" s="15">
        <f>AA26*Hypothèses!$D$27</f>
        <v/>
      </c>
      <c r="AB29" s="15">
        <f>AB26*Hypothèses!$D$27</f>
        <v/>
      </c>
      <c r="AC29" s="15">
        <f>AC26*Hypothèses!$D$27</f>
        <v/>
      </c>
      <c r="AD29" s="15">
        <f>AD26*Hypothèses!$D$27</f>
        <v/>
      </c>
      <c r="AE29" s="15">
        <f>AE26*Hypothèses!$D$27</f>
        <v/>
      </c>
      <c r="AF29" s="15">
        <f>AF26*Hypothèses!$D$27</f>
        <v/>
      </c>
      <c r="AG29" s="15">
        <f>AG26*Hypothèses!$D$27</f>
        <v/>
      </c>
      <c r="AH29" s="15">
        <f>AH26*Hypothèses!$D$27</f>
        <v/>
      </c>
      <c r="AI29" s="15">
        <f>AI26*Hypothèses!$D$27</f>
        <v/>
      </c>
      <c r="AJ29" s="15">
        <f>AJ26*Hypothèses!$D$27</f>
        <v/>
      </c>
      <c r="AK29" s="15">
        <f>AK26*Hypothèses!$D$27</f>
        <v/>
      </c>
      <c r="AL29" s="15">
        <f>AL26*Hypothèses!$D$27</f>
        <v/>
      </c>
      <c r="AN29" s="15">
        <f>SUM(C29:N29)</f>
        <v/>
      </c>
      <c r="AO29" s="15">
        <f>SUM(O29:Z29)</f>
        <v/>
      </c>
      <c r="AP29" s="15">
        <f>SUM(AA29:AL29)</f>
        <v/>
      </c>
    </row>
    <row r="30">
      <c r="A30" s="9" t="inlineStr">
        <is>
          <t>Frais de paiement</t>
        </is>
      </c>
      <c r="B30" s="4" t="inlineStr">
        <is>
          <t>€</t>
        </is>
      </c>
      <c r="C30" s="15">
        <f>(C26-C29)*Hypothèses!$D$28+C18*Hypothèses!$D$29</f>
        <v/>
      </c>
      <c r="D30" s="15">
        <f>(D26-D29)*Hypothèses!$D$28+D18*Hypothèses!$D$29</f>
        <v/>
      </c>
      <c r="E30" s="15">
        <f>(E26-E29)*Hypothèses!$D$28+E18*Hypothèses!$D$29</f>
        <v/>
      </c>
      <c r="F30" s="15">
        <f>(F26-F29)*Hypothèses!$D$28+F18*Hypothèses!$D$29</f>
        <v/>
      </c>
      <c r="G30" s="15">
        <f>(G26-G29)*Hypothèses!$D$28+G18*Hypothèses!$D$29</f>
        <v/>
      </c>
      <c r="H30" s="15">
        <f>(H26-H29)*Hypothèses!$D$28+H18*Hypothèses!$D$29</f>
        <v/>
      </c>
      <c r="I30" s="15">
        <f>(I26-I29)*Hypothèses!$D$28+I18*Hypothèses!$D$29</f>
        <v/>
      </c>
      <c r="J30" s="15">
        <f>(J26-J29)*Hypothèses!$D$28+J18*Hypothèses!$D$29</f>
        <v/>
      </c>
      <c r="K30" s="15">
        <f>(K26-K29)*Hypothèses!$D$28+K18*Hypothèses!$D$29</f>
        <v/>
      </c>
      <c r="L30" s="15">
        <f>(L26-L29)*Hypothèses!$D$28+L18*Hypothèses!$D$29</f>
        <v/>
      </c>
      <c r="M30" s="15">
        <f>(M26-M29)*Hypothèses!$D$28+M18*Hypothèses!$D$29</f>
        <v/>
      </c>
      <c r="N30" s="15">
        <f>(N26-N29)*Hypothèses!$D$28+N18*Hypothèses!$D$29</f>
        <v/>
      </c>
      <c r="O30" s="15">
        <f>(O26-O29)*Hypothèses!$D$28+O18*Hypothèses!$D$29</f>
        <v/>
      </c>
      <c r="P30" s="15">
        <f>(P26-P29)*Hypothèses!$D$28+P18*Hypothèses!$D$29</f>
        <v/>
      </c>
      <c r="Q30" s="15">
        <f>(Q26-Q29)*Hypothèses!$D$28+Q18*Hypothèses!$D$29</f>
        <v/>
      </c>
      <c r="R30" s="15">
        <f>(R26-R29)*Hypothèses!$D$28+R18*Hypothèses!$D$29</f>
        <v/>
      </c>
      <c r="S30" s="15">
        <f>(S26-S29)*Hypothèses!$D$28+S18*Hypothèses!$D$29</f>
        <v/>
      </c>
      <c r="T30" s="15">
        <f>(T26-T29)*Hypothèses!$D$28+T18*Hypothèses!$D$29</f>
        <v/>
      </c>
      <c r="U30" s="15">
        <f>(U26-U29)*Hypothèses!$D$28+U18*Hypothèses!$D$29</f>
        <v/>
      </c>
      <c r="V30" s="15">
        <f>(V26-V29)*Hypothèses!$D$28+V18*Hypothèses!$D$29</f>
        <v/>
      </c>
      <c r="W30" s="15">
        <f>(W26-W29)*Hypothèses!$D$28+W18*Hypothèses!$D$29</f>
        <v/>
      </c>
      <c r="X30" s="15">
        <f>(X26-X29)*Hypothèses!$D$28+X18*Hypothèses!$D$29</f>
        <v/>
      </c>
      <c r="Y30" s="15">
        <f>(Y26-Y29)*Hypothèses!$D$28+Y18*Hypothèses!$D$29</f>
        <v/>
      </c>
      <c r="Z30" s="15">
        <f>(Z26-Z29)*Hypothèses!$D$28+Z18*Hypothèses!$D$29</f>
        <v/>
      </c>
      <c r="AA30" s="15">
        <f>(AA26-AA29)*Hypothèses!$D$28+AA18*Hypothèses!$D$29</f>
        <v/>
      </c>
      <c r="AB30" s="15">
        <f>(AB26-AB29)*Hypothèses!$D$28+AB18*Hypothèses!$D$29</f>
        <v/>
      </c>
      <c r="AC30" s="15">
        <f>(AC26-AC29)*Hypothèses!$D$28+AC18*Hypothèses!$D$29</f>
        <v/>
      </c>
      <c r="AD30" s="15">
        <f>(AD26-AD29)*Hypothèses!$D$28+AD18*Hypothèses!$D$29</f>
        <v/>
      </c>
      <c r="AE30" s="15">
        <f>(AE26-AE29)*Hypothèses!$D$28+AE18*Hypothèses!$D$29</f>
        <v/>
      </c>
      <c r="AF30" s="15">
        <f>(AF26-AF29)*Hypothèses!$D$28+AF18*Hypothèses!$D$29</f>
        <v/>
      </c>
      <c r="AG30" s="15">
        <f>(AG26-AG29)*Hypothèses!$D$28+AG18*Hypothèses!$D$29</f>
        <v/>
      </c>
      <c r="AH30" s="15">
        <f>(AH26-AH29)*Hypothèses!$D$28+AH18*Hypothèses!$D$29</f>
        <v/>
      </c>
      <c r="AI30" s="15">
        <f>(AI26-AI29)*Hypothèses!$D$28+AI18*Hypothèses!$D$29</f>
        <v/>
      </c>
      <c r="AJ30" s="15">
        <f>(AJ26-AJ29)*Hypothèses!$D$28+AJ18*Hypothèses!$D$29</f>
        <v/>
      </c>
      <c r="AK30" s="15">
        <f>(AK26-AK29)*Hypothèses!$D$28+AK18*Hypothèses!$D$29</f>
        <v/>
      </c>
      <c r="AL30" s="15">
        <f>(AL26-AL29)*Hypothèses!$D$28+AL18*Hypothèses!$D$29</f>
        <v/>
      </c>
      <c r="AN30" s="15">
        <f>SUM(C30:N30)</f>
        <v/>
      </c>
      <c r="AO30" s="15">
        <f>SUM(O30:Z30)</f>
        <v/>
      </c>
      <c r="AP30" s="15">
        <f>SUM(AA30:AL30)</f>
        <v/>
      </c>
    </row>
    <row r="31">
      <c r="A31" s="2" t="inlineStr">
        <is>
          <t>Encaissements nets TTC</t>
        </is>
      </c>
      <c r="B31" s="4" t="inlineStr">
        <is>
          <t>€ TTC</t>
        </is>
      </c>
      <c r="C31" s="40">
        <f>C26-C29-C30</f>
        <v/>
      </c>
      <c r="D31" s="40">
        <f>D26-D29-D30</f>
        <v/>
      </c>
      <c r="E31" s="40">
        <f>E26-E29-E30</f>
        <v/>
      </c>
      <c r="F31" s="40">
        <f>F26-F29-F30</f>
        <v/>
      </c>
      <c r="G31" s="40">
        <f>G26-G29-G30</f>
        <v/>
      </c>
      <c r="H31" s="40">
        <f>H26-H29-H30</f>
        <v/>
      </c>
      <c r="I31" s="40">
        <f>I26-I29-I30</f>
        <v/>
      </c>
      <c r="J31" s="40">
        <f>J26-J29-J30</f>
        <v/>
      </c>
      <c r="K31" s="40">
        <f>K26-K29-K30</f>
        <v/>
      </c>
      <c r="L31" s="40">
        <f>L26-L29-L30</f>
        <v/>
      </c>
      <c r="M31" s="40">
        <f>M26-M29-M30</f>
        <v/>
      </c>
      <c r="N31" s="40">
        <f>N26-N29-N30</f>
        <v/>
      </c>
      <c r="O31" s="40">
        <f>O26-O29-O30</f>
        <v/>
      </c>
      <c r="P31" s="40">
        <f>P26-P29-P30</f>
        <v/>
      </c>
      <c r="Q31" s="40">
        <f>Q26-Q29-Q30</f>
        <v/>
      </c>
      <c r="R31" s="40">
        <f>R26-R29-R30</f>
        <v/>
      </c>
      <c r="S31" s="40">
        <f>S26-S29-S30</f>
        <v/>
      </c>
      <c r="T31" s="40">
        <f>T26-T29-T30</f>
        <v/>
      </c>
      <c r="U31" s="40">
        <f>U26-U29-U30</f>
        <v/>
      </c>
      <c r="V31" s="40">
        <f>V26-V29-V30</f>
        <v/>
      </c>
      <c r="W31" s="40">
        <f>W26-W29-W30</f>
        <v/>
      </c>
      <c r="X31" s="40">
        <f>X26-X29-X30</f>
        <v/>
      </c>
      <c r="Y31" s="40">
        <f>Y26-Y29-Y30</f>
        <v/>
      </c>
      <c r="Z31" s="40">
        <f>Z26-Z29-Z30</f>
        <v/>
      </c>
      <c r="AA31" s="40">
        <f>AA26-AA29-AA30</f>
        <v/>
      </c>
      <c r="AB31" s="40">
        <f>AB26-AB29-AB30</f>
        <v/>
      </c>
      <c r="AC31" s="40">
        <f>AC26-AC29-AC30</f>
        <v/>
      </c>
      <c r="AD31" s="40">
        <f>AD26-AD29-AD30</f>
        <v/>
      </c>
      <c r="AE31" s="40">
        <f>AE26-AE29-AE30</f>
        <v/>
      </c>
      <c r="AF31" s="40">
        <f>AF26-AF29-AF30</f>
        <v/>
      </c>
      <c r="AG31" s="40">
        <f>AG26-AG29-AG30</f>
        <v/>
      </c>
      <c r="AH31" s="40">
        <f>AH26-AH29-AH30</f>
        <v/>
      </c>
      <c r="AI31" s="40">
        <f>AI26-AI29-AI30</f>
        <v/>
      </c>
      <c r="AJ31" s="40">
        <f>AJ26-AJ29-AJ30</f>
        <v/>
      </c>
      <c r="AK31" s="40">
        <f>AK26-AK29-AK30</f>
        <v/>
      </c>
      <c r="AL31" s="40">
        <f>AL26-AL29-AL30</f>
        <v/>
      </c>
      <c r="AN31" s="40">
        <f>SUM(C31:N31)</f>
        <v/>
      </c>
      <c r="AO31" s="40">
        <f>SUM(O31:Z31)</f>
        <v/>
      </c>
      <c r="AP31" s="40">
        <f>SUM(AA31:AL31)</f>
        <v/>
      </c>
    </row>
    <row r="32">
      <c r="A32" s="8" t="inlineStr">
        <is>
          <t>Coûts variables</t>
        </is>
      </c>
    </row>
    <row r="33">
      <c r="A33" s="9" t="inlineStr">
        <is>
          <t>Coût IA et outils (missions × coût par mission)</t>
        </is>
      </c>
      <c r="B33" s="4" t="inlineStr">
        <is>
          <t>€ HT</t>
        </is>
      </c>
      <c r="C33" s="15">
        <f>(C19*Hypothèses!$D$31+C20*Hypothèses!$D$32+C21*Hypothèses!$D$33)*Hypothèses!$D$34*$F$4</f>
        <v/>
      </c>
      <c r="D33" s="15">
        <f>(D19*Hypothèses!$D$31+D20*Hypothèses!$D$32+D21*Hypothèses!$D$33)*Hypothèses!$D$34*$F$4</f>
        <v/>
      </c>
      <c r="E33" s="15">
        <f>(E19*Hypothèses!$D$31+E20*Hypothèses!$D$32+E21*Hypothèses!$D$33)*Hypothèses!$D$34*$F$4</f>
        <v/>
      </c>
      <c r="F33" s="15">
        <f>(F19*Hypothèses!$D$31+F20*Hypothèses!$D$32+F21*Hypothèses!$D$33)*Hypothèses!$D$34*$F$4</f>
        <v/>
      </c>
      <c r="G33" s="15">
        <f>(G19*Hypothèses!$D$31+G20*Hypothèses!$D$32+G21*Hypothèses!$D$33)*Hypothèses!$D$34*$F$4</f>
        <v/>
      </c>
      <c r="H33" s="15">
        <f>(H19*Hypothèses!$D$31+H20*Hypothèses!$D$32+H21*Hypothèses!$D$33)*Hypothèses!$D$34*$F$4</f>
        <v/>
      </c>
      <c r="I33" s="15">
        <f>(I19*Hypothèses!$D$31+I20*Hypothèses!$D$32+I21*Hypothèses!$D$33)*Hypothèses!$D$34*$F$4</f>
        <v/>
      </c>
      <c r="J33" s="15">
        <f>(J19*Hypothèses!$D$31+J20*Hypothèses!$D$32+J21*Hypothèses!$D$33)*Hypothèses!$D$34*$F$4</f>
        <v/>
      </c>
      <c r="K33" s="15">
        <f>(K19*Hypothèses!$D$31+K20*Hypothèses!$D$32+K21*Hypothèses!$D$33)*Hypothèses!$D$34*$F$4</f>
        <v/>
      </c>
      <c r="L33" s="15">
        <f>(L19*Hypothèses!$D$31+L20*Hypothèses!$D$32+L21*Hypothèses!$D$33)*Hypothèses!$D$34*$F$4</f>
        <v/>
      </c>
      <c r="M33" s="15">
        <f>(M19*Hypothèses!$D$31+M20*Hypothèses!$D$32+M21*Hypothèses!$D$33)*Hypothèses!$D$34*$F$4</f>
        <v/>
      </c>
      <c r="N33" s="15">
        <f>(N19*Hypothèses!$D$31+N20*Hypothèses!$D$32+N21*Hypothèses!$D$33)*Hypothèses!$D$34*$F$4</f>
        <v/>
      </c>
      <c r="O33" s="15">
        <f>(O19*Hypothèses!$D$31+O20*Hypothèses!$D$32+O21*Hypothèses!$D$33)*Hypothèses!$D$34*$F$4</f>
        <v/>
      </c>
      <c r="P33" s="15">
        <f>(P19*Hypothèses!$D$31+P20*Hypothèses!$D$32+P21*Hypothèses!$D$33)*Hypothèses!$D$34*$F$4</f>
        <v/>
      </c>
      <c r="Q33" s="15">
        <f>(Q19*Hypothèses!$D$31+Q20*Hypothèses!$D$32+Q21*Hypothèses!$D$33)*Hypothèses!$D$34*$F$4</f>
        <v/>
      </c>
      <c r="R33" s="15">
        <f>(R19*Hypothèses!$D$31+R20*Hypothèses!$D$32+R21*Hypothèses!$D$33)*Hypothèses!$D$34*$F$4</f>
        <v/>
      </c>
      <c r="S33" s="15">
        <f>(S19*Hypothèses!$D$31+S20*Hypothèses!$D$32+S21*Hypothèses!$D$33)*Hypothèses!$D$34*$F$4</f>
        <v/>
      </c>
      <c r="T33" s="15">
        <f>(T19*Hypothèses!$D$31+T20*Hypothèses!$D$32+T21*Hypothèses!$D$33)*Hypothèses!$D$34*$F$4</f>
        <v/>
      </c>
      <c r="U33" s="15">
        <f>(U19*Hypothèses!$D$31+U20*Hypothèses!$D$32+U21*Hypothèses!$D$33)*Hypothèses!$D$34*$F$4</f>
        <v/>
      </c>
      <c r="V33" s="15">
        <f>(V19*Hypothèses!$D$31+V20*Hypothèses!$D$32+V21*Hypothèses!$D$33)*Hypothèses!$D$34*$F$4</f>
        <v/>
      </c>
      <c r="W33" s="15">
        <f>(W19*Hypothèses!$D$31+W20*Hypothèses!$D$32+W21*Hypothèses!$D$33)*Hypothèses!$D$34*$F$4</f>
        <v/>
      </c>
      <c r="X33" s="15">
        <f>(X19*Hypothèses!$D$31+X20*Hypothèses!$D$32+X21*Hypothèses!$D$33)*Hypothèses!$D$34*$F$4</f>
        <v/>
      </c>
      <c r="Y33" s="15">
        <f>(Y19*Hypothèses!$D$31+Y20*Hypothèses!$D$32+Y21*Hypothèses!$D$33)*Hypothèses!$D$34*$F$4</f>
        <v/>
      </c>
      <c r="Z33" s="15">
        <f>(Z19*Hypothèses!$D$31+Z20*Hypothèses!$D$32+Z21*Hypothèses!$D$33)*Hypothèses!$D$34*$F$4</f>
        <v/>
      </c>
      <c r="AA33" s="15">
        <f>(AA19*Hypothèses!$D$31+AA20*Hypothèses!$D$32+AA21*Hypothèses!$D$33)*Hypothèses!$D$34*$F$4</f>
        <v/>
      </c>
      <c r="AB33" s="15">
        <f>(AB19*Hypothèses!$D$31+AB20*Hypothèses!$D$32+AB21*Hypothèses!$D$33)*Hypothèses!$D$34*$F$4</f>
        <v/>
      </c>
      <c r="AC33" s="15">
        <f>(AC19*Hypothèses!$D$31+AC20*Hypothèses!$D$32+AC21*Hypothèses!$D$33)*Hypothèses!$D$34*$F$4</f>
        <v/>
      </c>
      <c r="AD33" s="15">
        <f>(AD19*Hypothèses!$D$31+AD20*Hypothèses!$D$32+AD21*Hypothèses!$D$33)*Hypothèses!$D$34*$F$4</f>
        <v/>
      </c>
      <c r="AE33" s="15">
        <f>(AE19*Hypothèses!$D$31+AE20*Hypothèses!$D$32+AE21*Hypothèses!$D$33)*Hypothèses!$D$34*$F$4</f>
        <v/>
      </c>
      <c r="AF33" s="15">
        <f>(AF19*Hypothèses!$D$31+AF20*Hypothèses!$D$32+AF21*Hypothèses!$D$33)*Hypothèses!$D$34*$F$4</f>
        <v/>
      </c>
      <c r="AG33" s="15">
        <f>(AG19*Hypothèses!$D$31+AG20*Hypothèses!$D$32+AG21*Hypothèses!$D$33)*Hypothèses!$D$34*$F$4</f>
        <v/>
      </c>
      <c r="AH33" s="15">
        <f>(AH19*Hypothèses!$D$31+AH20*Hypothèses!$D$32+AH21*Hypothèses!$D$33)*Hypothèses!$D$34*$F$4</f>
        <v/>
      </c>
      <c r="AI33" s="15">
        <f>(AI19*Hypothèses!$D$31+AI20*Hypothèses!$D$32+AI21*Hypothèses!$D$33)*Hypothèses!$D$34*$F$4</f>
        <v/>
      </c>
      <c r="AJ33" s="15">
        <f>(AJ19*Hypothèses!$D$31+AJ20*Hypothèses!$D$32+AJ21*Hypothèses!$D$33)*Hypothèses!$D$34*$F$4</f>
        <v/>
      </c>
      <c r="AK33" s="15">
        <f>(AK19*Hypothèses!$D$31+AK20*Hypothèses!$D$32+AK21*Hypothèses!$D$33)*Hypothèses!$D$34*$F$4</f>
        <v/>
      </c>
      <c r="AL33" s="15">
        <f>(AL19*Hypothèses!$D$31+AL20*Hypothèses!$D$32+AL21*Hypothèses!$D$33)*Hypothèses!$D$34*$F$4</f>
        <v/>
      </c>
      <c r="AN33" s="15">
        <f>SUM(C33:N33)</f>
        <v/>
      </c>
      <c r="AO33" s="15">
        <f>SUM(O33:Z33)</f>
        <v/>
      </c>
      <c r="AP33" s="15">
        <f>SUM(AA33:AL33)</f>
        <v/>
      </c>
    </row>
    <row r="34">
      <c r="A34" s="9" t="inlineStr">
        <is>
          <t>Hébergement, stockage, connecteurs</t>
        </is>
      </c>
      <c r="B34" s="4" t="inlineStr">
        <is>
          <t>€ HT</t>
        </is>
      </c>
      <c r="C34" s="15">
        <f>C18*Hypothèses!$D$35</f>
        <v/>
      </c>
      <c r="D34" s="15">
        <f>D18*Hypothèses!$D$35</f>
        <v/>
      </c>
      <c r="E34" s="15">
        <f>E18*Hypothèses!$D$35</f>
        <v/>
      </c>
      <c r="F34" s="15">
        <f>F18*Hypothèses!$D$35</f>
        <v/>
      </c>
      <c r="G34" s="15">
        <f>G18*Hypothèses!$D$35</f>
        <v/>
      </c>
      <c r="H34" s="15">
        <f>H18*Hypothèses!$D$35</f>
        <v/>
      </c>
      <c r="I34" s="15">
        <f>I18*Hypothèses!$D$35</f>
        <v/>
      </c>
      <c r="J34" s="15">
        <f>J18*Hypothèses!$D$35</f>
        <v/>
      </c>
      <c r="K34" s="15">
        <f>K18*Hypothèses!$D$35</f>
        <v/>
      </c>
      <c r="L34" s="15">
        <f>L18*Hypothèses!$D$35</f>
        <v/>
      </c>
      <c r="M34" s="15">
        <f>M18*Hypothèses!$D$35</f>
        <v/>
      </c>
      <c r="N34" s="15">
        <f>N18*Hypothèses!$D$35</f>
        <v/>
      </c>
      <c r="O34" s="15">
        <f>O18*Hypothèses!$D$35</f>
        <v/>
      </c>
      <c r="P34" s="15">
        <f>P18*Hypothèses!$D$35</f>
        <v/>
      </c>
      <c r="Q34" s="15">
        <f>Q18*Hypothèses!$D$35</f>
        <v/>
      </c>
      <c r="R34" s="15">
        <f>R18*Hypothèses!$D$35</f>
        <v/>
      </c>
      <c r="S34" s="15">
        <f>S18*Hypothèses!$D$35</f>
        <v/>
      </c>
      <c r="T34" s="15">
        <f>T18*Hypothèses!$D$35</f>
        <v/>
      </c>
      <c r="U34" s="15">
        <f>U18*Hypothèses!$D$35</f>
        <v/>
      </c>
      <c r="V34" s="15">
        <f>V18*Hypothèses!$D$35</f>
        <v/>
      </c>
      <c r="W34" s="15">
        <f>W18*Hypothèses!$D$35</f>
        <v/>
      </c>
      <c r="X34" s="15">
        <f>X18*Hypothèses!$D$35</f>
        <v/>
      </c>
      <c r="Y34" s="15">
        <f>Y18*Hypothèses!$D$35</f>
        <v/>
      </c>
      <c r="Z34" s="15">
        <f>Z18*Hypothèses!$D$35</f>
        <v/>
      </c>
      <c r="AA34" s="15">
        <f>AA18*Hypothèses!$D$35</f>
        <v/>
      </c>
      <c r="AB34" s="15">
        <f>AB18*Hypothèses!$D$35</f>
        <v/>
      </c>
      <c r="AC34" s="15">
        <f>AC18*Hypothèses!$D$35</f>
        <v/>
      </c>
      <c r="AD34" s="15">
        <f>AD18*Hypothèses!$D$35</f>
        <v/>
      </c>
      <c r="AE34" s="15">
        <f>AE18*Hypothèses!$D$35</f>
        <v/>
      </c>
      <c r="AF34" s="15">
        <f>AF18*Hypothèses!$D$35</f>
        <v/>
      </c>
      <c r="AG34" s="15">
        <f>AG18*Hypothèses!$D$35</f>
        <v/>
      </c>
      <c r="AH34" s="15">
        <f>AH18*Hypothèses!$D$35</f>
        <v/>
      </c>
      <c r="AI34" s="15">
        <f>AI18*Hypothèses!$D$35</f>
        <v/>
      </c>
      <c r="AJ34" s="15">
        <f>AJ18*Hypothèses!$D$35</f>
        <v/>
      </c>
      <c r="AK34" s="15">
        <f>AK18*Hypothèses!$D$35</f>
        <v/>
      </c>
      <c r="AL34" s="15">
        <f>AL18*Hypothèses!$D$35</f>
        <v/>
      </c>
      <c r="AN34" s="15">
        <f>SUM(C34:N34)</f>
        <v/>
      </c>
      <c r="AO34" s="15">
        <f>SUM(O34:Z34)</f>
        <v/>
      </c>
      <c r="AP34" s="15">
        <f>SUM(AA34:AL34)</f>
        <v/>
      </c>
    </row>
    <row r="35">
      <c r="A35" s="9" t="inlineStr">
        <is>
          <t>Support humain</t>
        </is>
      </c>
      <c r="B35" s="4" t="inlineStr">
        <is>
          <t>€ HT</t>
        </is>
      </c>
      <c r="C35" s="15">
        <f>C18*Hypothèses!$D$36</f>
        <v/>
      </c>
      <c r="D35" s="15">
        <f>D18*Hypothèses!$D$36</f>
        <v/>
      </c>
      <c r="E35" s="15">
        <f>E18*Hypothèses!$D$36</f>
        <v/>
      </c>
      <c r="F35" s="15">
        <f>F18*Hypothèses!$D$36</f>
        <v/>
      </c>
      <c r="G35" s="15">
        <f>G18*Hypothèses!$D$36</f>
        <v/>
      </c>
      <c r="H35" s="15">
        <f>H18*Hypothèses!$D$36</f>
        <v/>
      </c>
      <c r="I35" s="15">
        <f>I18*Hypothèses!$D$36</f>
        <v/>
      </c>
      <c r="J35" s="15">
        <f>J18*Hypothèses!$D$36</f>
        <v/>
      </c>
      <c r="K35" s="15">
        <f>K18*Hypothèses!$D$36</f>
        <v/>
      </c>
      <c r="L35" s="15">
        <f>L18*Hypothèses!$D$36</f>
        <v/>
      </c>
      <c r="M35" s="15">
        <f>M18*Hypothèses!$D$36</f>
        <v/>
      </c>
      <c r="N35" s="15">
        <f>N18*Hypothèses!$D$36</f>
        <v/>
      </c>
      <c r="O35" s="15">
        <f>O18*Hypothèses!$D$36</f>
        <v/>
      </c>
      <c r="P35" s="15">
        <f>P18*Hypothèses!$D$36</f>
        <v/>
      </c>
      <c r="Q35" s="15">
        <f>Q18*Hypothèses!$D$36</f>
        <v/>
      </c>
      <c r="R35" s="15">
        <f>R18*Hypothèses!$D$36</f>
        <v/>
      </c>
      <c r="S35" s="15">
        <f>S18*Hypothèses!$D$36</f>
        <v/>
      </c>
      <c r="T35" s="15">
        <f>T18*Hypothèses!$D$36</f>
        <v/>
      </c>
      <c r="U35" s="15">
        <f>U18*Hypothèses!$D$36</f>
        <v/>
      </c>
      <c r="V35" s="15">
        <f>V18*Hypothèses!$D$36</f>
        <v/>
      </c>
      <c r="W35" s="15">
        <f>W18*Hypothèses!$D$36</f>
        <v/>
      </c>
      <c r="X35" s="15">
        <f>X18*Hypothèses!$D$36</f>
        <v/>
      </c>
      <c r="Y35" s="15">
        <f>Y18*Hypothèses!$D$36</f>
        <v/>
      </c>
      <c r="Z35" s="15">
        <f>Z18*Hypothèses!$D$36</f>
        <v/>
      </c>
      <c r="AA35" s="15">
        <f>AA18*Hypothèses!$D$36</f>
        <v/>
      </c>
      <c r="AB35" s="15">
        <f>AB18*Hypothèses!$D$36</f>
        <v/>
      </c>
      <c r="AC35" s="15">
        <f>AC18*Hypothèses!$D$36</f>
        <v/>
      </c>
      <c r="AD35" s="15">
        <f>AD18*Hypothèses!$D$36</f>
        <v/>
      </c>
      <c r="AE35" s="15">
        <f>AE18*Hypothèses!$D$36</f>
        <v/>
      </c>
      <c r="AF35" s="15">
        <f>AF18*Hypothèses!$D$36</f>
        <v/>
      </c>
      <c r="AG35" s="15">
        <f>AG18*Hypothèses!$D$36</f>
        <v/>
      </c>
      <c r="AH35" s="15">
        <f>AH18*Hypothèses!$D$36</f>
        <v/>
      </c>
      <c r="AI35" s="15">
        <f>AI18*Hypothèses!$D$36</f>
        <v/>
      </c>
      <c r="AJ35" s="15">
        <f>AJ18*Hypothèses!$D$36</f>
        <v/>
      </c>
      <c r="AK35" s="15">
        <f>AK18*Hypothèses!$D$36</f>
        <v/>
      </c>
      <c r="AL35" s="15">
        <f>AL18*Hypothèses!$D$36</f>
        <v/>
      </c>
      <c r="AN35" s="15">
        <f>SUM(C35:N35)</f>
        <v/>
      </c>
      <c r="AO35" s="15">
        <f>SUM(O35:Z35)</f>
        <v/>
      </c>
      <c r="AP35" s="15">
        <f>SUM(AA35:AL35)</f>
        <v/>
      </c>
    </row>
    <row r="36">
      <c r="A36" s="2" t="inlineStr">
        <is>
          <t>Total coûts variables</t>
        </is>
      </c>
      <c r="B36" s="4" t="inlineStr">
        <is>
          <t>€ HT</t>
        </is>
      </c>
      <c r="C36" s="40">
        <f>C33+C34+C35</f>
        <v/>
      </c>
      <c r="D36" s="40">
        <f>D33+D34+D35</f>
        <v/>
      </c>
      <c r="E36" s="40">
        <f>E33+E34+E35</f>
        <v/>
      </c>
      <c r="F36" s="40">
        <f>F33+F34+F35</f>
        <v/>
      </c>
      <c r="G36" s="40">
        <f>G33+G34+G35</f>
        <v/>
      </c>
      <c r="H36" s="40">
        <f>H33+H34+H35</f>
        <v/>
      </c>
      <c r="I36" s="40">
        <f>I33+I34+I35</f>
        <v/>
      </c>
      <c r="J36" s="40">
        <f>J33+J34+J35</f>
        <v/>
      </c>
      <c r="K36" s="40">
        <f>K33+K34+K35</f>
        <v/>
      </c>
      <c r="L36" s="40">
        <f>L33+L34+L35</f>
        <v/>
      </c>
      <c r="M36" s="40">
        <f>M33+M34+M35</f>
        <v/>
      </c>
      <c r="N36" s="40">
        <f>N33+N34+N35</f>
        <v/>
      </c>
      <c r="O36" s="40">
        <f>O33+O34+O35</f>
        <v/>
      </c>
      <c r="P36" s="40">
        <f>P33+P34+P35</f>
        <v/>
      </c>
      <c r="Q36" s="40">
        <f>Q33+Q34+Q35</f>
        <v/>
      </c>
      <c r="R36" s="40">
        <f>R33+R34+R35</f>
        <v/>
      </c>
      <c r="S36" s="40">
        <f>S33+S34+S35</f>
        <v/>
      </c>
      <c r="T36" s="40">
        <f>T33+T34+T35</f>
        <v/>
      </c>
      <c r="U36" s="40">
        <f>U33+U34+U35</f>
        <v/>
      </c>
      <c r="V36" s="40">
        <f>V33+V34+V35</f>
        <v/>
      </c>
      <c r="W36" s="40">
        <f>W33+W34+W35</f>
        <v/>
      </c>
      <c r="X36" s="40">
        <f>X33+X34+X35</f>
        <v/>
      </c>
      <c r="Y36" s="40">
        <f>Y33+Y34+Y35</f>
        <v/>
      </c>
      <c r="Z36" s="40">
        <f>Z33+Z34+Z35</f>
        <v/>
      </c>
      <c r="AA36" s="40">
        <f>AA33+AA34+AA35</f>
        <v/>
      </c>
      <c r="AB36" s="40">
        <f>AB33+AB34+AB35</f>
        <v/>
      </c>
      <c r="AC36" s="40">
        <f>AC33+AC34+AC35</f>
        <v/>
      </c>
      <c r="AD36" s="40">
        <f>AD33+AD34+AD35</f>
        <v/>
      </c>
      <c r="AE36" s="40">
        <f>AE33+AE34+AE35</f>
        <v/>
      </c>
      <c r="AF36" s="40">
        <f>AF33+AF34+AF35</f>
        <v/>
      </c>
      <c r="AG36" s="40">
        <f>AG33+AG34+AG35</f>
        <v/>
      </c>
      <c r="AH36" s="40">
        <f>AH33+AH34+AH35</f>
        <v/>
      </c>
      <c r="AI36" s="40">
        <f>AI33+AI34+AI35</f>
        <v/>
      </c>
      <c r="AJ36" s="40">
        <f>AJ33+AJ34+AJ35</f>
        <v/>
      </c>
      <c r="AK36" s="40">
        <f>AK33+AK34+AK35</f>
        <v/>
      </c>
      <c r="AL36" s="40">
        <f>AL33+AL34+AL35</f>
        <v/>
      </c>
      <c r="AN36" s="40">
        <f>SUM(C36:N36)</f>
        <v/>
      </c>
      <c r="AO36" s="40">
        <f>SUM(O36:Z36)</f>
        <v/>
      </c>
      <c r="AP36" s="40">
        <f>SUM(AA36:AL36)</f>
        <v/>
      </c>
    </row>
    <row r="37">
      <c r="A37" s="2" t="inlineStr">
        <is>
          <t>Marge sur coûts variables (CA HT − variables − frais − impayés HT)</t>
        </is>
      </c>
      <c r="B37" s="4" t="inlineStr">
        <is>
          <t>€ HT</t>
        </is>
      </c>
      <c r="C37" s="40">
        <f>C28-C36-C30-C29/(1+Hypothèses!$D$15)</f>
        <v/>
      </c>
      <c r="D37" s="40">
        <f>D28-D36-D30-D29/(1+Hypothèses!$D$15)</f>
        <v/>
      </c>
      <c r="E37" s="40">
        <f>E28-E36-E30-E29/(1+Hypothèses!$D$15)</f>
        <v/>
      </c>
      <c r="F37" s="40">
        <f>F28-F36-F30-F29/(1+Hypothèses!$D$15)</f>
        <v/>
      </c>
      <c r="G37" s="40">
        <f>G28-G36-G30-G29/(1+Hypothèses!$D$15)</f>
        <v/>
      </c>
      <c r="H37" s="40">
        <f>H28-H36-H30-H29/(1+Hypothèses!$D$15)</f>
        <v/>
      </c>
      <c r="I37" s="40">
        <f>I28-I36-I30-I29/(1+Hypothèses!$D$15)</f>
        <v/>
      </c>
      <c r="J37" s="40">
        <f>J28-J36-J30-J29/(1+Hypothèses!$D$15)</f>
        <v/>
      </c>
      <c r="K37" s="40">
        <f>K28-K36-K30-K29/(1+Hypothèses!$D$15)</f>
        <v/>
      </c>
      <c r="L37" s="40">
        <f>L28-L36-L30-L29/(1+Hypothèses!$D$15)</f>
        <v/>
      </c>
      <c r="M37" s="40">
        <f>M28-M36-M30-M29/(1+Hypothèses!$D$15)</f>
        <v/>
      </c>
      <c r="N37" s="40">
        <f>N28-N36-N30-N29/(1+Hypothèses!$D$15)</f>
        <v/>
      </c>
      <c r="O37" s="40">
        <f>O28-O36-O30-O29/(1+Hypothèses!$D$15)</f>
        <v/>
      </c>
      <c r="P37" s="40">
        <f>P28-P36-P30-P29/(1+Hypothèses!$D$15)</f>
        <v/>
      </c>
      <c r="Q37" s="40">
        <f>Q28-Q36-Q30-Q29/(1+Hypothèses!$D$15)</f>
        <v/>
      </c>
      <c r="R37" s="40">
        <f>R28-R36-R30-R29/(1+Hypothèses!$D$15)</f>
        <v/>
      </c>
      <c r="S37" s="40">
        <f>S28-S36-S30-S29/(1+Hypothèses!$D$15)</f>
        <v/>
      </c>
      <c r="T37" s="40">
        <f>T28-T36-T30-T29/(1+Hypothèses!$D$15)</f>
        <v/>
      </c>
      <c r="U37" s="40">
        <f>U28-U36-U30-U29/(1+Hypothèses!$D$15)</f>
        <v/>
      </c>
      <c r="V37" s="40">
        <f>V28-V36-V30-V29/(1+Hypothèses!$D$15)</f>
        <v/>
      </c>
      <c r="W37" s="40">
        <f>W28-W36-W30-W29/(1+Hypothèses!$D$15)</f>
        <v/>
      </c>
      <c r="X37" s="40">
        <f>X28-X36-X30-X29/(1+Hypothèses!$D$15)</f>
        <v/>
      </c>
      <c r="Y37" s="40">
        <f>Y28-Y36-Y30-Y29/(1+Hypothèses!$D$15)</f>
        <v/>
      </c>
      <c r="Z37" s="40">
        <f>Z28-Z36-Z30-Z29/(1+Hypothèses!$D$15)</f>
        <v/>
      </c>
      <c r="AA37" s="40">
        <f>AA28-AA36-AA30-AA29/(1+Hypothèses!$D$15)</f>
        <v/>
      </c>
      <c r="AB37" s="40">
        <f>AB28-AB36-AB30-AB29/(1+Hypothèses!$D$15)</f>
        <v/>
      </c>
      <c r="AC37" s="40">
        <f>AC28-AC36-AC30-AC29/(1+Hypothèses!$D$15)</f>
        <v/>
      </c>
      <c r="AD37" s="40">
        <f>AD28-AD36-AD30-AD29/(1+Hypothèses!$D$15)</f>
        <v/>
      </c>
      <c r="AE37" s="40">
        <f>AE28-AE36-AE30-AE29/(1+Hypothèses!$D$15)</f>
        <v/>
      </c>
      <c r="AF37" s="40">
        <f>AF28-AF36-AF30-AF29/(1+Hypothèses!$D$15)</f>
        <v/>
      </c>
      <c r="AG37" s="40">
        <f>AG28-AG36-AG30-AG29/(1+Hypothèses!$D$15)</f>
        <v/>
      </c>
      <c r="AH37" s="40">
        <f>AH28-AH36-AH30-AH29/(1+Hypothèses!$D$15)</f>
        <v/>
      </c>
      <c r="AI37" s="40">
        <f>AI28-AI36-AI30-AI29/(1+Hypothèses!$D$15)</f>
        <v/>
      </c>
      <c r="AJ37" s="40">
        <f>AJ28-AJ36-AJ30-AJ29/(1+Hypothèses!$D$15)</f>
        <v/>
      </c>
      <c r="AK37" s="40">
        <f>AK28-AK36-AK30-AK29/(1+Hypothèses!$D$15)</f>
        <v/>
      </c>
      <c r="AL37" s="40">
        <f>AL28-AL36-AL30-AL29/(1+Hypothèses!$D$15)</f>
        <v/>
      </c>
      <c r="AN37" s="40">
        <f>SUM(C37:N37)</f>
        <v/>
      </c>
      <c r="AO37" s="40">
        <f>SUM(O37:Z37)</f>
        <v/>
      </c>
      <c r="AP37" s="40">
        <f>SUM(AA37:AL37)</f>
        <v/>
      </c>
    </row>
    <row r="38">
      <c r="A38" s="8" t="inlineStr">
        <is>
          <t>Acquisition et coûts fixes</t>
        </is>
      </c>
    </row>
    <row r="39">
      <c r="A39" s="9" t="inlineStr">
        <is>
          <t>Dépenses d'acquisition</t>
        </is>
      </c>
      <c r="B39" s="4" t="inlineStr">
        <is>
          <t>€ HT</t>
        </is>
      </c>
      <c r="C39" s="15">
        <f>C11</f>
        <v/>
      </c>
      <c r="D39" s="15">
        <f>D11</f>
        <v/>
      </c>
      <c r="E39" s="15">
        <f>E11</f>
        <v/>
      </c>
      <c r="F39" s="15">
        <f>F11</f>
        <v/>
      </c>
      <c r="G39" s="15">
        <f>G11</f>
        <v/>
      </c>
      <c r="H39" s="15">
        <f>H11</f>
        <v/>
      </c>
      <c r="I39" s="15">
        <f>I11</f>
        <v/>
      </c>
      <c r="J39" s="15">
        <f>J11</f>
        <v/>
      </c>
      <c r="K39" s="15">
        <f>K11</f>
        <v/>
      </c>
      <c r="L39" s="15">
        <f>L11</f>
        <v/>
      </c>
      <c r="M39" s="15">
        <f>M11</f>
        <v/>
      </c>
      <c r="N39" s="15">
        <f>N11</f>
        <v/>
      </c>
      <c r="O39" s="15">
        <f>O11</f>
        <v/>
      </c>
      <c r="P39" s="15">
        <f>P11</f>
        <v/>
      </c>
      <c r="Q39" s="15">
        <f>Q11</f>
        <v/>
      </c>
      <c r="R39" s="15">
        <f>R11</f>
        <v/>
      </c>
      <c r="S39" s="15">
        <f>S11</f>
        <v/>
      </c>
      <c r="T39" s="15">
        <f>T11</f>
        <v/>
      </c>
      <c r="U39" s="15">
        <f>U11</f>
        <v/>
      </c>
      <c r="V39" s="15">
        <f>V11</f>
        <v/>
      </c>
      <c r="W39" s="15">
        <f>W11</f>
        <v/>
      </c>
      <c r="X39" s="15">
        <f>X11</f>
        <v/>
      </c>
      <c r="Y39" s="15">
        <f>Y11</f>
        <v/>
      </c>
      <c r="Z39" s="15">
        <f>Z11</f>
        <v/>
      </c>
      <c r="AA39" s="15">
        <f>AA11</f>
        <v/>
      </c>
      <c r="AB39" s="15">
        <f>AB11</f>
        <v/>
      </c>
      <c r="AC39" s="15">
        <f>AC11</f>
        <v/>
      </c>
      <c r="AD39" s="15">
        <f>AD11</f>
        <v/>
      </c>
      <c r="AE39" s="15">
        <f>AE11</f>
        <v/>
      </c>
      <c r="AF39" s="15">
        <f>AF11</f>
        <v/>
      </c>
      <c r="AG39" s="15">
        <f>AG11</f>
        <v/>
      </c>
      <c r="AH39" s="15">
        <f>AH11</f>
        <v/>
      </c>
      <c r="AI39" s="15">
        <f>AI11</f>
        <v/>
      </c>
      <c r="AJ39" s="15">
        <f>AJ11</f>
        <v/>
      </c>
      <c r="AK39" s="15">
        <f>AK11</f>
        <v/>
      </c>
      <c r="AL39" s="15">
        <f>AL11</f>
        <v/>
      </c>
      <c r="AN39" s="15">
        <f>SUM(C39:N39)</f>
        <v/>
      </c>
      <c r="AO39" s="15">
        <f>SUM(O39:Z39)</f>
        <v/>
      </c>
      <c r="AP39" s="15">
        <f>SUM(AA39:AL39)</f>
        <v/>
      </c>
    </row>
    <row r="40">
      <c r="A40" s="9" t="inlineStr">
        <is>
          <t>Rémunération des fondateurs</t>
        </is>
      </c>
      <c r="B40" s="4" t="inlineStr">
        <is>
          <t>€ HT</t>
        </is>
      </c>
      <c r="C40" s="15">
        <f>IF(C7&gt;=Hypothèses!$D$39,Hypothèses!$D$38*Hypothèses!$D$40,0)*$G$4</f>
        <v/>
      </c>
      <c r="D40" s="15">
        <f>IF(D7&gt;=Hypothèses!$D$39,Hypothèses!$D$38*Hypothèses!$D$40,0)*$G$4</f>
        <v/>
      </c>
      <c r="E40" s="15">
        <f>IF(E7&gt;=Hypothèses!$D$39,Hypothèses!$D$38*Hypothèses!$D$40,0)*$G$4</f>
        <v/>
      </c>
      <c r="F40" s="15">
        <f>IF(F7&gt;=Hypothèses!$D$39,Hypothèses!$D$38*Hypothèses!$D$40,0)*$G$4</f>
        <v/>
      </c>
      <c r="G40" s="15">
        <f>IF(G7&gt;=Hypothèses!$D$39,Hypothèses!$D$38*Hypothèses!$D$40,0)*$G$4</f>
        <v/>
      </c>
      <c r="H40" s="15">
        <f>IF(H7&gt;=Hypothèses!$D$39,Hypothèses!$D$38*Hypothèses!$D$40,0)*$G$4</f>
        <v/>
      </c>
      <c r="I40" s="15">
        <f>IF(I7&gt;=Hypothèses!$D$39,Hypothèses!$D$38*Hypothèses!$D$40,0)*$G$4</f>
        <v/>
      </c>
      <c r="J40" s="15">
        <f>IF(J7&gt;=Hypothèses!$D$39,Hypothèses!$D$38*Hypothèses!$D$40,0)*$G$4</f>
        <v/>
      </c>
      <c r="K40" s="15">
        <f>IF(K7&gt;=Hypothèses!$D$39,Hypothèses!$D$38*Hypothèses!$D$40,0)*$G$4</f>
        <v/>
      </c>
      <c r="L40" s="15">
        <f>IF(L7&gt;=Hypothèses!$D$39,Hypothèses!$D$38*Hypothèses!$D$40,0)*$G$4</f>
        <v/>
      </c>
      <c r="M40" s="15">
        <f>IF(M7&gt;=Hypothèses!$D$39,Hypothèses!$D$38*Hypothèses!$D$40,0)*$G$4</f>
        <v/>
      </c>
      <c r="N40" s="15">
        <f>IF(N7&gt;=Hypothèses!$D$39,Hypothèses!$D$38*Hypothèses!$D$40,0)*$G$4</f>
        <v/>
      </c>
      <c r="O40" s="15">
        <f>IF(O7&gt;=Hypothèses!$D$39,Hypothèses!$D$38*Hypothèses!$D$40,0)*$G$4</f>
        <v/>
      </c>
      <c r="P40" s="15">
        <f>IF(P7&gt;=Hypothèses!$D$39,Hypothèses!$D$38*Hypothèses!$D$40,0)*$G$4</f>
        <v/>
      </c>
      <c r="Q40" s="15">
        <f>IF(Q7&gt;=Hypothèses!$D$39,Hypothèses!$D$38*Hypothèses!$D$40,0)*$G$4</f>
        <v/>
      </c>
      <c r="R40" s="15">
        <f>IF(R7&gt;=Hypothèses!$D$39,Hypothèses!$D$38*Hypothèses!$D$40,0)*$G$4</f>
        <v/>
      </c>
      <c r="S40" s="15">
        <f>IF(S7&gt;=Hypothèses!$D$39,Hypothèses!$D$38*Hypothèses!$D$40,0)*$G$4</f>
        <v/>
      </c>
      <c r="T40" s="15">
        <f>IF(T7&gt;=Hypothèses!$D$39,Hypothèses!$D$38*Hypothèses!$D$40,0)*$G$4</f>
        <v/>
      </c>
      <c r="U40" s="15">
        <f>IF(U7&gt;=Hypothèses!$D$39,Hypothèses!$D$38*Hypothèses!$D$40,0)*$G$4</f>
        <v/>
      </c>
      <c r="V40" s="15">
        <f>IF(V7&gt;=Hypothèses!$D$39,Hypothèses!$D$38*Hypothèses!$D$40,0)*$G$4</f>
        <v/>
      </c>
      <c r="W40" s="15">
        <f>IF(W7&gt;=Hypothèses!$D$39,Hypothèses!$D$38*Hypothèses!$D$40,0)*$G$4</f>
        <v/>
      </c>
      <c r="X40" s="15">
        <f>IF(X7&gt;=Hypothèses!$D$39,Hypothèses!$D$38*Hypothèses!$D$40,0)*$G$4</f>
        <v/>
      </c>
      <c r="Y40" s="15">
        <f>IF(Y7&gt;=Hypothèses!$D$39,Hypothèses!$D$38*Hypothèses!$D$40,0)*$G$4</f>
        <v/>
      </c>
      <c r="Z40" s="15">
        <f>IF(Z7&gt;=Hypothèses!$D$39,Hypothèses!$D$38*Hypothèses!$D$40,0)*$G$4</f>
        <v/>
      </c>
      <c r="AA40" s="15">
        <f>IF(AA7&gt;=Hypothèses!$D$39,Hypothèses!$D$38*Hypothèses!$D$40,0)*$G$4</f>
        <v/>
      </c>
      <c r="AB40" s="15">
        <f>IF(AB7&gt;=Hypothèses!$D$39,Hypothèses!$D$38*Hypothèses!$D$40,0)*$G$4</f>
        <v/>
      </c>
      <c r="AC40" s="15">
        <f>IF(AC7&gt;=Hypothèses!$D$39,Hypothèses!$D$38*Hypothèses!$D$40,0)*$G$4</f>
        <v/>
      </c>
      <c r="AD40" s="15">
        <f>IF(AD7&gt;=Hypothèses!$D$39,Hypothèses!$D$38*Hypothèses!$D$40,0)*$G$4</f>
        <v/>
      </c>
      <c r="AE40" s="15">
        <f>IF(AE7&gt;=Hypothèses!$D$39,Hypothèses!$D$38*Hypothèses!$D$40,0)*$G$4</f>
        <v/>
      </c>
      <c r="AF40" s="15">
        <f>IF(AF7&gt;=Hypothèses!$D$39,Hypothèses!$D$38*Hypothèses!$D$40,0)*$G$4</f>
        <v/>
      </c>
      <c r="AG40" s="15">
        <f>IF(AG7&gt;=Hypothèses!$D$39,Hypothèses!$D$38*Hypothèses!$D$40,0)*$G$4</f>
        <v/>
      </c>
      <c r="AH40" s="15">
        <f>IF(AH7&gt;=Hypothèses!$D$39,Hypothèses!$D$38*Hypothèses!$D$40,0)*$G$4</f>
        <v/>
      </c>
      <c r="AI40" s="15">
        <f>IF(AI7&gt;=Hypothèses!$D$39,Hypothèses!$D$38*Hypothèses!$D$40,0)*$G$4</f>
        <v/>
      </c>
      <c r="AJ40" s="15">
        <f>IF(AJ7&gt;=Hypothèses!$D$39,Hypothèses!$D$38*Hypothèses!$D$40,0)*$G$4</f>
        <v/>
      </c>
      <c r="AK40" s="15">
        <f>IF(AK7&gt;=Hypothèses!$D$39,Hypothèses!$D$38*Hypothèses!$D$40,0)*$G$4</f>
        <v/>
      </c>
      <c r="AL40" s="15">
        <f>IF(AL7&gt;=Hypothèses!$D$39,Hypothèses!$D$38*Hypothèses!$D$40,0)*$G$4</f>
        <v/>
      </c>
      <c r="AN40" s="15">
        <f>SUM(C40:N40)</f>
        <v/>
      </c>
      <c r="AO40" s="15">
        <f>SUM(O40:Z40)</f>
        <v/>
      </c>
      <c r="AP40" s="15">
        <f>SUM(AA40:AL40)</f>
        <v/>
      </c>
    </row>
    <row r="41">
      <c r="A41" s="9" t="inlineStr">
        <is>
          <t>Salarié 1 (growth / customer success)</t>
        </is>
      </c>
      <c r="B41" s="4" t="inlineStr">
        <is>
          <t>€ HT</t>
        </is>
      </c>
      <c r="C41" s="15">
        <f>IF(C7&gt;=Hypothèses!$D$41,Hypothèses!$D$42,0)*$G$4</f>
        <v/>
      </c>
      <c r="D41" s="15">
        <f>IF(D7&gt;=Hypothèses!$D$41,Hypothèses!$D$42,0)*$G$4</f>
        <v/>
      </c>
      <c r="E41" s="15">
        <f>IF(E7&gt;=Hypothèses!$D$41,Hypothèses!$D$42,0)*$G$4</f>
        <v/>
      </c>
      <c r="F41" s="15">
        <f>IF(F7&gt;=Hypothèses!$D$41,Hypothèses!$D$42,0)*$G$4</f>
        <v/>
      </c>
      <c r="G41" s="15">
        <f>IF(G7&gt;=Hypothèses!$D$41,Hypothèses!$D$42,0)*$G$4</f>
        <v/>
      </c>
      <c r="H41" s="15">
        <f>IF(H7&gt;=Hypothèses!$D$41,Hypothèses!$D$42,0)*$G$4</f>
        <v/>
      </c>
      <c r="I41" s="15">
        <f>IF(I7&gt;=Hypothèses!$D$41,Hypothèses!$D$42,0)*$G$4</f>
        <v/>
      </c>
      <c r="J41" s="15">
        <f>IF(J7&gt;=Hypothèses!$D$41,Hypothèses!$D$42,0)*$G$4</f>
        <v/>
      </c>
      <c r="K41" s="15">
        <f>IF(K7&gt;=Hypothèses!$D$41,Hypothèses!$D$42,0)*$G$4</f>
        <v/>
      </c>
      <c r="L41" s="15">
        <f>IF(L7&gt;=Hypothèses!$D$41,Hypothèses!$D$42,0)*$G$4</f>
        <v/>
      </c>
      <c r="M41" s="15">
        <f>IF(M7&gt;=Hypothèses!$D$41,Hypothèses!$D$42,0)*$G$4</f>
        <v/>
      </c>
      <c r="N41" s="15">
        <f>IF(N7&gt;=Hypothèses!$D$41,Hypothèses!$D$42,0)*$G$4</f>
        <v/>
      </c>
      <c r="O41" s="15">
        <f>IF(O7&gt;=Hypothèses!$D$41,Hypothèses!$D$42,0)*$G$4</f>
        <v/>
      </c>
      <c r="P41" s="15">
        <f>IF(P7&gt;=Hypothèses!$D$41,Hypothèses!$D$42,0)*$G$4</f>
        <v/>
      </c>
      <c r="Q41" s="15">
        <f>IF(Q7&gt;=Hypothèses!$D$41,Hypothèses!$D$42,0)*$G$4</f>
        <v/>
      </c>
      <c r="R41" s="15">
        <f>IF(R7&gt;=Hypothèses!$D$41,Hypothèses!$D$42,0)*$G$4</f>
        <v/>
      </c>
      <c r="S41" s="15">
        <f>IF(S7&gt;=Hypothèses!$D$41,Hypothèses!$D$42,0)*$G$4</f>
        <v/>
      </c>
      <c r="T41" s="15">
        <f>IF(T7&gt;=Hypothèses!$D$41,Hypothèses!$D$42,0)*$G$4</f>
        <v/>
      </c>
      <c r="U41" s="15">
        <f>IF(U7&gt;=Hypothèses!$D$41,Hypothèses!$D$42,0)*$G$4</f>
        <v/>
      </c>
      <c r="V41" s="15">
        <f>IF(V7&gt;=Hypothèses!$D$41,Hypothèses!$D$42,0)*$G$4</f>
        <v/>
      </c>
      <c r="W41" s="15">
        <f>IF(W7&gt;=Hypothèses!$D$41,Hypothèses!$D$42,0)*$G$4</f>
        <v/>
      </c>
      <c r="X41" s="15">
        <f>IF(X7&gt;=Hypothèses!$D$41,Hypothèses!$D$42,0)*$G$4</f>
        <v/>
      </c>
      <c r="Y41" s="15">
        <f>IF(Y7&gt;=Hypothèses!$D$41,Hypothèses!$D$42,0)*$G$4</f>
        <v/>
      </c>
      <c r="Z41" s="15">
        <f>IF(Z7&gt;=Hypothèses!$D$41,Hypothèses!$D$42,0)*$G$4</f>
        <v/>
      </c>
      <c r="AA41" s="15">
        <f>IF(AA7&gt;=Hypothèses!$D$41,Hypothèses!$D$42,0)*$G$4</f>
        <v/>
      </c>
      <c r="AB41" s="15">
        <f>IF(AB7&gt;=Hypothèses!$D$41,Hypothèses!$D$42,0)*$G$4</f>
        <v/>
      </c>
      <c r="AC41" s="15">
        <f>IF(AC7&gt;=Hypothèses!$D$41,Hypothèses!$D$42,0)*$G$4</f>
        <v/>
      </c>
      <c r="AD41" s="15">
        <f>IF(AD7&gt;=Hypothèses!$D$41,Hypothèses!$D$42,0)*$G$4</f>
        <v/>
      </c>
      <c r="AE41" s="15">
        <f>IF(AE7&gt;=Hypothèses!$D$41,Hypothèses!$D$42,0)*$G$4</f>
        <v/>
      </c>
      <c r="AF41" s="15">
        <f>IF(AF7&gt;=Hypothèses!$D$41,Hypothèses!$D$42,0)*$G$4</f>
        <v/>
      </c>
      <c r="AG41" s="15">
        <f>IF(AG7&gt;=Hypothèses!$D$41,Hypothèses!$D$42,0)*$G$4</f>
        <v/>
      </c>
      <c r="AH41" s="15">
        <f>IF(AH7&gt;=Hypothèses!$D$41,Hypothèses!$D$42,0)*$G$4</f>
        <v/>
      </c>
      <c r="AI41" s="15">
        <f>IF(AI7&gt;=Hypothèses!$D$41,Hypothèses!$D$42,0)*$G$4</f>
        <v/>
      </c>
      <c r="AJ41" s="15">
        <f>IF(AJ7&gt;=Hypothèses!$D$41,Hypothèses!$D$42,0)*$G$4</f>
        <v/>
      </c>
      <c r="AK41" s="15">
        <f>IF(AK7&gt;=Hypothèses!$D$41,Hypothèses!$D$42,0)*$G$4</f>
        <v/>
      </c>
      <c r="AL41" s="15">
        <f>IF(AL7&gt;=Hypothèses!$D$41,Hypothèses!$D$42,0)*$G$4</f>
        <v/>
      </c>
      <c r="AN41" s="15">
        <f>SUM(C41:N41)</f>
        <v/>
      </c>
      <c r="AO41" s="15">
        <f>SUM(O41:Z41)</f>
        <v/>
      </c>
      <c r="AP41" s="15">
        <f>SUM(AA41:AL41)</f>
        <v/>
      </c>
    </row>
    <row r="42">
      <c r="A42" s="9" t="inlineStr">
        <is>
          <t>Salarié 2 (ingénieur)</t>
        </is>
      </c>
      <c r="B42" s="4" t="inlineStr">
        <is>
          <t>€ HT</t>
        </is>
      </c>
      <c r="C42" s="15">
        <f>IF(C7&gt;=Hypothèses!$D$43,Hypothèses!$D$44,0)*$G$4</f>
        <v/>
      </c>
      <c r="D42" s="15">
        <f>IF(D7&gt;=Hypothèses!$D$43,Hypothèses!$D$44,0)*$G$4</f>
        <v/>
      </c>
      <c r="E42" s="15">
        <f>IF(E7&gt;=Hypothèses!$D$43,Hypothèses!$D$44,0)*$G$4</f>
        <v/>
      </c>
      <c r="F42" s="15">
        <f>IF(F7&gt;=Hypothèses!$D$43,Hypothèses!$D$44,0)*$G$4</f>
        <v/>
      </c>
      <c r="G42" s="15">
        <f>IF(G7&gt;=Hypothèses!$D$43,Hypothèses!$D$44,0)*$G$4</f>
        <v/>
      </c>
      <c r="H42" s="15">
        <f>IF(H7&gt;=Hypothèses!$D$43,Hypothèses!$D$44,0)*$G$4</f>
        <v/>
      </c>
      <c r="I42" s="15">
        <f>IF(I7&gt;=Hypothèses!$D$43,Hypothèses!$D$44,0)*$G$4</f>
        <v/>
      </c>
      <c r="J42" s="15">
        <f>IF(J7&gt;=Hypothèses!$D$43,Hypothèses!$D$44,0)*$G$4</f>
        <v/>
      </c>
      <c r="K42" s="15">
        <f>IF(K7&gt;=Hypothèses!$D$43,Hypothèses!$D$44,0)*$G$4</f>
        <v/>
      </c>
      <c r="L42" s="15">
        <f>IF(L7&gt;=Hypothèses!$D$43,Hypothèses!$D$44,0)*$G$4</f>
        <v/>
      </c>
      <c r="M42" s="15">
        <f>IF(M7&gt;=Hypothèses!$D$43,Hypothèses!$D$44,0)*$G$4</f>
        <v/>
      </c>
      <c r="N42" s="15">
        <f>IF(N7&gt;=Hypothèses!$D$43,Hypothèses!$D$44,0)*$G$4</f>
        <v/>
      </c>
      <c r="O42" s="15">
        <f>IF(O7&gt;=Hypothèses!$D$43,Hypothèses!$D$44,0)*$G$4</f>
        <v/>
      </c>
      <c r="P42" s="15">
        <f>IF(P7&gt;=Hypothèses!$D$43,Hypothèses!$D$44,0)*$G$4</f>
        <v/>
      </c>
      <c r="Q42" s="15">
        <f>IF(Q7&gt;=Hypothèses!$D$43,Hypothèses!$D$44,0)*$G$4</f>
        <v/>
      </c>
      <c r="R42" s="15">
        <f>IF(R7&gt;=Hypothèses!$D$43,Hypothèses!$D$44,0)*$G$4</f>
        <v/>
      </c>
      <c r="S42" s="15">
        <f>IF(S7&gt;=Hypothèses!$D$43,Hypothèses!$D$44,0)*$G$4</f>
        <v/>
      </c>
      <c r="T42" s="15">
        <f>IF(T7&gt;=Hypothèses!$D$43,Hypothèses!$D$44,0)*$G$4</f>
        <v/>
      </c>
      <c r="U42" s="15">
        <f>IF(U7&gt;=Hypothèses!$D$43,Hypothèses!$D$44,0)*$G$4</f>
        <v/>
      </c>
      <c r="V42" s="15">
        <f>IF(V7&gt;=Hypothèses!$D$43,Hypothèses!$D$44,0)*$G$4</f>
        <v/>
      </c>
      <c r="W42" s="15">
        <f>IF(W7&gt;=Hypothèses!$D$43,Hypothèses!$D$44,0)*$G$4</f>
        <v/>
      </c>
      <c r="X42" s="15">
        <f>IF(X7&gt;=Hypothèses!$D$43,Hypothèses!$D$44,0)*$G$4</f>
        <v/>
      </c>
      <c r="Y42" s="15">
        <f>IF(Y7&gt;=Hypothèses!$D$43,Hypothèses!$D$44,0)*$G$4</f>
        <v/>
      </c>
      <c r="Z42" s="15">
        <f>IF(Z7&gt;=Hypothèses!$D$43,Hypothèses!$D$44,0)*$G$4</f>
        <v/>
      </c>
      <c r="AA42" s="15">
        <f>IF(AA7&gt;=Hypothèses!$D$43,Hypothèses!$D$44,0)*$G$4</f>
        <v/>
      </c>
      <c r="AB42" s="15">
        <f>IF(AB7&gt;=Hypothèses!$D$43,Hypothèses!$D$44,0)*$G$4</f>
        <v/>
      </c>
      <c r="AC42" s="15">
        <f>IF(AC7&gt;=Hypothèses!$D$43,Hypothèses!$D$44,0)*$G$4</f>
        <v/>
      </c>
      <c r="AD42" s="15">
        <f>IF(AD7&gt;=Hypothèses!$D$43,Hypothèses!$D$44,0)*$G$4</f>
        <v/>
      </c>
      <c r="AE42" s="15">
        <f>IF(AE7&gt;=Hypothèses!$D$43,Hypothèses!$D$44,0)*$G$4</f>
        <v/>
      </c>
      <c r="AF42" s="15">
        <f>IF(AF7&gt;=Hypothèses!$D$43,Hypothèses!$D$44,0)*$G$4</f>
        <v/>
      </c>
      <c r="AG42" s="15">
        <f>IF(AG7&gt;=Hypothèses!$D$43,Hypothèses!$D$44,0)*$G$4</f>
        <v/>
      </c>
      <c r="AH42" s="15">
        <f>IF(AH7&gt;=Hypothèses!$D$43,Hypothèses!$D$44,0)*$G$4</f>
        <v/>
      </c>
      <c r="AI42" s="15">
        <f>IF(AI7&gt;=Hypothèses!$D$43,Hypothèses!$D$44,0)*$G$4</f>
        <v/>
      </c>
      <c r="AJ42" s="15">
        <f>IF(AJ7&gt;=Hypothèses!$D$43,Hypothèses!$D$44,0)*$G$4</f>
        <v/>
      </c>
      <c r="AK42" s="15">
        <f>IF(AK7&gt;=Hypothèses!$D$43,Hypothèses!$D$44,0)*$G$4</f>
        <v/>
      </c>
      <c r="AL42" s="15">
        <f>IF(AL7&gt;=Hypothèses!$D$43,Hypothèses!$D$44,0)*$G$4</f>
        <v/>
      </c>
      <c r="AN42" s="15">
        <f>SUM(C42:N42)</f>
        <v/>
      </c>
      <c r="AO42" s="15">
        <f>SUM(O42:Z42)</f>
        <v/>
      </c>
      <c r="AP42" s="15">
        <f>SUM(AA42:AL42)</f>
        <v/>
      </c>
    </row>
    <row r="43">
      <c r="A43" s="9" t="inlineStr">
        <is>
          <t>Développement MVP externe (étalé jusqu'au lancement)</t>
        </is>
      </c>
      <c r="B43" s="4" t="inlineStr">
        <is>
          <t>€ HT</t>
        </is>
      </c>
      <c r="C43" s="15">
        <f>IF(C7&lt;$B$5,Hypothèses!$D$45/MAX(1,$B$5-1),0)</f>
        <v/>
      </c>
      <c r="D43" s="15">
        <f>IF(D7&lt;$B$5,Hypothèses!$D$45/MAX(1,$B$5-1),0)</f>
        <v/>
      </c>
      <c r="E43" s="15">
        <f>IF(E7&lt;$B$5,Hypothèses!$D$45/MAX(1,$B$5-1),0)</f>
        <v/>
      </c>
      <c r="F43" s="15">
        <f>IF(F7&lt;$B$5,Hypothèses!$D$45/MAX(1,$B$5-1),0)</f>
        <v/>
      </c>
      <c r="G43" s="15">
        <f>IF(G7&lt;$B$5,Hypothèses!$D$45/MAX(1,$B$5-1),0)</f>
        <v/>
      </c>
      <c r="H43" s="15">
        <f>IF(H7&lt;$B$5,Hypothèses!$D$45/MAX(1,$B$5-1),0)</f>
        <v/>
      </c>
      <c r="I43" s="15">
        <f>IF(I7&lt;$B$5,Hypothèses!$D$45/MAX(1,$B$5-1),0)</f>
        <v/>
      </c>
      <c r="J43" s="15">
        <f>IF(J7&lt;$B$5,Hypothèses!$D$45/MAX(1,$B$5-1),0)</f>
        <v/>
      </c>
      <c r="K43" s="15">
        <f>IF(K7&lt;$B$5,Hypothèses!$D$45/MAX(1,$B$5-1),0)</f>
        <v/>
      </c>
      <c r="L43" s="15">
        <f>IF(L7&lt;$B$5,Hypothèses!$D$45/MAX(1,$B$5-1),0)</f>
        <v/>
      </c>
      <c r="M43" s="15">
        <f>IF(M7&lt;$B$5,Hypothèses!$D$45/MAX(1,$B$5-1),0)</f>
        <v/>
      </c>
      <c r="N43" s="15">
        <f>IF(N7&lt;$B$5,Hypothèses!$D$45/MAX(1,$B$5-1),0)</f>
        <v/>
      </c>
      <c r="O43" s="15">
        <f>IF(O7&lt;$B$5,Hypothèses!$D$45/MAX(1,$B$5-1),0)</f>
        <v/>
      </c>
      <c r="P43" s="15">
        <f>IF(P7&lt;$B$5,Hypothèses!$D$45/MAX(1,$B$5-1),0)</f>
        <v/>
      </c>
      <c r="Q43" s="15">
        <f>IF(Q7&lt;$B$5,Hypothèses!$D$45/MAX(1,$B$5-1),0)</f>
        <v/>
      </c>
      <c r="R43" s="15">
        <f>IF(R7&lt;$B$5,Hypothèses!$D$45/MAX(1,$B$5-1),0)</f>
        <v/>
      </c>
      <c r="S43" s="15">
        <f>IF(S7&lt;$B$5,Hypothèses!$D$45/MAX(1,$B$5-1),0)</f>
        <v/>
      </c>
      <c r="T43" s="15">
        <f>IF(T7&lt;$B$5,Hypothèses!$D$45/MAX(1,$B$5-1),0)</f>
        <v/>
      </c>
      <c r="U43" s="15">
        <f>IF(U7&lt;$B$5,Hypothèses!$D$45/MAX(1,$B$5-1),0)</f>
        <v/>
      </c>
      <c r="V43" s="15">
        <f>IF(V7&lt;$B$5,Hypothèses!$D$45/MAX(1,$B$5-1),0)</f>
        <v/>
      </c>
      <c r="W43" s="15">
        <f>IF(W7&lt;$B$5,Hypothèses!$D$45/MAX(1,$B$5-1),0)</f>
        <v/>
      </c>
      <c r="X43" s="15">
        <f>IF(X7&lt;$B$5,Hypothèses!$D$45/MAX(1,$B$5-1),0)</f>
        <v/>
      </c>
      <c r="Y43" s="15">
        <f>IF(Y7&lt;$B$5,Hypothèses!$D$45/MAX(1,$B$5-1),0)</f>
        <v/>
      </c>
      <c r="Z43" s="15">
        <f>IF(Z7&lt;$B$5,Hypothèses!$D$45/MAX(1,$B$5-1),0)</f>
        <v/>
      </c>
      <c r="AA43" s="15">
        <f>IF(AA7&lt;$B$5,Hypothèses!$D$45/MAX(1,$B$5-1),0)</f>
        <v/>
      </c>
      <c r="AB43" s="15">
        <f>IF(AB7&lt;$B$5,Hypothèses!$D$45/MAX(1,$B$5-1),0)</f>
        <v/>
      </c>
      <c r="AC43" s="15">
        <f>IF(AC7&lt;$B$5,Hypothèses!$D$45/MAX(1,$B$5-1),0)</f>
        <v/>
      </c>
      <c r="AD43" s="15">
        <f>IF(AD7&lt;$B$5,Hypothèses!$D$45/MAX(1,$B$5-1),0)</f>
        <v/>
      </c>
      <c r="AE43" s="15">
        <f>IF(AE7&lt;$B$5,Hypothèses!$D$45/MAX(1,$B$5-1),0)</f>
        <v/>
      </c>
      <c r="AF43" s="15">
        <f>IF(AF7&lt;$B$5,Hypothèses!$D$45/MAX(1,$B$5-1),0)</f>
        <v/>
      </c>
      <c r="AG43" s="15">
        <f>IF(AG7&lt;$B$5,Hypothèses!$D$45/MAX(1,$B$5-1),0)</f>
        <v/>
      </c>
      <c r="AH43" s="15">
        <f>IF(AH7&lt;$B$5,Hypothèses!$D$45/MAX(1,$B$5-1),0)</f>
        <v/>
      </c>
      <c r="AI43" s="15">
        <f>IF(AI7&lt;$B$5,Hypothèses!$D$45/MAX(1,$B$5-1),0)</f>
        <v/>
      </c>
      <c r="AJ43" s="15">
        <f>IF(AJ7&lt;$B$5,Hypothèses!$D$45/MAX(1,$B$5-1),0)</f>
        <v/>
      </c>
      <c r="AK43" s="15">
        <f>IF(AK7&lt;$B$5,Hypothèses!$D$45/MAX(1,$B$5-1),0)</f>
        <v/>
      </c>
      <c r="AL43" s="15">
        <f>IF(AL7&lt;$B$5,Hypothèses!$D$45/MAX(1,$B$5-1),0)</f>
        <v/>
      </c>
      <c r="AN43" s="15">
        <f>SUM(C43:N43)</f>
        <v/>
      </c>
      <c r="AO43" s="15">
        <f>SUM(O43:Z43)</f>
        <v/>
      </c>
      <c r="AP43" s="15">
        <f>SUM(AA43:AL43)</f>
        <v/>
      </c>
    </row>
    <row r="44">
      <c r="A44" s="9" t="inlineStr">
        <is>
          <t>Outils et SaaS</t>
        </is>
      </c>
      <c r="B44" s="4" t="inlineStr">
        <is>
          <t>€ HT</t>
        </is>
      </c>
      <c r="C44" s="15">
        <f>Hypothèses!$D$46*$G$4</f>
        <v/>
      </c>
      <c r="D44" s="15">
        <f>Hypothèses!$D$46*$G$4</f>
        <v/>
      </c>
      <c r="E44" s="15">
        <f>Hypothèses!$D$46*$G$4</f>
        <v/>
      </c>
      <c r="F44" s="15">
        <f>Hypothèses!$D$46*$G$4</f>
        <v/>
      </c>
      <c r="G44" s="15">
        <f>Hypothèses!$D$46*$G$4</f>
        <v/>
      </c>
      <c r="H44" s="15">
        <f>Hypothèses!$D$46*$G$4</f>
        <v/>
      </c>
      <c r="I44" s="15">
        <f>Hypothèses!$D$46*$G$4</f>
        <v/>
      </c>
      <c r="J44" s="15">
        <f>Hypothèses!$D$46*$G$4</f>
        <v/>
      </c>
      <c r="K44" s="15">
        <f>Hypothèses!$D$46*$G$4</f>
        <v/>
      </c>
      <c r="L44" s="15">
        <f>Hypothèses!$D$46*$G$4</f>
        <v/>
      </c>
      <c r="M44" s="15">
        <f>Hypothèses!$D$46*$G$4</f>
        <v/>
      </c>
      <c r="N44" s="15">
        <f>Hypothèses!$D$46*$G$4</f>
        <v/>
      </c>
      <c r="O44" s="15">
        <f>Hypothèses!$D$46*$G$4</f>
        <v/>
      </c>
      <c r="P44" s="15">
        <f>Hypothèses!$D$46*$G$4</f>
        <v/>
      </c>
      <c r="Q44" s="15">
        <f>Hypothèses!$D$46*$G$4</f>
        <v/>
      </c>
      <c r="R44" s="15">
        <f>Hypothèses!$D$46*$G$4</f>
        <v/>
      </c>
      <c r="S44" s="15">
        <f>Hypothèses!$D$46*$G$4</f>
        <v/>
      </c>
      <c r="T44" s="15">
        <f>Hypothèses!$D$46*$G$4</f>
        <v/>
      </c>
      <c r="U44" s="15">
        <f>Hypothèses!$D$46*$G$4</f>
        <v/>
      </c>
      <c r="V44" s="15">
        <f>Hypothèses!$D$46*$G$4</f>
        <v/>
      </c>
      <c r="W44" s="15">
        <f>Hypothèses!$D$46*$G$4</f>
        <v/>
      </c>
      <c r="X44" s="15">
        <f>Hypothèses!$D$46*$G$4</f>
        <v/>
      </c>
      <c r="Y44" s="15">
        <f>Hypothèses!$D$46*$G$4</f>
        <v/>
      </c>
      <c r="Z44" s="15">
        <f>Hypothèses!$D$46*$G$4</f>
        <v/>
      </c>
      <c r="AA44" s="15">
        <f>Hypothèses!$D$46*$G$4</f>
        <v/>
      </c>
      <c r="AB44" s="15">
        <f>Hypothèses!$D$46*$G$4</f>
        <v/>
      </c>
      <c r="AC44" s="15">
        <f>Hypothèses!$D$46*$G$4</f>
        <v/>
      </c>
      <c r="AD44" s="15">
        <f>Hypothèses!$D$46*$G$4</f>
        <v/>
      </c>
      <c r="AE44" s="15">
        <f>Hypothèses!$D$46*$G$4</f>
        <v/>
      </c>
      <c r="AF44" s="15">
        <f>Hypothèses!$D$46*$G$4</f>
        <v/>
      </c>
      <c r="AG44" s="15">
        <f>Hypothèses!$D$46*$G$4</f>
        <v/>
      </c>
      <c r="AH44" s="15">
        <f>Hypothèses!$D$46*$G$4</f>
        <v/>
      </c>
      <c r="AI44" s="15">
        <f>Hypothèses!$D$46*$G$4</f>
        <v/>
      </c>
      <c r="AJ44" s="15">
        <f>Hypothèses!$D$46*$G$4</f>
        <v/>
      </c>
      <c r="AK44" s="15">
        <f>Hypothèses!$D$46*$G$4</f>
        <v/>
      </c>
      <c r="AL44" s="15">
        <f>Hypothèses!$D$46*$G$4</f>
        <v/>
      </c>
      <c r="AN44" s="15">
        <f>SUM(C44:N44)</f>
        <v/>
      </c>
      <c r="AO44" s="15">
        <f>SUM(O44:Z44)</f>
        <v/>
      </c>
      <c r="AP44" s="15">
        <f>SUM(AA44:AL44)</f>
        <v/>
      </c>
    </row>
    <row r="45">
      <c r="A45" s="9" t="inlineStr">
        <is>
          <t>Juridique et comptabilité</t>
        </is>
      </c>
      <c r="B45" s="4" t="inlineStr">
        <is>
          <t>€ HT</t>
        </is>
      </c>
      <c r="C45" s="15">
        <f>Hypothèses!$D$47*$G$4</f>
        <v/>
      </c>
      <c r="D45" s="15">
        <f>Hypothèses!$D$47*$G$4</f>
        <v/>
      </c>
      <c r="E45" s="15">
        <f>Hypothèses!$D$47*$G$4</f>
        <v/>
      </c>
      <c r="F45" s="15">
        <f>Hypothèses!$D$47*$G$4</f>
        <v/>
      </c>
      <c r="G45" s="15">
        <f>Hypothèses!$D$47*$G$4</f>
        <v/>
      </c>
      <c r="H45" s="15">
        <f>Hypothèses!$D$47*$G$4</f>
        <v/>
      </c>
      <c r="I45" s="15">
        <f>Hypothèses!$D$47*$G$4</f>
        <v/>
      </c>
      <c r="J45" s="15">
        <f>Hypothèses!$D$47*$G$4</f>
        <v/>
      </c>
      <c r="K45" s="15">
        <f>Hypothèses!$D$47*$G$4</f>
        <v/>
      </c>
      <c r="L45" s="15">
        <f>Hypothèses!$D$47*$G$4</f>
        <v/>
      </c>
      <c r="M45" s="15">
        <f>Hypothèses!$D$47*$G$4</f>
        <v/>
      </c>
      <c r="N45" s="15">
        <f>Hypothèses!$D$47*$G$4</f>
        <v/>
      </c>
      <c r="O45" s="15">
        <f>Hypothèses!$D$47*$G$4</f>
        <v/>
      </c>
      <c r="P45" s="15">
        <f>Hypothèses!$D$47*$G$4</f>
        <v/>
      </c>
      <c r="Q45" s="15">
        <f>Hypothèses!$D$47*$G$4</f>
        <v/>
      </c>
      <c r="R45" s="15">
        <f>Hypothèses!$D$47*$G$4</f>
        <v/>
      </c>
      <c r="S45" s="15">
        <f>Hypothèses!$D$47*$G$4</f>
        <v/>
      </c>
      <c r="T45" s="15">
        <f>Hypothèses!$D$47*$G$4</f>
        <v/>
      </c>
      <c r="U45" s="15">
        <f>Hypothèses!$D$47*$G$4</f>
        <v/>
      </c>
      <c r="V45" s="15">
        <f>Hypothèses!$D$47*$G$4</f>
        <v/>
      </c>
      <c r="W45" s="15">
        <f>Hypothèses!$D$47*$G$4</f>
        <v/>
      </c>
      <c r="X45" s="15">
        <f>Hypothèses!$D$47*$G$4</f>
        <v/>
      </c>
      <c r="Y45" s="15">
        <f>Hypothèses!$D$47*$G$4</f>
        <v/>
      </c>
      <c r="Z45" s="15">
        <f>Hypothèses!$D$47*$G$4</f>
        <v/>
      </c>
      <c r="AA45" s="15">
        <f>Hypothèses!$D$47*$G$4</f>
        <v/>
      </c>
      <c r="AB45" s="15">
        <f>Hypothèses!$D$47*$G$4</f>
        <v/>
      </c>
      <c r="AC45" s="15">
        <f>Hypothèses!$D$47*$G$4</f>
        <v/>
      </c>
      <c r="AD45" s="15">
        <f>Hypothèses!$D$47*$G$4</f>
        <v/>
      </c>
      <c r="AE45" s="15">
        <f>Hypothèses!$D$47*$G$4</f>
        <v/>
      </c>
      <c r="AF45" s="15">
        <f>Hypothèses!$D$47*$G$4</f>
        <v/>
      </c>
      <c r="AG45" s="15">
        <f>Hypothèses!$D$47*$G$4</f>
        <v/>
      </c>
      <c r="AH45" s="15">
        <f>Hypothèses!$D$47*$G$4</f>
        <v/>
      </c>
      <c r="AI45" s="15">
        <f>Hypothèses!$D$47*$G$4</f>
        <v/>
      </c>
      <c r="AJ45" s="15">
        <f>Hypothèses!$D$47*$G$4</f>
        <v/>
      </c>
      <c r="AK45" s="15">
        <f>Hypothèses!$D$47*$G$4</f>
        <v/>
      </c>
      <c r="AL45" s="15">
        <f>Hypothèses!$D$47*$G$4</f>
        <v/>
      </c>
      <c r="AN45" s="15">
        <f>SUM(C45:N45)</f>
        <v/>
      </c>
      <c r="AO45" s="15">
        <f>SUM(O45:Z45)</f>
        <v/>
      </c>
      <c r="AP45" s="15">
        <f>SUM(AA45:AL45)</f>
        <v/>
      </c>
    </row>
    <row r="46">
      <c r="A46" s="9" t="inlineStr">
        <is>
          <t>Assurance RC pro</t>
        </is>
      </c>
      <c r="B46" s="4" t="inlineStr">
        <is>
          <t>€</t>
        </is>
      </c>
      <c r="C46" s="15">
        <f>C9*Hypothèses!$D$48*$G$4</f>
        <v/>
      </c>
      <c r="D46" s="15">
        <f>D9*Hypothèses!$D$48*$G$4</f>
        <v/>
      </c>
      <c r="E46" s="15">
        <f>E9*Hypothèses!$D$48*$G$4</f>
        <v/>
      </c>
      <c r="F46" s="15">
        <f>F9*Hypothèses!$D$48*$G$4</f>
        <v/>
      </c>
      <c r="G46" s="15">
        <f>G9*Hypothèses!$D$48*$G$4</f>
        <v/>
      </c>
      <c r="H46" s="15">
        <f>H9*Hypothèses!$D$48*$G$4</f>
        <v/>
      </c>
      <c r="I46" s="15">
        <f>I9*Hypothèses!$D$48*$G$4</f>
        <v/>
      </c>
      <c r="J46" s="15">
        <f>J9*Hypothèses!$D$48*$G$4</f>
        <v/>
      </c>
      <c r="K46" s="15">
        <f>K9*Hypothèses!$D$48*$G$4</f>
        <v/>
      </c>
      <c r="L46" s="15">
        <f>L9*Hypothèses!$D$48*$G$4</f>
        <v/>
      </c>
      <c r="M46" s="15">
        <f>M9*Hypothèses!$D$48*$G$4</f>
        <v/>
      </c>
      <c r="N46" s="15">
        <f>N9*Hypothèses!$D$48*$G$4</f>
        <v/>
      </c>
      <c r="O46" s="15">
        <f>O9*Hypothèses!$D$48*$G$4</f>
        <v/>
      </c>
      <c r="P46" s="15">
        <f>P9*Hypothèses!$D$48*$G$4</f>
        <v/>
      </c>
      <c r="Q46" s="15">
        <f>Q9*Hypothèses!$D$48*$G$4</f>
        <v/>
      </c>
      <c r="R46" s="15">
        <f>R9*Hypothèses!$D$48*$G$4</f>
        <v/>
      </c>
      <c r="S46" s="15">
        <f>S9*Hypothèses!$D$48*$G$4</f>
        <v/>
      </c>
      <c r="T46" s="15">
        <f>T9*Hypothèses!$D$48*$G$4</f>
        <v/>
      </c>
      <c r="U46" s="15">
        <f>U9*Hypothèses!$D$48*$G$4</f>
        <v/>
      </c>
      <c r="V46" s="15">
        <f>V9*Hypothèses!$D$48*$G$4</f>
        <v/>
      </c>
      <c r="W46" s="15">
        <f>W9*Hypothèses!$D$48*$G$4</f>
        <v/>
      </c>
      <c r="X46" s="15">
        <f>X9*Hypothèses!$D$48*$G$4</f>
        <v/>
      </c>
      <c r="Y46" s="15">
        <f>Y9*Hypothèses!$D$48*$G$4</f>
        <v/>
      </c>
      <c r="Z46" s="15">
        <f>Z9*Hypothèses!$D$48*$G$4</f>
        <v/>
      </c>
      <c r="AA46" s="15">
        <f>AA9*Hypothèses!$D$48*$G$4</f>
        <v/>
      </c>
      <c r="AB46" s="15">
        <f>AB9*Hypothèses!$D$48*$G$4</f>
        <v/>
      </c>
      <c r="AC46" s="15">
        <f>AC9*Hypothèses!$D$48*$G$4</f>
        <v/>
      </c>
      <c r="AD46" s="15">
        <f>AD9*Hypothèses!$D$48*$G$4</f>
        <v/>
      </c>
      <c r="AE46" s="15">
        <f>AE9*Hypothèses!$D$48*$G$4</f>
        <v/>
      </c>
      <c r="AF46" s="15">
        <f>AF9*Hypothèses!$D$48*$G$4</f>
        <v/>
      </c>
      <c r="AG46" s="15">
        <f>AG9*Hypothèses!$D$48*$G$4</f>
        <v/>
      </c>
      <c r="AH46" s="15">
        <f>AH9*Hypothèses!$D$48*$G$4</f>
        <v/>
      </c>
      <c r="AI46" s="15">
        <f>AI9*Hypothèses!$D$48*$G$4</f>
        <v/>
      </c>
      <c r="AJ46" s="15">
        <f>AJ9*Hypothèses!$D$48*$G$4</f>
        <v/>
      </c>
      <c r="AK46" s="15">
        <f>AK9*Hypothèses!$D$48*$G$4</f>
        <v/>
      </c>
      <c r="AL46" s="15">
        <f>AL9*Hypothèses!$D$48*$G$4</f>
        <v/>
      </c>
      <c r="AN46" s="15">
        <f>SUM(C46:N46)</f>
        <v/>
      </c>
      <c r="AO46" s="15">
        <f>SUM(O46:Z46)</f>
        <v/>
      </c>
      <c r="AP46" s="15">
        <f>SUM(AA46:AL46)</f>
        <v/>
      </c>
    </row>
    <row r="47">
      <c r="A47" s="9" t="inlineStr">
        <is>
          <t>Marketing fixe</t>
        </is>
      </c>
      <c r="B47" s="4" t="inlineStr">
        <is>
          <t>€ HT</t>
        </is>
      </c>
      <c r="C47" s="15">
        <f>C9*Hypothèses!$D$49*$G$4</f>
        <v/>
      </c>
      <c r="D47" s="15">
        <f>D9*Hypothèses!$D$49*$G$4</f>
        <v/>
      </c>
      <c r="E47" s="15">
        <f>E9*Hypothèses!$D$49*$G$4</f>
        <v/>
      </c>
      <c r="F47" s="15">
        <f>F9*Hypothèses!$D$49*$G$4</f>
        <v/>
      </c>
      <c r="G47" s="15">
        <f>G9*Hypothèses!$D$49*$G$4</f>
        <v/>
      </c>
      <c r="H47" s="15">
        <f>H9*Hypothèses!$D$49*$G$4</f>
        <v/>
      </c>
      <c r="I47" s="15">
        <f>I9*Hypothèses!$D$49*$G$4</f>
        <v/>
      </c>
      <c r="J47" s="15">
        <f>J9*Hypothèses!$D$49*$G$4</f>
        <v/>
      </c>
      <c r="K47" s="15">
        <f>K9*Hypothèses!$D$49*$G$4</f>
        <v/>
      </c>
      <c r="L47" s="15">
        <f>L9*Hypothèses!$D$49*$G$4</f>
        <v/>
      </c>
      <c r="M47" s="15">
        <f>M9*Hypothèses!$D$49*$G$4</f>
        <v/>
      </c>
      <c r="N47" s="15">
        <f>N9*Hypothèses!$D$49*$G$4</f>
        <v/>
      </c>
      <c r="O47" s="15">
        <f>O9*Hypothèses!$D$49*$G$4</f>
        <v/>
      </c>
      <c r="P47" s="15">
        <f>P9*Hypothèses!$D$49*$G$4</f>
        <v/>
      </c>
      <c r="Q47" s="15">
        <f>Q9*Hypothèses!$D$49*$G$4</f>
        <v/>
      </c>
      <c r="R47" s="15">
        <f>R9*Hypothèses!$D$49*$G$4</f>
        <v/>
      </c>
      <c r="S47" s="15">
        <f>S9*Hypothèses!$D$49*$G$4</f>
        <v/>
      </c>
      <c r="T47" s="15">
        <f>T9*Hypothèses!$D$49*$G$4</f>
        <v/>
      </c>
      <c r="U47" s="15">
        <f>U9*Hypothèses!$D$49*$G$4</f>
        <v/>
      </c>
      <c r="V47" s="15">
        <f>V9*Hypothèses!$D$49*$G$4</f>
        <v/>
      </c>
      <c r="W47" s="15">
        <f>W9*Hypothèses!$D$49*$G$4</f>
        <v/>
      </c>
      <c r="X47" s="15">
        <f>X9*Hypothèses!$D$49*$G$4</f>
        <v/>
      </c>
      <c r="Y47" s="15">
        <f>Y9*Hypothèses!$D$49*$G$4</f>
        <v/>
      </c>
      <c r="Z47" s="15">
        <f>Z9*Hypothèses!$D$49*$G$4</f>
        <v/>
      </c>
      <c r="AA47" s="15">
        <f>AA9*Hypothèses!$D$49*$G$4</f>
        <v/>
      </c>
      <c r="AB47" s="15">
        <f>AB9*Hypothèses!$D$49*$G$4</f>
        <v/>
      </c>
      <c r="AC47" s="15">
        <f>AC9*Hypothèses!$D$49*$G$4</f>
        <v/>
      </c>
      <c r="AD47" s="15">
        <f>AD9*Hypothèses!$D$49*$G$4</f>
        <v/>
      </c>
      <c r="AE47" s="15">
        <f>AE9*Hypothèses!$D$49*$G$4</f>
        <v/>
      </c>
      <c r="AF47" s="15">
        <f>AF9*Hypothèses!$D$49*$G$4</f>
        <v/>
      </c>
      <c r="AG47" s="15">
        <f>AG9*Hypothèses!$D$49*$G$4</f>
        <v/>
      </c>
      <c r="AH47" s="15">
        <f>AH9*Hypothèses!$D$49*$G$4</f>
        <v/>
      </c>
      <c r="AI47" s="15">
        <f>AI9*Hypothèses!$D$49*$G$4</f>
        <v/>
      </c>
      <c r="AJ47" s="15">
        <f>AJ9*Hypothèses!$D$49*$G$4</f>
        <v/>
      </c>
      <c r="AK47" s="15">
        <f>AK9*Hypothèses!$D$49*$G$4</f>
        <v/>
      </c>
      <c r="AL47" s="15">
        <f>AL9*Hypothèses!$D$49*$G$4</f>
        <v/>
      </c>
      <c r="AN47" s="15">
        <f>SUM(C47:N47)</f>
        <v/>
      </c>
      <c r="AO47" s="15">
        <f>SUM(O47:Z47)</f>
        <v/>
      </c>
      <c r="AP47" s="15">
        <f>SUM(AA47:AL47)</f>
        <v/>
      </c>
    </row>
    <row r="48">
      <c r="A48" s="9" t="inlineStr">
        <is>
          <t>Frais généraux</t>
        </is>
      </c>
      <c r="B48" s="4" t="inlineStr">
        <is>
          <t>€ HT</t>
        </is>
      </c>
      <c r="C48" s="15">
        <f>Hypothèses!$D$50*$G$4</f>
        <v/>
      </c>
      <c r="D48" s="15">
        <f>Hypothèses!$D$50*$G$4</f>
        <v/>
      </c>
      <c r="E48" s="15">
        <f>Hypothèses!$D$50*$G$4</f>
        <v/>
      </c>
      <c r="F48" s="15">
        <f>Hypothèses!$D$50*$G$4</f>
        <v/>
      </c>
      <c r="G48" s="15">
        <f>Hypothèses!$D$50*$G$4</f>
        <v/>
      </c>
      <c r="H48" s="15">
        <f>Hypothèses!$D$50*$G$4</f>
        <v/>
      </c>
      <c r="I48" s="15">
        <f>Hypothèses!$D$50*$G$4</f>
        <v/>
      </c>
      <c r="J48" s="15">
        <f>Hypothèses!$D$50*$G$4</f>
        <v/>
      </c>
      <c r="K48" s="15">
        <f>Hypothèses!$D$50*$G$4</f>
        <v/>
      </c>
      <c r="L48" s="15">
        <f>Hypothèses!$D$50*$G$4</f>
        <v/>
      </c>
      <c r="M48" s="15">
        <f>Hypothèses!$D$50*$G$4</f>
        <v/>
      </c>
      <c r="N48" s="15">
        <f>Hypothèses!$D$50*$G$4</f>
        <v/>
      </c>
      <c r="O48" s="15">
        <f>Hypothèses!$D$50*$G$4</f>
        <v/>
      </c>
      <c r="P48" s="15">
        <f>Hypothèses!$D$50*$G$4</f>
        <v/>
      </c>
      <c r="Q48" s="15">
        <f>Hypothèses!$D$50*$G$4</f>
        <v/>
      </c>
      <c r="R48" s="15">
        <f>Hypothèses!$D$50*$G$4</f>
        <v/>
      </c>
      <c r="S48" s="15">
        <f>Hypothèses!$D$50*$G$4</f>
        <v/>
      </c>
      <c r="T48" s="15">
        <f>Hypothèses!$D$50*$G$4</f>
        <v/>
      </c>
      <c r="U48" s="15">
        <f>Hypothèses!$D$50*$G$4</f>
        <v/>
      </c>
      <c r="V48" s="15">
        <f>Hypothèses!$D$50*$G$4</f>
        <v/>
      </c>
      <c r="W48" s="15">
        <f>Hypothèses!$D$50*$G$4</f>
        <v/>
      </c>
      <c r="X48" s="15">
        <f>Hypothèses!$D$50*$G$4</f>
        <v/>
      </c>
      <c r="Y48" s="15">
        <f>Hypothèses!$D$50*$G$4</f>
        <v/>
      </c>
      <c r="Z48" s="15">
        <f>Hypothèses!$D$50*$G$4</f>
        <v/>
      </c>
      <c r="AA48" s="15">
        <f>Hypothèses!$D$50*$G$4</f>
        <v/>
      </c>
      <c r="AB48" s="15">
        <f>Hypothèses!$D$50*$G$4</f>
        <v/>
      </c>
      <c r="AC48" s="15">
        <f>Hypothèses!$D$50*$G$4</f>
        <v/>
      </c>
      <c r="AD48" s="15">
        <f>Hypothèses!$D$50*$G$4</f>
        <v/>
      </c>
      <c r="AE48" s="15">
        <f>Hypothèses!$D$50*$G$4</f>
        <v/>
      </c>
      <c r="AF48" s="15">
        <f>Hypothèses!$D$50*$G$4</f>
        <v/>
      </c>
      <c r="AG48" s="15">
        <f>Hypothèses!$D$50*$G$4</f>
        <v/>
      </c>
      <c r="AH48" s="15">
        <f>Hypothèses!$D$50*$G$4</f>
        <v/>
      </c>
      <c r="AI48" s="15">
        <f>Hypothèses!$D$50*$G$4</f>
        <v/>
      </c>
      <c r="AJ48" s="15">
        <f>Hypothèses!$D$50*$G$4</f>
        <v/>
      </c>
      <c r="AK48" s="15">
        <f>Hypothèses!$D$50*$G$4</f>
        <v/>
      </c>
      <c r="AL48" s="15">
        <f>Hypothèses!$D$50*$G$4</f>
        <v/>
      </c>
      <c r="AN48" s="15">
        <f>SUM(C48:N48)</f>
        <v/>
      </c>
      <c r="AO48" s="15">
        <f>SUM(O48:Z48)</f>
        <v/>
      </c>
      <c r="AP48" s="15">
        <f>SUM(AA48:AL48)</f>
        <v/>
      </c>
    </row>
    <row r="49">
      <c r="A49" s="9" t="inlineStr">
        <is>
          <t>Audit de sécurité (annuel, à partir du lancement)</t>
        </is>
      </c>
      <c r="B49" s="4" t="inlineStr">
        <is>
          <t>€ HT</t>
        </is>
      </c>
      <c r="C49" s="15">
        <f>IF(AND(C9=1,MOD(C7-$B$5,12)=0),Hypothèses!$D$51,0)*$G$4</f>
        <v/>
      </c>
      <c r="D49" s="15">
        <f>IF(AND(D9=1,MOD(D7-$B$5,12)=0),Hypothèses!$D$51,0)*$G$4</f>
        <v/>
      </c>
      <c r="E49" s="15">
        <f>IF(AND(E9=1,MOD(E7-$B$5,12)=0),Hypothèses!$D$51,0)*$G$4</f>
        <v/>
      </c>
      <c r="F49" s="15">
        <f>IF(AND(F9=1,MOD(F7-$B$5,12)=0),Hypothèses!$D$51,0)*$G$4</f>
        <v/>
      </c>
      <c r="G49" s="15">
        <f>IF(AND(G9=1,MOD(G7-$B$5,12)=0),Hypothèses!$D$51,0)*$G$4</f>
        <v/>
      </c>
      <c r="H49" s="15">
        <f>IF(AND(H9=1,MOD(H7-$B$5,12)=0),Hypothèses!$D$51,0)*$G$4</f>
        <v/>
      </c>
      <c r="I49" s="15">
        <f>IF(AND(I9=1,MOD(I7-$B$5,12)=0),Hypothèses!$D$51,0)*$G$4</f>
        <v/>
      </c>
      <c r="J49" s="15">
        <f>IF(AND(J9=1,MOD(J7-$B$5,12)=0),Hypothèses!$D$51,0)*$G$4</f>
        <v/>
      </c>
      <c r="K49" s="15">
        <f>IF(AND(K9=1,MOD(K7-$B$5,12)=0),Hypothèses!$D$51,0)*$G$4</f>
        <v/>
      </c>
      <c r="L49" s="15">
        <f>IF(AND(L9=1,MOD(L7-$B$5,12)=0),Hypothèses!$D$51,0)*$G$4</f>
        <v/>
      </c>
      <c r="M49" s="15">
        <f>IF(AND(M9=1,MOD(M7-$B$5,12)=0),Hypothèses!$D$51,0)*$G$4</f>
        <v/>
      </c>
      <c r="N49" s="15">
        <f>IF(AND(N9=1,MOD(N7-$B$5,12)=0),Hypothèses!$D$51,0)*$G$4</f>
        <v/>
      </c>
      <c r="O49" s="15">
        <f>IF(AND(O9=1,MOD(O7-$B$5,12)=0),Hypothèses!$D$51,0)*$G$4</f>
        <v/>
      </c>
      <c r="P49" s="15">
        <f>IF(AND(P9=1,MOD(P7-$B$5,12)=0),Hypothèses!$D$51,0)*$G$4</f>
        <v/>
      </c>
      <c r="Q49" s="15">
        <f>IF(AND(Q9=1,MOD(Q7-$B$5,12)=0),Hypothèses!$D$51,0)*$G$4</f>
        <v/>
      </c>
      <c r="R49" s="15">
        <f>IF(AND(R9=1,MOD(R7-$B$5,12)=0),Hypothèses!$D$51,0)*$G$4</f>
        <v/>
      </c>
      <c r="S49" s="15">
        <f>IF(AND(S9=1,MOD(S7-$B$5,12)=0),Hypothèses!$D$51,0)*$G$4</f>
        <v/>
      </c>
      <c r="T49" s="15">
        <f>IF(AND(T9=1,MOD(T7-$B$5,12)=0),Hypothèses!$D$51,0)*$G$4</f>
        <v/>
      </c>
      <c r="U49" s="15">
        <f>IF(AND(U9=1,MOD(U7-$B$5,12)=0),Hypothèses!$D$51,0)*$G$4</f>
        <v/>
      </c>
      <c r="V49" s="15">
        <f>IF(AND(V9=1,MOD(V7-$B$5,12)=0),Hypothèses!$D$51,0)*$G$4</f>
        <v/>
      </c>
      <c r="W49" s="15">
        <f>IF(AND(W9=1,MOD(W7-$B$5,12)=0),Hypothèses!$D$51,0)*$G$4</f>
        <v/>
      </c>
      <c r="X49" s="15">
        <f>IF(AND(X9=1,MOD(X7-$B$5,12)=0),Hypothèses!$D$51,0)*$G$4</f>
        <v/>
      </c>
      <c r="Y49" s="15">
        <f>IF(AND(Y9=1,MOD(Y7-$B$5,12)=0),Hypothèses!$D$51,0)*$G$4</f>
        <v/>
      </c>
      <c r="Z49" s="15">
        <f>IF(AND(Z9=1,MOD(Z7-$B$5,12)=0),Hypothèses!$D$51,0)*$G$4</f>
        <v/>
      </c>
      <c r="AA49" s="15">
        <f>IF(AND(AA9=1,MOD(AA7-$B$5,12)=0),Hypothèses!$D$51,0)*$G$4</f>
        <v/>
      </c>
      <c r="AB49" s="15">
        <f>IF(AND(AB9=1,MOD(AB7-$B$5,12)=0),Hypothèses!$D$51,0)*$G$4</f>
        <v/>
      </c>
      <c r="AC49" s="15">
        <f>IF(AND(AC9=1,MOD(AC7-$B$5,12)=0),Hypothèses!$D$51,0)*$G$4</f>
        <v/>
      </c>
      <c r="AD49" s="15">
        <f>IF(AND(AD9=1,MOD(AD7-$B$5,12)=0),Hypothèses!$D$51,0)*$G$4</f>
        <v/>
      </c>
      <c r="AE49" s="15">
        <f>IF(AND(AE9=1,MOD(AE7-$B$5,12)=0),Hypothèses!$D$51,0)*$G$4</f>
        <v/>
      </c>
      <c r="AF49" s="15">
        <f>IF(AND(AF9=1,MOD(AF7-$B$5,12)=0),Hypothèses!$D$51,0)*$G$4</f>
        <v/>
      </c>
      <c r="AG49" s="15">
        <f>IF(AND(AG9=1,MOD(AG7-$B$5,12)=0),Hypothèses!$D$51,0)*$G$4</f>
        <v/>
      </c>
      <c r="AH49" s="15">
        <f>IF(AND(AH9=1,MOD(AH7-$B$5,12)=0),Hypothèses!$D$51,0)*$G$4</f>
        <v/>
      </c>
      <c r="AI49" s="15">
        <f>IF(AND(AI9=1,MOD(AI7-$B$5,12)=0),Hypothèses!$D$51,0)*$G$4</f>
        <v/>
      </c>
      <c r="AJ49" s="15">
        <f>IF(AND(AJ9=1,MOD(AJ7-$B$5,12)=0),Hypothèses!$D$51,0)*$G$4</f>
        <v/>
      </c>
      <c r="AK49" s="15">
        <f>IF(AND(AK9=1,MOD(AK7-$B$5,12)=0),Hypothèses!$D$51,0)*$G$4</f>
        <v/>
      </c>
      <c r="AL49" s="15">
        <f>IF(AND(AL9=1,MOD(AL7-$B$5,12)=0),Hypothèses!$D$51,0)*$G$4</f>
        <v/>
      </c>
      <c r="AN49" s="15">
        <f>SUM(C49:N49)</f>
        <v/>
      </c>
      <c r="AO49" s="15">
        <f>SUM(O49:Z49)</f>
        <v/>
      </c>
      <c r="AP49" s="15">
        <f>SUM(AA49:AL49)</f>
        <v/>
      </c>
    </row>
    <row r="50">
      <c r="A50" s="9" t="inlineStr">
        <is>
          <t>Frais de constitution</t>
        </is>
      </c>
      <c r="B50" s="4" t="inlineStr">
        <is>
          <t>€ HT</t>
        </is>
      </c>
      <c r="C50" s="15">
        <f>IF(C7=2,Hypothèses!$D$52,0)</f>
        <v/>
      </c>
      <c r="D50" s="15">
        <f>IF(D7=2,Hypothèses!$D$52,0)</f>
        <v/>
      </c>
      <c r="E50" s="15">
        <f>IF(E7=2,Hypothèses!$D$52,0)</f>
        <v/>
      </c>
      <c r="F50" s="15">
        <f>IF(F7=2,Hypothèses!$D$52,0)</f>
        <v/>
      </c>
      <c r="G50" s="15">
        <f>IF(G7=2,Hypothèses!$D$52,0)</f>
        <v/>
      </c>
      <c r="H50" s="15">
        <f>IF(H7=2,Hypothèses!$D$52,0)</f>
        <v/>
      </c>
      <c r="I50" s="15">
        <f>IF(I7=2,Hypothèses!$D$52,0)</f>
        <v/>
      </c>
      <c r="J50" s="15">
        <f>IF(J7=2,Hypothèses!$D$52,0)</f>
        <v/>
      </c>
      <c r="K50" s="15">
        <f>IF(K7=2,Hypothèses!$D$52,0)</f>
        <v/>
      </c>
      <c r="L50" s="15">
        <f>IF(L7=2,Hypothèses!$D$52,0)</f>
        <v/>
      </c>
      <c r="M50" s="15">
        <f>IF(M7=2,Hypothèses!$D$52,0)</f>
        <v/>
      </c>
      <c r="N50" s="15">
        <f>IF(N7=2,Hypothèses!$D$52,0)</f>
        <v/>
      </c>
      <c r="O50" s="15">
        <f>IF(O7=2,Hypothèses!$D$52,0)</f>
        <v/>
      </c>
      <c r="P50" s="15">
        <f>IF(P7=2,Hypothèses!$D$52,0)</f>
        <v/>
      </c>
      <c r="Q50" s="15">
        <f>IF(Q7=2,Hypothèses!$D$52,0)</f>
        <v/>
      </c>
      <c r="R50" s="15">
        <f>IF(R7=2,Hypothèses!$D$52,0)</f>
        <v/>
      </c>
      <c r="S50" s="15">
        <f>IF(S7=2,Hypothèses!$D$52,0)</f>
        <v/>
      </c>
      <c r="T50" s="15">
        <f>IF(T7=2,Hypothèses!$D$52,0)</f>
        <v/>
      </c>
      <c r="U50" s="15">
        <f>IF(U7=2,Hypothèses!$D$52,0)</f>
        <v/>
      </c>
      <c r="V50" s="15">
        <f>IF(V7=2,Hypothèses!$D$52,0)</f>
        <v/>
      </c>
      <c r="W50" s="15">
        <f>IF(W7=2,Hypothèses!$D$52,0)</f>
        <v/>
      </c>
      <c r="X50" s="15">
        <f>IF(X7=2,Hypothèses!$D$52,0)</f>
        <v/>
      </c>
      <c r="Y50" s="15">
        <f>IF(Y7=2,Hypothèses!$D$52,0)</f>
        <v/>
      </c>
      <c r="Z50" s="15">
        <f>IF(Z7=2,Hypothèses!$D$52,0)</f>
        <v/>
      </c>
      <c r="AA50" s="15">
        <f>IF(AA7=2,Hypothèses!$D$52,0)</f>
        <v/>
      </c>
      <c r="AB50" s="15">
        <f>IF(AB7=2,Hypothèses!$D$52,0)</f>
        <v/>
      </c>
      <c r="AC50" s="15">
        <f>IF(AC7=2,Hypothèses!$D$52,0)</f>
        <v/>
      </c>
      <c r="AD50" s="15">
        <f>IF(AD7=2,Hypothèses!$D$52,0)</f>
        <v/>
      </c>
      <c r="AE50" s="15">
        <f>IF(AE7=2,Hypothèses!$D$52,0)</f>
        <v/>
      </c>
      <c r="AF50" s="15">
        <f>IF(AF7=2,Hypothèses!$D$52,0)</f>
        <v/>
      </c>
      <c r="AG50" s="15">
        <f>IF(AG7=2,Hypothèses!$D$52,0)</f>
        <v/>
      </c>
      <c r="AH50" s="15">
        <f>IF(AH7=2,Hypothèses!$D$52,0)</f>
        <v/>
      </c>
      <c r="AI50" s="15">
        <f>IF(AI7=2,Hypothèses!$D$52,0)</f>
        <v/>
      </c>
      <c r="AJ50" s="15">
        <f>IF(AJ7=2,Hypothèses!$D$52,0)</f>
        <v/>
      </c>
      <c r="AK50" s="15">
        <f>IF(AK7=2,Hypothèses!$D$52,0)</f>
        <v/>
      </c>
      <c r="AL50" s="15">
        <f>IF(AL7=2,Hypothèses!$D$52,0)</f>
        <v/>
      </c>
      <c r="AN50" s="15">
        <f>SUM(C50:N50)</f>
        <v/>
      </c>
      <c r="AO50" s="15">
        <f>SUM(O50:Z50)</f>
        <v/>
      </c>
      <c r="AP50" s="15">
        <f>SUM(AA50:AL50)</f>
        <v/>
      </c>
    </row>
    <row r="51">
      <c r="A51" s="2" t="inlineStr">
        <is>
          <t>Total coûts fixes</t>
        </is>
      </c>
      <c r="B51" s="4" t="inlineStr">
        <is>
          <t>€ HT</t>
        </is>
      </c>
      <c r="C51" s="40">
        <f>SUM(C40:C50)</f>
        <v/>
      </c>
      <c r="D51" s="40">
        <f>SUM(D40:D50)</f>
        <v/>
      </c>
      <c r="E51" s="40">
        <f>SUM(E40:E50)</f>
        <v/>
      </c>
      <c r="F51" s="40">
        <f>SUM(F40:F50)</f>
        <v/>
      </c>
      <c r="G51" s="40">
        <f>SUM(G40:G50)</f>
        <v/>
      </c>
      <c r="H51" s="40">
        <f>SUM(H40:H50)</f>
        <v/>
      </c>
      <c r="I51" s="40">
        <f>SUM(I40:I50)</f>
        <v/>
      </c>
      <c r="J51" s="40">
        <f>SUM(J40:J50)</f>
        <v/>
      </c>
      <c r="K51" s="40">
        <f>SUM(K40:K50)</f>
        <v/>
      </c>
      <c r="L51" s="40">
        <f>SUM(L40:L50)</f>
        <v/>
      </c>
      <c r="M51" s="40">
        <f>SUM(M40:M50)</f>
        <v/>
      </c>
      <c r="N51" s="40">
        <f>SUM(N40:N50)</f>
        <v/>
      </c>
      <c r="O51" s="40">
        <f>SUM(O40:O50)</f>
        <v/>
      </c>
      <c r="P51" s="40">
        <f>SUM(P40:P50)</f>
        <v/>
      </c>
      <c r="Q51" s="40">
        <f>SUM(Q40:Q50)</f>
        <v/>
      </c>
      <c r="R51" s="40">
        <f>SUM(R40:R50)</f>
        <v/>
      </c>
      <c r="S51" s="40">
        <f>SUM(S40:S50)</f>
        <v/>
      </c>
      <c r="T51" s="40">
        <f>SUM(T40:T50)</f>
        <v/>
      </c>
      <c r="U51" s="40">
        <f>SUM(U40:U50)</f>
        <v/>
      </c>
      <c r="V51" s="40">
        <f>SUM(V40:V50)</f>
        <v/>
      </c>
      <c r="W51" s="40">
        <f>SUM(W40:W50)</f>
        <v/>
      </c>
      <c r="X51" s="40">
        <f>SUM(X40:X50)</f>
        <v/>
      </c>
      <c r="Y51" s="40">
        <f>SUM(Y40:Y50)</f>
        <v/>
      </c>
      <c r="Z51" s="40">
        <f>SUM(Z40:Z50)</f>
        <v/>
      </c>
      <c r="AA51" s="40">
        <f>SUM(AA40:AA50)</f>
        <v/>
      </c>
      <c r="AB51" s="40">
        <f>SUM(AB40:AB50)</f>
        <v/>
      </c>
      <c r="AC51" s="40">
        <f>SUM(AC40:AC50)</f>
        <v/>
      </c>
      <c r="AD51" s="40">
        <f>SUM(AD40:AD50)</f>
        <v/>
      </c>
      <c r="AE51" s="40">
        <f>SUM(AE40:AE50)</f>
        <v/>
      </c>
      <c r="AF51" s="40">
        <f>SUM(AF40:AF50)</f>
        <v/>
      </c>
      <c r="AG51" s="40">
        <f>SUM(AG40:AG50)</f>
        <v/>
      </c>
      <c r="AH51" s="40">
        <f>SUM(AH40:AH50)</f>
        <v/>
      </c>
      <c r="AI51" s="40">
        <f>SUM(AI40:AI50)</f>
        <v/>
      </c>
      <c r="AJ51" s="40">
        <f>SUM(AJ40:AJ50)</f>
        <v/>
      </c>
      <c r="AK51" s="40">
        <f>SUM(AK40:AK50)</f>
        <v/>
      </c>
      <c r="AL51" s="40">
        <f>SUM(AL40:AL50)</f>
        <v/>
      </c>
      <c r="AN51" s="40">
        <f>SUM(C51:N51)</f>
        <v/>
      </c>
      <c r="AO51" s="40">
        <f>SUM(O51:Z51)</f>
        <v/>
      </c>
      <c r="AP51" s="40">
        <f>SUM(AA51:AL51)</f>
        <v/>
      </c>
    </row>
    <row r="52">
      <c r="A52" s="2" t="inlineStr">
        <is>
          <t>EBITDA (marge variable − acquisition − fixes)</t>
        </is>
      </c>
      <c r="B52" s="4" t="inlineStr">
        <is>
          <t>€ HT</t>
        </is>
      </c>
      <c r="C52" s="40">
        <f>C37-C39-C51</f>
        <v/>
      </c>
      <c r="D52" s="40">
        <f>D37-D39-D51</f>
        <v/>
      </c>
      <c r="E52" s="40">
        <f>E37-E39-E51</f>
        <v/>
      </c>
      <c r="F52" s="40">
        <f>F37-F39-F51</f>
        <v/>
      </c>
      <c r="G52" s="40">
        <f>G37-G39-G51</f>
        <v/>
      </c>
      <c r="H52" s="40">
        <f>H37-H39-H51</f>
        <v/>
      </c>
      <c r="I52" s="40">
        <f>I37-I39-I51</f>
        <v/>
      </c>
      <c r="J52" s="40">
        <f>J37-J39-J51</f>
        <v/>
      </c>
      <c r="K52" s="40">
        <f>K37-K39-K51</f>
        <v/>
      </c>
      <c r="L52" s="40">
        <f>L37-L39-L51</f>
        <v/>
      </c>
      <c r="M52" s="40">
        <f>M37-M39-M51</f>
        <v/>
      </c>
      <c r="N52" s="40">
        <f>N37-N39-N51</f>
        <v/>
      </c>
      <c r="O52" s="40">
        <f>O37-O39-O51</f>
        <v/>
      </c>
      <c r="P52" s="40">
        <f>P37-P39-P51</f>
        <v/>
      </c>
      <c r="Q52" s="40">
        <f>Q37-Q39-Q51</f>
        <v/>
      </c>
      <c r="R52" s="40">
        <f>R37-R39-R51</f>
        <v/>
      </c>
      <c r="S52" s="40">
        <f>S37-S39-S51</f>
        <v/>
      </c>
      <c r="T52" s="40">
        <f>T37-T39-T51</f>
        <v/>
      </c>
      <c r="U52" s="40">
        <f>U37-U39-U51</f>
        <v/>
      </c>
      <c r="V52" s="40">
        <f>V37-V39-V51</f>
        <v/>
      </c>
      <c r="W52" s="40">
        <f>W37-W39-W51</f>
        <v/>
      </c>
      <c r="X52" s="40">
        <f>X37-X39-X51</f>
        <v/>
      </c>
      <c r="Y52" s="40">
        <f>Y37-Y39-Y51</f>
        <v/>
      </c>
      <c r="Z52" s="40">
        <f>Z37-Z39-Z51</f>
        <v/>
      </c>
      <c r="AA52" s="40">
        <f>AA37-AA39-AA51</f>
        <v/>
      </c>
      <c r="AB52" s="40">
        <f>AB37-AB39-AB51</f>
        <v/>
      </c>
      <c r="AC52" s="40">
        <f>AC37-AC39-AC51</f>
        <v/>
      </c>
      <c r="AD52" s="40">
        <f>AD37-AD39-AD51</f>
        <v/>
      </c>
      <c r="AE52" s="40">
        <f>AE37-AE39-AE51</f>
        <v/>
      </c>
      <c r="AF52" s="40">
        <f>AF37-AF39-AF51</f>
        <v/>
      </c>
      <c r="AG52" s="40">
        <f>AG37-AG39-AG51</f>
        <v/>
      </c>
      <c r="AH52" s="40">
        <f>AH37-AH39-AH51</f>
        <v/>
      </c>
      <c r="AI52" s="40">
        <f>AI37-AI39-AI51</f>
        <v/>
      </c>
      <c r="AJ52" s="40">
        <f>AJ37-AJ39-AJ51</f>
        <v/>
      </c>
      <c r="AK52" s="40">
        <f>AK37-AK39-AK51</f>
        <v/>
      </c>
      <c r="AL52" s="40">
        <f>AL37-AL39-AL51</f>
        <v/>
      </c>
      <c r="AN52" s="40">
        <f>SUM(C52:N52)</f>
        <v/>
      </c>
      <c r="AO52" s="40">
        <f>SUM(O52:Z52)</f>
        <v/>
      </c>
      <c r="AP52" s="40">
        <f>SUM(AA52:AL52)</f>
        <v/>
      </c>
    </row>
    <row r="53">
      <c r="A53" s="9" t="inlineStr">
        <is>
          <t>EBITDA positif ? (1 = oui)</t>
        </is>
      </c>
      <c r="B53" s="4" t="inlineStr">
        <is>
          <t>0/1</t>
        </is>
      </c>
      <c r="C53" s="13">
        <f>IF(C52&gt;0,1,0)</f>
        <v/>
      </c>
      <c r="D53" s="13">
        <f>IF(D52&gt;0,1,0)</f>
        <v/>
      </c>
      <c r="E53" s="13">
        <f>IF(E52&gt;0,1,0)</f>
        <v/>
      </c>
      <c r="F53" s="13">
        <f>IF(F52&gt;0,1,0)</f>
        <v/>
      </c>
      <c r="G53" s="13">
        <f>IF(G52&gt;0,1,0)</f>
        <v/>
      </c>
      <c r="H53" s="13">
        <f>IF(H52&gt;0,1,0)</f>
        <v/>
      </c>
      <c r="I53" s="13">
        <f>IF(I52&gt;0,1,0)</f>
        <v/>
      </c>
      <c r="J53" s="13">
        <f>IF(J52&gt;0,1,0)</f>
        <v/>
      </c>
      <c r="K53" s="13">
        <f>IF(K52&gt;0,1,0)</f>
        <v/>
      </c>
      <c r="L53" s="13">
        <f>IF(L52&gt;0,1,0)</f>
        <v/>
      </c>
      <c r="M53" s="13">
        <f>IF(M52&gt;0,1,0)</f>
        <v/>
      </c>
      <c r="N53" s="13">
        <f>IF(N52&gt;0,1,0)</f>
        <v/>
      </c>
      <c r="O53" s="13">
        <f>IF(O52&gt;0,1,0)</f>
        <v/>
      </c>
      <c r="P53" s="13">
        <f>IF(P52&gt;0,1,0)</f>
        <v/>
      </c>
      <c r="Q53" s="13">
        <f>IF(Q52&gt;0,1,0)</f>
        <v/>
      </c>
      <c r="R53" s="13">
        <f>IF(R52&gt;0,1,0)</f>
        <v/>
      </c>
      <c r="S53" s="13">
        <f>IF(S52&gt;0,1,0)</f>
        <v/>
      </c>
      <c r="T53" s="13">
        <f>IF(T52&gt;0,1,0)</f>
        <v/>
      </c>
      <c r="U53" s="13">
        <f>IF(U52&gt;0,1,0)</f>
        <v/>
      </c>
      <c r="V53" s="13">
        <f>IF(V52&gt;0,1,0)</f>
        <v/>
      </c>
      <c r="W53" s="13">
        <f>IF(W52&gt;0,1,0)</f>
        <v/>
      </c>
      <c r="X53" s="13">
        <f>IF(X52&gt;0,1,0)</f>
        <v/>
      </c>
      <c r="Y53" s="13">
        <f>IF(Y52&gt;0,1,0)</f>
        <v/>
      </c>
      <c r="Z53" s="13">
        <f>IF(Z52&gt;0,1,0)</f>
        <v/>
      </c>
      <c r="AA53" s="13">
        <f>IF(AA52&gt;0,1,0)</f>
        <v/>
      </c>
      <c r="AB53" s="13">
        <f>IF(AB52&gt;0,1,0)</f>
        <v/>
      </c>
      <c r="AC53" s="13">
        <f>IF(AC52&gt;0,1,0)</f>
        <v/>
      </c>
      <c r="AD53" s="13">
        <f>IF(AD52&gt;0,1,0)</f>
        <v/>
      </c>
      <c r="AE53" s="13">
        <f>IF(AE52&gt;0,1,0)</f>
        <v/>
      </c>
      <c r="AF53" s="13">
        <f>IF(AF52&gt;0,1,0)</f>
        <v/>
      </c>
      <c r="AG53" s="13">
        <f>IF(AG52&gt;0,1,0)</f>
        <v/>
      </c>
      <c r="AH53" s="13">
        <f>IF(AH52&gt;0,1,0)</f>
        <v/>
      </c>
      <c r="AI53" s="13">
        <f>IF(AI52&gt;0,1,0)</f>
        <v/>
      </c>
      <c r="AJ53" s="13">
        <f>IF(AJ52&gt;0,1,0)</f>
        <v/>
      </c>
      <c r="AK53" s="13">
        <f>IF(AK52&gt;0,1,0)</f>
        <v/>
      </c>
      <c r="AL53" s="13">
        <f>IF(AL52&gt;0,1,0)</f>
        <v/>
      </c>
    </row>
    <row r="54">
      <c r="A54" s="8" t="inlineStr">
        <is>
          <t>Trésorerie</t>
        </is>
      </c>
    </row>
    <row r="55">
      <c r="A55" s="9" t="inlineStr">
        <is>
          <t>TVA collectée reversée (mois suivant)</t>
        </is>
      </c>
      <c r="B55" s="4" t="inlineStr">
        <is>
          <t>€</t>
        </is>
      </c>
      <c r="C55" s="15">
        <f>0</f>
        <v/>
      </c>
      <c r="D55" s="15">
        <f>C27</f>
        <v/>
      </c>
      <c r="E55" s="15">
        <f>D27</f>
        <v/>
      </c>
      <c r="F55" s="15">
        <f>E27</f>
        <v/>
      </c>
      <c r="G55" s="15">
        <f>F27</f>
        <v/>
      </c>
      <c r="H55" s="15">
        <f>G27</f>
        <v/>
      </c>
      <c r="I55" s="15">
        <f>H27</f>
        <v/>
      </c>
      <c r="J55" s="15">
        <f>I27</f>
        <v/>
      </c>
      <c r="K55" s="15">
        <f>J27</f>
        <v/>
      </c>
      <c r="L55" s="15">
        <f>K27</f>
        <v/>
      </c>
      <c r="M55" s="15">
        <f>L27</f>
        <v/>
      </c>
      <c r="N55" s="15">
        <f>M27</f>
        <v/>
      </c>
      <c r="O55" s="15">
        <f>N27</f>
        <v/>
      </c>
      <c r="P55" s="15">
        <f>O27</f>
        <v/>
      </c>
      <c r="Q55" s="15">
        <f>P27</f>
        <v/>
      </c>
      <c r="R55" s="15">
        <f>Q27</f>
        <v/>
      </c>
      <c r="S55" s="15">
        <f>R27</f>
        <v/>
      </c>
      <c r="T55" s="15">
        <f>S27</f>
        <v/>
      </c>
      <c r="U55" s="15">
        <f>T27</f>
        <v/>
      </c>
      <c r="V55" s="15">
        <f>U27</f>
        <v/>
      </c>
      <c r="W55" s="15">
        <f>V27</f>
        <v/>
      </c>
      <c r="X55" s="15">
        <f>W27</f>
        <v/>
      </c>
      <c r="Y55" s="15">
        <f>X27</f>
        <v/>
      </c>
      <c r="Z55" s="15">
        <f>Y27</f>
        <v/>
      </c>
      <c r="AA55" s="15">
        <f>Z27</f>
        <v/>
      </c>
      <c r="AB55" s="15">
        <f>AA27</f>
        <v/>
      </c>
      <c r="AC55" s="15">
        <f>AB27</f>
        <v/>
      </c>
      <c r="AD55" s="15">
        <f>AC27</f>
        <v/>
      </c>
      <c r="AE55" s="15">
        <f>AD27</f>
        <v/>
      </c>
      <c r="AF55" s="15">
        <f>AE27</f>
        <v/>
      </c>
      <c r="AG55" s="15">
        <f>AF27</f>
        <v/>
      </c>
      <c r="AH55" s="15">
        <f>AG27</f>
        <v/>
      </c>
      <c r="AI55" s="15">
        <f>AH27</f>
        <v/>
      </c>
      <c r="AJ55" s="15">
        <f>AI27</f>
        <v/>
      </c>
      <c r="AK55" s="15">
        <f>AJ27</f>
        <v/>
      </c>
      <c r="AL55" s="15">
        <f>AK27</f>
        <v/>
      </c>
      <c r="AN55" s="15">
        <f>SUM(C55:N55)</f>
        <v/>
      </c>
      <c r="AO55" s="15">
        <f>SUM(O55:Z55)</f>
        <v/>
      </c>
      <c r="AP55" s="15">
        <f>SUM(AA55:AL55)</f>
        <v/>
      </c>
    </row>
    <row r="56">
      <c r="A56" s="9" t="inlineStr">
        <is>
          <t>TVA déductible récupérée (mois suivant, coûts externes)</t>
        </is>
      </c>
      <c r="B56" s="4" t="inlineStr">
        <is>
          <t>€</t>
        </is>
      </c>
      <c r="C56" s="15">
        <f>0</f>
        <v/>
      </c>
      <c r="D56" s="15">
        <f>(C36+C39+C43+C44+C45+C47+C48+C49+C50)*Hypothèses!$D$15</f>
        <v/>
      </c>
      <c r="E56" s="15">
        <f>(D36+D39+D43+D44+D45+D47+D48+D49+D50)*Hypothèses!$D$15</f>
        <v/>
      </c>
      <c r="F56" s="15">
        <f>(E36+E39+E43+E44+E45+E47+E48+E49+E50)*Hypothèses!$D$15</f>
        <v/>
      </c>
      <c r="G56" s="15">
        <f>(F36+F39+F43+F44+F45+F47+F48+F49+F50)*Hypothèses!$D$15</f>
        <v/>
      </c>
      <c r="H56" s="15">
        <f>(G36+G39+G43+G44+G45+G47+G48+G49+G50)*Hypothèses!$D$15</f>
        <v/>
      </c>
      <c r="I56" s="15">
        <f>(H36+H39+H43+H44+H45+H47+H48+H49+H50)*Hypothèses!$D$15</f>
        <v/>
      </c>
      <c r="J56" s="15">
        <f>(I36+I39+I43+I44+I45+I47+I48+I49+I50)*Hypothèses!$D$15</f>
        <v/>
      </c>
      <c r="K56" s="15">
        <f>(J36+J39+J43+J44+J45+J47+J48+J49+J50)*Hypothèses!$D$15</f>
        <v/>
      </c>
      <c r="L56" s="15">
        <f>(K36+K39+K43+K44+K45+K47+K48+K49+K50)*Hypothèses!$D$15</f>
        <v/>
      </c>
      <c r="M56" s="15">
        <f>(L36+L39+L43+L44+L45+L47+L48+L49+L50)*Hypothèses!$D$15</f>
        <v/>
      </c>
      <c r="N56" s="15">
        <f>(M36+M39+M43+M44+M45+M47+M48+M49+M50)*Hypothèses!$D$15</f>
        <v/>
      </c>
      <c r="O56" s="15">
        <f>(N36+N39+N43+N44+N45+N47+N48+N49+N50)*Hypothèses!$D$15</f>
        <v/>
      </c>
      <c r="P56" s="15">
        <f>(O36+O39+O43+O44+O45+O47+O48+O49+O50)*Hypothèses!$D$15</f>
        <v/>
      </c>
      <c r="Q56" s="15">
        <f>(P36+P39+P43+P44+P45+P47+P48+P49+P50)*Hypothèses!$D$15</f>
        <v/>
      </c>
      <c r="R56" s="15">
        <f>(Q36+Q39+Q43+Q44+Q45+Q47+Q48+Q49+Q50)*Hypothèses!$D$15</f>
        <v/>
      </c>
      <c r="S56" s="15">
        <f>(R36+R39+R43+R44+R45+R47+R48+R49+R50)*Hypothèses!$D$15</f>
        <v/>
      </c>
      <c r="T56" s="15">
        <f>(S36+S39+S43+S44+S45+S47+S48+S49+S50)*Hypothèses!$D$15</f>
        <v/>
      </c>
      <c r="U56" s="15">
        <f>(T36+T39+T43+T44+T45+T47+T48+T49+T50)*Hypothèses!$D$15</f>
        <v/>
      </c>
      <c r="V56" s="15">
        <f>(U36+U39+U43+U44+U45+U47+U48+U49+U50)*Hypothèses!$D$15</f>
        <v/>
      </c>
      <c r="W56" s="15">
        <f>(V36+V39+V43+V44+V45+V47+V48+V49+V50)*Hypothèses!$D$15</f>
        <v/>
      </c>
      <c r="X56" s="15">
        <f>(W36+W39+W43+W44+W45+W47+W48+W49+W50)*Hypothèses!$D$15</f>
        <v/>
      </c>
      <c r="Y56" s="15">
        <f>(X36+X39+X43+X44+X45+X47+X48+X49+X50)*Hypothèses!$D$15</f>
        <v/>
      </c>
      <c r="Z56" s="15">
        <f>(Y36+Y39+Y43+Y44+Y45+Y47+Y48+Y49+Y50)*Hypothèses!$D$15</f>
        <v/>
      </c>
      <c r="AA56" s="15">
        <f>(Z36+Z39+Z43+Z44+Z45+Z47+Z48+Z49+Z50)*Hypothèses!$D$15</f>
        <v/>
      </c>
      <c r="AB56" s="15">
        <f>(AA36+AA39+AA43+AA44+AA45+AA47+AA48+AA49+AA50)*Hypothèses!$D$15</f>
        <v/>
      </c>
      <c r="AC56" s="15">
        <f>(AB36+AB39+AB43+AB44+AB45+AB47+AB48+AB49+AB50)*Hypothèses!$D$15</f>
        <v/>
      </c>
      <c r="AD56" s="15">
        <f>(AC36+AC39+AC43+AC44+AC45+AC47+AC48+AC49+AC50)*Hypothèses!$D$15</f>
        <v/>
      </c>
      <c r="AE56" s="15">
        <f>(AD36+AD39+AD43+AD44+AD45+AD47+AD48+AD49+AD50)*Hypothèses!$D$15</f>
        <v/>
      </c>
      <c r="AF56" s="15">
        <f>(AE36+AE39+AE43+AE44+AE45+AE47+AE48+AE49+AE50)*Hypothèses!$D$15</f>
        <v/>
      </c>
      <c r="AG56" s="15">
        <f>(AF36+AF39+AF43+AF44+AF45+AF47+AF48+AF49+AF50)*Hypothèses!$D$15</f>
        <v/>
      </c>
      <c r="AH56" s="15">
        <f>(AG36+AG39+AG43+AG44+AG45+AG47+AG48+AG49+AG50)*Hypothèses!$D$15</f>
        <v/>
      </c>
      <c r="AI56" s="15">
        <f>(AH36+AH39+AH43+AH44+AH45+AH47+AH48+AH49+AH50)*Hypothèses!$D$15</f>
        <v/>
      </c>
      <c r="AJ56" s="15">
        <f>(AI36+AI39+AI43+AI44+AI45+AI47+AI48+AI49+AI50)*Hypothèses!$D$15</f>
        <v/>
      </c>
      <c r="AK56" s="15">
        <f>(AJ36+AJ39+AJ43+AJ44+AJ45+AJ47+AJ48+AJ49+AJ50)*Hypothèses!$D$15</f>
        <v/>
      </c>
      <c r="AL56" s="15">
        <f>(AK36+AK39+AK43+AK44+AK45+AK47+AK48+AK49+AK50)*Hypothèses!$D$15</f>
        <v/>
      </c>
      <c r="AN56" s="15">
        <f>SUM(C56:N56)</f>
        <v/>
      </c>
      <c r="AO56" s="15">
        <f>SUM(O56:Z56)</f>
        <v/>
      </c>
      <c r="AP56" s="15">
        <f>SUM(AA56:AL56)</f>
        <v/>
      </c>
    </row>
    <row r="57">
      <c r="A57" s="9" t="inlineStr">
        <is>
          <t>Financement reçu</t>
        </is>
      </c>
      <c r="B57" s="4" t="inlineStr">
        <is>
          <t>€</t>
        </is>
      </c>
      <c r="C57" s="15">
        <f>Hypothèses!$D$56*(IF(C7=Hypothèses!$D$57,Hypothèses!$D$58,0)+IF(C7=Hypothèses!$D$59,Hypothèses!$D$60,0)+IF(C7=Hypothèses!$D$61,Hypothèses!$D$62,0))</f>
        <v/>
      </c>
      <c r="D57" s="15">
        <f>Hypothèses!$D$56*(IF(D7=Hypothèses!$D$57,Hypothèses!$D$58,0)+IF(D7=Hypothèses!$D$59,Hypothèses!$D$60,0)+IF(D7=Hypothèses!$D$61,Hypothèses!$D$62,0))</f>
        <v/>
      </c>
      <c r="E57" s="15">
        <f>Hypothèses!$D$56*(IF(E7=Hypothèses!$D$57,Hypothèses!$D$58,0)+IF(E7=Hypothèses!$D$59,Hypothèses!$D$60,0)+IF(E7=Hypothèses!$D$61,Hypothèses!$D$62,0))</f>
        <v/>
      </c>
      <c r="F57" s="15">
        <f>Hypothèses!$D$56*(IF(F7=Hypothèses!$D$57,Hypothèses!$D$58,0)+IF(F7=Hypothèses!$D$59,Hypothèses!$D$60,0)+IF(F7=Hypothèses!$D$61,Hypothèses!$D$62,0))</f>
        <v/>
      </c>
      <c r="G57" s="15">
        <f>Hypothèses!$D$56*(IF(G7=Hypothèses!$D$57,Hypothèses!$D$58,0)+IF(G7=Hypothèses!$D$59,Hypothèses!$D$60,0)+IF(G7=Hypothèses!$D$61,Hypothèses!$D$62,0))</f>
        <v/>
      </c>
      <c r="H57" s="15">
        <f>Hypothèses!$D$56*(IF(H7=Hypothèses!$D$57,Hypothèses!$D$58,0)+IF(H7=Hypothèses!$D$59,Hypothèses!$D$60,0)+IF(H7=Hypothèses!$D$61,Hypothèses!$D$62,0))</f>
        <v/>
      </c>
      <c r="I57" s="15">
        <f>Hypothèses!$D$56*(IF(I7=Hypothèses!$D$57,Hypothèses!$D$58,0)+IF(I7=Hypothèses!$D$59,Hypothèses!$D$60,0)+IF(I7=Hypothèses!$D$61,Hypothèses!$D$62,0))</f>
        <v/>
      </c>
      <c r="J57" s="15">
        <f>Hypothèses!$D$56*(IF(J7=Hypothèses!$D$57,Hypothèses!$D$58,0)+IF(J7=Hypothèses!$D$59,Hypothèses!$D$60,0)+IF(J7=Hypothèses!$D$61,Hypothèses!$D$62,0))</f>
        <v/>
      </c>
      <c r="K57" s="15">
        <f>Hypothèses!$D$56*(IF(K7=Hypothèses!$D$57,Hypothèses!$D$58,0)+IF(K7=Hypothèses!$D$59,Hypothèses!$D$60,0)+IF(K7=Hypothèses!$D$61,Hypothèses!$D$62,0))</f>
        <v/>
      </c>
      <c r="L57" s="15">
        <f>Hypothèses!$D$56*(IF(L7=Hypothèses!$D$57,Hypothèses!$D$58,0)+IF(L7=Hypothèses!$D$59,Hypothèses!$D$60,0)+IF(L7=Hypothèses!$D$61,Hypothèses!$D$62,0))</f>
        <v/>
      </c>
      <c r="M57" s="15">
        <f>Hypothèses!$D$56*(IF(M7=Hypothèses!$D$57,Hypothèses!$D$58,0)+IF(M7=Hypothèses!$D$59,Hypothèses!$D$60,0)+IF(M7=Hypothèses!$D$61,Hypothèses!$D$62,0))</f>
        <v/>
      </c>
      <c r="N57" s="15">
        <f>Hypothèses!$D$56*(IF(N7=Hypothèses!$D$57,Hypothèses!$D$58,0)+IF(N7=Hypothèses!$D$59,Hypothèses!$D$60,0)+IF(N7=Hypothèses!$D$61,Hypothèses!$D$62,0))</f>
        <v/>
      </c>
      <c r="O57" s="15">
        <f>Hypothèses!$D$56*(IF(O7=Hypothèses!$D$57,Hypothèses!$D$58,0)+IF(O7=Hypothèses!$D$59,Hypothèses!$D$60,0)+IF(O7=Hypothèses!$D$61,Hypothèses!$D$62,0))</f>
        <v/>
      </c>
      <c r="P57" s="15">
        <f>Hypothèses!$D$56*(IF(P7=Hypothèses!$D$57,Hypothèses!$D$58,0)+IF(P7=Hypothèses!$D$59,Hypothèses!$D$60,0)+IF(P7=Hypothèses!$D$61,Hypothèses!$D$62,0))</f>
        <v/>
      </c>
      <c r="Q57" s="15">
        <f>Hypothèses!$D$56*(IF(Q7=Hypothèses!$D$57,Hypothèses!$D$58,0)+IF(Q7=Hypothèses!$D$59,Hypothèses!$D$60,0)+IF(Q7=Hypothèses!$D$61,Hypothèses!$D$62,0))</f>
        <v/>
      </c>
      <c r="R57" s="15">
        <f>Hypothèses!$D$56*(IF(R7=Hypothèses!$D$57,Hypothèses!$D$58,0)+IF(R7=Hypothèses!$D$59,Hypothèses!$D$60,0)+IF(R7=Hypothèses!$D$61,Hypothèses!$D$62,0))</f>
        <v/>
      </c>
      <c r="S57" s="15">
        <f>Hypothèses!$D$56*(IF(S7=Hypothèses!$D$57,Hypothèses!$D$58,0)+IF(S7=Hypothèses!$D$59,Hypothèses!$D$60,0)+IF(S7=Hypothèses!$D$61,Hypothèses!$D$62,0))</f>
        <v/>
      </c>
      <c r="T57" s="15">
        <f>Hypothèses!$D$56*(IF(T7=Hypothèses!$D$57,Hypothèses!$D$58,0)+IF(T7=Hypothèses!$D$59,Hypothèses!$D$60,0)+IF(T7=Hypothèses!$D$61,Hypothèses!$D$62,0))</f>
        <v/>
      </c>
      <c r="U57" s="15">
        <f>Hypothèses!$D$56*(IF(U7=Hypothèses!$D$57,Hypothèses!$D$58,0)+IF(U7=Hypothèses!$D$59,Hypothèses!$D$60,0)+IF(U7=Hypothèses!$D$61,Hypothèses!$D$62,0))</f>
        <v/>
      </c>
      <c r="V57" s="15">
        <f>Hypothèses!$D$56*(IF(V7=Hypothèses!$D$57,Hypothèses!$D$58,0)+IF(V7=Hypothèses!$D$59,Hypothèses!$D$60,0)+IF(V7=Hypothèses!$D$61,Hypothèses!$D$62,0))</f>
        <v/>
      </c>
      <c r="W57" s="15">
        <f>Hypothèses!$D$56*(IF(W7=Hypothèses!$D$57,Hypothèses!$D$58,0)+IF(W7=Hypothèses!$D$59,Hypothèses!$D$60,0)+IF(W7=Hypothèses!$D$61,Hypothèses!$D$62,0))</f>
        <v/>
      </c>
      <c r="X57" s="15">
        <f>Hypothèses!$D$56*(IF(X7=Hypothèses!$D$57,Hypothèses!$D$58,0)+IF(X7=Hypothèses!$D$59,Hypothèses!$D$60,0)+IF(X7=Hypothèses!$D$61,Hypothèses!$D$62,0))</f>
        <v/>
      </c>
      <c r="Y57" s="15">
        <f>Hypothèses!$D$56*(IF(Y7=Hypothèses!$D$57,Hypothèses!$D$58,0)+IF(Y7=Hypothèses!$D$59,Hypothèses!$D$60,0)+IF(Y7=Hypothèses!$D$61,Hypothèses!$D$62,0))</f>
        <v/>
      </c>
      <c r="Z57" s="15">
        <f>Hypothèses!$D$56*(IF(Z7=Hypothèses!$D$57,Hypothèses!$D$58,0)+IF(Z7=Hypothèses!$D$59,Hypothèses!$D$60,0)+IF(Z7=Hypothèses!$D$61,Hypothèses!$D$62,0))</f>
        <v/>
      </c>
      <c r="AA57" s="15">
        <f>Hypothèses!$D$56*(IF(AA7=Hypothèses!$D$57,Hypothèses!$D$58,0)+IF(AA7=Hypothèses!$D$59,Hypothèses!$D$60,0)+IF(AA7=Hypothèses!$D$61,Hypothèses!$D$62,0))</f>
        <v/>
      </c>
      <c r="AB57" s="15">
        <f>Hypothèses!$D$56*(IF(AB7=Hypothèses!$D$57,Hypothèses!$D$58,0)+IF(AB7=Hypothèses!$D$59,Hypothèses!$D$60,0)+IF(AB7=Hypothèses!$D$61,Hypothèses!$D$62,0))</f>
        <v/>
      </c>
      <c r="AC57" s="15">
        <f>Hypothèses!$D$56*(IF(AC7=Hypothèses!$D$57,Hypothèses!$D$58,0)+IF(AC7=Hypothèses!$D$59,Hypothèses!$D$60,0)+IF(AC7=Hypothèses!$D$61,Hypothèses!$D$62,0))</f>
        <v/>
      </c>
      <c r="AD57" s="15">
        <f>Hypothèses!$D$56*(IF(AD7=Hypothèses!$D$57,Hypothèses!$D$58,0)+IF(AD7=Hypothèses!$D$59,Hypothèses!$D$60,0)+IF(AD7=Hypothèses!$D$61,Hypothèses!$D$62,0))</f>
        <v/>
      </c>
      <c r="AE57" s="15">
        <f>Hypothèses!$D$56*(IF(AE7=Hypothèses!$D$57,Hypothèses!$D$58,0)+IF(AE7=Hypothèses!$D$59,Hypothèses!$D$60,0)+IF(AE7=Hypothèses!$D$61,Hypothèses!$D$62,0))</f>
        <v/>
      </c>
      <c r="AF57" s="15">
        <f>Hypothèses!$D$56*(IF(AF7=Hypothèses!$D$57,Hypothèses!$D$58,0)+IF(AF7=Hypothèses!$D$59,Hypothèses!$D$60,0)+IF(AF7=Hypothèses!$D$61,Hypothèses!$D$62,0))</f>
        <v/>
      </c>
      <c r="AG57" s="15">
        <f>Hypothèses!$D$56*(IF(AG7=Hypothèses!$D$57,Hypothèses!$D$58,0)+IF(AG7=Hypothèses!$D$59,Hypothèses!$D$60,0)+IF(AG7=Hypothèses!$D$61,Hypothèses!$D$62,0))</f>
        <v/>
      </c>
      <c r="AH57" s="15">
        <f>Hypothèses!$D$56*(IF(AH7=Hypothèses!$D$57,Hypothèses!$D$58,0)+IF(AH7=Hypothèses!$D$59,Hypothèses!$D$60,0)+IF(AH7=Hypothèses!$D$61,Hypothèses!$D$62,0))</f>
        <v/>
      </c>
      <c r="AI57" s="15">
        <f>Hypothèses!$D$56*(IF(AI7=Hypothèses!$D$57,Hypothèses!$D$58,0)+IF(AI7=Hypothèses!$D$59,Hypothèses!$D$60,0)+IF(AI7=Hypothèses!$D$61,Hypothèses!$D$62,0))</f>
        <v/>
      </c>
      <c r="AJ57" s="15">
        <f>Hypothèses!$D$56*(IF(AJ7=Hypothèses!$D$57,Hypothèses!$D$58,0)+IF(AJ7=Hypothèses!$D$59,Hypothèses!$D$60,0)+IF(AJ7=Hypothèses!$D$61,Hypothèses!$D$62,0))</f>
        <v/>
      </c>
      <c r="AK57" s="15">
        <f>Hypothèses!$D$56*(IF(AK7=Hypothèses!$D$57,Hypothèses!$D$58,0)+IF(AK7=Hypothèses!$D$59,Hypothèses!$D$60,0)+IF(AK7=Hypothèses!$D$61,Hypothèses!$D$62,0))</f>
        <v/>
      </c>
      <c r="AL57" s="15">
        <f>Hypothèses!$D$56*(IF(AL7=Hypothèses!$D$57,Hypothèses!$D$58,0)+IF(AL7=Hypothèses!$D$59,Hypothèses!$D$60,0)+IF(AL7=Hypothèses!$D$61,Hypothèses!$D$62,0))</f>
        <v/>
      </c>
      <c r="AN57" s="15">
        <f>SUM(C57:N57)</f>
        <v/>
      </c>
      <c r="AO57" s="15">
        <f>SUM(O57:Z57)</f>
        <v/>
      </c>
      <c r="AP57" s="15">
        <f>SUM(AA57:AL57)</f>
        <v/>
      </c>
    </row>
    <row r="58">
      <c r="A58" s="9" t="inlineStr">
        <is>
          <t>Trésorerie d'ouverture</t>
        </is>
      </c>
      <c r="B58" s="4" t="inlineStr">
        <is>
          <t>€</t>
        </is>
      </c>
      <c r="C58" s="15">
        <f>Hypothèses!$D$54</f>
        <v/>
      </c>
      <c r="D58" s="15">
        <f>C60</f>
        <v/>
      </c>
      <c r="E58" s="15">
        <f>D60</f>
        <v/>
      </c>
      <c r="F58" s="15">
        <f>E60</f>
        <v/>
      </c>
      <c r="G58" s="15">
        <f>F60</f>
        <v/>
      </c>
      <c r="H58" s="15">
        <f>G60</f>
        <v/>
      </c>
      <c r="I58" s="15">
        <f>H60</f>
        <v/>
      </c>
      <c r="J58" s="15">
        <f>I60</f>
        <v/>
      </c>
      <c r="K58" s="15">
        <f>J60</f>
        <v/>
      </c>
      <c r="L58" s="15">
        <f>K60</f>
        <v/>
      </c>
      <c r="M58" s="15">
        <f>L60</f>
        <v/>
      </c>
      <c r="N58" s="15">
        <f>M60</f>
        <v/>
      </c>
      <c r="O58" s="15">
        <f>N60</f>
        <v/>
      </c>
      <c r="P58" s="15">
        <f>O60</f>
        <v/>
      </c>
      <c r="Q58" s="15">
        <f>P60</f>
        <v/>
      </c>
      <c r="R58" s="15">
        <f>Q60</f>
        <v/>
      </c>
      <c r="S58" s="15">
        <f>R60</f>
        <v/>
      </c>
      <c r="T58" s="15">
        <f>S60</f>
        <v/>
      </c>
      <c r="U58" s="15">
        <f>T60</f>
        <v/>
      </c>
      <c r="V58" s="15">
        <f>U60</f>
        <v/>
      </c>
      <c r="W58" s="15">
        <f>V60</f>
        <v/>
      </c>
      <c r="X58" s="15">
        <f>W60</f>
        <v/>
      </c>
      <c r="Y58" s="15">
        <f>X60</f>
        <v/>
      </c>
      <c r="Z58" s="15">
        <f>Y60</f>
        <v/>
      </c>
      <c r="AA58" s="15">
        <f>Z60</f>
        <v/>
      </c>
      <c r="AB58" s="15">
        <f>AA60</f>
        <v/>
      </c>
      <c r="AC58" s="15">
        <f>AB60</f>
        <v/>
      </c>
      <c r="AD58" s="15">
        <f>AC60</f>
        <v/>
      </c>
      <c r="AE58" s="15">
        <f>AD60</f>
        <v/>
      </c>
      <c r="AF58" s="15">
        <f>AE60</f>
        <v/>
      </c>
      <c r="AG58" s="15">
        <f>AF60</f>
        <v/>
      </c>
      <c r="AH58" s="15">
        <f>AG60</f>
        <v/>
      </c>
      <c r="AI58" s="15">
        <f>AH60</f>
        <v/>
      </c>
      <c r="AJ58" s="15">
        <f>AI60</f>
        <v/>
      </c>
      <c r="AK58" s="15">
        <f>AJ60</f>
        <v/>
      </c>
      <c r="AL58" s="15">
        <f>AK60</f>
        <v/>
      </c>
    </row>
    <row r="59">
      <c r="A59" s="9" t="inlineStr">
        <is>
          <t>Flux de trésorerie du mois</t>
        </is>
      </c>
      <c r="B59" s="4" t="inlineStr">
        <is>
          <t>€</t>
        </is>
      </c>
      <c r="C59" s="15">
        <f>C31-C36-C39-C51-C55+C56+C57</f>
        <v/>
      </c>
      <c r="D59" s="15">
        <f>D31-D36-D39-D51-D55+D56+D57</f>
        <v/>
      </c>
      <c r="E59" s="15">
        <f>E31-E36-E39-E51-E55+E56+E57</f>
        <v/>
      </c>
      <c r="F59" s="15">
        <f>F31-F36-F39-F51-F55+F56+F57</f>
        <v/>
      </c>
      <c r="G59" s="15">
        <f>G31-G36-G39-G51-G55+G56+G57</f>
        <v/>
      </c>
      <c r="H59" s="15">
        <f>H31-H36-H39-H51-H55+H56+H57</f>
        <v/>
      </c>
      <c r="I59" s="15">
        <f>I31-I36-I39-I51-I55+I56+I57</f>
        <v/>
      </c>
      <c r="J59" s="15">
        <f>J31-J36-J39-J51-J55+J56+J57</f>
        <v/>
      </c>
      <c r="K59" s="15">
        <f>K31-K36-K39-K51-K55+K56+K57</f>
        <v/>
      </c>
      <c r="L59" s="15">
        <f>L31-L36-L39-L51-L55+L56+L57</f>
        <v/>
      </c>
      <c r="M59" s="15">
        <f>M31-M36-M39-M51-M55+M56+M57</f>
        <v/>
      </c>
      <c r="N59" s="15">
        <f>N31-N36-N39-N51-N55+N56+N57</f>
        <v/>
      </c>
      <c r="O59" s="15">
        <f>O31-O36-O39-O51-O55+O56+O57</f>
        <v/>
      </c>
      <c r="P59" s="15">
        <f>P31-P36-P39-P51-P55+P56+P57</f>
        <v/>
      </c>
      <c r="Q59" s="15">
        <f>Q31-Q36-Q39-Q51-Q55+Q56+Q57</f>
        <v/>
      </c>
      <c r="R59" s="15">
        <f>R31-R36-R39-R51-R55+R56+R57</f>
        <v/>
      </c>
      <c r="S59" s="15">
        <f>S31-S36-S39-S51-S55+S56+S57</f>
        <v/>
      </c>
      <c r="T59" s="15">
        <f>T31-T36-T39-T51-T55+T56+T57</f>
        <v/>
      </c>
      <c r="U59" s="15">
        <f>U31-U36-U39-U51-U55+U56+U57</f>
        <v/>
      </c>
      <c r="V59" s="15">
        <f>V31-V36-V39-V51-V55+V56+V57</f>
        <v/>
      </c>
      <c r="W59" s="15">
        <f>W31-W36-W39-W51-W55+W56+W57</f>
        <v/>
      </c>
      <c r="X59" s="15">
        <f>X31-X36-X39-X51-X55+X56+X57</f>
        <v/>
      </c>
      <c r="Y59" s="15">
        <f>Y31-Y36-Y39-Y51-Y55+Y56+Y57</f>
        <v/>
      </c>
      <c r="Z59" s="15">
        <f>Z31-Z36-Z39-Z51-Z55+Z56+Z57</f>
        <v/>
      </c>
      <c r="AA59" s="15">
        <f>AA31-AA36-AA39-AA51-AA55+AA56+AA57</f>
        <v/>
      </c>
      <c r="AB59" s="15">
        <f>AB31-AB36-AB39-AB51-AB55+AB56+AB57</f>
        <v/>
      </c>
      <c r="AC59" s="15">
        <f>AC31-AC36-AC39-AC51-AC55+AC56+AC57</f>
        <v/>
      </c>
      <c r="AD59" s="15">
        <f>AD31-AD36-AD39-AD51-AD55+AD56+AD57</f>
        <v/>
      </c>
      <c r="AE59" s="15">
        <f>AE31-AE36-AE39-AE51-AE55+AE56+AE57</f>
        <v/>
      </c>
      <c r="AF59" s="15">
        <f>AF31-AF36-AF39-AF51-AF55+AF56+AF57</f>
        <v/>
      </c>
      <c r="AG59" s="15">
        <f>AG31-AG36-AG39-AG51-AG55+AG56+AG57</f>
        <v/>
      </c>
      <c r="AH59" s="15">
        <f>AH31-AH36-AH39-AH51-AH55+AH56+AH57</f>
        <v/>
      </c>
      <c r="AI59" s="15">
        <f>AI31-AI36-AI39-AI51-AI55+AI56+AI57</f>
        <v/>
      </c>
      <c r="AJ59" s="15">
        <f>AJ31-AJ36-AJ39-AJ51-AJ55+AJ56+AJ57</f>
        <v/>
      </c>
      <c r="AK59" s="15">
        <f>AK31-AK36-AK39-AK51-AK55+AK56+AK57</f>
        <v/>
      </c>
      <c r="AL59" s="15">
        <f>AL31-AL36-AL39-AL51-AL55+AL56+AL57</f>
        <v/>
      </c>
      <c r="AN59" s="15">
        <f>SUM(C59:N59)</f>
        <v/>
      </c>
      <c r="AO59" s="15">
        <f>SUM(O59:Z59)</f>
        <v/>
      </c>
      <c r="AP59" s="15">
        <f>SUM(AA59:AL59)</f>
        <v/>
      </c>
    </row>
    <row r="60">
      <c r="A60" s="2" t="inlineStr">
        <is>
          <t>Trésorerie de clôture</t>
        </is>
      </c>
      <c r="B60" s="4" t="inlineStr">
        <is>
          <t>€</t>
        </is>
      </c>
      <c r="C60" s="40">
        <f>C58+C59</f>
        <v/>
      </c>
      <c r="D60" s="40">
        <f>D58+D59</f>
        <v/>
      </c>
      <c r="E60" s="40">
        <f>E58+E59</f>
        <v/>
      </c>
      <c r="F60" s="40">
        <f>F58+F59</f>
        <v/>
      </c>
      <c r="G60" s="40">
        <f>G58+G59</f>
        <v/>
      </c>
      <c r="H60" s="40">
        <f>H58+H59</f>
        <v/>
      </c>
      <c r="I60" s="40">
        <f>I58+I59</f>
        <v/>
      </c>
      <c r="J60" s="40">
        <f>J58+J59</f>
        <v/>
      </c>
      <c r="K60" s="40">
        <f>K58+K59</f>
        <v/>
      </c>
      <c r="L60" s="40">
        <f>L58+L59</f>
        <v/>
      </c>
      <c r="M60" s="40">
        <f>M58+M59</f>
        <v/>
      </c>
      <c r="N60" s="40">
        <f>N58+N59</f>
        <v/>
      </c>
      <c r="O60" s="40">
        <f>O58+O59</f>
        <v/>
      </c>
      <c r="P60" s="40">
        <f>P58+P59</f>
        <v/>
      </c>
      <c r="Q60" s="40">
        <f>Q58+Q59</f>
        <v/>
      </c>
      <c r="R60" s="40">
        <f>R58+R59</f>
        <v/>
      </c>
      <c r="S60" s="40">
        <f>S58+S59</f>
        <v/>
      </c>
      <c r="T60" s="40">
        <f>T58+T59</f>
        <v/>
      </c>
      <c r="U60" s="40">
        <f>U58+U59</f>
        <v/>
      </c>
      <c r="V60" s="40">
        <f>V58+V59</f>
        <v/>
      </c>
      <c r="W60" s="40">
        <f>W58+W59</f>
        <v/>
      </c>
      <c r="X60" s="40">
        <f>X58+X59</f>
        <v/>
      </c>
      <c r="Y60" s="40">
        <f>Y58+Y59</f>
        <v/>
      </c>
      <c r="Z60" s="40">
        <f>Z58+Z59</f>
        <v/>
      </c>
      <c r="AA60" s="40">
        <f>AA58+AA59</f>
        <v/>
      </c>
      <c r="AB60" s="40">
        <f>AB58+AB59</f>
        <v/>
      </c>
      <c r="AC60" s="40">
        <f>AC58+AC59</f>
        <v/>
      </c>
      <c r="AD60" s="40">
        <f>AD58+AD59</f>
        <v/>
      </c>
      <c r="AE60" s="40">
        <f>AE58+AE59</f>
        <v/>
      </c>
      <c r="AF60" s="40">
        <f>AF58+AF59</f>
        <v/>
      </c>
      <c r="AG60" s="40">
        <f>AG58+AG59</f>
        <v/>
      </c>
      <c r="AH60" s="40">
        <f>AH58+AH59</f>
        <v/>
      </c>
      <c r="AI60" s="40">
        <f>AI58+AI59</f>
        <v/>
      </c>
      <c r="AJ60" s="40">
        <f>AJ58+AJ59</f>
        <v/>
      </c>
      <c r="AK60" s="40">
        <f>AK58+AK59</f>
        <v/>
      </c>
      <c r="AL60" s="40">
        <f>AL58+AL59</f>
        <v/>
      </c>
      <c r="AN60" s="40">
        <f>N60</f>
        <v/>
      </c>
      <c r="AO60" s="40">
        <f>Z60</f>
        <v/>
      </c>
      <c r="AP60" s="40">
        <f>AL60</f>
        <v/>
      </c>
    </row>
    <row r="61">
      <c r="A61" s="9" t="inlineStr">
        <is>
          <t>Financement cumulé</t>
        </is>
      </c>
      <c r="B61" s="4" t="inlineStr">
        <is>
          <t>€</t>
        </is>
      </c>
      <c r="C61" s="15">
        <f>0+C57</f>
        <v/>
      </c>
      <c r="D61" s="15">
        <f>C61+D57</f>
        <v/>
      </c>
      <c r="E61" s="15">
        <f>D61+E57</f>
        <v/>
      </c>
      <c r="F61" s="15">
        <f>E61+F57</f>
        <v/>
      </c>
      <c r="G61" s="15">
        <f>F61+G57</f>
        <v/>
      </c>
      <c r="H61" s="15">
        <f>G61+H57</f>
        <v/>
      </c>
      <c r="I61" s="15">
        <f>H61+I57</f>
        <v/>
      </c>
      <c r="J61" s="15">
        <f>I61+J57</f>
        <v/>
      </c>
      <c r="K61" s="15">
        <f>J61+K57</f>
        <v/>
      </c>
      <c r="L61" s="15">
        <f>K61+L57</f>
        <v/>
      </c>
      <c r="M61" s="15">
        <f>L61+M57</f>
        <v/>
      </c>
      <c r="N61" s="15">
        <f>M61+N57</f>
        <v/>
      </c>
      <c r="O61" s="15">
        <f>N61+O57</f>
        <v/>
      </c>
      <c r="P61" s="15">
        <f>O61+P57</f>
        <v/>
      </c>
      <c r="Q61" s="15">
        <f>P61+Q57</f>
        <v/>
      </c>
      <c r="R61" s="15">
        <f>Q61+R57</f>
        <v/>
      </c>
      <c r="S61" s="15">
        <f>R61+S57</f>
        <v/>
      </c>
      <c r="T61" s="15">
        <f>S61+T57</f>
        <v/>
      </c>
      <c r="U61" s="15">
        <f>T61+U57</f>
        <v/>
      </c>
      <c r="V61" s="15">
        <f>U61+V57</f>
        <v/>
      </c>
      <c r="W61" s="15">
        <f>V61+W57</f>
        <v/>
      </c>
      <c r="X61" s="15">
        <f>W61+X57</f>
        <v/>
      </c>
      <c r="Y61" s="15">
        <f>X61+Y57</f>
        <v/>
      </c>
      <c r="Z61" s="15">
        <f>Y61+Z57</f>
        <v/>
      </c>
      <c r="AA61" s="15">
        <f>Z61+AA57</f>
        <v/>
      </c>
      <c r="AB61" s="15">
        <f>AA61+AB57</f>
        <v/>
      </c>
      <c r="AC61" s="15">
        <f>AB61+AC57</f>
        <v/>
      </c>
      <c r="AD61" s="15">
        <f>AC61+AD57</f>
        <v/>
      </c>
      <c r="AE61" s="15">
        <f>AD61+AE57</f>
        <v/>
      </c>
      <c r="AF61" s="15">
        <f>AE61+AF57</f>
        <v/>
      </c>
      <c r="AG61" s="15">
        <f>AF61+AG57</f>
        <v/>
      </c>
      <c r="AH61" s="15">
        <f>AG61+AH57</f>
        <v/>
      </c>
      <c r="AI61" s="15">
        <f>AH61+AI57</f>
        <v/>
      </c>
      <c r="AJ61" s="15">
        <f>AI61+AJ57</f>
        <v/>
      </c>
      <c r="AK61" s="15">
        <f>AJ61+AK57</f>
        <v/>
      </c>
      <c r="AL61" s="15">
        <f>AK61+AL57</f>
        <v/>
      </c>
      <c r="AN61" s="15">
        <f>N61</f>
        <v/>
      </c>
      <c r="AO61" s="15">
        <f>Z61</f>
        <v/>
      </c>
      <c r="AP61" s="15">
        <f>AL61</f>
        <v/>
      </c>
    </row>
    <row r="62">
      <c r="A62" s="2" t="inlineStr">
        <is>
          <t>Trésorerie cumulée hors financement</t>
        </is>
      </c>
      <c r="B62" s="4" t="inlineStr">
        <is>
          <t>€</t>
        </is>
      </c>
      <c r="C62" s="40">
        <f>C60-C61</f>
        <v/>
      </c>
      <c r="D62" s="40">
        <f>D60-D61</f>
        <v/>
      </c>
      <c r="E62" s="40">
        <f>E60-E61</f>
        <v/>
      </c>
      <c r="F62" s="40">
        <f>F60-F61</f>
        <v/>
      </c>
      <c r="G62" s="40">
        <f>G60-G61</f>
        <v/>
      </c>
      <c r="H62" s="40">
        <f>H60-H61</f>
        <v/>
      </c>
      <c r="I62" s="40">
        <f>I60-I61</f>
        <v/>
      </c>
      <c r="J62" s="40">
        <f>J60-J61</f>
        <v/>
      </c>
      <c r="K62" s="40">
        <f>K60-K61</f>
        <v/>
      </c>
      <c r="L62" s="40">
        <f>L60-L61</f>
        <v/>
      </c>
      <c r="M62" s="40">
        <f>M60-M61</f>
        <v/>
      </c>
      <c r="N62" s="40">
        <f>N60-N61</f>
        <v/>
      </c>
      <c r="O62" s="40">
        <f>O60-O61</f>
        <v/>
      </c>
      <c r="P62" s="40">
        <f>P60-P61</f>
        <v/>
      </c>
      <c r="Q62" s="40">
        <f>Q60-Q61</f>
        <v/>
      </c>
      <c r="R62" s="40">
        <f>R60-R61</f>
        <v/>
      </c>
      <c r="S62" s="40">
        <f>S60-S61</f>
        <v/>
      </c>
      <c r="T62" s="40">
        <f>T60-T61</f>
        <v/>
      </c>
      <c r="U62" s="40">
        <f>U60-U61</f>
        <v/>
      </c>
      <c r="V62" s="40">
        <f>V60-V61</f>
        <v/>
      </c>
      <c r="W62" s="40">
        <f>W60-W61</f>
        <v/>
      </c>
      <c r="X62" s="40">
        <f>X60-X61</f>
        <v/>
      </c>
      <c r="Y62" s="40">
        <f>Y60-Y61</f>
        <v/>
      </c>
      <c r="Z62" s="40">
        <f>Z60-Z61</f>
        <v/>
      </c>
      <c r="AA62" s="40">
        <f>AA60-AA61</f>
        <v/>
      </c>
      <c r="AB62" s="40">
        <f>AB60-AB61</f>
        <v/>
      </c>
      <c r="AC62" s="40">
        <f>AC60-AC61</f>
        <v/>
      </c>
      <c r="AD62" s="40">
        <f>AD60-AD61</f>
        <v/>
      </c>
      <c r="AE62" s="40">
        <f>AE60-AE61</f>
        <v/>
      </c>
      <c r="AF62" s="40">
        <f>AF60-AF61</f>
        <v/>
      </c>
      <c r="AG62" s="40">
        <f>AG60-AG61</f>
        <v/>
      </c>
      <c r="AH62" s="40">
        <f>AH60-AH61</f>
        <v/>
      </c>
      <c r="AI62" s="40">
        <f>AI60-AI61</f>
        <v/>
      </c>
      <c r="AJ62" s="40">
        <f>AJ60-AJ61</f>
        <v/>
      </c>
      <c r="AK62" s="40">
        <f>AK60-AK61</f>
        <v/>
      </c>
      <c r="AL62" s="40">
        <f>AL60-AL61</f>
        <v/>
      </c>
      <c r="AN62" s="40">
        <f>N62</f>
        <v/>
      </c>
      <c r="AO62" s="40">
        <f>Z62</f>
        <v/>
      </c>
      <c r="AP62" s="40">
        <f>AL62</f>
        <v/>
      </c>
    </row>
    <row r="63">
      <c r="A63" s="9" t="inlineStr">
        <is>
          <t>Point bas glissant hors financement</t>
        </is>
      </c>
      <c r="B63" s="4" t="inlineStr">
        <is>
          <t>€</t>
        </is>
      </c>
      <c r="C63" s="15">
        <f>C62</f>
        <v/>
      </c>
      <c r="D63" s="15">
        <f>MIN(C63,D62)</f>
        <v/>
      </c>
      <c r="E63" s="15">
        <f>MIN(D63,E62)</f>
        <v/>
      </c>
      <c r="F63" s="15">
        <f>MIN(E63,F62)</f>
        <v/>
      </c>
      <c r="G63" s="15">
        <f>MIN(F63,G62)</f>
        <v/>
      </c>
      <c r="H63" s="15">
        <f>MIN(G63,H62)</f>
        <v/>
      </c>
      <c r="I63" s="15">
        <f>MIN(H63,I62)</f>
        <v/>
      </c>
      <c r="J63" s="15">
        <f>MIN(I63,J62)</f>
        <v/>
      </c>
      <c r="K63" s="15">
        <f>MIN(J63,K62)</f>
        <v/>
      </c>
      <c r="L63" s="15">
        <f>MIN(K63,L62)</f>
        <v/>
      </c>
      <c r="M63" s="15">
        <f>MIN(L63,M62)</f>
        <v/>
      </c>
      <c r="N63" s="15">
        <f>MIN(M63,N62)</f>
        <v/>
      </c>
      <c r="O63" s="15">
        <f>MIN(N63,O62)</f>
        <v/>
      </c>
      <c r="P63" s="15">
        <f>MIN(O63,P62)</f>
        <v/>
      </c>
      <c r="Q63" s="15">
        <f>MIN(P63,Q62)</f>
        <v/>
      </c>
      <c r="R63" s="15">
        <f>MIN(Q63,R62)</f>
        <v/>
      </c>
      <c r="S63" s="15">
        <f>MIN(R63,S62)</f>
        <v/>
      </c>
      <c r="T63" s="15">
        <f>MIN(S63,T62)</f>
        <v/>
      </c>
      <c r="U63" s="15">
        <f>MIN(T63,U62)</f>
        <v/>
      </c>
      <c r="V63" s="15">
        <f>MIN(U63,V62)</f>
        <v/>
      </c>
      <c r="W63" s="15">
        <f>MIN(V63,W62)</f>
        <v/>
      </c>
      <c r="X63" s="15">
        <f>MIN(W63,X62)</f>
        <v/>
      </c>
      <c r="Y63" s="15">
        <f>MIN(X63,Y62)</f>
        <v/>
      </c>
      <c r="Z63" s="15">
        <f>MIN(Y63,Z62)</f>
        <v/>
      </c>
      <c r="AA63" s="15">
        <f>MIN(Z63,AA62)</f>
        <v/>
      </c>
      <c r="AB63" s="15">
        <f>MIN(AA63,AB62)</f>
        <v/>
      </c>
      <c r="AC63" s="15">
        <f>MIN(AB63,AC62)</f>
        <v/>
      </c>
      <c r="AD63" s="15">
        <f>MIN(AC63,AD62)</f>
        <v/>
      </c>
      <c r="AE63" s="15">
        <f>MIN(AD63,AE62)</f>
        <v/>
      </c>
      <c r="AF63" s="15">
        <f>MIN(AE63,AF62)</f>
        <v/>
      </c>
      <c r="AG63" s="15">
        <f>MIN(AF63,AG62)</f>
        <v/>
      </c>
      <c r="AH63" s="15">
        <f>MIN(AG63,AH62)</f>
        <v/>
      </c>
      <c r="AI63" s="15">
        <f>MIN(AH63,AI62)</f>
        <v/>
      </c>
      <c r="AJ63" s="15">
        <f>MIN(AI63,AJ62)</f>
        <v/>
      </c>
      <c r="AK63" s="15">
        <f>MIN(AJ63,AK62)</f>
        <v/>
      </c>
      <c r="AL63" s="15">
        <f>MIN(AK63,AL62)</f>
        <v/>
      </c>
      <c r="AN63" s="15">
        <f>N63</f>
        <v/>
      </c>
      <c r="AO63" s="15">
        <f>Z63</f>
        <v/>
      </c>
      <c r="AP63" s="15">
        <f>AL63</f>
        <v/>
      </c>
    </row>
    <row r="64">
      <c r="A64" s="9" t="inlineStr">
        <is>
          <t>Trésorerie cumulée hors financement positive après lancement ? (1 = oui)</t>
        </is>
      </c>
      <c r="B64" s="4" t="inlineStr">
        <is>
          <t>0/1</t>
        </is>
      </c>
      <c r="C64" s="13">
        <f>IF(AND(C9=1,C62&gt;0),1,0)</f>
        <v/>
      </c>
      <c r="D64" s="13">
        <f>IF(AND(D9=1,D62&gt;0),1,0)</f>
        <v/>
      </c>
      <c r="E64" s="13">
        <f>IF(AND(E9=1,E62&gt;0),1,0)</f>
        <v/>
      </c>
      <c r="F64" s="13">
        <f>IF(AND(F9=1,F62&gt;0),1,0)</f>
        <v/>
      </c>
      <c r="G64" s="13">
        <f>IF(AND(G9=1,G62&gt;0),1,0)</f>
        <v/>
      </c>
      <c r="H64" s="13">
        <f>IF(AND(H9=1,H62&gt;0),1,0)</f>
        <v/>
      </c>
      <c r="I64" s="13">
        <f>IF(AND(I9=1,I62&gt;0),1,0)</f>
        <v/>
      </c>
      <c r="J64" s="13">
        <f>IF(AND(J9=1,J62&gt;0),1,0)</f>
        <v/>
      </c>
      <c r="K64" s="13">
        <f>IF(AND(K9=1,K62&gt;0),1,0)</f>
        <v/>
      </c>
      <c r="L64" s="13">
        <f>IF(AND(L9=1,L62&gt;0),1,0)</f>
        <v/>
      </c>
      <c r="M64" s="13">
        <f>IF(AND(M9=1,M62&gt;0),1,0)</f>
        <v/>
      </c>
      <c r="N64" s="13">
        <f>IF(AND(N9=1,N62&gt;0),1,0)</f>
        <v/>
      </c>
      <c r="O64" s="13">
        <f>IF(AND(O9=1,O62&gt;0),1,0)</f>
        <v/>
      </c>
      <c r="P64" s="13">
        <f>IF(AND(P9=1,P62&gt;0),1,0)</f>
        <v/>
      </c>
      <c r="Q64" s="13">
        <f>IF(AND(Q9=1,Q62&gt;0),1,0)</f>
        <v/>
      </c>
      <c r="R64" s="13">
        <f>IF(AND(R9=1,R62&gt;0),1,0)</f>
        <v/>
      </c>
      <c r="S64" s="13">
        <f>IF(AND(S9=1,S62&gt;0),1,0)</f>
        <v/>
      </c>
      <c r="T64" s="13">
        <f>IF(AND(T9=1,T62&gt;0),1,0)</f>
        <v/>
      </c>
      <c r="U64" s="13">
        <f>IF(AND(U9=1,U62&gt;0),1,0)</f>
        <v/>
      </c>
      <c r="V64" s="13">
        <f>IF(AND(V9=1,V62&gt;0),1,0)</f>
        <v/>
      </c>
      <c r="W64" s="13">
        <f>IF(AND(W9=1,W62&gt;0),1,0)</f>
        <v/>
      </c>
      <c r="X64" s="13">
        <f>IF(AND(X9=1,X62&gt;0),1,0)</f>
        <v/>
      </c>
      <c r="Y64" s="13">
        <f>IF(AND(Y9=1,Y62&gt;0),1,0)</f>
        <v/>
      </c>
      <c r="Z64" s="13">
        <f>IF(AND(Z9=1,Z62&gt;0),1,0)</f>
        <v/>
      </c>
      <c r="AA64" s="13">
        <f>IF(AND(AA9=1,AA62&gt;0),1,0)</f>
        <v/>
      </c>
      <c r="AB64" s="13">
        <f>IF(AND(AB9=1,AB62&gt;0),1,0)</f>
        <v/>
      </c>
      <c r="AC64" s="13">
        <f>IF(AND(AC9=1,AC62&gt;0),1,0)</f>
        <v/>
      </c>
      <c r="AD64" s="13">
        <f>IF(AND(AD9=1,AD62&gt;0),1,0)</f>
        <v/>
      </c>
      <c r="AE64" s="13">
        <f>IF(AND(AE9=1,AE62&gt;0),1,0)</f>
        <v/>
      </c>
      <c r="AF64" s="13">
        <f>IF(AND(AF9=1,AF62&gt;0),1,0)</f>
        <v/>
      </c>
      <c r="AG64" s="13">
        <f>IF(AND(AG9=1,AG62&gt;0),1,0)</f>
        <v/>
      </c>
      <c r="AH64" s="13">
        <f>IF(AND(AH9=1,AH62&gt;0),1,0)</f>
        <v/>
      </c>
      <c r="AI64" s="13">
        <f>IF(AND(AI9=1,AI62&gt;0),1,0)</f>
        <v/>
      </c>
      <c r="AJ64" s="13">
        <f>IF(AND(AJ9=1,AJ62&gt;0),1,0)</f>
        <v/>
      </c>
      <c r="AK64" s="13">
        <f>IF(AND(AK9=1,AK62&gt;0),1,0)</f>
        <v/>
      </c>
      <c r="AL64" s="13">
        <f>IF(AND(AL9=1,AL62&gt;0),1,0)</f>
        <v/>
      </c>
    </row>
    <row r="65">
      <c r="A65" s="8" t="inlineStr">
        <is>
          <t>Indicateurs</t>
        </is>
      </c>
    </row>
    <row r="66">
      <c r="A66" s="9" t="inlineStr">
        <is>
          <t>ARR HT instantané (CA HT × 12)</t>
        </is>
      </c>
      <c r="B66" s="4" t="inlineStr">
        <is>
          <t>€ HT</t>
        </is>
      </c>
      <c r="C66" s="15">
        <f>C28*12</f>
        <v/>
      </c>
      <c r="D66" s="15">
        <f>D28*12</f>
        <v/>
      </c>
      <c r="E66" s="15">
        <f>E28*12</f>
        <v/>
      </c>
      <c r="F66" s="15">
        <f>F28*12</f>
        <v/>
      </c>
      <c r="G66" s="15">
        <f>G28*12</f>
        <v/>
      </c>
      <c r="H66" s="15">
        <f>H28*12</f>
        <v/>
      </c>
      <c r="I66" s="15">
        <f>I28*12</f>
        <v/>
      </c>
      <c r="J66" s="15">
        <f>J28*12</f>
        <v/>
      </c>
      <c r="K66" s="15">
        <f>K28*12</f>
        <v/>
      </c>
      <c r="L66" s="15">
        <f>L28*12</f>
        <v/>
      </c>
      <c r="M66" s="15">
        <f>M28*12</f>
        <v/>
      </c>
      <c r="N66" s="15">
        <f>N28*12</f>
        <v/>
      </c>
      <c r="O66" s="15">
        <f>O28*12</f>
        <v/>
      </c>
      <c r="P66" s="15">
        <f>P28*12</f>
        <v/>
      </c>
      <c r="Q66" s="15">
        <f>Q28*12</f>
        <v/>
      </c>
      <c r="R66" s="15">
        <f>R28*12</f>
        <v/>
      </c>
      <c r="S66" s="15">
        <f>S28*12</f>
        <v/>
      </c>
      <c r="T66" s="15">
        <f>T28*12</f>
        <v/>
      </c>
      <c r="U66" s="15">
        <f>U28*12</f>
        <v/>
      </c>
      <c r="V66" s="15">
        <f>V28*12</f>
        <v/>
      </c>
      <c r="W66" s="15">
        <f>W28*12</f>
        <v/>
      </c>
      <c r="X66" s="15">
        <f>X28*12</f>
        <v/>
      </c>
      <c r="Y66" s="15">
        <f>Y28*12</f>
        <v/>
      </c>
      <c r="Z66" s="15">
        <f>Z28*12</f>
        <v/>
      </c>
      <c r="AA66" s="15">
        <f>AA28*12</f>
        <v/>
      </c>
      <c r="AB66" s="15">
        <f>AB28*12</f>
        <v/>
      </c>
      <c r="AC66" s="15">
        <f>AC28*12</f>
        <v/>
      </c>
      <c r="AD66" s="15">
        <f>AD28*12</f>
        <v/>
      </c>
      <c r="AE66" s="15">
        <f>AE28*12</f>
        <v/>
      </c>
      <c r="AF66" s="15">
        <f>AF28*12</f>
        <v/>
      </c>
      <c r="AG66" s="15">
        <f>AG28*12</f>
        <v/>
      </c>
      <c r="AH66" s="15">
        <f>AH28*12</f>
        <v/>
      </c>
      <c r="AI66" s="15">
        <f>AI28*12</f>
        <v/>
      </c>
      <c r="AJ66" s="15">
        <f>AJ28*12</f>
        <v/>
      </c>
      <c r="AK66" s="15">
        <f>AK28*12</f>
        <v/>
      </c>
      <c r="AL66" s="15">
        <f>AL28*12</f>
        <v/>
      </c>
      <c r="AN66" s="15">
        <f>N66</f>
        <v/>
      </c>
      <c r="AO66" s="15">
        <f>Z66</f>
        <v/>
      </c>
      <c r="AP66" s="15">
        <f>AL66</f>
        <v/>
      </c>
    </row>
    <row r="67">
      <c r="A67" s="9" t="inlineStr">
        <is>
          <t>ARPA HT (CA HT / abonnés)</t>
        </is>
      </c>
      <c r="B67" s="4" t="inlineStr">
        <is>
          <t>€ HT</t>
        </is>
      </c>
      <c r="C67" s="19">
        <f>IF(C18&gt;0,C28/C18,0)</f>
        <v/>
      </c>
      <c r="D67" s="19">
        <f>IF(D18&gt;0,D28/D18,0)</f>
        <v/>
      </c>
      <c r="E67" s="19">
        <f>IF(E18&gt;0,E28/E18,0)</f>
        <v/>
      </c>
      <c r="F67" s="19">
        <f>IF(F18&gt;0,F28/F18,0)</f>
        <v/>
      </c>
      <c r="G67" s="19">
        <f>IF(G18&gt;0,G28/G18,0)</f>
        <v/>
      </c>
      <c r="H67" s="19">
        <f>IF(H18&gt;0,H28/H18,0)</f>
        <v/>
      </c>
      <c r="I67" s="19">
        <f>IF(I18&gt;0,I28/I18,0)</f>
        <v/>
      </c>
      <c r="J67" s="19">
        <f>IF(J18&gt;0,J28/J18,0)</f>
        <v/>
      </c>
      <c r="K67" s="19">
        <f>IF(K18&gt;0,K28/K18,0)</f>
        <v/>
      </c>
      <c r="L67" s="19">
        <f>IF(L18&gt;0,L28/L18,0)</f>
        <v/>
      </c>
      <c r="M67" s="19">
        <f>IF(M18&gt;0,M28/M18,0)</f>
        <v/>
      </c>
      <c r="N67" s="19">
        <f>IF(N18&gt;0,N28/N18,0)</f>
        <v/>
      </c>
      <c r="O67" s="19">
        <f>IF(O18&gt;0,O28/O18,0)</f>
        <v/>
      </c>
      <c r="P67" s="19">
        <f>IF(P18&gt;0,P28/P18,0)</f>
        <v/>
      </c>
      <c r="Q67" s="19">
        <f>IF(Q18&gt;0,Q28/Q18,0)</f>
        <v/>
      </c>
      <c r="R67" s="19">
        <f>IF(R18&gt;0,R28/R18,0)</f>
        <v/>
      </c>
      <c r="S67" s="19">
        <f>IF(S18&gt;0,S28/S18,0)</f>
        <v/>
      </c>
      <c r="T67" s="19">
        <f>IF(T18&gt;0,T28/T18,0)</f>
        <v/>
      </c>
      <c r="U67" s="19">
        <f>IF(U18&gt;0,U28/U18,0)</f>
        <v/>
      </c>
      <c r="V67" s="19">
        <f>IF(V18&gt;0,V28/V18,0)</f>
        <v/>
      </c>
      <c r="W67" s="19">
        <f>IF(W18&gt;0,W28/W18,0)</f>
        <v/>
      </c>
      <c r="X67" s="19">
        <f>IF(X18&gt;0,X28/X18,0)</f>
        <v/>
      </c>
      <c r="Y67" s="19">
        <f>IF(Y18&gt;0,Y28/Y18,0)</f>
        <v/>
      </c>
      <c r="Z67" s="19">
        <f>IF(Z18&gt;0,Z28/Z18,0)</f>
        <v/>
      </c>
      <c r="AA67" s="19">
        <f>IF(AA18&gt;0,AA28/AA18,0)</f>
        <v/>
      </c>
      <c r="AB67" s="19">
        <f>IF(AB18&gt;0,AB28/AB18,0)</f>
        <v/>
      </c>
      <c r="AC67" s="19">
        <f>IF(AC18&gt;0,AC28/AC18,0)</f>
        <v/>
      </c>
      <c r="AD67" s="19">
        <f>IF(AD18&gt;0,AD28/AD18,0)</f>
        <v/>
      </c>
      <c r="AE67" s="19">
        <f>IF(AE18&gt;0,AE28/AE18,0)</f>
        <v/>
      </c>
      <c r="AF67" s="19">
        <f>IF(AF18&gt;0,AF28/AF18,0)</f>
        <v/>
      </c>
      <c r="AG67" s="19">
        <f>IF(AG18&gt;0,AG28/AG18,0)</f>
        <v/>
      </c>
      <c r="AH67" s="19">
        <f>IF(AH18&gt;0,AH28/AH18,0)</f>
        <v/>
      </c>
      <c r="AI67" s="19">
        <f>IF(AI18&gt;0,AI28/AI18,0)</f>
        <v/>
      </c>
      <c r="AJ67" s="19">
        <f>IF(AJ18&gt;0,AJ28/AJ18,0)</f>
        <v/>
      </c>
      <c r="AK67" s="19">
        <f>IF(AK18&gt;0,AK28/AK18,0)</f>
        <v/>
      </c>
      <c r="AL67" s="19">
        <f>IF(AL18&gt;0,AL28/AL18,0)</f>
        <v/>
      </c>
      <c r="AN67" s="19">
        <f>N67</f>
        <v/>
      </c>
      <c r="AO67" s="19">
        <f>Z67</f>
        <v/>
      </c>
      <c r="AP67" s="19">
        <f>AL67</f>
        <v/>
      </c>
    </row>
    <row r="68">
      <c r="A68" s="9" t="inlineStr">
        <is>
          <t>Coût variable par abonné</t>
        </is>
      </c>
      <c r="B68" s="4" t="inlineStr">
        <is>
          <t>€ HT</t>
        </is>
      </c>
      <c r="C68" s="19">
        <f>IF(C18&gt;0,C36/C18,0)</f>
        <v/>
      </c>
      <c r="D68" s="19">
        <f>IF(D18&gt;0,D36/D18,0)</f>
        <v/>
      </c>
      <c r="E68" s="19">
        <f>IF(E18&gt;0,E36/E18,0)</f>
        <v/>
      </c>
      <c r="F68" s="19">
        <f>IF(F18&gt;0,F36/F18,0)</f>
        <v/>
      </c>
      <c r="G68" s="19">
        <f>IF(G18&gt;0,G36/G18,0)</f>
        <v/>
      </c>
      <c r="H68" s="19">
        <f>IF(H18&gt;0,H36/H18,0)</f>
        <v/>
      </c>
      <c r="I68" s="19">
        <f>IF(I18&gt;0,I36/I18,0)</f>
        <v/>
      </c>
      <c r="J68" s="19">
        <f>IF(J18&gt;0,J36/J18,0)</f>
        <v/>
      </c>
      <c r="K68" s="19">
        <f>IF(K18&gt;0,K36/K18,0)</f>
        <v/>
      </c>
      <c r="L68" s="19">
        <f>IF(L18&gt;0,L36/L18,0)</f>
        <v/>
      </c>
      <c r="M68" s="19">
        <f>IF(M18&gt;0,M36/M18,0)</f>
        <v/>
      </c>
      <c r="N68" s="19">
        <f>IF(N18&gt;0,N36/N18,0)</f>
        <v/>
      </c>
      <c r="O68" s="19">
        <f>IF(O18&gt;0,O36/O18,0)</f>
        <v/>
      </c>
      <c r="P68" s="19">
        <f>IF(P18&gt;0,P36/P18,0)</f>
        <v/>
      </c>
      <c r="Q68" s="19">
        <f>IF(Q18&gt;0,Q36/Q18,0)</f>
        <v/>
      </c>
      <c r="R68" s="19">
        <f>IF(R18&gt;0,R36/R18,0)</f>
        <v/>
      </c>
      <c r="S68" s="19">
        <f>IF(S18&gt;0,S36/S18,0)</f>
        <v/>
      </c>
      <c r="T68" s="19">
        <f>IF(T18&gt;0,T36/T18,0)</f>
        <v/>
      </c>
      <c r="U68" s="19">
        <f>IF(U18&gt;0,U36/U18,0)</f>
        <v/>
      </c>
      <c r="V68" s="19">
        <f>IF(V18&gt;0,V36/V18,0)</f>
        <v/>
      </c>
      <c r="W68" s="19">
        <f>IF(W18&gt;0,W36/W18,0)</f>
        <v/>
      </c>
      <c r="X68" s="19">
        <f>IF(X18&gt;0,X36/X18,0)</f>
        <v/>
      </c>
      <c r="Y68" s="19">
        <f>IF(Y18&gt;0,Y36/Y18,0)</f>
        <v/>
      </c>
      <c r="Z68" s="19">
        <f>IF(Z18&gt;0,Z36/Z18,0)</f>
        <v/>
      </c>
      <c r="AA68" s="19">
        <f>IF(AA18&gt;0,AA36/AA18,0)</f>
        <v/>
      </c>
      <c r="AB68" s="19">
        <f>IF(AB18&gt;0,AB36/AB18,0)</f>
        <v/>
      </c>
      <c r="AC68" s="19">
        <f>IF(AC18&gt;0,AC36/AC18,0)</f>
        <v/>
      </c>
      <c r="AD68" s="19">
        <f>IF(AD18&gt;0,AD36/AD18,0)</f>
        <v/>
      </c>
      <c r="AE68" s="19">
        <f>IF(AE18&gt;0,AE36/AE18,0)</f>
        <v/>
      </c>
      <c r="AF68" s="19">
        <f>IF(AF18&gt;0,AF36/AF18,0)</f>
        <v/>
      </c>
      <c r="AG68" s="19">
        <f>IF(AG18&gt;0,AG36/AG18,0)</f>
        <v/>
      </c>
      <c r="AH68" s="19">
        <f>IF(AH18&gt;0,AH36/AH18,0)</f>
        <v/>
      </c>
      <c r="AI68" s="19">
        <f>IF(AI18&gt;0,AI36/AI18,0)</f>
        <v/>
      </c>
      <c r="AJ68" s="19">
        <f>IF(AJ18&gt;0,AJ36/AJ18,0)</f>
        <v/>
      </c>
      <c r="AK68" s="19">
        <f>IF(AK18&gt;0,AK36/AK18,0)</f>
        <v/>
      </c>
      <c r="AL68" s="19">
        <f>IF(AL18&gt;0,AL36/AL18,0)</f>
        <v/>
      </c>
      <c r="AN68" s="19">
        <f>N68</f>
        <v/>
      </c>
      <c r="AO68" s="19">
        <f>Z68</f>
        <v/>
      </c>
      <c r="AP68" s="19">
        <f>AL68</f>
        <v/>
      </c>
    </row>
    <row r="69">
      <c r="A69" s="9" t="inlineStr">
        <is>
          <t>Contribution par abonné</t>
        </is>
      </c>
      <c r="B69" s="4" t="inlineStr">
        <is>
          <t>€ HT</t>
        </is>
      </c>
      <c r="C69" s="19">
        <f>IF(C18&gt;0,C37/C18,0)</f>
        <v/>
      </c>
      <c r="D69" s="19">
        <f>IF(D18&gt;0,D37/D18,0)</f>
        <v/>
      </c>
      <c r="E69" s="19">
        <f>IF(E18&gt;0,E37/E18,0)</f>
        <v/>
      </c>
      <c r="F69" s="19">
        <f>IF(F18&gt;0,F37/F18,0)</f>
        <v/>
      </c>
      <c r="G69" s="19">
        <f>IF(G18&gt;0,G37/G18,0)</f>
        <v/>
      </c>
      <c r="H69" s="19">
        <f>IF(H18&gt;0,H37/H18,0)</f>
        <v/>
      </c>
      <c r="I69" s="19">
        <f>IF(I18&gt;0,I37/I18,0)</f>
        <v/>
      </c>
      <c r="J69" s="19">
        <f>IF(J18&gt;0,J37/J18,0)</f>
        <v/>
      </c>
      <c r="K69" s="19">
        <f>IF(K18&gt;0,K37/K18,0)</f>
        <v/>
      </c>
      <c r="L69" s="19">
        <f>IF(L18&gt;0,L37/L18,0)</f>
        <v/>
      </c>
      <c r="M69" s="19">
        <f>IF(M18&gt;0,M37/M18,0)</f>
        <v/>
      </c>
      <c r="N69" s="19">
        <f>IF(N18&gt;0,N37/N18,0)</f>
        <v/>
      </c>
      <c r="O69" s="19">
        <f>IF(O18&gt;0,O37/O18,0)</f>
        <v/>
      </c>
      <c r="P69" s="19">
        <f>IF(P18&gt;0,P37/P18,0)</f>
        <v/>
      </c>
      <c r="Q69" s="19">
        <f>IF(Q18&gt;0,Q37/Q18,0)</f>
        <v/>
      </c>
      <c r="R69" s="19">
        <f>IF(R18&gt;0,R37/R18,0)</f>
        <v/>
      </c>
      <c r="S69" s="19">
        <f>IF(S18&gt;0,S37/S18,0)</f>
        <v/>
      </c>
      <c r="T69" s="19">
        <f>IF(T18&gt;0,T37/T18,0)</f>
        <v/>
      </c>
      <c r="U69" s="19">
        <f>IF(U18&gt;0,U37/U18,0)</f>
        <v/>
      </c>
      <c r="V69" s="19">
        <f>IF(V18&gt;0,V37/V18,0)</f>
        <v/>
      </c>
      <c r="W69" s="19">
        <f>IF(W18&gt;0,W37/W18,0)</f>
        <v/>
      </c>
      <c r="X69" s="19">
        <f>IF(X18&gt;0,X37/X18,0)</f>
        <v/>
      </c>
      <c r="Y69" s="19">
        <f>IF(Y18&gt;0,Y37/Y18,0)</f>
        <v/>
      </c>
      <c r="Z69" s="19">
        <f>IF(Z18&gt;0,Z37/Z18,0)</f>
        <v/>
      </c>
      <c r="AA69" s="19">
        <f>IF(AA18&gt;0,AA37/AA18,0)</f>
        <v/>
      </c>
      <c r="AB69" s="19">
        <f>IF(AB18&gt;0,AB37/AB18,0)</f>
        <v/>
      </c>
      <c r="AC69" s="19">
        <f>IF(AC18&gt;0,AC37/AC18,0)</f>
        <v/>
      </c>
      <c r="AD69" s="19">
        <f>IF(AD18&gt;0,AD37/AD18,0)</f>
        <v/>
      </c>
      <c r="AE69" s="19">
        <f>IF(AE18&gt;0,AE37/AE18,0)</f>
        <v/>
      </c>
      <c r="AF69" s="19">
        <f>IF(AF18&gt;0,AF37/AF18,0)</f>
        <v/>
      </c>
      <c r="AG69" s="19">
        <f>IF(AG18&gt;0,AG37/AG18,0)</f>
        <v/>
      </c>
      <c r="AH69" s="19">
        <f>IF(AH18&gt;0,AH37/AH18,0)</f>
        <v/>
      </c>
      <c r="AI69" s="19">
        <f>IF(AI18&gt;0,AI37/AI18,0)</f>
        <v/>
      </c>
      <c r="AJ69" s="19">
        <f>IF(AJ18&gt;0,AJ37/AJ18,0)</f>
        <v/>
      </c>
      <c r="AK69" s="19">
        <f>IF(AK18&gt;0,AK37/AK18,0)</f>
        <v/>
      </c>
      <c r="AL69" s="19">
        <f>IF(AL18&gt;0,AL37/AL18,0)</f>
        <v/>
      </c>
      <c r="AN69" s="19">
        <f>N69</f>
        <v/>
      </c>
      <c r="AO69" s="19">
        <f>Z69</f>
        <v/>
      </c>
      <c r="AP69" s="19">
        <f>AL69</f>
        <v/>
      </c>
    </row>
    <row r="70">
      <c r="A70" s="9" t="inlineStr">
        <is>
          <t>Marge variable (% du CA HT)</t>
        </is>
      </c>
      <c r="B70" s="4" t="inlineStr">
        <is>
          <t>%</t>
        </is>
      </c>
      <c r="C70" s="17">
        <f>IF(C28&gt;0,C37/C28,0)</f>
        <v/>
      </c>
      <c r="D70" s="17">
        <f>IF(D28&gt;0,D37/D28,0)</f>
        <v/>
      </c>
      <c r="E70" s="17">
        <f>IF(E28&gt;0,E37/E28,0)</f>
        <v/>
      </c>
      <c r="F70" s="17">
        <f>IF(F28&gt;0,F37/F28,0)</f>
        <v/>
      </c>
      <c r="G70" s="17">
        <f>IF(G28&gt;0,G37/G28,0)</f>
        <v/>
      </c>
      <c r="H70" s="17">
        <f>IF(H28&gt;0,H37/H28,0)</f>
        <v/>
      </c>
      <c r="I70" s="17">
        <f>IF(I28&gt;0,I37/I28,0)</f>
        <v/>
      </c>
      <c r="J70" s="17">
        <f>IF(J28&gt;0,J37/J28,0)</f>
        <v/>
      </c>
      <c r="K70" s="17">
        <f>IF(K28&gt;0,K37/K28,0)</f>
        <v/>
      </c>
      <c r="L70" s="17">
        <f>IF(L28&gt;0,L37/L28,0)</f>
        <v/>
      </c>
      <c r="M70" s="17">
        <f>IF(M28&gt;0,M37/M28,0)</f>
        <v/>
      </c>
      <c r="N70" s="17">
        <f>IF(N28&gt;0,N37/N28,0)</f>
        <v/>
      </c>
      <c r="O70" s="17">
        <f>IF(O28&gt;0,O37/O28,0)</f>
        <v/>
      </c>
      <c r="P70" s="17">
        <f>IF(P28&gt;0,P37/P28,0)</f>
        <v/>
      </c>
      <c r="Q70" s="17">
        <f>IF(Q28&gt;0,Q37/Q28,0)</f>
        <v/>
      </c>
      <c r="R70" s="17">
        <f>IF(R28&gt;0,R37/R28,0)</f>
        <v/>
      </c>
      <c r="S70" s="17">
        <f>IF(S28&gt;0,S37/S28,0)</f>
        <v/>
      </c>
      <c r="T70" s="17">
        <f>IF(T28&gt;0,T37/T28,0)</f>
        <v/>
      </c>
      <c r="U70" s="17">
        <f>IF(U28&gt;0,U37/U28,0)</f>
        <v/>
      </c>
      <c r="V70" s="17">
        <f>IF(V28&gt;0,V37/V28,0)</f>
        <v/>
      </c>
      <c r="W70" s="17">
        <f>IF(W28&gt;0,W37/W28,0)</f>
        <v/>
      </c>
      <c r="X70" s="17">
        <f>IF(X28&gt;0,X37/X28,0)</f>
        <v/>
      </c>
      <c r="Y70" s="17">
        <f>IF(Y28&gt;0,Y37/Y28,0)</f>
        <v/>
      </c>
      <c r="Z70" s="17">
        <f>IF(Z28&gt;0,Z37/Z28,0)</f>
        <v/>
      </c>
      <c r="AA70" s="17">
        <f>IF(AA28&gt;0,AA37/AA28,0)</f>
        <v/>
      </c>
      <c r="AB70" s="17">
        <f>IF(AB28&gt;0,AB37/AB28,0)</f>
        <v/>
      </c>
      <c r="AC70" s="17">
        <f>IF(AC28&gt;0,AC37/AC28,0)</f>
        <v/>
      </c>
      <c r="AD70" s="17">
        <f>IF(AD28&gt;0,AD37/AD28,0)</f>
        <v/>
      </c>
      <c r="AE70" s="17">
        <f>IF(AE28&gt;0,AE37/AE28,0)</f>
        <v/>
      </c>
      <c r="AF70" s="17">
        <f>IF(AF28&gt;0,AF37/AF28,0)</f>
        <v/>
      </c>
      <c r="AG70" s="17">
        <f>IF(AG28&gt;0,AG37/AG28,0)</f>
        <v/>
      </c>
      <c r="AH70" s="17">
        <f>IF(AH28&gt;0,AH37/AH28,0)</f>
        <v/>
      </c>
      <c r="AI70" s="17">
        <f>IF(AI28&gt;0,AI37/AI28,0)</f>
        <v/>
      </c>
      <c r="AJ70" s="17">
        <f>IF(AJ28&gt;0,AJ37/AJ28,0)</f>
        <v/>
      </c>
      <c r="AK70" s="17">
        <f>IF(AK28&gt;0,AK37/AK28,0)</f>
        <v/>
      </c>
      <c r="AL70" s="17">
        <f>IF(AL28&gt;0,AL37/AL28,0)</f>
        <v/>
      </c>
      <c r="AN70" s="17">
        <f>N70</f>
        <v/>
      </c>
      <c r="AO70" s="17">
        <f>Z70</f>
        <v/>
      </c>
      <c r="AP70" s="17">
        <f>AL70</f>
        <v/>
      </c>
    </row>
    <row r="71">
      <c r="A71" s="9" t="inlineStr">
        <is>
          <t>CAC effectif</t>
        </is>
      </c>
      <c r="B71" s="4" t="inlineStr">
        <is>
          <t>€</t>
        </is>
      </c>
      <c r="C71" s="15">
        <f>IF(C14&gt;0,C39/C14,0)</f>
        <v/>
      </c>
      <c r="D71" s="15">
        <f>IF(D14&gt;0,D39/D14,0)</f>
        <v/>
      </c>
      <c r="E71" s="15">
        <f>IF(E14&gt;0,E39/E14,0)</f>
        <v/>
      </c>
      <c r="F71" s="15">
        <f>IF(F14&gt;0,F39/F14,0)</f>
        <v/>
      </c>
      <c r="G71" s="15">
        <f>IF(G14&gt;0,G39/G14,0)</f>
        <v/>
      </c>
      <c r="H71" s="15">
        <f>IF(H14&gt;0,H39/H14,0)</f>
        <v/>
      </c>
      <c r="I71" s="15">
        <f>IF(I14&gt;0,I39/I14,0)</f>
        <v/>
      </c>
      <c r="J71" s="15">
        <f>IF(J14&gt;0,J39/J14,0)</f>
        <v/>
      </c>
      <c r="K71" s="15">
        <f>IF(K14&gt;0,K39/K14,0)</f>
        <v/>
      </c>
      <c r="L71" s="15">
        <f>IF(L14&gt;0,L39/L14,0)</f>
        <v/>
      </c>
      <c r="M71" s="15">
        <f>IF(M14&gt;0,M39/M14,0)</f>
        <v/>
      </c>
      <c r="N71" s="15">
        <f>IF(N14&gt;0,N39/N14,0)</f>
        <v/>
      </c>
      <c r="O71" s="15">
        <f>IF(O14&gt;0,O39/O14,0)</f>
        <v/>
      </c>
      <c r="P71" s="15">
        <f>IF(P14&gt;0,P39/P14,0)</f>
        <v/>
      </c>
      <c r="Q71" s="15">
        <f>IF(Q14&gt;0,Q39/Q14,0)</f>
        <v/>
      </c>
      <c r="R71" s="15">
        <f>IF(R14&gt;0,R39/R14,0)</f>
        <v/>
      </c>
      <c r="S71" s="15">
        <f>IF(S14&gt;0,S39/S14,0)</f>
        <v/>
      </c>
      <c r="T71" s="15">
        <f>IF(T14&gt;0,T39/T14,0)</f>
        <v/>
      </c>
      <c r="U71" s="15">
        <f>IF(U14&gt;0,U39/U14,0)</f>
        <v/>
      </c>
      <c r="V71" s="15">
        <f>IF(V14&gt;0,V39/V14,0)</f>
        <v/>
      </c>
      <c r="W71" s="15">
        <f>IF(W14&gt;0,W39/W14,0)</f>
        <v/>
      </c>
      <c r="X71" s="15">
        <f>IF(X14&gt;0,X39/X14,0)</f>
        <v/>
      </c>
      <c r="Y71" s="15">
        <f>IF(Y14&gt;0,Y39/Y14,0)</f>
        <v/>
      </c>
      <c r="Z71" s="15">
        <f>IF(Z14&gt;0,Z39/Z14,0)</f>
        <v/>
      </c>
      <c r="AA71" s="15">
        <f>IF(AA14&gt;0,AA39/AA14,0)</f>
        <v/>
      </c>
      <c r="AB71" s="15">
        <f>IF(AB14&gt;0,AB39/AB14,0)</f>
        <v/>
      </c>
      <c r="AC71" s="15">
        <f>IF(AC14&gt;0,AC39/AC14,0)</f>
        <v/>
      </c>
      <c r="AD71" s="15">
        <f>IF(AD14&gt;0,AD39/AD14,0)</f>
        <v/>
      </c>
      <c r="AE71" s="15">
        <f>IF(AE14&gt;0,AE39/AE14,0)</f>
        <v/>
      </c>
      <c r="AF71" s="15">
        <f>IF(AF14&gt;0,AF39/AF14,0)</f>
        <v/>
      </c>
      <c r="AG71" s="15">
        <f>IF(AG14&gt;0,AG39/AG14,0)</f>
        <v/>
      </c>
      <c r="AH71" s="15">
        <f>IF(AH14&gt;0,AH39/AH14,0)</f>
        <v/>
      </c>
      <c r="AI71" s="15">
        <f>IF(AI14&gt;0,AI39/AI14,0)</f>
        <v/>
      </c>
      <c r="AJ71" s="15">
        <f>IF(AJ14&gt;0,AJ39/AJ14,0)</f>
        <v/>
      </c>
      <c r="AK71" s="15">
        <f>IF(AK14&gt;0,AK39/AK14,0)</f>
        <v/>
      </c>
      <c r="AL71" s="15">
        <f>IF(AL14&gt;0,AL39/AL14,0)</f>
        <v/>
      </c>
      <c r="AN71" s="15">
        <f>N71</f>
        <v/>
      </c>
      <c r="AO71" s="15">
        <f>Z71</f>
        <v/>
      </c>
      <c r="AP71" s="15">
        <f>AL71</f>
        <v/>
      </c>
    </row>
    <row r="72">
      <c r="A72" s="9" t="inlineStr">
        <is>
          <t>Payback du CAC (mois)</t>
        </is>
      </c>
      <c r="B72" s="4" t="inlineStr">
        <is>
          <t>mois</t>
        </is>
      </c>
      <c r="C72" s="38">
        <f>IF(C69&gt;0,Hypothèses!$D$23*$E$4/C69,0)</f>
        <v/>
      </c>
      <c r="D72" s="38">
        <f>IF(D69&gt;0,Hypothèses!$D$23*$E$4/D69,0)</f>
        <v/>
      </c>
      <c r="E72" s="38">
        <f>IF(E69&gt;0,Hypothèses!$D$23*$E$4/E69,0)</f>
        <v/>
      </c>
      <c r="F72" s="38">
        <f>IF(F69&gt;0,Hypothèses!$D$23*$E$4/F69,0)</f>
        <v/>
      </c>
      <c r="G72" s="38">
        <f>IF(G69&gt;0,Hypothèses!$D$23*$E$4/G69,0)</f>
        <v/>
      </c>
      <c r="H72" s="38">
        <f>IF(H69&gt;0,Hypothèses!$D$23*$E$4/H69,0)</f>
        <v/>
      </c>
      <c r="I72" s="38">
        <f>IF(I69&gt;0,Hypothèses!$D$23*$E$4/I69,0)</f>
        <v/>
      </c>
      <c r="J72" s="38">
        <f>IF(J69&gt;0,Hypothèses!$D$23*$E$4/J69,0)</f>
        <v/>
      </c>
      <c r="K72" s="38">
        <f>IF(K69&gt;0,Hypothèses!$D$23*$E$4/K69,0)</f>
        <v/>
      </c>
      <c r="L72" s="38">
        <f>IF(L69&gt;0,Hypothèses!$D$23*$E$4/L69,0)</f>
        <v/>
      </c>
      <c r="M72" s="38">
        <f>IF(M69&gt;0,Hypothèses!$D$23*$E$4/M69,0)</f>
        <v/>
      </c>
      <c r="N72" s="38">
        <f>IF(N69&gt;0,Hypothèses!$D$23*$E$4/N69,0)</f>
        <v/>
      </c>
      <c r="O72" s="38">
        <f>IF(O69&gt;0,Hypothèses!$D$23*$E$4/O69,0)</f>
        <v/>
      </c>
      <c r="P72" s="38">
        <f>IF(P69&gt;0,Hypothèses!$D$23*$E$4/P69,0)</f>
        <v/>
      </c>
      <c r="Q72" s="38">
        <f>IF(Q69&gt;0,Hypothèses!$D$23*$E$4/Q69,0)</f>
        <v/>
      </c>
      <c r="R72" s="38">
        <f>IF(R69&gt;0,Hypothèses!$D$23*$E$4/R69,0)</f>
        <v/>
      </c>
      <c r="S72" s="38">
        <f>IF(S69&gt;0,Hypothèses!$D$23*$E$4/S69,0)</f>
        <v/>
      </c>
      <c r="T72" s="38">
        <f>IF(T69&gt;0,Hypothèses!$D$23*$E$4/T69,0)</f>
        <v/>
      </c>
      <c r="U72" s="38">
        <f>IF(U69&gt;0,Hypothèses!$D$23*$E$4/U69,0)</f>
        <v/>
      </c>
      <c r="V72" s="38">
        <f>IF(V69&gt;0,Hypothèses!$D$23*$E$4/V69,0)</f>
        <v/>
      </c>
      <c r="W72" s="38">
        <f>IF(W69&gt;0,Hypothèses!$D$23*$E$4/W69,0)</f>
        <v/>
      </c>
      <c r="X72" s="38">
        <f>IF(X69&gt;0,Hypothèses!$D$23*$E$4/X69,0)</f>
        <v/>
      </c>
      <c r="Y72" s="38">
        <f>IF(Y69&gt;0,Hypothèses!$D$23*$E$4/Y69,0)</f>
        <v/>
      </c>
      <c r="Z72" s="38">
        <f>IF(Z69&gt;0,Hypothèses!$D$23*$E$4/Z69,0)</f>
        <v/>
      </c>
      <c r="AA72" s="38">
        <f>IF(AA69&gt;0,Hypothèses!$D$23*$E$4/AA69,0)</f>
        <v/>
      </c>
      <c r="AB72" s="38">
        <f>IF(AB69&gt;0,Hypothèses!$D$23*$E$4/AB69,0)</f>
        <v/>
      </c>
      <c r="AC72" s="38">
        <f>IF(AC69&gt;0,Hypothèses!$D$23*$E$4/AC69,0)</f>
        <v/>
      </c>
      <c r="AD72" s="38">
        <f>IF(AD69&gt;0,Hypothèses!$D$23*$E$4/AD69,0)</f>
        <v/>
      </c>
      <c r="AE72" s="38">
        <f>IF(AE69&gt;0,Hypothèses!$D$23*$E$4/AE69,0)</f>
        <v/>
      </c>
      <c r="AF72" s="38">
        <f>IF(AF69&gt;0,Hypothèses!$D$23*$E$4/AF69,0)</f>
        <v/>
      </c>
      <c r="AG72" s="38">
        <f>IF(AG69&gt;0,Hypothèses!$D$23*$E$4/AG69,0)</f>
        <v/>
      </c>
      <c r="AH72" s="38">
        <f>IF(AH69&gt;0,Hypothèses!$D$23*$E$4/AH69,0)</f>
        <v/>
      </c>
      <c r="AI72" s="38">
        <f>IF(AI69&gt;0,Hypothèses!$D$23*$E$4/AI69,0)</f>
        <v/>
      </c>
      <c r="AJ72" s="38">
        <f>IF(AJ69&gt;0,Hypothèses!$D$23*$E$4/AJ69,0)</f>
        <v/>
      </c>
      <c r="AK72" s="38">
        <f>IF(AK69&gt;0,Hypothèses!$D$23*$E$4/AK69,0)</f>
        <v/>
      </c>
      <c r="AL72" s="38">
        <f>IF(AL69&gt;0,Hypothèses!$D$23*$E$4/AL69,0)</f>
        <v/>
      </c>
      <c r="AN72" s="38">
        <f>N72</f>
        <v/>
      </c>
      <c r="AO72" s="38">
        <f>Z72</f>
        <v/>
      </c>
      <c r="AP72" s="38">
        <f>AL72</f>
        <v/>
      </c>
    </row>
    <row r="73">
      <c r="A73" s="9" t="inlineStr">
        <is>
          <t>LTV contributive simplifiée (contribution / churn)</t>
        </is>
      </c>
      <c r="B73" s="4" t="inlineStr">
        <is>
          <t>€ HT</t>
        </is>
      </c>
      <c r="C73" s="15">
        <f>IF(Hypothèses!$D$26*$D$4&gt;0,C69/(Hypothèses!$D$26*$D$4),0)</f>
        <v/>
      </c>
      <c r="D73" s="15">
        <f>IF(Hypothèses!$D$26*$D$4&gt;0,D69/(Hypothèses!$D$26*$D$4),0)</f>
        <v/>
      </c>
      <c r="E73" s="15">
        <f>IF(Hypothèses!$D$26*$D$4&gt;0,E69/(Hypothèses!$D$26*$D$4),0)</f>
        <v/>
      </c>
      <c r="F73" s="15">
        <f>IF(Hypothèses!$D$26*$D$4&gt;0,F69/(Hypothèses!$D$26*$D$4),0)</f>
        <v/>
      </c>
      <c r="G73" s="15">
        <f>IF(Hypothèses!$D$26*$D$4&gt;0,G69/(Hypothèses!$D$26*$D$4),0)</f>
        <v/>
      </c>
      <c r="H73" s="15">
        <f>IF(Hypothèses!$D$26*$D$4&gt;0,H69/(Hypothèses!$D$26*$D$4),0)</f>
        <v/>
      </c>
      <c r="I73" s="15">
        <f>IF(Hypothèses!$D$26*$D$4&gt;0,I69/(Hypothèses!$D$26*$D$4),0)</f>
        <v/>
      </c>
      <c r="J73" s="15">
        <f>IF(Hypothèses!$D$26*$D$4&gt;0,J69/(Hypothèses!$D$26*$D$4),0)</f>
        <v/>
      </c>
      <c r="K73" s="15">
        <f>IF(Hypothèses!$D$26*$D$4&gt;0,K69/(Hypothèses!$D$26*$D$4),0)</f>
        <v/>
      </c>
      <c r="L73" s="15">
        <f>IF(Hypothèses!$D$26*$D$4&gt;0,L69/(Hypothèses!$D$26*$D$4),0)</f>
        <v/>
      </c>
      <c r="M73" s="15">
        <f>IF(Hypothèses!$D$26*$D$4&gt;0,M69/(Hypothèses!$D$26*$D$4),0)</f>
        <v/>
      </c>
      <c r="N73" s="15">
        <f>IF(Hypothèses!$D$26*$D$4&gt;0,N69/(Hypothèses!$D$26*$D$4),0)</f>
        <v/>
      </c>
      <c r="O73" s="15">
        <f>IF(Hypothèses!$D$26*$D$4&gt;0,O69/(Hypothèses!$D$26*$D$4),0)</f>
        <v/>
      </c>
      <c r="P73" s="15">
        <f>IF(Hypothèses!$D$26*$D$4&gt;0,P69/(Hypothèses!$D$26*$D$4),0)</f>
        <v/>
      </c>
      <c r="Q73" s="15">
        <f>IF(Hypothèses!$D$26*$D$4&gt;0,Q69/(Hypothèses!$D$26*$D$4),0)</f>
        <v/>
      </c>
      <c r="R73" s="15">
        <f>IF(Hypothèses!$D$26*$D$4&gt;0,R69/(Hypothèses!$D$26*$D$4),0)</f>
        <v/>
      </c>
      <c r="S73" s="15">
        <f>IF(Hypothèses!$D$26*$D$4&gt;0,S69/(Hypothèses!$D$26*$D$4),0)</f>
        <v/>
      </c>
      <c r="T73" s="15">
        <f>IF(Hypothèses!$D$26*$D$4&gt;0,T69/(Hypothèses!$D$26*$D$4),0)</f>
        <v/>
      </c>
      <c r="U73" s="15">
        <f>IF(Hypothèses!$D$26*$D$4&gt;0,U69/(Hypothèses!$D$26*$D$4),0)</f>
        <v/>
      </c>
      <c r="V73" s="15">
        <f>IF(Hypothèses!$D$26*$D$4&gt;0,V69/(Hypothèses!$D$26*$D$4),0)</f>
        <v/>
      </c>
      <c r="W73" s="15">
        <f>IF(Hypothèses!$D$26*$D$4&gt;0,W69/(Hypothèses!$D$26*$D$4),0)</f>
        <v/>
      </c>
      <c r="X73" s="15">
        <f>IF(Hypothèses!$D$26*$D$4&gt;0,X69/(Hypothèses!$D$26*$D$4),0)</f>
        <v/>
      </c>
      <c r="Y73" s="15">
        <f>IF(Hypothèses!$D$26*$D$4&gt;0,Y69/(Hypothèses!$D$26*$D$4),0)</f>
        <v/>
      </c>
      <c r="Z73" s="15">
        <f>IF(Hypothèses!$D$26*$D$4&gt;0,Z69/(Hypothèses!$D$26*$D$4),0)</f>
        <v/>
      </c>
      <c r="AA73" s="15">
        <f>IF(Hypothèses!$D$26*$D$4&gt;0,AA69/(Hypothèses!$D$26*$D$4),0)</f>
        <v/>
      </c>
      <c r="AB73" s="15">
        <f>IF(Hypothèses!$D$26*$D$4&gt;0,AB69/(Hypothèses!$D$26*$D$4),0)</f>
        <v/>
      </c>
      <c r="AC73" s="15">
        <f>IF(Hypothèses!$D$26*$D$4&gt;0,AC69/(Hypothèses!$D$26*$D$4),0)</f>
        <v/>
      </c>
      <c r="AD73" s="15">
        <f>IF(Hypothèses!$D$26*$D$4&gt;0,AD69/(Hypothèses!$D$26*$D$4),0)</f>
        <v/>
      </c>
      <c r="AE73" s="15">
        <f>IF(Hypothèses!$D$26*$D$4&gt;0,AE69/(Hypothèses!$D$26*$D$4),0)</f>
        <v/>
      </c>
      <c r="AF73" s="15">
        <f>IF(Hypothèses!$D$26*$D$4&gt;0,AF69/(Hypothèses!$D$26*$D$4),0)</f>
        <v/>
      </c>
      <c r="AG73" s="15">
        <f>IF(Hypothèses!$D$26*$D$4&gt;0,AG69/(Hypothèses!$D$26*$D$4),0)</f>
        <v/>
      </c>
      <c r="AH73" s="15">
        <f>IF(Hypothèses!$D$26*$D$4&gt;0,AH69/(Hypothèses!$D$26*$D$4),0)</f>
        <v/>
      </c>
      <c r="AI73" s="15">
        <f>IF(Hypothèses!$D$26*$D$4&gt;0,AI69/(Hypothèses!$D$26*$D$4),0)</f>
        <v/>
      </c>
      <c r="AJ73" s="15">
        <f>IF(Hypothèses!$D$26*$D$4&gt;0,AJ69/(Hypothèses!$D$26*$D$4),0)</f>
        <v/>
      </c>
      <c r="AK73" s="15">
        <f>IF(Hypothèses!$D$26*$D$4&gt;0,AK69/(Hypothèses!$D$26*$D$4),0)</f>
        <v/>
      </c>
      <c r="AL73" s="15">
        <f>IF(Hypothèses!$D$26*$D$4&gt;0,AL69/(Hypothèses!$D$26*$D$4),0)</f>
        <v/>
      </c>
      <c r="AN73" s="15">
        <f>N73</f>
        <v/>
      </c>
      <c r="AO73" s="15">
        <f>Z73</f>
        <v/>
      </c>
      <c r="AP73" s="15">
        <f>AL73</f>
        <v/>
      </c>
    </row>
    <row r="74">
      <c r="A74" s="9" t="inlineStr">
        <is>
          <t>LTV / CAC</t>
        </is>
      </c>
      <c r="B74" s="4" t="inlineStr">
        <is>
          <t>x</t>
        </is>
      </c>
      <c r="C74" s="41">
        <f>IF(Hypothèses!$D$23*$E$4&gt;0,C73/(Hypothèses!$D$23*$E$4),0)</f>
        <v/>
      </c>
      <c r="D74" s="41">
        <f>IF(Hypothèses!$D$23*$E$4&gt;0,D73/(Hypothèses!$D$23*$E$4),0)</f>
        <v/>
      </c>
      <c r="E74" s="41">
        <f>IF(Hypothèses!$D$23*$E$4&gt;0,E73/(Hypothèses!$D$23*$E$4),0)</f>
        <v/>
      </c>
      <c r="F74" s="41">
        <f>IF(Hypothèses!$D$23*$E$4&gt;0,F73/(Hypothèses!$D$23*$E$4),0)</f>
        <v/>
      </c>
      <c r="G74" s="41">
        <f>IF(Hypothèses!$D$23*$E$4&gt;0,G73/(Hypothèses!$D$23*$E$4),0)</f>
        <v/>
      </c>
      <c r="H74" s="41">
        <f>IF(Hypothèses!$D$23*$E$4&gt;0,H73/(Hypothèses!$D$23*$E$4),0)</f>
        <v/>
      </c>
      <c r="I74" s="41">
        <f>IF(Hypothèses!$D$23*$E$4&gt;0,I73/(Hypothèses!$D$23*$E$4),0)</f>
        <v/>
      </c>
      <c r="J74" s="41">
        <f>IF(Hypothèses!$D$23*$E$4&gt;0,J73/(Hypothèses!$D$23*$E$4),0)</f>
        <v/>
      </c>
      <c r="K74" s="41">
        <f>IF(Hypothèses!$D$23*$E$4&gt;0,K73/(Hypothèses!$D$23*$E$4),0)</f>
        <v/>
      </c>
      <c r="L74" s="41">
        <f>IF(Hypothèses!$D$23*$E$4&gt;0,L73/(Hypothèses!$D$23*$E$4),0)</f>
        <v/>
      </c>
      <c r="M74" s="41">
        <f>IF(Hypothèses!$D$23*$E$4&gt;0,M73/(Hypothèses!$D$23*$E$4),0)</f>
        <v/>
      </c>
      <c r="N74" s="41">
        <f>IF(Hypothèses!$D$23*$E$4&gt;0,N73/(Hypothèses!$D$23*$E$4),0)</f>
        <v/>
      </c>
      <c r="O74" s="41">
        <f>IF(Hypothèses!$D$23*$E$4&gt;0,O73/(Hypothèses!$D$23*$E$4),0)</f>
        <v/>
      </c>
      <c r="P74" s="41">
        <f>IF(Hypothèses!$D$23*$E$4&gt;0,P73/(Hypothèses!$D$23*$E$4),0)</f>
        <v/>
      </c>
      <c r="Q74" s="41">
        <f>IF(Hypothèses!$D$23*$E$4&gt;0,Q73/(Hypothèses!$D$23*$E$4),0)</f>
        <v/>
      </c>
      <c r="R74" s="41">
        <f>IF(Hypothèses!$D$23*$E$4&gt;0,R73/(Hypothèses!$D$23*$E$4),0)</f>
        <v/>
      </c>
      <c r="S74" s="41">
        <f>IF(Hypothèses!$D$23*$E$4&gt;0,S73/(Hypothèses!$D$23*$E$4),0)</f>
        <v/>
      </c>
      <c r="T74" s="41">
        <f>IF(Hypothèses!$D$23*$E$4&gt;0,T73/(Hypothèses!$D$23*$E$4),0)</f>
        <v/>
      </c>
      <c r="U74" s="41">
        <f>IF(Hypothèses!$D$23*$E$4&gt;0,U73/(Hypothèses!$D$23*$E$4),0)</f>
        <v/>
      </c>
      <c r="V74" s="41">
        <f>IF(Hypothèses!$D$23*$E$4&gt;0,V73/(Hypothèses!$D$23*$E$4),0)</f>
        <v/>
      </c>
      <c r="W74" s="41">
        <f>IF(Hypothèses!$D$23*$E$4&gt;0,W73/(Hypothèses!$D$23*$E$4),0)</f>
        <v/>
      </c>
      <c r="X74" s="41">
        <f>IF(Hypothèses!$D$23*$E$4&gt;0,X73/(Hypothèses!$D$23*$E$4),0)</f>
        <v/>
      </c>
      <c r="Y74" s="41">
        <f>IF(Hypothèses!$D$23*$E$4&gt;0,Y73/(Hypothèses!$D$23*$E$4),0)</f>
        <v/>
      </c>
      <c r="Z74" s="41">
        <f>IF(Hypothèses!$D$23*$E$4&gt;0,Z73/(Hypothèses!$D$23*$E$4),0)</f>
        <v/>
      </c>
      <c r="AA74" s="41">
        <f>IF(Hypothèses!$D$23*$E$4&gt;0,AA73/(Hypothèses!$D$23*$E$4),0)</f>
        <v/>
      </c>
      <c r="AB74" s="41">
        <f>IF(Hypothèses!$D$23*$E$4&gt;0,AB73/(Hypothèses!$D$23*$E$4),0)</f>
        <v/>
      </c>
      <c r="AC74" s="41">
        <f>IF(Hypothèses!$D$23*$E$4&gt;0,AC73/(Hypothèses!$D$23*$E$4),0)</f>
        <v/>
      </c>
      <c r="AD74" s="41">
        <f>IF(Hypothèses!$D$23*$E$4&gt;0,AD73/(Hypothèses!$D$23*$E$4),0)</f>
        <v/>
      </c>
      <c r="AE74" s="41">
        <f>IF(Hypothèses!$D$23*$E$4&gt;0,AE73/(Hypothèses!$D$23*$E$4),0)</f>
        <v/>
      </c>
      <c r="AF74" s="41">
        <f>IF(Hypothèses!$D$23*$E$4&gt;0,AF73/(Hypothèses!$D$23*$E$4),0)</f>
        <v/>
      </c>
      <c r="AG74" s="41">
        <f>IF(Hypothèses!$D$23*$E$4&gt;0,AG73/(Hypothèses!$D$23*$E$4),0)</f>
        <v/>
      </c>
      <c r="AH74" s="41">
        <f>IF(Hypothèses!$D$23*$E$4&gt;0,AH73/(Hypothèses!$D$23*$E$4),0)</f>
        <v/>
      </c>
      <c r="AI74" s="41">
        <f>IF(Hypothèses!$D$23*$E$4&gt;0,AI73/(Hypothèses!$D$23*$E$4),0)</f>
        <v/>
      </c>
      <c r="AJ74" s="41">
        <f>IF(Hypothèses!$D$23*$E$4&gt;0,AJ73/(Hypothèses!$D$23*$E$4),0)</f>
        <v/>
      </c>
      <c r="AK74" s="41">
        <f>IF(Hypothèses!$D$23*$E$4&gt;0,AK73/(Hypothèses!$D$23*$E$4),0)</f>
        <v/>
      </c>
      <c r="AL74" s="41">
        <f>IF(Hypothèses!$D$23*$E$4&gt;0,AL73/(Hypothèses!$D$23*$E$4),0)</f>
        <v/>
      </c>
      <c r="AN74" s="41">
        <f>N74</f>
        <v/>
      </c>
      <c r="AO74" s="41">
        <f>Z74</f>
        <v/>
      </c>
      <c r="AP74" s="41">
        <f>AL74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4DDD2"/>
    <outlinePr summaryBelow="1" summaryRight="1"/>
    <pageSetUpPr/>
  </sheetPr>
  <dimension ref="A1:AP7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40" max="40"/>
    <col width="13" customWidth="1" min="41" max="41"/>
    <col width="13" customWidth="1" min="42" max="42"/>
  </cols>
  <sheetData>
    <row r="1">
      <c r="A1" s="1" t="inlineStr">
        <is>
          <t>Sensibilité S08 : Prix +20 % (copie du Central)</t>
        </is>
      </c>
    </row>
    <row r="2">
      <c r="A2" s="4" t="inlineStr">
        <is>
          <t>Flux en € HT sauf mention TTC. Formules vivantes ; ne saisir que dans l'onglet Hypothèses et la ligne de chocs ci-dessous.</t>
        </is>
      </c>
    </row>
    <row r="3">
      <c r="A3" s="2" t="inlineStr">
        <is>
          <t>Chocs de sensibilité (1 = aucun ; retard en mois)</t>
        </is>
      </c>
      <c r="C3" s="33" t="inlineStr">
        <is>
          <t>Prix ×</t>
        </is>
      </c>
      <c r="D3" s="33" t="inlineStr">
        <is>
          <t>Churn ×</t>
        </is>
      </c>
      <c r="E3" s="33" t="inlineStr">
        <is>
          <t>CAC ×</t>
        </is>
      </c>
      <c r="F3" s="33" t="inlineStr">
        <is>
          <t>Coût IA ×</t>
        </is>
      </c>
      <c r="G3" s="33" t="inlineStr">
        <is>
          <t>Coûts fixes ×</t>
        </is>
      </c>
      <c r="H3" s="33" t="inlineStr">
        <is>
          <t>Retard lancement (mois)</t>
        </is>
      </c>
    </row>
    <row r="4">
      <c r="C4" s="34" t="n">
        <v>1.2</v>
      </c>
      <c r="D4" s="34" t="n">
        <v>1</v>
      </c>
      <c r="E4" s="34" t="n">
        <v>1</v>
      </c>
      <c r="F4" s="34" t="n">
        <v>1</v>
      </c>
      <c r="G4" s="34" t="n">
        <v>1</v>
      </c>
      <c r="H4" s="35" t="n">
        <v>0</v>
      </c>
    </row>
    <row r="5">
      <c r="A5" s="2" t="inlineStr">
        <is>
          <t>Mois de lancement effectif</t>
        </is>
      </c>
      <c r="B5" s="22">
        <f>Hypothèses!$D$10+$H$4</f>
        <v/>
      </c>
    </row>
    <row r="6">
      <c r="A6" s="28" t="inlineStr">
        <is>
          <t>Ligne</t>
        </is>
      </c>
      <c r="B6" s="28" t="inlineStr">
        <is>
          <t>Unité</t>
        </is>
      </c>
      <c r="C6" s="36" t="inlineStr">
        <is>
          <t>M1</t>
        </is>
      </c>
      <c r="D6" s="36" t="inlineStr">
        <is>
          <t>M2</t>
        </is>
      </c>
      <c r="E6" s="36" t="inlineStr">
        <is>
          <t>M3</t>
        </is>
      </c>
      <c r="F6" s="36" t="inlineStr">
        <is>
          <t>M4</t>
        </is>
      </c>
      <c r="G6" s="36" t="inlineStr">
        <is>
          <t>M5</t>
        </is>
      </c>
      <c r="H6" s="36" t="inlineStr">
        <is>
          <t>M6</t>
        </is>
      </c>
      <c r="I6" s="36" t="inlineStr">
        <is>
          <t>M7</t>
        </is>
      </c>
      <c r="J6" s="36" t="inlineStr">
        <is>
          <t>M8</t>
        </is>
      </c>
      <c r="K6" s="36" t="inlineStr">
        <is>
          <t>M9</t>
        </is>
      </c>
      <c r="L6" s="36" t="inlineStr">
        <is>
          <t>M10</t>
        </is>
      </c>
      <c r="M6" s="36" t="inlineStr">
        <is>
          <t>M11</t>
        </is>
      </c>
      <c r="N6" s="36" t="inlineStr">
        <is>
          <t>M12</t>
        </is>
      </c>
      <c r="O6" s="36" t="inlineStr">
        <is>
          <t>M13</t>
        </is>
      </c>
      <c r="P6" s="36" t="inlineStr">
        <is>
          <t>M14</t>
        </is>
      </c>
      <c r="Q6" s="36" t="inlineStr">
        <is>
          <t>M15</t>
        </is>
      </c>
      <c r="R6" s="36" t="inlineStr">
        <is>
          <t>M16</t>
        </is>
      </c>
      <c r="S6" s="36" t="inlineStr">
        <is>
          <t>M17</t>
        </is>
      </c>
      <c r="T6" s="36" t="inlineStr">
        <is>
          <t>M18</t>
        </is>
      </c>
      <c r="U6" s="36" t="inlineStr">
        <is>
          <t>M19</t>
        </is>
      </c>
      <c r="V6" s="36" t="inlineStr">
        <is>
          <t>M20</t>
        </is>
      </c>
      <c r="W6" s="36" t="inlineStr">
        <is>
          <t>M21</t>
        </is>
      </c>
      <c r="X6" s="36" t="inlineStr">
        <is>
          <t>M22</t>
        </is>
      </c>
      <c r="Y6" s="36" t="inlineStr">
        <is>
          <t>M23</t>
        </is>
      </c>
      <c r="Z6" s="36" t="inlineStr">
        <is>
          <t>M24</t>
        </is>
      </c>
      <c r="AA6" s="36" t="inlineStr">
        <is>
          <t>M25</t>
        </is>
      </c>
      <c r="AB6" s="36" t="inlineStr">
        <is>
          <t>M26</t>
        </is>
      </c>
      <c r="AC6" s="36" t="inlineStr">
        <is>
          <t>M27</t>
        </is>
      </c>
      <c r="AD6" s="36" t="inlineStr">
        <is>
          <t>M28</t>
        </is>
      </c>
      <c r="AE6" s="36" t="inlineStr">
        <is>
          <t>M29</t>
        </is>
      </c>
      <c r="AF6" s="36" t="inlineStr">
        <is>
          <t>M30</t>
        </is>
      </c>
      <c r="AG6" s="36" t="inlineStr">
        <is>
          <t>M31</t>
        </is>
      </c>
      <c r="AH6" s="36" t="inlineStr">
        <is>
          <t>M32</t>
        </is>
      </c>
      <c r="AI6" s="36" t="inlineStr">
        <is>
          <t>M33</t>
        </is>
      </c>
      <c r="AJ6" s="36" t="inlineStr">
        <is>
          <t>M34</t>
        </is>
      </c>
      <c r="AK6" s="36" t="inlineStr">
        <is>
          <t>M35</t>
        </is>
      </c>
      <c r="AL6" s="36" t="inlineStr">
        <is>
          <t>M36</t>
        </is>
      </c>
      <c r="AN6" s="37" t="inlineStr">
        <is>
          <t>Année 1</t>
        </is>
      </c>
      <c r="AO6" s="37" t="inlineStr">
        <is>
          <t>Année 2</t>
        </is>
      </c>
      <c r="AP6" s="37" t="inlineStr">
        <is>
          <t>Année 3</t>
        </is>
      </c>
    </row>
    <row r="7">
      <c r="A7" s="9" t="inlineStr">
        <is>
          <t>Mois</t>
        </is>
      </c>
      <c r="B7" s="4" t="inlineStr">
        <is>
          <t>n°</t>
        </is>
      </c>
      <c r="C7" s="13" t="n">
        <v>1</v>
      </c>
      <c r="D7" s="13" t="n">
        <v>2</v>
      </c>
      <c r="E7" s="13" t="n">
        <v>3</v>
      </c>
      <c r="F7" s="13" t="n">
        <v>4</v>
      </c>
      <c r="G7" s="13" t="n">
        <v>5</v>
      </c>
      <c r="H7" s="13" t="n">
        <v>6</v>
      </c>
      <c r="I7" s="13" t="n">
        <v>7</v>
      </c>
      <c r="J7" s="13" t="n">
        <v>8</v>
      </c>
      <c r="K7" s="13" t="n">
        <v>9</v>
      </c>
      <c r="L7" s="13" t="n">
        <v>10</v>
      </c>
      <c r="M7" s="13" t="n">
        <v>11</v>
      </c>
      <c r="N7" s="13" t="n">
        <v>12</v>
      </c>
      <c r="O7" s="13" t="n">
        <v>13</v>
      </c>
      <c r="P7" s="13" t="n">
        <v>14</v>
      </c>
      <c r="Q7" s="13" t="n">
        <v>15</v>
      </c>
      <c r="R7" s="13" t="n">
        <v>16</v>
      </c>
      <c r="S7" s="13" t="n">
        <v>17</v>
      </c>
      <c r="T7" s="13" t="n">
        <v>18</v>
      </c>
      <c r="U7" s="13" t="n">
        <v>19</v>
      </c>
      <c r="V7" s="13" t="n">
        <v>20</v>
      </c>
      <c r="W7" s="13" t="n">
        <v>21</v>
      </c>
      <c r="X7" s="13" t="n">
        <v>22</v>
      </c>
      <c r="Y7" s="13" t="n">
        <v>23</v>
      </c>
      <c r="Z7" s="13" t="n">
        <v>24</v>
      </c>
      <c r="AA7" s="13" t="n">
        <v>25</v>
      </c>
      <c r="AB7" s="13" t="n">
        <v>26</v>
      </c>
      <c r="AC7" s="13" t="n">
        <v>27</v>
      </c>
      <c r="AD7" s="13" t="n">
        <v>28</v>
      </c>
      <c r="AE7" s="13" t="n">
        <v>29</v>
      </c>
      <c r="AF7" s="13" t="n">
        <v>30</v>
      </c>
      <c r="AG7" s="13" t="n">
        <v>31</v>
      </c>
      <c r="AH7" s="13" t="n">
        <v>32</v>
      </c>
      <c r="AI7" s="13" t="n">
        <v>33</v>
      </c>
      <c r="AJ7" s="13" t="n">
        <v>34</v>
      </c>
      <c r="AK7" s="13" t="n">
        <v>35</v>
      </c>
      <c r="AL7" s="13" t="n">
        <v>36</v>
      </c>
    </row>
    <row r="8">
      <c r="A8" s="9" t="inlineStr">
        <is>
          <t>Date</t>
        </is>
      </c>
      <c r="B8" s="4" t="inlineStr"/>
      <c r="C8" s="11">
        <f>EDATE(Hypothèses!$D$7,C7-1)</f>
        <v/>
      </c>
      <c r="D8" s="11">
        <f>EDATE(Hypothèses!$D$7,D7-1)</f>
        <v/>
      </c>
      <c r="E8" s="11">
        <f>EDATE(Hypothèses!$D$7,E7-1)</f>
        <v/>
      </c>
      <c r="F8" s="11">
        <f>EDATE(Hypothèses!$D$7,F7-1)</f>
        <v/>
      </c>
      <c r="G8" s="11">
        <f>EDATE(Hypothèses!$D$7,G7-1)</f>
        <v/>
      </c>
      <c r="H8" s="11">
        <f>EDATE(Hypothèses!$D$7,H7-1)</f>
        <v/>
      </c>
      <c r="I8" s="11">
        <f>EDATE(Hypothèses!$D$7,I7-1)</f>
        <v/>
      </c>
      <c r="J8" s="11">
        <f>EDATE(Hypothèses!$D$7,J7-1)</f>
        <v/>
      </c>
      <c r="K8" s="11">
        <f>EDATE(Hypothèses!$D$7,K7-1)</f>
        <v/>
      </c>
      <c r="L8" s="11">
        <f>EDATE(Hypothèses!$D$7,L7-1)</f>
        <v/>
      </c>
      <c r="M8" s="11">
        <f>EDATE(Hypothèses!$D$7,M7-1)</f>
        <v/>
      </c>
      <c r="N8" s="11">
        <f>EDATE(Hypothèses!$D$7,N7-1)</f>
        <v/>
      </c>
      <c r="O8" s="11">
        <f>EDATE(Hypothèses!$D$7,O7-1)</f>
        <v/>
      </c>
      <c r="P8" s="11">
        <f>EDATE(Hypothèses!$D$7,P7-1)</f>
        <v/>
      </c>
      <c r="Q8" s="11">
        <f>EDATE(Hypothèses!$D$7,Q7-1)</f>
        <v/>
      </c>
      <c r="R8" s="11">
        <f>EDATE(Hypothèses!$D$7,R7-1)</f>
        <v/>
      </c>
      <c r="S8" s="11">
        <f>EDATE(Hypothèses!$D$7,S7-1)</f>
        <v/>
      </c>
      <c r="T8" s="11">
        <f>EDATE(Hypothèses!$D$7,T7-1)</f>
        <v/>
      </c>
      <c r="U8" s="11">
        <f>EDATE(Hypothèses!$D$7,U7-1)</f>
        <v/>
      </c>
      <c r="V8" s="11">
        <f>EDATE(Hypothèses!$D$7,V7-1)</f>
        <v/>
      </c>
      <c r="W8" s="11">
        <f>EDATE(Hypothèses!$D$7,W7-1)</f>
        <v/>
      </c>
      <c r="X8" s="11">
        <f>EDATE(Hypothèses!$D$7,X7-1)</f>
        <v/>
      </c>
      <c r="Y8" s="11">
        <f>EDATE(Hypothèses!$D$7,Y7-1)</f>
        <v/>
      </c>
      <c r="Z8" s="11">
        <f>EDATE(Hypothèses!$D$7,Z7-1)</f>
        <v/>
      </c>
      <c r="AA8" s="11">
        <f>EDATE(Hypothèses!$D$7,AA7-1)</f>
        <v/>
      </c>
      <c r="AB8" s="11">
        <f>EDATE(Hypothèses!$D$7,AB7-1)</f>
        <v/>
      </c>
      <c r="AC8" s="11">
        <f>EDATE(Hypothèses!$D$7,AC7-1)</f>
        <v/>
      </c>
      <c r="AD8" s="11">
        <f>EDATE(Hypothèses!$D$7,AD7-1)</f>
        <v/>
      </c>
      <c r="AE8" s="11">
        <f>EDATE(Hypothèses!$D$7,AE7-1)</f>
        <v/>
      </c>
      <c r="AF8" s="11">
        <f>EDATE(Hypothèses!$D$7,AF7-1)</f>
        <v/>
      </c>
      <c r="AG8" s="11">
        <f>EDATE(Hypothèses!$D$7,AG7-1)</f>
        <v/>
      </c>
      <c r="AH8" s="11">
        <f>EDATE(Hypothèses!$D$7,AH7-1)</f>
        <v/>
      </c>
      <c r="AI8" s="11">
        <f>EDATE(Hypothèses!$D$7,AI7-1)</f>
        <v/>
      </c>
      <c r="AJ8" s="11">
        <f>EDATE(Hypothèses!$D$7,AJ7-1)</f>
        <v/>
      </c>
      <c r="AK8" s="11">
        <f>EDATE(Hypothèses!$D$7,AK7-1)</f>
        <v/>
      </c>
      <c r="AL8" s="11">
        <f>EDATE(Hypothèses!$D$7,AL7-1)</f>
        <v/>
      </c>
    </row>
    <row r="9">
      <c r="A9" s="9" t="inlineStr">
        <is>
          <t>Lancé ? (1 = oui)</t>
        </is>
      </c>
      <c r="B9" s="4" t="inlineStr">
        <is>
          <t>0/1</t>
        </is>
      </c>
      <c r="C9" s="13">
        <f>IF(C7&gt;=$B$5,1,0)</f>
        <v/>
      </c>
      <c r="D9" s="13">
        <f>IF(D7&gt;=$B$5,1,0)</f>
        <v/>
      </c>
      <c r="E9" s="13">
        <f>IF(E7&gt;=$B$5,1,0)</f>
        <v/>
      </c>
      <c r="F9" s="13">
        <f>IF(F7&gt;=$B$5,1,0)</f>
        <v/>
      </c>
      <c r="G9" s="13">
        <f>IF(G7&gt;=$B$5,1,0)</f>
        <v/>
      </c>
      <c r="H9" s="13">
        <f>IF(H7&gt;=$B$5,1,0)</f>
        <v/>
      </c>
      <c r="I9" s="13">
        <f>IF(I7&gt;=$B$5,1,0)</f>
        <v/>
      </c>
      <c r="J9" s="13">
        <f>IF(J7&gt;=$B$5,1,0)</f>
        <v/>
      </c>
      <c r="K9" s="13">
        <f>IF(K7&gt;=$B$5,1,0)</f>
        <v/>
      </c>
      <c r="L9" s="13">
        <f>IF(L7&gt;=$B$5,1,0)</f>
        <v/>
      </c>
      <c r="M9" s="13">
        <f>IF(M7&gt;=$B$5,1,0)</f>
        <v/>
      </c>
      <c r="N9" s="13">
        <f>IF(N7&gt;=$B$5,1,0)</f>
        <v/>
      </c>
      <c r="O9" s="13">
        <f>IF(O7&gt;=$B$5,1,0)</f>
        <v/>
      </c>
      <c r="P9" s="13">
        <f>IF(P7&gt;=$B$5,1,0)</f>
        <v/>
      </c>
      <c r="Q9" s="13">
        <f>IF(Q7&gt;=$B$5,1,0)</f>
        <v/>
      </c>
      <c r="R9" s="13">
        <f>IF(R7&gt;=$B$5,1,0)</f>
        <v/>
      </c>
      <c r="S9" s="13">
        <f>IF(S7&gt;=$B$5,1,0)</f>
        <v/>
      </c>
      <c r="T9" s="13">
        <f>IF(T7&gt;=$B$5,1,0)</f>
        <v/>
      </c>
      <c r="U9" s="13">
        <f>IF(U7&gt;=$B$5,1,0)</f>
        <v/>
      </c>
      <c r="V9" s="13">
        <f>IF(V7&gt;=$B$5,1,0)</f>
        <v/>
      </c>
      <c r="W9" s="13">
        <f>IF(W7&gt;=$B$5,1,0)</f>
        <v/>
      </c>
      <c r="X9" s="13">
        <f>IF(X7&gt;=$B$5,1,0)</f>
        <v/>
      </c>
      <c r="Y9" s="13">
        <f>IF(Y7&gt;=$B$5,1,0)</f>
        <v/>
      </c>
      <c r="Z9" s="13">
        <f>IF(Z7&gt;=$B$5,1,0)</f>
        <v/>
      </c>
      <c r="AA9" s="13">
        <f>IF(AA7&gt;=$B$5,1,0)</f>
        <v/>
      </c>
      <c r="AB9" s="13">
        <f>IF(AB7&gt;=$B$5,1,0)</f>
        <v/>
      </c>
      <c r="AC9" s="13">
        <f>IF(AC7&gt;=$B$5,1,0)</f>
        <v/>
      </c>
      <c r="AD9" s="13">
        <f>IF(AD7&gt;=$B$5,1,0)</f>
        <v/>
      </c>
      <c r="AE9" s="13">
        <f>IF(AE7&gt;=$B$5,1,0)</f>
        <v/>
      </c>
      <c r="AF9" s="13">
        <f>IF(AF7&gt;=$B$5,1,0)</f>
        <v/>
      </c>
      <c r="AG9" s="13">
        <f>IF(AG7&gt;=$B$5,1,0)</f>
        <v/>
      </c>
      <c r="AH9" s="13">
        <f>IF(AH7&gt;=$B$5,1,0)</f>
        <v/>
      </c>
      <c r="AI9" s="13">
        <f>IF(AI7&gt;=$B$5,1,0)</f>
        <v/>
      </c>
      <c r="AJ9" s="13">
        <f>IF(AJ7&gt;=$B$5,1,0)</f>
        <v/>
      </c>
      <c r="AK9" s="13">
        <f>IF(AK7&gt;=$B$5,1,0)</f>
        <v/>
      </c>
      <c r="AL9" s="13">
        <f>IF(AL7&gt;=$B$5,1,0)</f>
        <v/>
      </c>
    </row>
    <row r="10">
      <c r="A10" s="9" t="inlineStr">
        <is>
          <t>Pilote en cours ? (1 = oui)</t>
        </is>
      </c>
      <c r="B10" s="4" t="inlineStr">
        <is>
          <t>0/1</t>
        </is>
      </c>
      <c r="C10" s="13">
        <f>IF(AND(C7&gt;=Hypothèses!$D$8,C7&lt;$B$5),1,0)</f>
        <v/>
      </c>
      <c r="D10" s="13">
        <f>IF(AND(D7&gt;=Hypothèses!$D$8,D7&lt;$B$5),1,0)</f>
        <v/>
      </c>
      <c r="E10" s="13">
        <f>IF(AND(E7&gt;=Hypothèses!$D$8,E7&lt;$B$5),1,0)</f>
        <v/>
      </c>
      <c r="F10" s="13">
        <f>IF(AND(F7&gt;=Hypothèses!$D$8,F7&lt;$B$5),1,0)</f>
        <v/>
      </c>
      <c r="G10" s="13">
        <f>IF(AND(G7&gt;=Hypothèses!$D$8,G7&lt;$B$5),1,0)</f>
        <v/>
      </c>
      <c r="H10" s="13">
        <f>IF(AND(H7&gt;=Hypothèses!$D$8,H7&lt;$B$5),1,0)</f>
        <v/>
      </c>
      <c r="I10" s="13">
        <f>IF(AND(I7&gt;=Hypothèses!$D$8,I7&lt;$B$5),1,0)</f>
        <v/>
      </c>
      <c r="J10" s="13">
        <f>IF(AND(J7&gt;=Hypothèses!$D$8,J7&lt;$B$5),1,0)</f>
        <v/>
      </c>
      <c r="K10" s="13">
        <f>IF(AND(K7&gt;=Hypothèses!$D$8,K7&lt;$B$5),1,0)</f>
        <v/>
      </c>
      <c r="L10" s="13">
        <f>IF(AND(L7&gt;=Hypothèses!$D$8,L7&lt;$B$5),1,0)</f>
        <v/>
      </c>
      <c r="M10" s="13">
        <f>IF(AND(M7&gt;=Hypothèses!$D$8,M7&lt;$B$5),1,0)</f>
        <v/>
      </c>
      <c r="N10" s="13">
        <f>IF(AND(N7&gt;=Hypothèses!$D$8,N7&lt;$B$5),1,0)</f>
        <v/>
      </c>
      <c r="O10" s="13">
        <f>IF(AND(O7&gt;=Hypothèses!$D$8,O7&lt;$B$5),1,0)</f>
        <v/>
      </c>
      <c r="P10" s="13">
        <f>IF(AND(P7&gt;=Hypothèses!$D$8,P7&lt;$B$5),1,0)</f>
        <v/>
      </c>
      <c r="Q10" s="13">
        <f>IF(AND(Q7&gt;=Hypothèses!$D$8,Q7&lt;$B$5),1,0)</f>
        <v/>
      </c>
      <c r="R10" s="13">
        <f>IF(AND(R7&gt;=Hypothèses!$D$8,R7&lt;$B$5),1,0)</f>
        <v/>
      </c>
      <c r="S10" s="13">
        <f>IF(AND(S7&gt;=Hypothèses!$D$8,S7&lt;$B$5),1,0)</f>
        <v/>
      </c>
      <c r="T10" s="13">
        <f>IF(AND(T7&gt;=Hypothèses!$D$8,T7&lt;$B$5),1,0)</f>
        <v/>
      </c>
      <c r="U10" s="13">
        <f>IF(AND(U7&gt;=Hypothèses!$D$8,U7&lt;$B$5),1,0)</f>
        <v/>
      </c>
      <c r="V10" s="13">
        <f>IF(AND(V7&gt;=Hypothèses!$D$8,V7&lt;$B$5),1,0)</f>
        <v/>
      </c>
      <c r="W10" s="13">
        <f>IF(AND(W7&gt;=Hypothèses!$D$8,W7&lt;$B$5),1,0)</f>
        <v/>
      </c>
      <c r="X10" s="13">
        <f>IF(AND(X7&gt;=Hypothèses!$D$8,X7&lt;$B$5),1,0)</f>
        <v/>
      </c>
      <c r="Y10" s="13">
        <f>IF(AND(Y7&gt;=Hypothèses!$D$8,Y7&lt;$B$5),1,0)</f>
        <v/>
      </c>
      <c r="Z10" s="13">
        <f>IF(AND(Z7&gt;=Hypothèses!$D$8,Z7&lt;$B$5),1,0)</f>
        <v/>
      </c>
      <c r="AA10" s="13">
        <f>IF(AND(AA7&gt;=Hypothèses!$D$8,AA7&lt;$B$5),1,0)</f>
        <v/>
      </c>
      <c r="AB10" s="13">
        <f>IF(AND(AB7&gt;=Hypothèses!$D$8,AB7&lt;$B$5),1,0)</f>
        <v/>
      </c>
      <c r="AC10" s="13">
        <f>IF(AND(AC7&gt;=Hypothèses!$D$8,AC7&lt;$B$5),1,0)</f>
        <v/>
      </c>
      <c r="AD10" s="13">
        <f>IF(AND(AD7&gt;=Hypothèses!$D$8,AD7&lt;$B$5),1,0)</f>
        <v/>
      </c>
      <c r="AE10" s="13">
        <f>IF(AND(AE7&gt;=Hypothèses!$D$8,AE7&lt;$B$5),1,0)</f>
        <v/>
      </c>
      <c r="AF10" s="13">
        <f>IF(AND(AF7&gt;=Hypothèses!$D$8,AF7&lt;$B$5),1,0)</f>
        <v/>
      </c>
      <c r="AG10" s="13">
        <f>IF(AND(AG7&gt;=Hypothèses!$D$8,AG7&lt;$B$5),1,0)</f>
        <v/>
      </c>
      <c r="AH10" s="13">
        <f>IF(AND(AH7&gt;=Hypothèses!$D$8,AH7&lt;$B$5),1,0)</f>
        <v/>
      </c>
      <c r="AI10" s="13">
        <f>IF(AND(AI7&gt;=Hypothèses!$D$8,AI7&lt;$B$5),1,0)</f>
        <v/>
      </c>
      <c r="AJ10" s="13">
        <f>IF(AND(AJ7&gt;=Hypothèses!$D$8,AJ7&lt;$B$5),1,0)</f>
        <v/>
      </c>
      <c r="AK10" s="13">
        <f>IF(AND(AK7&gt;=Hypothèses!$D$8,AK7&lt;$B$5),1,0)</f>
        <v/>
      </c>
      <c r="AL10" s="13">
        <f>IF(AND(AL7&gt;=Hypothèses!$D$8,AL7&lt;$B$5),1,0)</f>
        <v/>
      </c>
    </row>
    <row r="11">
      <c r="A11" s="9" t="inlineStr">
        <is>
          <t>Budget d'acquisition du mois</t>
        </is>
      </c>
      <c r="B11" s="4" t="inlineStr">
        <is>
          <t>€ HT</t>
        </is>
      </c>
      <c r="C11" s="15">
        <f>IF(C9=1,IF(C7&lt;=12,Hypothèses!$D$20,IF(C7&lt;=24,Hypothèses!$D$21,Hypothèses!$D$22)),0)</f>
        <v/>
      </c>
      <c r="D11" s="15">
        <f>IF(D9=1,IF(D7&lt;=12,Hypothèses!$D$20,IF(D7&lt;=24,Hypothèses!$D$21,Hypothèses!$D$22)),0)</f>
        <v/>
      </c>
      <c r="E11" s="15">
        <f>IF(E9=1,IF(E7&lt;=12,Hypothèses!$D$20,IF(E7&lt;=24,Hypothèses!$D$21,Hypothèses!$D$22)),0)</f>
        <v/>
      </c>
      <c r="F11" s="15">
        <f>IF(F9=1,IF(F7&lt;=12,Hypothèses!$D$20,IF(F7&lt;=24,Hypothèses!$D$21,Hypothèses!$D$22)),0)</f>
        <v/>
      </c>
      <c r="G11" s="15">
        <f>IF(G9=1,IF(G7&lt;=12,Hypothèses!$D$20,IF(G7&lt;=24,Hypothèses!$D$21,Hypothèses!$D$22)),0)</f>
        <v/>
      </c>
      <c r="H11" s="15">
        <f>IF(H9=1,IF(H7&lt;=12,Hypothèses!$D$20,IF(H7&lt;=24,Hypothèses!$D$21,Hypothèses!$D$22)),0)</f>
        <v/>
      </c>
      <c r="I11" s="15">
        <f>IF(I9=1,IF(I7&lt;=12,Hypothèses!$D$20,IF(I7&lt;=24,Hypothèses!$D$21,Hypothèses!$D$22)),0)</f>
        <v/>
      </c>
      <c r="J11" s="15">
        <f>IF(J9=1,IF(J7&lt;=12,Hypothèses!$D$20,IF(J7&lt;=24,Hypothèses!$D$21,Hypothèses!$D$22)),0)</f>
        <v/>
      </c>
      <c r="K11" s="15">
        <f>IF(K9=1,IF(K7&lt;=12,Hypothèses!$D$20,IF(K7&lt;=24,Hypothèses!$D$21,Hypothèses!$D$22)),0)</f>
        <v/>
      </c>
      <c r="L11" s="15">
        <f>IF(L9=1,IF(L7&lt;=12,Hypothèses!$D$20,IF(L7&lt;=24,Hypothèses!$D$21,Hypothèses!$D$22)),0)</f>
        <v/>
      </c>
      <c r="M11" s="15">
        <f>IF(M9=1,IF(M7&lt;=12,Hypothèses!$D$20,IF(M7&lt;=24,Hypothèses!$D$21,Hypothèses!$D$22)),0)</f>
        <v/>
      </c>
      <c r="N11" s="15">
        <f>IF(N9=1,IF(N7&lt;=12,Hypothèses!$D$20,IF(N7&lt;=24,Hypothèses!$D$21,Hypothèses!$D$22)),0)</f>
        <v/>
      </c>
      <c r="O11" s="15">
        <f>IF(O9=1,IF(O7&lt;=12,Hypothèses!$D$20,IF(O7&lt;=24,Hypothèses!$D$21,Hypothèses!$D$22)),0)</f>
        <v/>
      </c>
      <c r="P11" s="15">
        <f>IF(P9=1,IF(P7&lt;=12,Hypothèses!$D$20,IF(P7&lt;=24,Hypothèses!$D$21,Hypothèses!$D$22)),0)</f>
        <v/>
      </c>
      <c r="Q11" s="15">
        <f>IF(Q9=1,IF(Q7&lt;=12,Hypothèses!$D$20,IF(Q7&lt;=24,Hypothèses!$D$21,Hypothèses!$D$22)),0)</f>
        <v/>
      </c>
      <c r="R11" s="15">
        <f>IF(R9=1,IF(R7&lt;=12,Hypothèses!$D$20,IF(R7&lt;=24,Hypothèses!$D$21,Hypothèses!$D$22)),0)</f>
        <v/>
      </c>
      <c r="S11" s="15">
        <f>IF(S9=1,IF(S7&lt;=12,Hypothèses!$D$20,IF(S7&lt;=24,Hypothèses!$D$21,Hypothèses!$D$22)),0)</f>
        <v/>
      </c>
      <c r="T11" s="15">
        <f>IF(T9=1,IF(T7&lt;=12,Hypothèses!$D$20,IF(T7&lt;=24,Hypothèses!$D$21,Hypothèses!$D$22)),0)</f>
        <v/>
      </c>
      <c r="U11" s="15">
        <f>IF(U9=1,IF(U7&lt;=12,Hypothèses!$D$20,IF(U7&lt;=24,Hypothèses!$D$21,Hypothèses!$D$22)),0)</f>
        <v/>
      </c>
      <c r="V11" s="15">
        <f>IF(V9=1,IF(V7&lt;=12,Hypothèses!$D$20,IF(V7&lt;=24,Hypothèses!$D$21,Hypothèses!$D$22)),0)</f>
        <v/>
      </c>
      <c r="W11" s="15">
        <f>IF(W9=1,IF(W7&lt;=12,Hypothèses!$D$20,IF(W7&lt;=24,Hypothèses!$D$21,Hypothèses!$D$22)),0)</f>
        <v/>
      </c>
      <c r="X11" s="15">
        <f>IF(X9=1,IF(X7&lt;=12,Hypothèses!$D$20,IF(X7&lt;=24,Hypothèses!$D$21,Hypothèses!$D$22)),0)</f>
        <v/>
      </c>
      <c r="Y11" s="15">
        <f>IF(Y9=1,IF(Y7&lt;=12,Hypothèses!$D$20,IF(Y7&lt;=24,Hypothèses!$D$21,Hypothèses!$D$22)),0)</f>
        <v/>
      </c>
      <c r="Z11" s="15">
        <f>IF(Z9=1,IF(Z7&lt;=12,Hypothèses!$D$20,IF(Z7&lt;=24,Hypothèses!$D$21,Hypothèses!$D$22)),0)</f>
        <v/>
      </c>
      <c r="AA11" s="15">
        <f>IF(AA9=1,IF(AA7&lt;=12,Hypothèses!$D$20,IF(AA7&lt;=24,Hypothèses!$D$21,Hypothèses!$D$22)),0)</f>
        <v/>
      </c>
      <c r="AB11" s="15">
        <f>IF(AB9=1,IF(AB7&lt;=12,Hypothèses!$D$20,IF(AB7&lt;=24,Hypothèses!$D$21,Hypothèses!$D$22)),0)</f>
        <v/>
      </c>
      <c r="AC11" s="15">
        <f>IF(AC9=1,IF(AC7&lt;=12,Hypothèses!$D$20,IF(AC7&lt;=24,Hypothèses!$D$21,Hypothèses!$D$22)),0)</f>
        <v/>
      </c>
      <c r="AD11" s="15">
        <f>IF(AD9=1,IF(AD7&lt;=12,Hypothèses!$D$20,IF(AD7&lt;=24,Hypothèses!$D$21,Hypothèses!$D$22)),0)</f>
        <v/>
      </c>
      <c r="AE11" s="15">
        <f>IF(AE9=1,IF(AE7&lt;=12,Hypothèses!$D$20,IF(AE7&lt;=24,Hypothèses!$D$21,Hypothèses!$D$22)),0)</f>
        <v/>
      </c>
      <c r="AF11" s="15">
        <f>IF(AF9=1,IF(AF7&lt;=12,Hypothèses!$D$20,IF(AF7&lt;=24,Hypothèses!$D$21,Hypothèses!$D$22)),0)</f>
        <v/>
      </c>
      <c r="AG11" s="15">
        <f>IF(AG9=1,IF(AG7&lt;=12,Hypothèses!$D$20,IF(AG7&lt;=24,Hypothèses!$D$21,Hypothèses!$D$22)),0)</f>
        <v/>
      </c>
      <c r="AH11" s="15">
        <f>IF(AH9=1,IF(AH7&lt;=12,Hypothèses!$D$20,IF(AH7&lt;=24,Hypothèses!$D$21,Hypothèses!$D$22)),0)</f>
        <v/>
      </c>
      <c r="AI11" s="15">
        <f>IF(AI9=1,IF(AI7&lt;=12,Hypothèses!$D$20,IF(AI7&lt;=24,Hypothèses!$D$21,Hypothèses!$D$22)),0)</f>
        <v/>
      </c>
      <c r="AJ11" s="15">
        <f>IF(AJ9=1,IF(AJ7&lt;=12,Hypothèses!$D$20,IF(AJ7&lt;=24,Hypothèses!$D$21,Hypothèses!$D$22)),0)</f>
        <v/>
      </c>
      <c r="AK11" s="15">
        <f>IF(AK9=1,IF(AK7&lt;=12,Hypothèses!$D$20,IF(AK7&lt;=24,Hypothèses!$D$21,Hypothèses!$D$22)),0)</f>
        <v/>
      </c>
      <c r="AL11" s="15">
        <f>IF(AL9=1,IF(AL7&lt;=12,Hypothèses!$D$20,IF(AL7&lt;=24,Hypothèses!$D$21,Hypothèses!$D$22)),0)</f>
        <v/>
      </c>
      <c r="AN11" s="15">
        <f>SUM(C11:N11)</f>
        <v/>
      </c>
      <c r="AO11" s="15">
        <f>SUM(O11:Z11)</f>
        <v/>
      </c>
      <c r="AP11" s="15">
        <f>SUM(AA11:AL11)</f>
        <v/>
      </c>
    </row>
    <row r="12">
      <c r="A12" s="8" t="inlineStr">
        <is>
          <t>Abonnés</t>
        </is>
      </c>
    </row>
    <row r="13">
      <c r="A13" s="9" t="inlineStr">
        <is>
          <t>Abonnés en début de mois</t>
        </is>
      </c>
      <c r="B13" s="4" t="inlineStr">
        <is>
          <t>abonnés</t>
        </is>
      </c>
      <c r="C13" s="38">
        <f>0</f>
        <v/>
      </c>
      <c r="D13" s="38">
        <f>C18</f>
        <v/>
      </c>
      <c r="E13" s="38">
        <f>D18</f>
        <v/>
      </c>
      <c r="F13" s="38">
        <f>E18</f>
        <v/>
      </c>
      <c r="G13" s="38">
        <f>F18</f>
        <v/>
      </c>
      <c r="H13" s="38">
        <f>G18</f>
        <v/>
      </c>
      <c r="I13" s="38">
        <f>H18</f>
        <v/>
      </c>
      <c r="J13" s="38">
        <f>I18</f>
        <v/>
      </c>
      <c r="K13" s="38">
        <f>J18</f>
        <v/>
      </c>
      <c r="L13" s="38">
        <f>K18</f>
        <v/>
      </c>
      <c r="M13" s="38">
        <f>L18</f>
        <v/>
      </c>
      <c r="N13" s="38">
        <f>M18</f>
        <v/>
      </c>
      <c r="O13" s="38">
        <f>N18</f>
        <v/>
      </c>
      <c r="P13" s="38">
        <f>O18</f>
        <v/>
      </c>
      <c r="Q13" s="38">
        <f>P18</f>
        <v/>
      </c>
      <c r="R13" s="38">
        <f>Q18</f>
        <v/>
      </c>
      <c r="S13" s="38">
        <f>R18</f>
        <v/>
      </c>
      <c r="T13" s="38">
        <f>S18</f>
        <v/>
      </c>
      <c r="U13" s="38">
        <f>T18</f>
        <v/>
      </c>
      <c r="V13" s="38">
        <f>U18</f>
        <v/>
      </c>
      <c r="W13" s="38">
        <f>V18</f>
        <v/>
      </c>
      <c r="X13" s="38">
        <f>W18</f>
        <v/>
      </c>
      <c r="Y13" s="38">
        <f>X18</f>
        <v/>
      </c>
      <c r="Z13" s="38">
        <f>Y18</f>
        <v/>
      </c>
      <c r="AA13" s="38">
        <f>Z18</f>
        <v/>
      </c>
      <c r="AB13" s="38">
        <f>AA18</f>
        <v/>
      </c>
      <c r="AC13" s="38">
        <f>AB18</f>
        <v/>
      </c>
      <c r="AD13" s="38">
        <f>AC18</f>
        <v/>
      </c>
      <c r="AE13" s="38">
        <f>AD18</f>
        <v/>
      </c>
      <c r="AF13" s="38">
        <f>AE18</f>
        <v/>
      </c>
      <c r="AG13" s="38">
        <f>AF18</f>
        <v/>
      </c>
      <c r="AH13" s="38">
        <f>AG18</f>
        <v/>
      </c>
      <c r="AI13" s="38">
        <f>AH18</f>
        <v/>
      </c>
      <c r="AJ13" s="38">
        <f>AI18</f>
        <v/>
      </c>
      <c r="AK13" s="38">
        <f>AJ18</f>
        <v/>
      </c>
      <c r="AL13" s="38">
        <f>AK18</f>
        <v/>
      </c>
    </row>
    <row r="14">
      <c r="A14" s="9" t="inlineStr">
        <is>
          <t>Nouveaux abonnés par acquisition payante</t>
        </is>
      </c>
      <c r="B14" s="4" t="inlineStr">
        <is>
          <t>abonnés</t>
        </is>
      </c>
      <c r="C14" s="38">
        <f>C11/(Hypothèses!$D$23*$E$4)</f>
        <v/>
      </c>
      <c r="D14" s="38">
        <f>D11/(Hypothèses!$D$23*$E$4)</f>
        <v/>
      </c>
      <c r="E14" s="38">
        <f>E11/(Hypothèses!$D$23*$E$4)</f>
        <v/>
      </c>
      <c r="F14" s="38">
        <f>F11/(Hypothèses!$D$23*$E$4)</f>
        <v/>
      </c>
      <c r="G14" s="38">
        <f>G11/(Hypothèses!$D$23*$E$4)</f>
        <v/>
      </c>
      <c r="H14" s="38">
        <f>H11/(Hypothèses!$D$23*$E$4)</f>
        <v/>
      </c>
      <c r="I14" s="38">
        <f>I11/(Hypothèses!$D$23*$E$4)</f>
        <v/>
      </c>
      <c r="J14" s="38">
        <f>J11/(Hypothèses!$D$23*$E$4)</f>
        <v/>
      </c>
      <c r="K14" s="38">
        <f>K11/(Hypothèses!$D$23*$E$4)</f>
        <v/>
      </c>
      <c r="L14" s="38">
        <f>L11/(Hypothèses!$D$23*$E$4)</f>
        <v/>
      </c>
      <c r="M14" s="38">
        <f>M11/(Hypothèses!$D$23*$E$4)</f>
        <v/>
      </c>
      <c r="N14" s="38">
        <f>N11/(Hypothèses!$D$23*$E$4)</f>
        <v/>
      </c>
      <c r="O14" s="38">
        <f>O11/(Hypothèses!$D$23*$E$4)</f>
        <v/>
      </c>
      <c r="P14" s="38">
        <f>P11/(Hypothèses!$D$23*$E$4)</f>
        <v/>
      </c>
      <c r="Q14" s="38">
        <f>Q11/(Hypothèses!$D$23*$E$4)</f>
        <v/>
      </c>
      <c r="R14" s="38">
        <f>R11/(Hypothèses!$D$23*$E$4)</f>
        <v/>
      </c>
      <c r="S14" s="38">
        <f>S11/(Hypothèses!$D$23*$E$4)</f>
        <v/>
      </c>
      <c r="T14" s="38">
        <f>T11/(Hypothèses!$D$23*$E$4)</f>
        <v/>
      </c>
      <c r="U14" s="38">
        <f>U11/(Hypothèses!$D$23*$E$4)</f>
        <v/>
      </c>
      <c r="V14" s="38">
        <f>V11/(Hypothèses!$D$23*$E$4)</f>
        <v/>
      </c>
      <c r="W14" s="38">
        <f>W11/(Hypothèses!$D$23*$E$4)</f>
        <v/>
      </c>
      <c r="X14" s="38">
        <f>X11/(Hypothèses!$D$23*$E$4)</f>
        <v/>
      </c>
      <c r="Y14" s="38">
        <f>Y11/(Hypothèses!$D$23*$E$4)</f>
        <v/>
      </c>
      <c r="Z14" s="38">
        <f>Z11/(Hypothèses!$D$23*$E$4)</f>
        <v/>
      </c>
      <c r="AA14" s="38">
        <f>AA11/(Hypothèses!$D$23*$E$4)</f>
        <v/>
      </c>
      <c r="AB14" s="38">
        <f>AB11/(Hypothèses!$D$23*$E$4)</f>
        <v/>
      </c>
      <c r="AC14" s="38">
        <f>AC11/(Hypothèses!$D$23*$E$4)</f>
        <v/>
      </c>
      <c r="AD14" s="38">
        <f>AD11/(Hypothèses!$D$23*$E$4)</f>
        <v/>
      </c>
      <c r="AE14" s="38">
        <f>AE11/(Hypothèses!$D$23*$E$4)</f>
        <v/>
      </c>
      <c r="AF14" s="38">
        <f>AF11/(Hypothèses!$D$23*$E$4)</f>
        <v/>
      </c>
      <c r="AG14" s="38">
        <f>AG11/(Hypothèses!$D$23*$E$4)</f>
        <v/>
      </c>
      <c r="AH14" s="38">
        <f>AH11/(Hypothèses!$D$23*$E$4)</f>
        <v/>
      </c>
      <c r="AI14" s="38">
        <f>AI11/(Hypothèses!$D$23*$E$4)</f>
        <v/>
      </c>
      <c r="AJ14" s="38">
        <f>AJ11/(Hypothèses!$D$23*$E$4)</f>
        <v/>
      </c>
      <c r="AK14" s="38">
        <f>AK11/(Hypothèses!$D$23*$E$4)</f>
        <v/>
      </c>
      <c r="AL14" s="38">
        <f>AL11/(Hypothèses!$D$23*$E$4)</f>
        <v/>
      </c>
      <c r="AN14" s="38">
        <f>SUM(C14:N14)</f>
        <v/>
      </c>
      <c r="AO14" s="38">
        <f>SUM(O14:Z14)</f>
        <v/>
      </c>
      <c r="AP14" s="38">
        <f>SUM(AA14:AL14)</f>
        <v/>
      </c>
    </row>
    <row r="15">
      <c r="A15" s="9" t="inlineStr">
        <is>
          <t>Nouveaux abonnés pilote</t>
        </is>
      </c>
      <c r="B15" s="4" t="inlineStr">
        <is>
          <t>abonnés</t>
        </is>
      </c>
      <c r="C15" s="38">
        <f>IF(C7=Hypothèses!$D$8,Hypothèses!$D$9,0)</f>
        <v/>
      </c>
      <c r="D15" s="38">
        <f>IF(D7=Hypothèses!$D$8,Hypothèses!$D$9,0)</f>
        <v/>
      </c>
      <c r="E15" s="38">
        <f>IF(E7=Hypothèses!$D$8,Hypothèses!$D$9,0)</f>
        <v/>
      </c>
      <c r="F15" s="38">
        <f>IF(F7=Hypothèses!$D$8,Hypothèses!$D$9,0)</f>
        <v/>
      </c>
      <c r="G15" s="38">
        <f>IF(G7=Hypothèses!$D$8,Hypothèses!$D$9,0)</f>
        <v/>
      </c>
      <c r="H15" s="38">
        <f>IF(H7=Hypothèses!$D$8,Hypothèses!$D$9,0)</f>
        <v/>
      </c>
      <c r="I15" s="38">
        <f>IF(I7=Hypothèses!$D$8,Hypothèses!$D$9,0)</f>
        <v/>
      </c>
      <c r="J15" s="38">
        <f>IF(J7=Hypothèses!$D$8,Hypothèses!$D$9,0)</f>
        <v/>
      </c>
      <c r="K15" s="38">
        <f>IF(K7=Hypothèses!$D$8,Hypothèses!$D$9,0)</f>
        <v/>
      </c>
      <c r="L15" s="38">
        <f>IF(L7=Hypothèses!$D$8,Hypothèses!$D$9,0)</f>
        <v/>
      </c>
      <c r="M15" s="38">
        <f>IF(M7=Hypothèses!$D$8,Hypothèses!$D$9,0)</f>
        <v/>
      </c>
      <c r="N15" s="38">
        <f>IF(N7=Hypothèses!$D$8,Hypothèses!$D$9,0)</f>
        <v/>
      </c>
      <c r="O15" s="38">
        <f>IF(O7=Hypothèses!$D$8,Hypothèses!$D$9,0)</f>
        <v/>
      </c>
      <c r="P15" s="38">
        <f>IF(P7=Hypothèses!$D$8,Hypothèses!$D$9,0)</f>
        <v/>
      </c>
      <c r="Q15" s="38">
        <f>IF(Q7=Hypothèses!$D$8,Hypothèses!$D$9,0)</f>
        <v/>
      </c>
      <c r="R15" s="38">
        <f>IF(R7=Hypothèses!$D$8,Hypothèses!$D$9,0)</f>
        <v/>
      </c>
      <c r="S15" s="38">
        <f>IF(S7=Hypothèses!$D$8,Hypothèses!$D$9,0)</f>
        <v/>
      </c>
      <c r="T15" s="38">
        <f>IF(T7=Hypothèses!$D$8,Hypothèses!$D$9,0)</f>
        <v/>
      </c>
      <c r="U15" s="38">
        <f>IF(U7=Hypothèses!$D$8,Hypothèses!$D$9,0)</f>
        <v/>
      </c>
      <c r="V15" s="38">
        <f>IF(V7=Hypothèses!$D$8,Hypothèses!$D$9,0)</f>
        <v/>
      </c>
      <c r="W15" s="38">
        <f>IF(W7=Hypothèses!$D$8,Hypothèses!$D$9,0)</f>
        <v/>
      </c>
      <c r="X15" s="38">
        <f>IF(X7=Hypothèses!$D$8,Hypothèses!$D$9,0)</f>
        <v/>
      </c>
      <c r="Y15" s="38">
        <f>IF(Y7=Hypothèses!$D$8,Hypothèses!$D$9,0)</f>
        <v/>
      </c>
      <c r="Z15" s="38">
        <f>IF(Z7=Hypothèses!$D$8,Hypothèses!$D$9,0)</f>
        <v/>
      </c>
      <c r="AA15" s="38">
        <f>IF(AA7=Hypothèses!$D$8,Hypothèses!$D$9,0)</f>
        <v/>
      </c>
      <c r="AB15" s="38">
        <f>IF(AB7=Hypothèses!$D$8,Hypothèses!$D$9,0)</f>
        <v/>
      </c>
      <c r="AC15" s="38">
        <f>IF(AC7=Hypothèses!$D$8,Hypothèses!$D$9,0)</f>
        <v/>
      </c>
      <c r="AD15" s="38">
        <f>IF(AD7=Hypothèses!$D$8,Hypothèses!$D$9,0)</f>
        <v/>
      </c>
      <c r="AE15" s="38">
        <f>IF(AE7=Hypothèses!$D$8,Hypothèses!$D$9,0)</f>
        <v/>
      </c>
      <c r="AF15" s="38">
        <f>IF(AF7=Hypothèses!$D$8,Hypothèses!$D$9,0)</f>
        <v/>
      </c>
      <c r="AG15" s="38">
        <f>IF(AG7=Hypothèses!$D$8,Hypothèses!$D$9,0)</f>
        <v/>
      </c>
      <c r="AH15" s="38">
        <f>IF(AH7=Hypothèses!$D$8,Hypothèses!$D$9,0)</f>
        <v/>
      </c>
      <c r="AI15" s="38">
        <f>IF(AI7=Hypothèses!$D$8,Hypothèses!$D$9,0)</f>
        <v/>
      </c>
      <c r="AJ15" s="38">
        <f>IF(AJ7=Hypothèses!$D$8,Hypothèses!$D$9,0)</f>
        <v/>
      </c>
      <c r="AK15" s="38">
        <f>IF(AK7=Hypothèses!$D$8,Hypothèses!$D$9,0)</f>
        <v/>
      </c>
      <c r="AL15" s="38">
        <f>IF(AL7=Hypothèses!$D$8,Hypothèses!$D$9,0)</f>
        <v/>
      </c>
      <c r="AN15" s="38">
        <f>SUM(C15:N15)</f>
        <v/>
      </c>
      <c r="AO15" s="38">
        <f>SUM(O15:Z15)</f>
        <v/>
      </c>
      <c r="AP15" s="38">
        <f>SUM(AA15:AL15)</f>
        <v/>
      </c>
    </row>
    <row r="16">
      <c r="A16" s="9" t="inlineStr">
        <is>
          <t>Nouveaux abonnés organiques (parrainage)</t>
        </is>
      </c>
      <c r="B16" s="4" t="inlineStr">
        <is>
          <t>abonnés</t>
        </is>
      </c>
      <c r="C16" s="38">
        <f>C9*C13*Hypothèses!$D$24</f>
        <v/>
      </c>
      <c r="D16" s="38">
        <f>D9*D13*Hypothèses!$D$24</f>
        <v/>
      </c>
      <c r="E16" s="38">
        <f>E9*E13*Hypothèses!$D$24</f>
        <v/>
      </c>
      <c r="F16" s="38">
        <f>F9*F13*Hypothèses!$D$24</f>
        <v/>
      </c>
      <c r="G16" s="38">
        <f>G9*G13*Hypothèses!$D$24</f>
        <v/>
      </c>
      <c r="H16" s="38">
        <f>H9*H13*Hypothèses!$D$24</f>
        <v/>
      </c>
      <c r="I16" s="38">
        <f>I9*I13*Hypothèses!$D$24</f>
        <v/>
      </c>
      <c r="J16" s="38">
        <f>J9*J13*Hypothèses!$D$24</f>
        <v/>
      </c>
      <c r="K16" s="38">
        <f>K9*K13*Hypothèses!$D$24</f>
        <v/>
      </c>
      <c r="L16" s="38">
        <f>L9*L13*Hypothèses!$D$24</f>
        <v/>
      </c>
      <c r="M16" s="38">
        <f>M9*M13*Hypothèses!$D$24</f>
        <v/>
      </c>
      <c r="N16" s="38">
        <f>N9*N13*Hypothèses!$D$24</f>
        <v/>
      </c>
      <c r="O16" s="38">
        <f>O9*O13*Hypothèses!$D$24</f>
        <v/>
      </c>
      <c r="P16" s="38">
        <f>P9*P13*Hypothèses!$D$24</f>
        <v/>
      </c>
      <c r="Q16" s="38">
        <f>Q9*Q13*Hypothèses!$D$24</f>
        <v/>
      </c>
      <c r="R16" s="38">
        <f>R9*R13*Hypothèses!$D$24</f>
        <v/>
      </c>
      <c r="S16" s="38">
        <f>S9*S13*Hypothèses!$D$24</f>
        <v/>
      </c>
      <c r="T16" s="38">
        <f>T9*T13*Hypothèses!$D$24</f>
        <v/>
      </c>
      <c r="U16" s="38">
        <f>U9*U13*Hypothèses!$D$24</f>
        <v/>
      </c>
      <c r="V16" s="38">
        <f>V9*V13*Hypothèses!$D$24</f>
        <v/>
      </c>
      <c r="W16" s="38">
        <f>W9*W13*Hypothèses!$D$24</f>
        <v/>
      </c>
      <c r="X16" s="38">
        <f>X9*X13*Hypothèses!$D$24</f>
        <v/>
      </c>
      <c r="Y16" s="38">
        <f>Y9*Y13*Hypothèses!$D$24</f>
        <v/>
      </c>
      <c r="Z16" s="38">
        <f>Z9*Z13*Hypothèses!$D$24</f>
        <v/>
      </c>
      <c r="AA16" s="38">
        <f>AA9*AA13*Hypothèses!$D$24</f>
        <v/>
      </c>
      <c r="AB16" s="38">
        <f>AB9*AB13*Hypothèses!$D$24</f>
        <v/>
      </c>
      <c r="AC16" s="38">
        <f>AC9*AC13*Hypothèses!$D$24</f>
        <v/>
      </c>
      <c r="AD16" s="38">
        <f>AD9*AD13*Hypothèses!$D$24</f>
        <v/>
      </c>
      <c r="AE16" s="38">
        <f>AE9*AE13*Hypothèses!$D$24</f>
        <v/>
      </c>
      <c r="AF16" s="38">
        <f>AF9*AF13*Hypothèses!$D$24</f>
        <v/>
      </c>
      <c r="AG16" s="38">
        <f>AG9*AG13*Hypothèses!$D$24</f>
        <v/>
      </c>
      <c r="AH16" s="38">
        <f>AH9*AH13*Hypothèses!$D$24</f>
        <v/>
      </c>
      <c r="AI16" s="38">
        <f>AI9*AI13*Hypothèses!$D$24</f>
        <v/>
      </c>
      <c r="AJ16" s="38">
        <f>AJ9*AJ13*Hypothèses!$D$24</f>
        <v/>
      </c>
      <c r="AK16" s="38">
        <f>AK9*AK13*Hypothèses!$D$24</f>
        <v/>
      </c>
      <c r="AL16" s="38">
        <f>AL9*AL13*Hypothèses!$D$24</f>
        <v/>
      </c>
      <c r="AN16" s="38">
        <f>SUM(C16:N16)</f>
        <v/>
      </c>
      <c r="AO16" s="38">
        <f>SUM(O16:Z16)</f>
        <v/>
      </c>
      <c r="AP16" s="38">
        <f>SUM(AA16:AL16)</f>
        <v/>
      </c>
    </row>
    <row r="17">
      <c r="A17" s="9" t="inlineStr">
        <is>
          <t>Résiliations</t>
        </is>
      </c>
      <c r="B17" s="4" t="inlineStr">
        <is>
          <t>abonnés</t>
        </is>
      </c>
      <c r="C17" s="38">
        <f>C13*Hypothèses!$D$26*$D$4</f>
        <v/>
      </c>
      <c r="D17" s="38">
        <f>D13*Hypothèses!$D$26*$D$4</f>
        <v/>
      </c>
      <c r="E17" s="38">
        <f>E13*Hypothèses!$D$26*$D$4</f>
        <v/>
      </c>
      <c r="F17" s="38">
        <f>F13*Hypothèses!$D$26*$D$4</f>
        <v/>
      </c>
      <c r="G17" s="38">
        <f>G13*Hypothèses!$D$26*$D$4</f>
        <v/>
      </c>
      <c r="H17" s="38">
        <f>H13*Hypothèses!$D$26*$D$4</f>
        <v/>
      </c>
      <c r="I17" s="38">
        <f>I13*Hypothèses!$D$26*$D$4</f>
        <v/>
      </c>
      <c r="J17" s="38">
        <f>J13*Hypothèses!$D$26*$D$4</f>
        <v/>
      </c>
      <c r="K17" s="38">
        <f>K13*Hypothèses!$D$26*$D$4</f>
        <v/>
      </c>
      <c r="L17" s="38">
        <f>L13*Hypothèses!$D$26*$D$4</f>
        <v/>
      </c>
      <c r="M17" s="38">
        <f>M13*Hypothèses!$D$26*$D$4</f>
        <v/>
      </c>
      <c r="N17" s="38">
        <f>N13*Hypothèses!$D$26*$D$4</f>
        <v/>
      </c>
      <c r="O17" s="38">
        <f>O13*Hypothèses!$D$26*$D$4</f>
        <v/>
      </c>
      <c r="P17" s="38">
        <f>P13*Hypothèses!$D$26*$D$4</f>
        <v/>
      </c>
      <c r="Q17" s="38">
        <f>Q13*Hypothèses!$D$26*$D$4</f>
        <v/>
      </c>
      <c r="R17" s="38">
        <f>R13*Hypothèses!$D$26*$D$4</f>
        <v/>
      </c>
      <c r="S17" s="38">
        <f>S13*Hypothèses!$D$26*$D$4</f>
        <v/>
      </c>
      <c r="T17" s="38">
        <f>T13*Hypothèses!$D$26*$D$4</f>
        <v/>
      </c>
      <c r="U17" s="38">
        <f>U13*Hypothèses!$D$26*$D$4</f>
        <v/>
      </c>
      <c r="V17" s="38">
        <f>V13*Hypothèses!$D$26*$D$4</f>
        <v/>
      </c>
      <c r="W17" s="38">
        <f>W13*Hypothèses!$D$26*$D$4</f>
        <v/>
      </c>
      <c r="X17" s="38">
        <f>X13*Hypothèses!$D$26*$D$4</f>
        <v/>
      </c>
      <c r="Y17" s="38">
        <f>Y13*Hypothèses!$D$26*$D$4</f>
        <v/>
      </c>
      <c r="Z17" s="38">
        <f>Z13*Hypothèses!$D$26*$D$4</f>
        <v/>
      </c>
      <c r="AA17" s="38">
        <f>AA13*Hypothèses!$D$26*$D$4</f>
        <v/>
      </c>
      <c r="AB17" s="38">
        <f>AB13*Hypothèses!$D$26*$D$4</f>
        <v/>
      </c>
      <c r="AC17" s="38">
        <f>AC13*Hypothèses!$D$26*$D$4</f>
        <v/>
      </c>
      <c r="AD17" s="38">
        <f>AD13*Hypothèses!$D$26*$D$4</f>
        <v/>
      </c>
      <c r="AE17" s="38">
        <f>AE13*Hypothèses!$D$26*$D$4</f>
        <v/>
      </c>
      <c r="AF17" s="38">
        <f>AF13*Hypothèses!$D$26*$D$4</f>
        <v/>
      </c>
      <c r="AG17" s="38">
        <f>AG13*Hypothèses!$D$26*$D$4</f>
        <v/>
      </c>
      <c r="AH17" s="38">
        <f>AH13*Hypothèses!$D$26*$D$4</f>
        <v/>
      </c>
      <c r="AI17" s="38">
        <f>AI13*Hypothèses!$D$26*$D$4</f>
        <v/>
      </c>
      <c r="AJ17" s="38">
        <f>AJ13*Hypothèses!$D$26*$D$4</f>
        <v/>
      </c>
      <c r="AK17" s="38">
        <f>AK13*Hypothèses!$D$26*$D$4</f>
        <v/>
      </c>
      <c r="AL17" s="38">
        <f>AL13*Hypothèses!$D$26*$D$4</f>
        <v/>
      </c>
      <c r="AN17" s="38">
        <f>SUM(C17:N17)</f>
        <v/>
      </c>
      <c r="AO17" s="38">
        <f>SUM(O17:Z17)</f>
        <v/>
      </c>
      <c r="AP17" s="38">
        <f>SUM(AA17:AL17)</f>
        <v/>
      </c>
    </row>
    <row r="18">
      <c r="A18" s="2" t="inlineStr">
        <is>
          <t>Abonnés en fin de mois</t>
        </is>
      </c>
      <c r="B18" s="4" t="inlineStr">
        <is>
          <t>abonnés</t>
        </is>
      </c>
      <c r="C18" s="39">
        <f>C13+C14+C15+C16-C17</f>
        <v/>
      </c>
      <c r="D18" s="39">
        <f>D13+D14+D15+D16-D17</f>
        <v/>
      </c>
      <c r="E18" s="39">
        <f>E13+E14+E15+E16-E17</f>
        <v/>
      </c>
      <c r="F18" s="39">
        <f>F13+F14+F15+F16-F17</f>
        <v/>
      </c>
      <c r="G18" s="39">
        <f>G13+G14+G15+G16-G17</f>
        <v/>
      </c>
      <c r="H18" s="39">
        <f>H13+H14+H15+H16-H17</f>
        <v/>
      </c>
      <c r="I18" s="39">
        <f>I13+I14+I15+I16-I17</f>
        <v/>
      </c>
      <c r="J18" s="39">
        <f>J13+J14+J15+J16-J17</f>
        <v/>
      </c>
      <c r="K18" s="39">
        <f>K13+K14+K15+K16-K17</f>
        <v/>
      </c>
      <c r="L18" s="39">
        <f>L13+L14+L15+L16-L17</f>
        <v/>
      </c>
      <c r="M18" s="39">
        <f>M13+M14+M15+M16-M17</f>
        <v/>
      </c>
      <c r="N18" s="39">
        <f>N13+N14+N15+N16-N17</f>
        <v/>
      </c>
      <c r="O18" s="39">
        <f>O13+O14+O15+O16-O17</f>
        <v/>
      </c>
      <c r="P18" s="39">
        <f>P13+P14+P15+P16-P17</f>
        <v/>
      </c>
      <c r="Q18" s="39">
        <f>Q13+Q14+Q15+Q16-Q17</f>
        <v/>
      </c>
      <c r="R18" s="39">
        <f>R13+R14+R15+R16-R17</f>
        <v/>
      </c>
      <c r="S18" s="39">
        <f>S13+S14+S15+S16-S17</f>
        <v/>
      </c>
      <c r="T18" s="39">
        <f>T13+T14+T15+T16-T17</f>
        <v/>
      </c>
      <c r="U18" s="39">
        <f>U13+U14+U15+U16-U17</f>
        <v/>
      </c>
      <c r="V18" s="39">
        <f>V13+V14+V15+V16-V17</f>
        <v/>
      </c>
      <c r="W18" s="39">
        <f>W13+W14+W15+W16-W17</f>
        <v/>
      </c>
      <c r="X18" s="39">
        <f>X13+X14+X15+X16-X17</f>
        <v/>
      </c>
      <c r="Y18" s="39">
        <f>Y13+Y14+Y15+Y16-Y17</f>
        <v/>
      </c>
      <c r="Z18" s="39">
        <f>Z13+Z14+Z15+Z16-Z17</f>
        <v/>
      </c>
      <c r="AA18" s="39">
        <f>AA13+AA14+AA15+AA16-AA17</f>
        <v/>
      </c>
      <c r="AB18" s="39">
        <f>AB13+AB14+AB15+AB16-AB17</f>
        <v/>
      </c>
      <c r="AC18" s="39">
        <f>AC13+AC14+AC15+AC16-AC17</f>
        <v/>
      </c>
      <c r="AD18" s="39">
        <f>AD13+AD14+AD15+AD16-AD17</f>
        <v/>
      </c>
      <c r="AE18" s="39">
        <f>AE13+AE14+AE15+AE16-AE17</f>
        <v/>
      </c>
      <c r="AF18" s="39">
        <f>AF13+AF14+AF15+AF16-AF17</f>
        <v/>
      </c>
      <c r="AG18" s="39">
        <f>AG13+AG14+AG15+AG16-AG17</f>
        <v/>
      </c>
      <c r="AH18" s="39">
        <f>AH13+AH14+AH15+AH16-AH17</f>
        <v/>
      </c>
      <c r="AI18" s="39">
        <f>AI13+AI14+AI15+AI16-AI17</f>
        <v/>
      </c>
      <c r="AJ18" s="39">
        <f>AJ13+AJ14+AJ15+AJ16-AJ17</f>
        <v/>
      </c>
      <c r="AK18" s="39">
        <f>AK13+AK14+AK15+AK16-AK17</f>
        <v/>
      </c>
      <c r="AL18" s="39">
        <f>AL13+AL14+AL15+AL16-AL17</f>
        <v/>
      </c>
      <c r="AN18" s="39">
        <f>N18</f>
        <v/>
      </c>
      <c r="AO18" s="39">
        <f>Z18</f>
        <v/>
      </c>
      <c r="AP18" s="39">
        <f>AL18</f>
        <v/>
      </c>
    </row>
    <row r="19">
      <c r="A19" s="9" t="inlineStr">
        <is>
          <t>dont Personal</t>
        </is>
      </c>
      <c r="B19" s="4" t="inlineStr">
        <is>
          <t>abonnés</t>
        </is>
      </c>
      <c r="C19" s="38">
        <f>C18*Hypothèses!$D$16</f>
        <v/>
      </c>
      <c r="D19" s="38">
        <f>D18*Hypothèses!$D$16</f>
        <v/>
      </c>
      <c r="E19" s="38">
        <f>E18*Hypothèses!$D$16</f>
        <v/>
      </c>
      <c r="F19" s="38">
        <f>F18*Hypothèses!$D$16</f>
        <v/>
      </c>
      <c r="G19" s="38">
        <f>G18*Hypothèses!$D$16</f>
        <v/>
      </c>
      <c r="H19" s="38">
        <f>H18*Hypothèses!$D$16</f>
        <v/>
      </c>
      <c r="I19" s="38">
        <f>I18*Hypothèses!$D$16</f>
        <v/>
      </c>
      <c r="J19" s="38">
        <f>J18*Hypothèses!$D$16</f>
        <v/>
      </c>
      <c r="K19" s="38">
        <f>K18*Hypothèses!$D$16</f>
        <v/>
      </c>
      <c r="L19" s="38">
        <f>L18*Hypothèses!$D$16</f>
        <v/>
      </c>
      <c r="M19" s="38">
        <f>M18*Hypothèses!$D$16</f>
        <v/>
      </c>
      <c r="N19" s="38">
        <f>N18*Hypothèses!$D$16</f>
        <v/>
      </c>
      <c r="O19" s="38">
        <f>O18*Hypothèses!$D$16</f>
        <v/>
      </c>
      <c r="P19" s="38">
        <f>P18*Hypothèses!$D$16</f>
        <v/>
      </c>
      <c r="Q19" s="38">
        <f>Q18*Hypothèses!$D$16</f>
        <v/>
      </c>
      <c r="R19" s="38">
        <f>R18*Hypothèses!$D$16</f>
        <v/>
      </c>
      <c r="S19" s="38">
        <f>S18*Hypothèses!$D$16</f>
        <v/>
      </c>
      <c r="T19" s="38">
        <f>T18*Hypothèses!$D$16</f>
        <v/>
      </c>
      <c r="U19" s="38">
        <f>U18*Hypothèses!$D$16</f>
        <v/>
      </c>
      <c r="V19" s="38">
        <f>V18*Hypothèses!$D$16</f>
        <v/>
      </c>
      <c r="W19" s="38">
        <f>W18*Hypothèses!$D$16</f>
        <v/>
      </c>
      <c r="X19" s="38">
        <f>X18*Hypothèses!$D$16</f>
        <v/>
      </c>
      <c r="Y19" s="38">
        <f>Y18*Hypothèses!$D$16</f>
        <v/>
      </c>
      <c r="Z19" s="38">
        <f>Z18*Hypothèses!$D$16</f>
        <v/>
      </c>
      <c r="AA19" s="38">
        <f>AA18*Hypothèses!$D$16</f>
        <v/>
      </c>
      <c r="AB19" s="38">
        <f>AB18*Hypothèses!$D$16</f>
        <v/>
      </c>
      <c r="AC19" s="38">
        <f>AC18*Hypothèses!$D$16</f>
        <v/>
      </c>
      <c r="AD19" s="38">
        <f>AD18*Hypothèses!$D$16</f>
        <v/>
      </c>
      <c r="AE19" s="38">
        <f>AE18*Hypothèses!$D$16</f>
        <v/>
      </c>
      <c r="AF19" s="38">
        <f>AF18*Hypothèses!$D$16</f>
        <v/>
      </c>
      <c r="AG19" s="38">
        <f>AG18*Hypothèses!$D$16</f>
        <v/>
      </c>
      <c r="AH19" s="38">
        <f>AH18*Hypothèses!$D$16</f>
        <v/>
      </c>
      <c r="AI19" s="38">
        <f>AI18*Hypothèses!$D$16</f>
        <v/>
      </c>
      <c r="AJ19" s="38">
        <f>AJ18*Hypothèses!$D$16</f>
        <v/>
      </c>
      <c r="AK19" s="38">
        <f>AK18*Hypothèses!$D$16</f>
        <v/>
      </c>
      <c r="AL19" s="38">
        <f>AL18*Hypothèses!$D$16</f>
        <v/>
      </c>
      <c r="AN19" s="38">
        <f>N19</f>
        <v/>
      </c>
      <c r="AO19" s="38">
        <f>Z19</f>
        <v/>
      </c>
      <c r="AP19" s="38">
        <f>AL19</f>
        <v/>
      </c>
    </row>
    <row r="20">
      <c r="A20" s="9" t="inlineStr">
        <is>
          <t>dont Premium</t>
        </is>
      </c>
      <c r="B20" s="4" t="inlineStr">
        <is>
          <t>abonnés</t>
        </is>
      </c>
      <c r="C20" s="38">
        <f>C18*Hypothèses!$D$17</f>
        <v/>
      </c>
      <c r="D20" s="38">
        <f>D18*Hypothèses!$D$17</f>
        <v/>
      </c>
      <c r="E20" s="38">
        <f>E18*Hypothèses!$D$17</f>
        <v/>
      </c>
      <c r="F20" s="38">
        <f>F18*Hypothèses!$D$17</f>
        <v/>
      </c>
      <c r="G20" s="38">
        <f>G18*Hypothèses!$D$17</f>
        <v/>
      </c>
      <c r="H20" s="38">
        <f>H18*Hypothèses!$D$17</f>
        <v/>
      </c>
      <c r="I20" s="38">
        <f>I18*Hypothèses!$D$17</f>
        <v/>
      </c>
      <c r="J20" s="38">
        <f>J18*Hypothèses!$D$17</f>
        <v/>
      </c>
      <c r="K20" s="38">
        <f>K18*Hypothèses!$D$17</f>
        <v/>
      </c>
      <c r="L20" s="38">
        <f>L18*Hypothèses!$D$17</f>
        <v/>
      </c>
      <c r="M20" s="38">
        <f>M18*Hypothèses!$D$17</f>
        <v/>
      </c>
      <c r="N20" s="38">
        <f>N18*Hypothèses!$D$17</f>
        <v/>
      </c>
      <c r="O20" s="38">
        <f>O18*Hypothèses!$D$17</f>
        <v/>
      </c>
      <c r="P20" s="38">
        <f>P18*Hypothèses!$D$17</f>
        <v/>
      </c>
      <c r="Q20" s="38">
        <f>Q18*Hypothèses!$D$17</f>
        <v/>
      </c>
      <c r="R20" s="38">
        <f>R18*Hypothèses!$D$17</f>
        <v/>
      </c>
      <c r="S20" s="38">
        <f>S18*Hypothèses!$D$17</f>
        <v/>
      </c>
      <c r="T20" s="38">
        <f>T18*Hypothèses!$D$17</f>
        <v/>
      </c>
      <c r="U20" s="38">
        <f>U18*Hypothèses!$D$17</f>
        <v/>
      </c>
      <c r="V20" s="38">
        <f>V18*Hypothèses!$D$17</f>
        <v/>
      </c>
      <c r="W20" s="38">
        <f>W18*Hypothèses!$D$17</f>
        <v/>
      </c>
      <c r="X20" s="38">
        <f>X18*Hypothèses!$D$17</f>
        <v/>
      </c>
      <c r="Y20" s="38">
        <f>Y18*Hypothèses!$D$17</f>
        <v/>
      </c>
      <c r="Z20" s="38">
        <f>Z18*Hypothèses!$D$17</f>
        <v/>
      </c>
      <c r="AA20" s="38">
        <f>AA18*Hypothèses!$D$17</f>
        <v/>
      </c>
      <c r="AB20" s="38">
        <f>AB18*Hypothèses!$D$17</f>
        <v/>
      </c>
      <c r="AC20" s="38">
        <f>AC18*Hypothèses!$D$17</f>
        <v/>
      </c>
      <c r="AD20" s="38">
        <f>AD18*Hypothèses!$D$17</f>
        <v/>
      </c>
      <c r="AE20" s="38">
        <f>AE18*Hypothèses!$D$17</f>
        <v/>
      </c>
      <c r="AF20" s="38">
        <f>AF18*Hypothèses!$D$17</f>
        <v/>
      </c>
      <c r="AG20" s="38">
        <f>AG18*Hypothèses!$D$17</f>
        <v/>
      </c>
      <c r="AH20" s="38">
        <f>AH18*Hypothèses!$D$17</f>
        <v/>
      </c>
      <c r="AI20" s="38">
        <f>AI18*Hypothèses!$D$17</f>
        <v/>
      </c>
      <c r="AJ20" s="38">
        <f>AJ18*Hypothèses!$D$17</f>
        <v/>
      </c>
      <c r="AK20" s="38">
        <f>AK18*Hypothèses!$D$17</f>
        <v/>
      </c>
      <c r="AL20" s="38">
        <f>AL18*Hypothèses!$D$17</f>
        <v/>
      </c>
      <c r="AN20" s="38">
        <f>N20</f>
        <v/>
      </c>
      <c r="AO20" s="38">
        <f>Z20</f>
        <v/>
      </c>
      <c r="AP20" s="38">
        <f>AL20</f>
        <v/>
      </c>
    </row>
    <row r="21">
      <c r="A21" s="9" t="inlineStr">
        <is>
          <t>dont Family</t>
        </is>
      </c>
      <c r="B21" s="4" t="inlineStr">
        <is>
          <t>abonnés</t>
        </is>
      </c>
      <c r="C21" s="38">
        <f>C18*Hypothèses!$D$18</f>
        <v/>
      </c>
      <c r="D21" s="38">
        <f>D18*Hypothèses!$D$18</f>
        <v/>
      </c>
      <c r="E21" s="38">
        <f>E18*Hypothèses!$D$18</f>
        <v/>
      </c>
      <c r="F21" s="38">
        <f>F18*Hypothèses!$D$18</f>
        <v/>
      </c>
      <c r="G21" s="38">
        <f>G18*Hypothèses!$D$18</f>
        <v/>
      </c>
      <c r="H21" s="38">
        <f>H18*Hypothèses!$D$18</f>
        <v/>
      </c>
      <c r="I21" s="38">
        <f>I18*Hypothèses!$D$18</f>
        <v/>
      </c>
      <c r="J21" s="38">
        <f>J18*Hypothèses!$D$18</f>
        <v/>
      </c>
      <c r="K21" s="38">
        <f>K18*Hypothèses!$D$18</f>
        <v/>
      </c>
      <c r="L21" s="38">
        <f>L18*Hypothèses!$D$18</f>
        <v/>
      </c>
      <c r="M21" s="38">
        <f>M18*Hypothèses!$D$18</f>
        <v/>
      </c>
      <c r="N21" s="38">
        <f>N18*Hypothèses!$D$18</f>
        <v/>
      </c>
      <c r="O21" s="38">
        <f>O18*Hypothèses!$D$18</f>
        <v/>
      </c>
      <c r="P21" s="38">
        <f>P18*Hypothèses!$D$18</f>
        <v/>
      </c>
      <c r="Q21" s="38">
        <f>Q18*Hypothèses!$D$18</f>
        <v/>
      </c>
      <c r="R21" s="38">
        <f>R18*Hypothèses!$D$18</f>
        <v/>
      </c>
      <c r="S21" s="38">
        <f>S18*Hypothèses!$D$18</f>
        <v/>
      </c>
      <c r="T21" s="38">
        <f>T18*Hypothèses!$D$18</f>
        <v/>
      </c>
      <c r="U21" s="38">
        <f>U18*Hypothèses!$D$18</f>
        <v/>
      </c>
      <c r="V21" s="38">
        <f>V18*Hypothèses!$D$18</f>
        <v/>
      </c>
      <c r="W21" s="38">
        <f>W18*Hypothèses!$D$18</f>
        <v/>
      </c>
      <c r="X21" s="38">
        <f>X18*Hypothèses!$D$18</f>
        <v/>
      </c>
      <c r="Y21" s="38">
        <f>Y18*Hypothèses!$D$18</f>
        <v/>
      </c>
      <c r="Z21" s="38">
        <f>Z18*Hypothèses!$D$18</f>
        <v/>
      </c>
      <c r="AA21" s="38">
        <f>AA18*Hypothèses!$D$18</f>
        <v/>
      </c>
      <c r="AB21" s="38">
        <f>AB18*Hypothèses!$D$18</f>
        <v/>
      </c>
      <c r="AC21" s="38">
        <f>AC18*Hypothèses!$D$18</f>
        <v/>
      </c>
      <c r="AD21" s="38">
        <f>AD18*Hypothèses!$D$18</f>
        <v/>
      </c>
      <c r="AE21" s="38">
        <f>AE18*Hypothèses!$D$18</f>
        <v/>
      </c>
      <c r="AF21" s="38">
        <f>AF18*Hypothèses!$D$18</f>
        <v/>
      </c>
      <c r="AG21" s="38">
        <f>AG18*Hypothèses!$D$18</f>
        <v/>
      </c>
      <c r="AH21" s="38">
        <f>AH18*Hypothèses!$D$18</f>
        <v/>
      </c>
      <c r="AI21" s="38">
        <f>AI18*Hypothèses!$D$18</f>
        <v/>
      </c>
      <c r="AJ21" s="38">
        <f>AJ18*Hypothèses!$D$18</f>
        <v/>
      </c>
      <c r="AK21" s="38">
        <f>AK18*Hypothèses!$D$18</f>
        <v/>
      </c>
      <c r="AL21" s="38">
        <f>AL18*Hypothèses!$D$18</f>
        <v/>
      </c>
      <c r="AN21" s="38">
        <f>N21</f>
        <v/>
      </c>
      <c r="AO21" s="38">
        <f>Z21</f>
        <v/>
      </c>
      <c r="AP21" s="38">
        <f>AL21</f>
        <v/>
      </c>
    </row>
    <row r="22">
      <c r="A22" s="8" t="inlineStr">
        <is>
          <t>Revenus</t>
        </is>
      </c>
    </row>
    <row r="23">
      <c r="A23" s="9" t="inlineStr">
        <is>
          <t>Facturation Personal TTC</t>
        </is>
      </c>
      <c r="B23" s="4" t="inlineStr">
        <is>
          <t>€ TTC</t>
        </is>
      </c>
      <c r="C23" s="15">
        <f>C19*Hypothèses!$D$12*$C$4</f>
        <v/>
      </c>
      <c r="D23" s="15">
        <f>D19*Hypothèses!$D$12*$C$4</f>
        <v/>
      </c>
      <c r="E23" s="15">
        <f>E19*Hypothèses!$D$12*$C$4</f>
        <v/>
      </c>
      <c r="F23" s="15">
        <f>F19*Hypothèses!$D$12*$C$4</f>
        <v/>
      </c>
      <c r="G23" s="15">
        <f>G19*Hypothèses!$D$12*$C$4</f>
        <v/>
      </c>
      <c r="H23" s="15">
        <f>H19*Hypothèses!$D$12*$C$4</f>
        <v/>
      </c>
      <c r="I23" s="15">
        <f>I19*Hypothèses!$D$12*$C$4</f>
        <v/>
      </c>
      <c r="J23" s="15">
        <f>J19*Hypothèses!$D$12*$C$4</f>
        <v/>
      </c>
      <c r="K23" s="15">
        <f>K19*Hypothèses!$D$12*$C$4</f>
        <v/>
      </c>
      <c r="L23" s="15">
        <f>L19*Hypothèses!$D$12*$C$4</f>
        <v/>
      </c>
      <c r="M23" s="15">
        <f>M19*Hypothèses!$D$12*$C$4</f>
        <v/>
      </c>
      <c r="N23" s="15">
        <f>N19*Hypothèses!$D$12*$C$4</f>
        <v/>
      </c>
      <c r="O23" s="15">
        <f>O19*Hypothèses!$D$12*$C$4</f>
        <v/>
      </c>
      <c r="P23" s="15">
        <f>P19*Hypothèses!$D$12*$C$4</f>
        <v/>
      </c>
      <c r="Q23" s="15">
        <f>Q19*Hypothèses!$D$12*$C$4</f>
        <v/>
      </c>
      <c r="R23" s="15">
        <f>R19*Hypothèses!$D$12*$C$4</f>
        <v/>
      </c>
      <c r="S23" s="15">
        <f>S19*Hypothèses!$D$12*$C$4</f>
        <v/>
      </c>
      <c r="T23" s="15">
        <f>T19*Hypothèses!$D$12*$C$4</f>
        <v/>
      </c>
      <c r="U23" s="15">
        <f>U19*Hypothèses!$D$12*$C$4</f>
        <v/>
      </c>
      <c r="V23" s="15">
        <f>V19*Hypothèses!$D$12*$C$4</f>
        <v/>
      </c>
      <c r="W23" s="15">
        <f>W19*Hypothèses!$D$12*$C$4</f>
        <v/>
      </c>
      <c r="X23" s="15">
        <f>X19*Hypothèses!$D$12*$C$4</f>
        <v/>
      </c>
      <c r="Y23" s="15">
        <f>Y19*Hypothèses!$D$12*$C$4</f>
        <v/>
      </c>
      <c r="Z23" s="15">
        <f>Z19*Hypothèses!$D$12*$C$4</f>
        <v/>
      </c>
      <c r="AA23" s="15">
        <f>AA19*Hypothèses!$D$12*$C$4</f>
        <v/>
      </c>
      <c r="AB23" s="15">
        <f>AB19*Hypothèses!$D$12*$C$4</f>
        <v/>
      </c>
      <c r="AC23" s="15">
        <f>AC19*Hypothèses!$D$12*$C$4</f>
        <v/>
      </c>
      <c r="AD23" s="15">
        <f>AD19*Hypothèses!$D$12*$C$4</f>
        <v/>
      </c>
      <c r="AE23" s="15">
        <f>AE19*Hypothèses!$D$12*$C$4</f>
        <v/>
      </c>
      <c r="AF23" s="15">
        <f>AF19*Hypothèses!$D$12*$C$4</f>
        <v/>
      </c>
      <c r="AG23" s="15">
        <f>AG19*Hypothèses!$D$12*$C$4</f>
        <v/>
      </c>
      <c r="AH23" s="15">
        <f>AH19*Hypothèses!$D$12*$C$4</f>
        <v/>
      </c>
      <c r="AI23" s="15">
        <f>AI19*Hypothèses!$D$12*$C$4</f>
        <v/>
      </c>
      <c r="AJ23" s="15">
        <f>AJ19*Hypothèses!$D$12*$C$4</f>
        <v/>
      </c>
      <c r="AK23" s="15">
        <f>AK19*Hypothèses!$D$12*$C$4</f>
        <v/>
      </c>
      <c r="AL23" s="15">
        <f>AL19*Hypothèses!$D$12*$C$4</f>
        <v/>
      </c>
      <c r="AN23" s="15">
        <f>SUM(C23:N23)</f>
        <v/>
      </c>
      <c r="AO23" s="15">
        <f>SUM(O23:Z23)</f>
        <v/>
      </c>
      <c r="AP23" s="15">
        <f>SUM(AA23:AL23)</f>
        <v/>
      </c>
    </row>
    <row r="24">
      <c r="A24" s="9" t="inlineStr">
        <is>
          <t>Facturation Premium TTC</t>
        </is>
      </c>
      <c r="B24" s="4" t="inlineStr">
        <is>
          <t>€ TTC</t>
        </is>
      </c>
      <c r="C24" s="15">
        <f>C20*Hypothèses!$D$13*$C$4</f>
        <v/>
      </c>
      <c r="D24" s="15">
        <f>D20*Hypothèses!$D$13*$C$4</f>
        <v/>
      </c>
      <c r="E24" s="15">
        <f>E20*Hypothèses!$D$13*$C$4</f>
        <v/>
      </c>
      <c r="F24" s="15">
        <f>F20*Hypothèses!$D$13*$C$4</f>
        <v/>
      </c>
      <c r="G24" s="15">
        <f>G20*Hypothèses!$D$13*$C$4</f>
        <v/>
      </c>
      <c r="H24" s="15">
        <f>H20*Hypothèses!$D$13*$C$4</f>
        <v/>
      </c>
      <c r="I24" s="15">
        <f>I20*Hypothèses!$D$13*$C$4</f>
        <v/>
      </c>
      <c r="J24" s="15">
        <f>J20*Hypothèses!$D$13*$C$4</f>
        <v/>
      </c>
      <c r="K24" s="15">
        <f>K20*Hypothèses!$D$13*$C$4</f>
        <v/>
      </c>
      <c r="L24" s="15">
        <f>L20*Hypothèses!$D$13*$C$4</f>
        <v/>
      </c>
      <c r="M24" s="15">
        <f>M20*Hypothèses!$D$13*$C$4</f>
        <v/>
      </c>
      <c r="N24" s="15">
        <f>N20*Hypothèses!$D$13*$C$4</f>
        <v/>
      </c>
      <c r="O24" s="15">
        <f>O20*Hypothèses!$D$13*$C$4</f>
        <v/>
      </c>
      <c r="P24" s="15">
        <f>P20*Hypothèses!$D$13*$C$4</f>
        <v/>
      </c>
      <c r="Q24" s="15">
        <f>Q20*Hypothèses!$D$13*$C$4</f>
        <v/>
      </c>
      <c r="R24" s="15">
        <f>R20*Hypothèses!$D$13*$C$4</f>
        <v/>
      </c>
      <c r="S24" s="15">
        <f>S20*Hypothèses!$D$13*$C$4</f>
        <v/>
      </c>
      <c r="T24" s="15">
        <f>T20*Hypothèses!$D$13*$C$4</f>
        <v/>
      </c>
      <c r="U24" s="15">
        <f>U20*Hypothèses!$D$13*$C$4</f>
        <v/>
      </c>
      <c r="V24" s="15">
        <f>V20*Hypothèses!$D$13*$C$4</f>
        <v/>
      </c>
      <c r="W24" s="15">
        <f>W20*Hypothèses!$D$13*$C$4</f>
        <v/>
      </c>
      <c r="X24" s="15">
        <f>X20*Hypothèses!$D$13*$C$4</f>
        <v/>
      </c>
      <c r="Y24" s="15">
        <f>Y20*Hypothèses!$D$13*$C$4</f>
        <v/>
      </c>
      <c r="Z24" s="15">
        <f>Z20*Hypothèses!$D$13*$C$4</f>
        <v/>
      </c>
      <c r="AA24" s="15">
        <f>AA20*Hypothèses!$D$13*$C$4</f>
        <v/>
      </c>
      <c r="AB24" s="15">
        <f>AB20*Hypothèses!$D$13*$C$4</f>
        <v/>
      </c>
      <c r="AC24" s="15">
        <f>AC20*Hypothèses!$D$13*$C$4</f>
        <v/>
      </c>
      <c r="AD24" s="15">
        <f>AD20*Hypothèses!$D$13*$C$4</f>
        <v/>
      </c>
      <c r="AE24" s="15">
        <f>AE20*Hypothèses!$D$13*$C$4</f>
        <v/>
      </c>
      <c r="AF24" s="15">
        <f>AF20*Hypothèses!$D$13*$C$4</f>
        <v/>
      </c>
      <c r="AG24" s="15">
        <f>AG20*Hypothèses!$D$13*$C$4</f>
        <v/>
      </c>
      <c r="AH24" s="15">
        <f>AH20*Hypothèses!$D$13*$C$4</f>
        <v/>
      </c>
      <c r="AI24" s="15">
        <f>AI20*Hypothèses!$D$13*$C$4</f>
        <v/>
      </c>
      <c r="AJ24" s="15">
        <f>AJ20*Hypothèses!$D$13*$C$4</f>
        <v/>
      </c>
      <c r="AK24" s="15">
        <f>AK20*Hypothèses!$D$13*$C$4</f>
        <v/>
      </c>
      <c r="AL24" s="15">
        <f>AL20*Hypothèses!$D$13*$C$4</f>
        <v/>
      </c>
      <c r="AN24" s="15">
        <f>SUM(C24:N24)</f>
        <v/>
      </c>
      <c r="AO24" s="15">
        <f>SUM(O24:Z24)</f>
        <v/>
      </c>
      <c r="AP24" s="15">
        <f>SUM(AA24:AL24)</f>
        <v/>
      </c>
    </row>
    <row r="25">
      <c r="A25" s="9" t="inlineStr">
        <is>
          <t>Facturation Family TTC</t>
        </is>
      </c>
      <c r="B25" s="4" t="inlineStr">
        <is>
          <t>€ TTC</t>
        </is>
      </c>
      <c r="C25" s="15">
        <f>C21*Hypothèses!$D$14*$C$4</f>
        <v/>
      </c>
      <c r="D25" s="15">
        <f>D21*Hypothèses!$D$14*$C$4</f>
        <v/>
      </c>
      <c r="E25" s="15">
        <f>E21*Hypothèses!$D$14*$C$4</f>
        <v/>
      </c>
      <c r="F25" s="15">
        <f>F21*Hypothèses!$D$14*$C$4</f>
        <v/>
      </c>
      <c r="G25" s="15">
        <f>G21*Hypothèses!$D$14*$C$4</f>
        <v/>
      </c>
      <c r="H25" s="15">
        <f>H21*Hypothèses!$D$14*$C$4</f>
        <v/>
      </c>
      <c r="I25" s="15">
        <f>I21*Hypothèses!$D$14*$C$4</f>
        <v/>
      </c>
      <c r="J25" s="15">
        <f>J21*Hypothèses!$D$14*$C$4</f>
        <v/>
      </c>
      <c r="K25" s="15">
        <f>K21*Hypothèses!$D$14*$C$4</f>
        <v/>
      </c>
      <c r="L25" s="15">
        <f>L21*Hypothèses!$D$14*$C$4</f>
        <v/>
      </c>
      <c r="M25" s="15">
        <f>M21*Hypothèses!$D$14*$C$4</f>
        <v/>
      </c>
      <c r="N25" s="15">
        <f>N21*Hypothèses!$D$14*$C$4</f>
        <v/>
      </c>
      <c r="O25" s="15">
        <f>O21*Hypothèses!$D$14*$C$4</f>
        <v/>
      </c>
      <c r="P25" s="15">
        <f>P21*Hypothèses!$D$14*$C$4</f>
        <v/>
      </c>
      <c r="Q25" s="15">
        <f>Q21*Hypothèses!$D$14*$C$4</f>
        <v/>
      </c>
      <c r="R25" s="15">
        <f>R21*Hypothèses!$D$14*$C$4</f>
        <v/>
      </c>
      <c r="S25" s="15">
        <f>S21*Hypothèses!$D$14*$C$4</f>
        <v/>
      </c>
      <c r="T25" s="15">
        <f>T21*Hypothèses!$D$14*$C$4</f>
        <v/>
      </c>
      <c r="U25" s="15">
        <f>U21*Hypothèses!$D$14*$C$4</f>
        <v/>
      </c>
      <c r="V25" s="15">
        <f>V21*Hypothèses!$D$14*$C$4</f>
        <v/>
      </c>
      <c r="W25" s="15">
        <f>W21*Hypothèses!$D$14*$C$4</f>
        <v/>
      </c>
      <c r="X25" s="15">
        <f>X21*Hypothèses!$D$14*$C$4</f>
        <v/>
      </c>
      <c r="Y25" s="15">
        <f>Y21*Hypothèses!$D$14*$C$4</f>
        <v/>
      </c>
      <c r="Z25" s="15">
        <f>Z21*Hypothèses!$D$14*$C$4</f>
        <v/>
      </c>
      <c r="AA25" s="15">
        <f>AA21*Hypothèses!$D$14*$C$4</f>
        <v/>
      </c>
      <c r="AB25" s="15">
        <f>AB21*Hypothèses!$D$14*$C$4</f>
        <v/>
      </c>
      <c r="AC25" s="15">
        <f>AC21*Hypothèses!$D$14*$C$4</f>
        <v/>
      </c>
      <c r="AD25" s="15">
        <f>AD21*Hypothèses!$D$14*$C$4</f>
        <v/>
      </c>
      <c r="AE25" s="15">
        <f>AE21*Hypothèses!$D$14*$C$4</f>
        <v/>
      </c>
      <c r="AF25" s="15">
        <f>AF21*Hypothèses!$D$14*$C$4</f>
        <v/>
      </c>
      <c r="AG25" s="15">
        <f>AG21*Hypothèses!$D$14*$C$4</f>
        <v/>
      </c>
      <c r="AH25" s="15">
        <f>AH21*Hypothèses!$D$14*$C$4</f>
        <v/>
      </c>
      <c r="AI25" s="15">
        <f>AI21*Hypothèses!$D$14*$C$4</f>
        <v/>
      </c>
      <c r="AJ25" s="15">
        <f>AJ21*Hypothèses!$D$14*$C$4</f>
        <v/>
      </c>
      <c r="AK25" s="15">
        <f>AK21*Hypothèses!$D$14*$C$4</f>
        <v/>
      </c>
      <c r="AL25" s="15">
        <f>AL21*Hypothèses!$D$14*$C$4</f>
        <v/>
      </c>
      <c r="AN25" s="15">
        <f>SUM(C25:N25)</f>
        <v/>
      </c>
      <c r="AO25" s="15">
        <f>SUM(O25:Z25)</f>
        <v/>
      </c>
      <c r="AP25" s="15">
        <f>SUM(AA25:AL25)</f>
        <v/>
      </c>
    </row>
    <row r="26">
      <c r="A26" s="2" t="inlineStr">
        <is>
          <t>Facturation totale TTC (MRR TTC)</t>
        </is>
      </c>
      <c r="B26" s="4" t="inlineStr">
        <is>
          <t>€ TTC</t>
        </is>
      </c>
      <c r="C26" s="40">
        <f>C23+C24+C25</f>
        <v/>
      </c>
      <c r="D26" s="40">
        <f>D23+D24+D25</f>
        <v/>
      </c>
      <c r="E26" s="40">
        <f>E23+E24+E25</f>
        <v/>
      </c>
      <c r="F26" s="40">
        <f>F23+F24+F25</f>
        <v/>
      </c>
      <c r="G26" s="40">
        <f>G23+G24+G25</f>
        <v/>
      </c>
      <c r="H26" s="40">
        <f>H23+H24+H25</f>
        <v/>
      </c>
      <c r="I26" s="40">
        <f>I23+I24+I25</f>
        <v/>
      </c>
      <c r="J26" s="40">
        <f>J23+J24+J25</f>
        <v/>
      </c>
      <c r="K26" s="40">
        <f>K23+K24+K25</f>
        <v/>
      </c>
      <c r="L26" s="40">
        <f>L23+L24+L25</f>
        <v/>
      </c>
      <c r="M26" s="40">
        <f>M23+M24+M25</f>
        <v/>
      </c>
      <c r="N26" s="40">
        <f>N23+N24+N25</f>
        <v/>
      </c>
      <c r="O26" s="40">
        <f>O23+O24+O25</f>
        <v/>
      </c>
      <c r="P26" s="40">
        <f>P23+P24+P25</f>
        <v/>
      </c>
      <c r="Q26" s="40">
        <f>Q23+Q24+Q25</f>
        <v/>
      </c>
      <c r="R26" s="40">
        <f>R23+R24+R25</f>
        <v/>
      </c>
      <c r="S26" s="40">
        <f>S23+S24+S25</f>
        <v/>
      </c>
      <c r="T26" s="40">
        <f>T23+T24+T25</f>
        <v/>
      </c>
      <c r="U26" s="40">
        <f>U23+U24+U25</f>
        <v/>
      </c>
      <c r="V26" s="40">
        <f>V23+V24+V25</f>
        <v/>
      </c>
      <c r="W26" s="40">
        <f>W23+W24+W25</f>
        <v/>
      </c>
      <c r="X26" s="40">
        <f>X23+X24+X25</f>
        <v/>
      </c>
      <c r="Y26" s="40">
        <f>Y23+Y24+Y25</f>
        <v/>
      </c>
      <c r="Z26" s="40">
        <f>Z23+Z24+Z25</f>
        <v/>
      </c>
      <c r="AA26" s="40">
        <f>AA23+AA24+AA25</f>
        <v/>
      </c>
      <c r="AB26" s="40">
        <f>AB23+AB24+AB25</f>
        <v/>
      </c>
      <c r="AC26" s="40">
        <f>AC23+AC24+AC25</f>
        <v/>
      </c>
      <c r="AD26" s="40">
        <f>AD23+AD24+AD25</f>
        <v/>
      </c>
      <c r="AE26" s="40">
        <f>AE23+AE24+AE25</f>
        <v/>
      </c>
      <c r="AF26" s="40">
        <f>AF23+AF24+AF25</f>
        <v/>
      </c>
      <c r="AG26" s="40">
        <f>AG23+AG24+AG25</f>
        <v/>
      </c>
      <c r="AH26" s="40">
        <f>AH23+AH24+AH25</f>
        <v/>
      </c>
      <c r="AI26" s="40">
        <f>AI23+AI24+AI25</f>
        <v/>
      </c>
      <c r="AJ26" s="40">
        <f>AJ23+AJ24+AJ25</f>
        <v/>
      </c>
      <c r="AK26" s="40">
        <f>AK23+AK24+AK25</f>
        <v/>
      </c>
      <c r="AL26" s="40">
        <f>AL23+AL24+AL25</f>
        <v/>
      </c>
      <c r="AN26" s="40">
        <f>SUM(C26:N26)</f>
        <v/>
      </c>
      <c r="AO26" s="40">
        <f>SUM(O26:Z26)</f>
        <v/>
      </c>
      <c r="AP26" s="40">
        <f>SUM(AA26:AL26)</f>
        <v/>
      </c>
    </row>
    <row r="27">
      <c r="A27" s="9" t="inlineStr">
        <is>
          <t>TVA collectée</t>
        </is>
      </c>
      <c r="B27" s="4" t="inlineStr">
        <is>
          <t>€</t>
        </is>
      </c>
      <c r="C27" s="15">
        <f>C26*Hypothèses!$D$15/(1+Hypothèses!$D$15)</f>
        <v/>
      </c>
      <c r="D27" s="15">
        <f>D26*Hypothèses!$D$15/(1+Hypothèses!$D$15)</f>
        <v/>
      </c>
      <c r="E27" s="15">
        <f>E26*Hypothèses!$D$15/(1+Hypothèses!$D$15)</f>
        <v/>
      </c>
      <c r="F27" s="15">
        <f>F26*Hypothèses!$D$15/(1+Hypothèses!$D$15)</f>
        <v/>
      </c>
      <c r="G27" s="15">
        <f>G26*Hypothèses!$D$15/(1+Hypothèses!$D$15)</f>
        <v/>
      </c>
      <c r="H27" s="15">
        <f>H26*Hypothèses!$D$15/(1+Hypothèses!$D$15)</f>
        <v/>
      </c>
      <c r="I27" s="15">
        <f>I26*Hypothèses!$D$15/(1+Hypothèses!$D$15)</f>
        <v/>
      </c>
      <c r="J27" s="15">
        <f>J26*Hypothèses!$D$15/(1+Hypothèses!$D$15)</f>
        <v/>
      </c>
      <c r="K27" s="15">
        <f>K26*Hypothèses!$D$15/(1+Hypothèses!$D$15)</f>
        <v/>
      </c>
      <c r="L27" s="15">
        <f>L26*Hypothèses!$D$15/(1+Hypothèses!$D$15)</f>
        <v/>
      </c>
      <c r="M27" s="15">
        <f>M26*Hypothèses!$D$15/(1+Hypothèses!$D$15)</f>
        <v/>
      </c>
      <c r="N27" s="15">
        <f>N26*Hypothèses!$D$15/(1+Hypothèses!$D$15)</f>
        <v/>
      </c>
      <c r="O27" s="15">
        <f>O26*Hypothèses!$D$15/(1+Hypothèses!$D$15)</f>
        <v/>
      </c>
      <c r="P27" s="15">
        <f>P26*Hypothèses!$D$15/(1+Hypothèses!$D$15)</f>
        <v/>
      </c>
      <c r="Q27" s="15">
        <f>Q26*Hypothèses!$D$15/(1+Hypothèses!$D$15)</f>
        <v/>
      </c>
      <c r="R27" s="15">
        <f>R26*Hypothèses!$D$15/(1+Hypothèses!$D$15)</f>
        <v/>
      </c>
      <c r="S27" s="15">
        <f>S26*Hypothèses!$D$15/(1+Hypothèses!$D$15)</f>
        <v/>
      </c>
      <c r="T27" s="15">
        <f>T26*Hypothèses!$D$15/(1+Hypothèses!$D$15)</f>
        <v/>
      </c>
      <c r="U27" s="15">
        <f>U26*Hypothèses!$D$15/(1+Hypothèses!$D$15)</f>
        <v/>
      </c>
      <c r="V27" s="15">
        <f>V26*Hypothèses!$D$15/(1+Hypothèses!$D$15)</f>
        <v/>
      </c>
      <c r="W27" s="15">
        <f>W26*Hypothèses!$D$15/(1+Hypothèses!$D$15)</f>
        <v/>
      </c>
      <c r="X27" s="15">
        <f>X26*Hypothèses!$D$15/(1+Hypothèses!$D$15)</f>
        <v/>
      </c>
      <c r="Y27" s="15">
        <f>Y26*Hypothèses!$D$15/(1+Hypothèses!$D$15)</f>
        <v/>
      </c>
      <c r="Z27" s="15">
        <f>Z26*Hypothèses!$D$15/(1+Hypothèses!$D$15)</f>
        <v/>
      </c>
      <c r="AA27" s="15">
        <f>AA26*Hypothèses!$D$15/(1+Hypothèses!$D$15)</f>
        <v/>
      </c>
      <c r="AB27" s="15">
        <f>AB26*Hypothèses!$D$15/(1+Hypothèses!$D$15)</f>
        <v/>
      </c>
      <c r="AC27" s="15">
        <f>AC26*Hypothèses!$D$15/(1+Hypothèses!$D$15)</f>
        <v/>
      </c>
      <c r="AD27" s="15">
        <f>AD26*Hypothèses!$D$15/(1+Hypothèses!$D$15)</f>
        <v/>
      </c>
      <c r="AE27" s="15">
        <f>AE26*Hypothèses!$D$15/(1+Hypothèses!$D$15)</f>
        <v/>
      </c>
      <c r="AF27" s="15">
        <f>AF26*Hypothèses!$D$15/(1+Hypothèses!$D$15)</f>
        <v/>
      </c>
      <c r="AG27" s="15">
        <f>AG26*Hypothèses!$D$15/(1+Hypothèses!$D$15)</f>
        <v/>
      </c>
      <c r="AH27" s="15">
        <f>AH26*Hypothèses!$D$15/(1+Hypothèses!$D$15)</f>
        <v/>
      </c>
      <c r="AI27" s="15">
        <f>AI26*Hypothèses!$D$15/(1+Hypothèses!$D$15)</f>
        <v/>
      </c>
      <c r="AJ27" s="15">
        <f>AJ26*Hypothèses!$D$15/(1+Hypothèses!$D$15)</f>
        <v/>
      </c>
      <c r="AK27" s="15">
        <f>AK26*Hypothèses!$D$15/(1+Hypothèses!$D$15)</f>
        <v/>
      </c>
      <c r="AL27" s="15">
        <f>AL26*Hypothèses!$D$15/(1+Hypothèses!$D$15)</f>
        <v/>
      </c>
      <c r="AN27" s="15">
        <f>SUM(C27:N27)</f>
        <v/>
      </c>
      <c r="AO27" s="15">
        <f>SUM(O27:Z27)</f>
        <v/>
      </c>
      <c r="AP27" s="15">
        <f>SUM(AA27:AL27)</f>
        <v/>
      </c>
    </row>
    <row r="28">
      <c r="A28" s="2" t="inlineStr">
        <is>
          <t>Chiffre d'affaires HT</t>
        </is>
      </c>
      <c r="B28" s="4" t="inlineStr">
        <is>
          <t>€ HT</t>
        </is>
      </c>
      <c r="C28" s="40">
        <f>C26-C27</f>
        <v/>
      </c>
      <c r="D28" s="40">
        <f>D26-D27</f>
        <v/>
      </c>
      <c r="E28" s="40">
        <f>E26-E27</f>
        <v/>
      </c>
      <c r="F28" s="40">
        <f>F26-F27</f>
        <v/>
      </c>
      <c r="G28" s="40">
        <f>G26-G27</f>
        <v/>
      </c>
      <c r="H28" s="40">
        <f>H26-H27</f>
        <v/>
      </c>
      <c r="I28" s="40">
        <f>I26-I27</f>
        <v/>
      </c>
      <c r="J28" s="40">
        <f>J26-J27</f>
        <v/>
      </c>
      <c r="K28" s="40">
        <f>K26-K27</f>
        <v/>
      </c>
      <c r="L28" s="40">
        <f>L26-L27</f>
        <v/>
      </c>
      <c r="M28" s="40">
        <f>M26-M27</f>
        <v/>
      </c>
      <c r="N28" s="40">
        <f>N26-N27</f>
        <v/>
      </c>
      <c r="O28" s="40">
        <f>O26-O27</f>
        <v/>
      </c>
      <c r="P28" s="40">
        <f>P26-P27</f>
        <v/>
      </c>
      <c r="Q28" s="40">
        <f>Q26-Q27</f>
        <v/>
      </c>
      <c r="R28" s="40">
        <f>R26-R27</f>
        <v/>
      </c>
      <c r="S28" s="40">
        <f>S26-S27</f>
        <v/>
      </c>
      <c r="T28" s="40">
        <f>T26-T27</f>
        <v/>
      </c>
      <c r="U28" s="40">
        <f>U26-U27</f>
        <v/>
      </c>
      <c r="V28" s="40">
        <f>V26-V27</f>
        <v/>
      </c>
      <c r="W28" s="40">
        <f>W26-W27</f>
        <v/>
      </c>
      <c r="X28" s="40">
        <f>X26-X27</f>
        <v/>
      </c>
      <c r="Y28" s="40">
        <f>Y26-Y27</f>
        <v/>
      </c>
      <c r="Z28" s="40">
        <f>Z26-Z27</f>
        <v/>
      </c>
      <c r="AA28" s="40">
        <f>AA26-AA27</f>
        <v/>
      </c>
      <c r="AB28" s="40">
        <f>AB26-AB27</f>
        <v/>
      </c>
      <c r="AC28" s="40">
        <f>AC26-AC27</f>
        <v/>
      </c>
      <c r="AD28" s="40">
        <f>AD26-AD27</f>
        <v/>
      </c>
      <c r="AE28" s="40">
        <f>AE26-AE27</f>
        <v/>
      </c>
      <c r="AF28" s="40">
        <f>AF26-AF27</f>
        <v/>
      </c>
      <c r="AG28" s="40">
        <f>AG26-AG27</f>
        <v/>
      </c>
      <c r="AH28" s="40">
        <f>AH26-AH27</f>
        <v/>
      </c>
      <c r="AI28" s="40">
        <f>AI26-AI27</f>
        <v/>
      </c>
      <c r="AJ28" s="40">
        <f>AJ26-AJ27</f>
        <v/>
      </c>
      <c r="AK28" s="40">
        <f>AK26-AK27</f>
        <v/>
      </c>
      <c r="AL28" s="40">
        <f>AL26-AL27</f>
        <v/>
      </c>
      <c r="AN28" s="40">
        <f>SUM(C28:N28)</f>
        <v/>
      </c>
      <c r="AO28" s="40">
        <f>SUM(O28:Z28)</f>
        <v/>
      </c>
      <c r="AP28" s="40">
        <f>SUM(AA28:AL28)</f>
        <v/>
      </c>
    </row>
    <row r="29">
      <c r="A29" s="9" t="inlineStr">
        <is>
          <t>Impayés (TTC)</t>
        </is>
      </c>
      <c r="B29" s="4" t="inlineStr">
        <is>
          <t>€ TTC</t>
        </is>
      </c>
      <c r="C29" s="15">
        <f>C26*Hypothèses!$D$27</f>
        <v/>
      </c>
      <c r="D29" s="15">
        <f>D26*Hypothèses!$D$27</f>
        <v/>
      </c>
      <c r="E29" s="15">
        <f>E26*Hypothèses!$D$27</f>
        <v/>
      </c>
      <c r="F29" s="15">
        <f>F26*Hypothèses!$D$27</f>
        <v/>
      </c>
      <c r="G29" s="15">
        <f>G26*Hypothèses!$D$27</f>
        <v/>
      </c>
      <c r="H29" s="15">
        <f>H26*Hypothèses!$D$27</f>
        <v/>
      </c>
      <c r="I29" s="15">
        <f>I26*Hypothèses!$D$27</f>
        <v/>
      </c>
      <c r="J29" s="15">
        <f>J26*Hypothèses!$D$27</f>
        <v/>
      </c>
      <c r="K29" s="15">
        <f>K26*Hypothèses!$D$27</f>
        <v/>
      </c>
      <c r="L29" s="15">
        <f>L26*Hypothèses!$D$27</f>
        <v/>
      </c>
      <c r="M29" s="15">
        <f>M26*Hypothèses!$D$27</f>
        <v/>
      </c>
      <c r="N29" s="15">
        <f>N26*Hypothèses!$D$27</f>
        <v/>
      </c>
      <c r="O29" s="15">
        <f>O26*Hypothèses!$D$27</f>
        <v/>
      </c>
      <c r="P29" s="15">
        <f>P26*Hypothèses!$D$27</f>
        <v/>
      </c>
      <c r="Q29" s="15">
        <f>Q26*Hypothèses!$D$27</f>
        <v/>
      </c>
      <c r="R29" s="15">
        <f>R26*Hypothèses!$D$27</f>
        <v/>
      </c>
      <c r="S29" s="15">
        <f>S26*Hypothèses!$D$27</f>
        <v/>
      </c>
      <c r="T29" s="15">
        <f>T26*Hypothèses!$D$27</f>
        <v/>
      </c>
      <c r="U29" s="15">
        <f>U26*Hypothèses!$D$27</f>
        <v/>
      </c>
      <c r="V29" s="15">
        <f>V26*Hypothèses!$D$27</f>
        <v/>
      </c>
      <c r="W29" s="15">
        <f>W26*Hypothèses!$D$27</f>
        <v/>
      </c>
      <c r="X29" s="15">
        <f>X26*Hypothèses!$D$27</f>
        <v/>
      </c>
      <c r="Y29" s="15">
        <f>Y26*Hypothèses!$D$27</f>
        <v/>
      </c>
      <c r="Z29" s="15">
        <f>Z26*Hypothèses!$D$27</f>
        <v/>
      </c>
      <c r="AA29" s="15">
        <f>AA26*Hypothèses!$D$27</f>
        <v/>
      </c>
      <c r="AB29" s="15">
        <f>AB26*Hypothèses!$D$27</f>
        <v/>
      </c>
      <c r="AC29" s="15">
        <f>AC26*Hypothèses!$D$27</f>
        <v/>
      </c>
      <c r="AD29" s="15">
        <f>AD26*Hypothèses!$D$27</f>
        <v/>
      </c>
      <c r="AE29" s="15">
        <f>AE26*Hypothèses!$D$27</f>
        <v/>
      </c>
      <c r="AF29" s="15">
        <f>AF26*Hypothèses!$D$27</f>
        <v/>
      </c>
      <c r="AG29" s="15">
        <f>AG26*Hypothèses!$D$27</f>
        <v/>
      </c>
      <c r="AH29" s="15">
        <f>AH26*Hypothèses!$D$27</f>
        <v/>
      </c>
      <c r="AI29" s="15">
        <f>AI26*Hypothèses!$D$27</f>
        <v/>
      </c>
      <c r="AJ29" s="15">
        <f>AJ26*Hypothèses!$D$27</f>
        <v/>
      </c>
      <c r="AK29" s="15">
        <f>AK26*Hypothèses!$D$27</f>
        <v/>
      </c>
      <c r="AL29" s="15">
        <f>AL26*Hypothèses!$D$27</f>
        <v/>
      </c>
      <c r="AN29" s="15">
        <f>SUM(C29:N29)</f>
        <v/>
      </c>
      <c r="AO29" s="15">
        <f>SUM(O29:Z29)</f>
        <v/>
      </c>
      <c r="AP29" s="15">
        <f>SUM(AA29:AL29)</f>
        <v/>
      </c>
    </row>
    <row r="30">
      <c r="A30" s="9" t="inlineStr">
        <is>
          <t>Frais de paiement</t>
        </is>
      </c>
      <c r="B30" s="4" t="inlineStr">
        <is>
          <t>€</t>
        </is>
      </c>
      <c r="C30" s="15">
        <f>(C26-C29)*Hypothèses!$D$28+C18*Hypothèses!$D$29</f>
        <v/>
      </c>
      <c r="D30" s="15">
        <f>(D26-D29)*Hypothèses!$D$28+D18*Hypothèses!$D$29</f>
        <v/>
      </c>
      <c r="E30" s="15">
        <f>(E26-E29)*Hypothèses!$D$28+E18*Hypothèses!$D$29</f>
        <v/>
      </c>
      <c r="F30" s="15">
        <f>(F26-F29)*Hypothèses!$D$28+F18*Hypothèses!$D$29</f>
        <v/>
      </c>
      <c r="G30" s="15">
        <f>(G26-G29)*Hypothèses!$D$28+G18*Hypothèses!$D$29</f>
        <v/>
      </c>
      <c r="H30" s="15">
        <f>(H26-H29)*Hypothèses!$D$28+H18*Hypothèses!$D$29</f>
        <v/>
      </c>
      <c r="I30" s="15">
        <f>(I26-I29)*Hypothèses!$D$28+I18*Hypothèses!$D$29</f>
        <v/>
      </c>
      <c r="J30" s="15">
        <f>(J26-J29)*Hypothèses!$D$28+J18*Hypothèses!$D$29</f>
        <v/>
      </c>
      <c r="K30" s="15">
        <f>(K26-K29)*Hypothèses!$D$28+K18*Hypothèses!$D$29</f>
        <v/>
      </c>
      <c r="L30" s="15">
        <f>(L26-L29)*Hypothèses!$D$28+L18*Hypothèses!$D$29</f>
        <v/>
      </c>
      <c r="M30" s="15">
        <f>(M26-M29)*Hypothèses!$D$28+M18*Hypothèses!$D$29</f>
        <v/>
      </c>
      <c r="N30" s="15">
        <f>(N26-N29)*Hypothèses!$D$28+N18*Hypothèses!$D$29</f>
        <v/>
      </c>
      <c r="O30" s="15">
        <f>(O26-O29)*Hypothèses!$D$28+O18*Hypothèses!$D$29</f>
        <v/>
      </c>
      <c r="P30" s="15">
        <f>(P26-P29)*Hypothèses!$D$28+P18*Hypothèses!$D$29</f>
        <v/>
      </c>
      <c r="Q30" s="15">
        <f>(Q26-Q29)*Hypothèses!$D$28+Q18*Hypothèses!$D$29</f>
        <v/>
      </c>
      <c r="R30" s="15">
        <f>(R26-R29)*Hypothèses!$D$28+R18*Hypothèses!$D$29</f>
        <v/>
      </c>
      <c r="S30" s="15">
        <f>(S26-S29)*Hypothèses!$D$28+S18*Hypothèses!$D$29</f>
        <v/>
      </c>
      <c r="T30" s="15">
        <f>(T26-T29)*Hypothèses!$D$28+T18*Hypothèses!$D$29</f>
        <v/>
      </c>
      <c r="U30" s="15">
        <f>(U26-U29)*Hypothèses!$D$28+U18*Hypothèses!$D$29</f>
        <v/>
      </c>
      <c r="V30" s="15">
        <f>(V26-V29)*Hypothèses!$D$28+V18*Hypothèses!$D$29</f>
        <v/>
      </c>
      <c r="W30" s="15">
        <f>(W26-W29)*Hypothèses!$D$28+W18*Hypothèses!$D$29</f>
        <v/>
      </c>
      <c r="X30" s="15">
        <f>(X26-X29)*Hypothèses!$D$28+X18*Hypothèses!$D$29</f>
        <v/>
      </c>
      <c r="Y30" s="15">
        <f>(Y26-Y29)*Hypothèses!$D$28+Y18*Hypothèses!$D$29</f>
        <v/>
      </c>
      <c r="Z30" s="15">
        <f>(Z26-Z29)*Hypothèses!$D$28+Z18*Hypothèses!$D$29</f>
        <v/>
      </c>
      <c r="AA30" s="15">
        <f>(AA26-AA29)*Hypothèses!$D$28+AA18*Hypothèses!$D$29</f>
        <v/>
      </c>
      <c r="AB30" s="15">
        <f>(AB26-AB29)*Hypothèses!$D$28+AB18*Hypothèses!$D$29</f>
        <v/>
      </c>
      <c r="AC30" s="15">
        <f>(AC26-AC29)*Hypothèses!$D$28+AC18*Hypothèses!$D$29</f>
        <v/>
      </c>
      <c r="AD30" s="15">
        <f>(AD26-AD29)*Hypothèses!$D$28+AD18*Hypothèses!$D$29</f>
        <v/>
      </c>
      <c r="AE30" s="15">
        <f>(AE26-AE29)*Hypothèses!$D$28+AE18*Hypothèses!$D$29</f>
        <v/>
      </c>
      <c r="AF30" s="15">
        <f>(AF26-AF29)*Hypothèses!$D$28+AF18*Hypothèses!$D$29</f>
        <v/>
      </c>
      <c r="AG30" s="15">
        <f>(AG26-AG29)*Hypothèses!$D$28+AG18*Hypothèses!$D$29</f>
        <v/>
      </c>
      <c r="AH30" s="15">
        <f>(AH26-AH29)*Hypothèses!$D$28+AH18*Hypothèses!$D$29</f>
        <v/>
      </c>
      <c r="AI30" s="15">
        <f>(AI26-AI29)*Hypothèses!$D$28+AI18*Hypothèses!$D$29</f>
        <v/>
      </c>
      <c r="AJ30" s="15">
        <f>(AJ26-AJ29)*Hypothèses!$D$28+AJ18*Hypothèses!$D$29</f>
        <v/>
      </c>
      <c r="AK30" s="15">
        <f>(AK26-AK29)*Hypothèses!$D$28+AK18*Hypothèses!$D$29</f>
        <v/>
      </c>
      <c r="AL30" s="15">
        <f>(AL26-AL29)*Hypothèses!$D$28+AL18*Hypothèses!$D$29</f>
        <v/>
      </c>
      <c r="AN30" s="15">
        <f>SUM(C30:N30)</f>
        <v/>
      </c>
      <c r="AO30" s="15">
        <f>SUM(O30:Z30)</f>
        <v/>
      </c>
      <c r="AP30" s="15">
        <f>SUM(AA30:AL30)</f>
        <v/>
      </c>
    </row>
    <row r="31">
      <c r="A31" s="2" t="inlineStr">
        <is>
          <t>Encaissements nets TTC</t>
        </is>
      </c>
      <c r="B31" s="4" t="inlineStr">
        <is>
          <t>€ TTC</t>
        </is>
      </c>
      <c r="C31" s="40">
        <f>C26-C29-C30</f>
        <v/>
      </c>
      <c r="D31" s="40">
        <f>D26-D29-D30</f>
        <v/>
      </c>
      <c r="E31" s="40">
        <f>E26-E29-E30</f>
        <v/>
      </c>
      <c r="F31" s="40">
        <f>F26-F29-F30</f>
        <v/>
      </c>
      <c r="G31" s="40">
        <f>G26-G29-G30</f>
        <v/>
      </c>
      <c r="H31" s="40">
        <f>H26-H29-H30</f>
        <v/>
      </c>
      <c r="I31" s="40">
        <f>I26-I29-I30</f>
        <v/>
      </c>
      <c r="J31" s="40">
        <f>J26-J29-J30</f>
        <v/>
      </c>
      <c r="K31" s="40">
        <f>K26-K29-K30</f>
        <v/>
      </c>
      <c r="L31" s="40">
        <f>L26-L29-L30</f>
        <v/>
      </c>
      <c r="M31" s="40">
        <f>M26-M29-M30</f>
        <v/>
      </c>
      <c r="N31" s="40">
        <f>N26-N29-N30</f>
        <v/>
      </c>
      <c r="O31" s="40">
        <f>O26-O29-O30</f>
        <v/>
      </c>
      <c r="P31" s="40">
        <f>P26-P29-P30</f>
        <v/>
      </c>
      <c r="Q31" s="40">
        <f>Q26-Q29-Q30</f>
        <v/>
      </c>
      <c r="R31" s="40">
        <f>R26-R29-R30</f>
        <v/>
      </c>
      <c r="S31" s="40">
        <f>S26-S29-S30</f>
        <v/>
      </c>
      <c r="T31" s="40">
        <f>T26-T29-T30</f>
        <v/>
      </c>
      <c r="U31" s="40">
        <f>U26-U29-U30</f>
        <v/>
      </c>
      <c r="V31" s="40">
        <f>V26-V29-V30</f>
        <v/>
      </c>
      <c r="W31" s="40">
        <f>W26-W29-W30</f>
        <v/>
      </c>
      <c r="X31" s="40">
        <f>X26-X29-X30</f>
        <v/>
      </c>
      <c r="Y31" s="40">
        <f>Y26-Y29-Y30</f>
        <v/>
      </c>
      <c r="Z31" s="40">
        <f>Z26-Z29-Z30</f>
        <v/>
      </c>
      <c r="AA31" s="40">
        <f>AA26-AA29-AA30</f>
        <v/>
      </c>
      <c r="AB31" s="40">
        <f>AB26-AB29-AB30</f>
        <v/>
      </c>
      <c r="AC31" s="40">
        <f>AC26-AC29-AC30</f>
        <v/>
      </c>
      <c r="AD31" s="40">
        <f>AD26-AD29-AD30</f>
        <v/>
      </c>
      <c r="AE31" s="40">
        <f>AE26-AE29-AE30</f>
        <v/>
      </c>
      <c r="AF31" s="40">
        <f>AF26-AF29-AF30</f>
        <v/>
      </c>
      <c r="AG31" s="40">
        <f>AG26-AG29-AG30</f>
        <v/>
      </c>
      <c r="AH31" s="40">
        <f>AH26-AH29-AH30</f>
        <v/>
      </c>
      <c r="AI31" s="40">
        <f>AI26-AI29-AI30</f>
        <v/>
      </c>
      <c r="AJ31" s="40">
        <f>AJ26-AJ29-AJ30</f>
        <v/>
      </c>
      <c r="AK31" s="40">
        <f>AK26-AK29-AK30</f>
        <v/>
      </c>
      <c r="AL31" s="40">
        <f>AL26-AL29-AL30</f>
        <v/>
      </c>
      <c r="AN31" s="40">
        <f>SUM(C31:N31)</f>
        <v/>
      </c>
      <c r="AO31" s="40">
        <f>SUM(O31:Z31)</f>
        <v/>
      </c>
      <c r="AP31" s="40">
        <f>SUM(AA31:AL31)</f>
        <v/>
      </c>
    </row>
    <row r="32">
      <c r="A32" s="8" t="inlineStr">
        <is>
          <t>Coûts variables</t>
        </is>
      </c>
    </row>
    <row r="33">
      <c r="A33" s="9" t="inlineStr">
        <is>
          <t>Coût IA et outils (missions × coût par mission)</t>
        </is>
      </c>
      <c r="B33" s="4" t="inlineStr">
        <is>
          <t>€ HT</t>
        </is>
      </c>
      <c r="C33" s="15">
        <f>(C19*Hypothèses!$D$31+C20*Hypothèses!$D$32+C21*Hypothèses!$D$33)*Hypothèses!$D$34*$F$4</f>
        <v/>
      </c>
      <c r="D33" s="15">
        <f>(D19*Hypothèses!$D$31+D20*Hypothèses!$D$32+D21*Hypothèses!$D$33)*Hypothèses!$D$34*$F$4</f>
        <v/>
      </c>
      <c r="E33" s="15">
        <f>(E19*Hypothèses!$D$31+E20*Hypothèses!$D$32+E21*Hypothèses!$D$33)*Hypothèses!$D$34*$F$4</f>
        <v/>
      </c>
      <c r="F33" s="15">
        <f>(F19*Hypothèses!$D$31+F20*Hypothèses!$D$32+F21*Hypothèses!$D$33)*Hypothèses!$D$34*$F$4</f>
        <v/>
      </c>
      <c r="G33" s="15">
        <f>(G19*Hypothèses!$D$31+G20*Hypothèses!$D$32+G21*Hypothèses!$D$33)*Hypothèses!$D$34*$F$4</f>
        <v/>
      </c>
      <c r="H33" s="15">
        <f>(H19*Hypothèses!$D$31+H20*Hypothèses!$D$32+H21*Hypothèses!$D$33)*Hypothèses!$D$34*$F$4</f>
        <v/>
      </c>
      <c r="I33" s="15">
        <f>(I19*Hypothèses!$D$31+I20*Hypothèses!$D$32+I21*Hypothèses!$D$33)*Hypothèses!$D$34*$F$4</f>
        <v/>
      </c>
      <c r="J33" s="15">
        <f>(J19*Hypothèses!$D$31+J20*Hypothèses!$D$32+J21*Hypothèses!$D$33)*Hypothèses!$D$34*$F$4</f>
        <v/>
      </c>
      <c r="K33" s="15">
        <f>(K19*Hypothèses!$D$31+K20*Hypothèses!$D$32+K21*Hypothèses!$D$33)*Hypothèses!$D$34*$F$4</f>
        <v/>
      </c>
      <c r="L33" s="15">
        <f>(L19*Hypothèses!$D$31+L20*Hypothèses!$D$32+L21*Hypothèses!$D$33)*Hypothèses!$D$34*$F$4</f>
        <v/>
      </c>
      <c r="M33" s="15">
        <f>(M19*Hypothèses!$D$31+M20*Hypothèses!$D$32+M21*Hypothèses!$D$33)*Hypothèses!$D$34*$F$4</f>
        <v/>
      </c>
      <c r="N33" s="15">
        <f>(N19*Hypothèses!$D$31+N20*Hypothèses!$D$32+N21*Hypothèses!$D$33)*Hypothèses!$D$34*$F$4</f>
        <v/>
      </c>
      <c r="O33" s="15">
        <f>(O19*Hypothèses!$D$31+O20*Hypothèses!$D$32+O21*Hypothèses!$D$33)*Hypothèses!$D$34*$F$4</f>
        <v/>
      </c>
      <c r="P33" s="15">
        <f>(P19*Hypothèses!$D$31+P20*Hypothèses!$D$32+P21*Hypothèses!$D$33)*Hypothèses!$D$34*$F$4</f>
        <v/>
      </c>
      <c r="Q33" s="15">
        <f>(Q19*Hypothèses!$D$31+Q20*Hypothèses!$D$32+Q21*Hypothèses!$D$33)*Hypothèses!$D$34*$F$4</f>
        <v/>
      </c>
      <c r="R33" s="15">
        <f>(R19*Hypothèses!$D$31+R20*Hypothèses!$D$32+R21*Hypothèses!$D$33)*Hypothèses!$D$34*$F$4</f>
        <v/>
      </c>
      <c r="S33" s="15">
        <f>(S19*Hypothèses!$D$31+S20*Hypothèses!$D$32+S21*Hypothèses!$D$33)*Hypothèses!$D$34*$F$4</f>
        <v/>
      </c>
      <c r="T33" s="15">
        <f>(T19*Hypothèses!$D$31+T20*Hypothèses!$D$32+T21*Hypothèses!$D$33)*Hypothèses!$D$34*$F$4</f>
        <v/>
      </c>
      <c r="U33" s="15">
        <f>(U19*Hypothèses!$D$31+U20*Hypothèses!$D$32+U21*Hypothèses!$D$33)*Hypothèses!$D$34*$F$4</f>
        <v/>
      </c>
      <c r="V33" s="15">
        <f>(V19*Hypothèses!$D$31+V20*Hypothèses!$D$32+V21*Hypothèses!$D$33)*Hypothèses!$D$34*$F$4</f>
        <v/>
      </c>
      <c r="W33" s="15">
        <f>(W19*Hypothèses!$D$31+W20*Hypothèses!$D$32+W21*Hypothèses!$D$33)*Hypothèses!$D$34*$F$4</f>
        <v/>
      </c>
      <c r="X33" s="15">
        <f>(X19*Hypothèses!$D$31+X20*Hypothèses!$D$32+X21*Hypothèses!$D$33)*Hypothèses!$D$34*$F$4</f>
        <v/>
      </c>
      <c r="Y33" s="15">
        <f>(Y19*Hypothèses!$D$31+Y20*Hypothèses!$D$32+Y21*Hypothèses!$D$33)*Hypothèses!$D$34*$F$4</f>
        <v/>
      </c>
      <c r="Z33" s="15">
        <f>(Z19*Hypothèses!$D$31+Z20*Hypothèses!$D$32+Z21*Hypothèses!$D$33)*Hypothèses!$D$34*$F$4</f>
        <v/>
      </c>
      <c r="AA33" s="15">
        <f>(AA19*Hypothèses!$D$31+AA20*Hypothèses!$D$32+AA21*Hypothèses!$D$33)*Hypothèses!$D$34*$F$4</f>
        <v/>
      </c>
      <c r="AB33" s="15">
        <f>(AB19*Hypothèses!$D$31+AB20*Hypothèses!$D$32+AB21*Hypothèses!$D$33)*Hypothèses!$D$34*$F$4</f>
        <v/>
      </c>
      <c r="AC33" s="15">
        <f>(AC19*Hypothèses!$D$31+AC20*Hypothèses!$D$32+AC21*Hypothèses!$D$33)*Hypothèses!$D$34*$F$4</f>
        <v/>
      </c>
      <c r="AD33" s="15">
        <f>(AD19*Hypothèses!$D$31+AD20*Hypothèses!$D$32+AD21*Hypothèses!$D$33)*Hypothèses!$D$34*$F$4</f>
        <v/>
      </c>
      <c r="AE33" s="15">
        <f>(AE19*Hypothèses!$D$31+AE20*Hypothèses!$D$32+AE21*Hypothèses!$D$33)*Hypothèses!$D$34*$F$4</f>
        <v/>
      </c>
      <c r="AF33" s="15">
        <f>(AF19*Hypothèses!$D$31+AF20*Hypothèses!$D$32+AF21*Hypothèses!$D$33)*Hypothèses!$D$34*$F$4</f>
        <v/>
      </c>
      <c r="AG33" s="15">
        <f>(AG19*Hypothèses!$D$31+AG20*Hypothèses!$D$32+AG21*Hypothèses!$D$33)*Hypothèses!$D$34*$F$4</f>
        <v/>
      </c>
      <c r="AH33" s="15">
        <f>(AH19*Hypothèses!$D$31+AH20*Hypothèses!$D$32+AH21*Hypothèses!$D$33)*Hypothèses!$D$34*$F$4</f>
        <v/>
      </c>
      <c r="AI33" s="15">
        <f>(AI19*Hypothèses!$D$31+AI20*Hypothèses!$D$32+AI21*Hypothèses!$D$33)*Hypothèses!$D$34*$F$4</f>
        <v/>
      </c>
      <c r="AJ33" s="15">
        <f>(AJ19*Hypothèses!$D$31+AJ20*Hypothèses!$D$32+AJ21*Hypothèses!$D$33)*Hypothèses!$D$34*$F$4</f>
        <v/>
      </c>
      <c r="AK33" s="15">
        <f>(AK19*Hypothèses!$D$31+AK20*Hypothèses!$D$32+AK21*Hypothèses!$D$33)*Hypothèses!$D$34*$F$4</f>
        <v/>
      </c>
      <c r="AL33" s="15">
        <f>(AL19*Hypothèses!$D$31+AL20*Hypothèses!$D$32+AL21*Hypothèses!$D$33)*Hypothèses!$D$34*$F$4</f>
        <v/>
      </c>
      <c r="AN33" s="15">
        <f>SUM(C33:N33)</f>
        <v/>
      </c>
      <c r="AO33" s="15">
        <f>SUM(O33:Z33)</f>
        <v/>
      </c>
      <c r="AP33" s="15">
        <f>SUM(AA33:AL33)</f>
        <v/>
      </c>
    </row>
    <row r="34">
      <c r="A34" s="9" t="inlineStr">
        <is>
          <t>Hébergement, stockage, connecteurs</t>
        </is>
      </c>
      <c r="B34" s="4" t="inlineStr">
        <is>
          <t>€ HT</t>
        </is>
      </c>
      <c r="C34" s="15">
        <f>C18*Hypothèses!$D$35</f>
        <v/>
      </c>
      <c r="D34" s="15">
        <f>D18*Hypothèses!$D$35</f>
        <v/>
      </c>
      <c r="E34" s="15">
        <f>E18*Hypothèses!$D$35</f>
        <v/>
      </c>
      <c r="F34" s="15">
        <f>F18*Hypothèses!$D$35</f>
        <v/>
      </c>
      <c r="G34" s="15">
        <f>G18*Hypothèses!$D$35</f>
        <v/>
      </c>
      <c r="H34" s="15">
        <f>H18*Hypothèses!$D$35</f>
        <v/>
      </c>
      <c r="I34" s="15">
        <f>I18*Hypothèses!$D$35</f>
        <v/>
      </c>
      <c r="J34" s="15">
        <f>J18*Hypothèses!$D$35</f>
        <v/>
      </c>
      <c r="K34" s="15">
        <f>K18*Hypothèses!$D$35</f>
        <v/>
      </c>
      <c r="L34" s="15">
        <f>L18*Hypothèses!$D$35</f>
        <v/>
      </c>
      <c r="M34" s="15">
        <f>M18*Hypothèses!$D$35</f>
        <v/>
      </c>
      <c r="N34" s="15">
        <f>N18*Hypothèses!$D$35</f>
        <v/>
      </c>
      <c r="O34" s="15">
        <f>O18*Hypothèses!$D$35</f>
        <v/>
      </c>
      <c r="P34" s="15">
        <f>P18*Hypothèses!$D$35</f>
        <v/>
      </c>
      <c r="Q34" s="15">
        <f>Q18*Hypothèses!$D$35</f>
        <v/>
      </c>
      <c r="R34" s="15">
        <f>R18*Hypothèses!$D$35</f>
        <v/>
      </c>
      <c r="S34" s="15">
        <f>S18*Hypothèses!$D$35</f>
        <v/>
      </c>
      <c r="T34" s="15">
        <f>T18*Hypothèses!$D$35</f>
        <v/>
      </c>
      <c r="U34" s="15">
        <f>U18*Hypothèses!$D$35</f>
        <v/>
      </c>
      <c r="V34" s="15">
        <f>V18*Hypothèses!$D$35</f>
        <v/>
      </c>
      <c r="W34" s="15">
        <f>W18*Hypothèses!$D$35</f>
        <v/>
      </c>
      <c r="X34" s="15">
        <f>X18*Hypothèses!$D$35</f>
        <v/>
      </c>
      <c r="Y34" s="15">
        <f>Y18*Hypothèses!$D$35</f>
        <v/>
      </c>
      <c r="Z34" s="15">
        <f>Z18*Hypothèses!$D$35</f>
        <v/>
      </c>
      <c r="AA34" s="15">
        <f>AA18*Hypothèses!$D$35</f>
        <v/>
      </c>
      <c r="AB34" s="15">
        <f>AB18*Hypothèses!$D$35</f>
        <v/>
      </c>
      <c r="AC34" s="15">
        <f>AC18*Hypothèses!$D$35</f>
        <v/>
      </c>
      <c r="AD34" s="15">
        <f>AD18*Hypothèses!$D$35</f>
        <v/>
      </c>
      <c r="AE34" s="15">
        <f>AE18*Hypothèses!$D$35</f>
        <v/>
      </c>
      <c r="AF34" s="15">
        <f>AF18*Hypothèses!$D$35</f>
        <v/>
      </c>
      <c r="AG34" s="15">
        <f>AG18*Hypothèses!$D$35</f>
        <v/>
      </c>
      <c r="AH34" s="15">
        <f>AH18*Hypothèses!$D$35</f>
        <v/>
      </c>
      <c r="AI34" s="15">
        <f>AI18*Hypothèses!$D$35</f>
        <v/>
      </c>
      <c r="AJ34" s="15">
        <f>AJ18*Hypothèses!$D$35</f>
        <v/>
      </c>
      <c r="AK34" s="15">
        <f>AK18*Hypothèses!$D$35</f>
        <v/>
      </c>
      <c r="AL34" s="15">
        <f>AL18*Hypothèses!$D$35</f>
        <v/>
      </c>
      <c r="AN34" s="15">
        <f>SUM(C34:N34)</f>
        <v/>
      </c>
      <c r="AO34" s="15">
        <f>SUM(O34:Z34)</f>
        <v/>
      </c>
      <c r="AP34" s="15">
        <f>SUM(AA34:AL34)</f>
        <v/>
      </c>
    </row>
    <row r="35">
      <c r="A35" s="9" t="inlineStr">
        <is>
          <t>Support humain</t>
        </is>
      </c>
      <c r="B35" s="4" t="inlineStr">
        <is>
          <t>€ HT</t>
        </is>
      </c>
      <c r="C35" s="15">
        <f>C18*Hypothèses!$D$36</f>
        <v/>
      </c>
      <c r="D35" s="15">
        <f>D18*Hypothèses!$D$36</f>
        <v/>
      </c>
      <c r="E35" s="15">
        <f>E18*Hypothèses!$D$36</f>
        <v/>
      </c>
      <c r="F35" s="15">
        <f>F18*Hypothèses!$D$36</f>
        <v/>
      </c>
      <c r="G35" s="15">
        <f>G18*Hypothèses!$D$36</f>
        <v/>
      </c>
      <c r="H35" s="15">
        <f>H18*Hypothèses!$D$36</f>
        <v/>
      </c>
      <c r="I35" s="15">
        <f>I18*Hypothèses!$D$36</f>
        <v/>
      </c>
      <c r="J35" s="15">
        <f>J18*Hypothèses!$D$36</f>
        <v/>
      </c>
      <c r="K35" s="15">
        <f>K18*Hypothèses!$D$36</f>
        <v/>
      </c>
      <c r="L35" s="15">
        <f>L18*Hypothèses!$D$36</f>
        <v/>
      </c>
      <c r="M35" s="15">
        <f>M18*Hypothèses!$D$36</f>
        <v/>
      </c>
      <c r="N35" s="15">
        <f>N18*Hypothèses!$D$36</f>
        <v/>
      </c>
      <c r="O35" s="15">
        <f>O18*Hypothèses!$D$36</f>
        <v/>
      </c>
      <c r="P35" s="15">
        <f>P18*Hypothèses!$D$36</f>
        <v/>
      </c>
      <c r="Q35" s="15">
        <f>Q18*Hypothèses!$D$36</f>
        <v/>
      </c>
      <c r="R35" s="15">
        <f>R18*Hypothèses!$D$36</f>
        <v/>
      </c>
      <c r="S35" s="15">
        <f>S18*Hypothèses!$D$36</f>
        <v/>
      </c>
      <c r="T35" s="15">
        <f>T18*Hypothèses!$D$36</f>
        <v/>
      </c>
      <c r="U35" s="15">
        <f>U18*Hypothèses!$D$36</f>
        <v/>
      </c>
      <c r="V35" s="15">
        <f>V18*Hypothèses!$D$36</f>
        <v/>
      </c>
      <c r="W35" s="15">
        <f>W18*Hypothèses!$D$36</f>
        <v/>
      </c>
      <c r="X35" s="15">
        <f>X18*Hypothèses!$D$36</f>
        <v/>
      </c>
      <c r="Y35" s="15">
        <f>Y18*Hypothèses!$D$36</f>
        <v/>
      </c>
      <c r="Z35" s="15">
        <f>Z18*Hypothèses!$D$36</f>
        <v/>
      </c>
      <c r="AA35" s="15">
        <f>AA18*Hypothèses!$D$36</f>
        <v/>
      </c>
      <c r="AB35" s="15">
        <f>AB18*Hypothèses!$D$36</f>
        <v/>
      </c>
      <c r="AC35" s="15">
        <f>AC18*Hypothèses!$D$36</f>
        <v/>
      </c>
      <c r="AD35" s="15">
        <f>AD18*Hypothèses!$D$36</f>
        <v/>
      </c>
      <c r="AE35" s="15">
        <f>AE18*Hypothèses!$D$36</f>
        <v/>
      </c>
      <c r="AF35" s="15">
        <f>AF18*Hypothèses!$D$36</f>
        <v/>
      </c>
      <c r="AG35" s="15">
        <f>AG18*Hypothèses!$D$36</f>
        <v/>
      </c>
      <c r="AH35" s="15">
        <f>AH18*Hypothèses!$D$36</f>
        <v/>
      </c>
      <c r="AI35" s="15">
        <f>AI18*Hypothèses!$D$36</f>
        <v/>
      </c>
      <c r="AJ35" s="15">
        <f>AJ18*Hypothèses!$D$36</f>
        <v/>
      </c>
      <c r="AK35" s="15">
        <f>AK18*Hypothèses!$D$36</f>
        <v/>
      </c>
      <c r="AL35" s="15">
        <f>AL18*Hypothèses!$D$36</f>
        <v/>
      </c>
      <c r="AN35" s="15">
        <f>SUM(C35:N35)</f>
        <v/>
      </c>
      <c r="AO35" s="15">
        <f>SUM(O35:Z35)</f>
        <v/>
      </c>
      <c r="AP35" s="15">
        <f>SUM(AA35:AL35)</f>
        <v/>
      </c>
    </row>
    <row r="36">
      <c r="A36" s="2" t="inlineStr">
        <is>
          <t>Total coûts variables</t>
        </is>
      </c>
      <c r="B36" s="4" t="inlineStr">
        <is>
          <t>€ HT</t>
        </is>
      </c>
      <c r="C36" s="40">
        <f>C33+C34+C35</f>
        <v/>
      </c>
      <c r="D36" s="40">
        <f>D33+D34+D35</f>
        <v/>
      </c>
      <c r="E36" s="40">
        <f>E33+E34+E35</f>
        <v/>
      </c>
      <c r="F36" s="40">
        <f>F33+F34+F35</f>
        <v/>
      </c>
      <c r="G36" s="40">
        <f>G33+G34+G35</f>
        <v/>
      </c>
      <c r="H36" s="40">
        <f>H33+H34+H35</f>
        <v/>
      </c>
      <c r="I36" s="40">
        <f>I33+I34+I35</f>
        <v/>
      </c>
      <c r="J36" s="40">
        <f>J33+J34+J35</f>
        <v/>
      </c>
      <c r="K36" s="40">
        <f>K33+K34+K35</f>
        <v/>
      </c>
      <c r="L36" s="40">
        <f>L33+L34+L35</f>
        <v/>
      </c>
      <c r="M36" s="40">
        <f>M33+M34+M35</f>
        <v/>
      </c>
      <c r="N36" s="40">
        <f>N33+N34+N35</f>
        <v/>
      </c>
      <c r="O36" s="40">
        <f>O33+O34+O35</f>
        <v/>
      </c>
      <c r="P36" s="40">
        <f>P33+P34+P35</f>
        <v/>
      </c>
      <c r="Q36" s="40">
        <f>Q33+Q34+Q35</f>
        <v/>
      </c>
      <c r="R36" s="40">
        <f>R33+R34+R35</f>
        <v/>
      </c>
      <c r="S36" s="40">
        <f>S33+S34+S35</f>
        <v/>
      </c>
      <c r="T36" s="40">
        <f>T33+T34+T35</f>
        <v/>
      </c>
      <c r="U36" s="40">
        <f>U33+U34+U35</f>
        <v/>
      </c>
      <c r="V36" s="40">
        <f>V33+V34+V35</f>
        <v/>
      </c>
      <c r="W36" s="40">
        <f>W33+W34+W35</f>
        <v/>
      </c>
      <c r="X36" s="40">
        <f>X33+X34+X35</f>
        <v/>
      </c>
      <c r="Y36" s="40">
        <f>Y33+Y34+Y35</f>
        <v/>
      </c>
      <c r="Z36" s="40">
        <f>Z33+Z34+Z35</f>
        <v/>
      </c>
      <c r="AA36" s="40">
        <f>AA33+AA34+AA35</f>
        <v/>
      </c>
      <c r="AB36" s="40">
        <f>AB33+AB34+AB35</f>
        <v/>
      </c>
      <c r="AC36" s="40">
        <f>AC33+AC34+AC35</f>
        <v/>
      </c>
      <c r="AD36" s="40">
        <f>AD33+AD34+AD35</f>
        <v/>
      </c>
      <c r="AE36" s="40">
        <f>AE33+AE34+AE35</f>
        <v/>
      </c>
      <c r="AF36" s="40">
        <f>AF33+AF34+AF35</f>
        <v/>
      </c>
      <c r="AG36" s="40">
        <f>AG33+AG34+AG35</f>
        <v/>
      </c>
      <c r="AH36" s="40">
        <f>AH33+AH34+AH35</f>
        <v/>
      </c>
      <c r="AI36" s="40">
        <f>AI33+AI34+AI35</f>
        <v/>
      </c>
      <c r="AJ36" s="40">
        <f>AJ33+AJ34+AJ35</f>
        <v/>
      </c>
      <c r="AK36" s="40">
        <f>AK33+AK34+AK35</f>
        <v/>
      </c>
      <c r="AL36" s="40">
        <f>AL33+AL34+AL35</f>
        <v/>
      </c>
      <c r="AN36" s="40">
        <f>SUM(C36:N36)</f>
        <v/>
      </c>
      <c r="AO36" s="40">
        <f>SUM(O36:Z36)</f>
        <v/>
      </c>
      <c r="AP36" s="40">
        <f>SUM(AA36:AL36)</f>
        <v/>
      </c>
    </row>
    <row r="37">
      <c r="A37" s="2" t="inlineStr">
        <is>
          <t>Marge sur coûts variables (CA HT − variables − frais − impayés HT)</t>
        </is>
      </c>
      <c r="B37" s="4" t="inlineStr">
        <is>
          <t>€ HT</t>
        </is>
      </c>
      <c r="C37" s="40">
        <f>C28-C36-C30-C29/(1+Hypothèses!$D$15)</f>
        <v/>
      </c>
      <c r="D37" s="40">
        <f>D28-D36-D30-D29/(1+Hypothèses!$D$15)</f>
        <v/>
      </c>
      <c r="E37" s="40">
        <f>E28-E36-E30-E29/(1+Hypothèses!$D$15)</f>
        <v/>
      </c>
      <c r="F37" s="40">
        <f>F28-F36-F30-F29/(1+Hypothèses!$D$15)</f>
        <v/>
      </c>
      <c r="G37" s="40">
        <f>G28-G36-G30-G29/(1+Hypothèses!$D$15)</f>
        <v/>
      </c>
      <c r="H37" s="40">
        <f>H28-H36-H30-H29/(1+Hypothèses!$D$15)</f>
        <v/>
      </c>
      <c r="I37" s="40">
        <f>I28-I36-I30-I29/(1+Hypothèses!$D$15)</f>
        <v/>
      </c>
      <c r="J37" s="40">
        <f>J28-J36-J30-J29/(1+Hypothèses!$D$15)</f>
        <v/>
      </c>
      <c r="K37" s="40">
        <f>K28-K36-K30-K29/(1+Hypothèses!$D$15)</f>
        <v/>
      </c>
      <c r="L37" s="40">
        <f>L28-L36-L30-L29/(1+Hypothèses!$D$15)</f>
        <v/>
      </c>
      <c r="M37" s="40">
        <f>M28-M36-M30-M29/(1+Hypothèses!$D$15)</f>
        <v/>
      </c>
      <c r="N37" s="40">
        <f>N28-N36-N30-N29/(1+Hypothèses!$D$15)</f>
        <v/>
      </c>
      <c r="O37" s="40">
        <f>O28-O36-O30-O29/(1+Hypothèses!$D$15)</f>
        <v/>
      </c>
      <c r="P37" s="40">
        <f>P28-P36-P30-P29/(1+Hypothèses!$D$15)</f>
        <v/>
      </c>
      <c r="Q37" s="40">
        <f>Q28-Q36-Q30-Q29/(1+Hypothèses!$D$15)</f>
        <v/>
      </c>
      <c r="R37" s="40">
        <f>R28-R36-R30-R29/(1+Hypothèses!$D$15)</f>
        <v/>
      </c>
      <c r="S37" s="40">
        <f>S28-S36-S30-S29/(1+Hypothèses!$D$15)</f>
        <v/>
      </c>
      <c r="T37" s="40">
        <f>T28-T36-T30-T29/(1+Hypothèses!$D$15)</f>
        <v/>
      </c>
      <c r="U37" s="40">
        <f>U28-U36-U30-U29/(1+Hypothèses!$D$15)</f>
        <v/>
      </c>
      <c r="V37" s="40">
        <f>V28-V36-V30-V29/(1+Hypothèses!$D$15)</f>
        <v/>
      </c>
      <c r="W37" s="40">
        <f>W28-W36-W30-W29/(1+Hypothèses!$D$15)</f>
        <v/>
      </c>
      <c r="X37" s="40">
        <f>X28-X36-X30-X29/(1+Hypothèses!$D$15)</f>
        <v/>
      </c>
      <c r="Y37" s="40">
        <f>Y28-Y36-Y30-Y29/(1+Hypothèses!$D$15)</f>
        <v/>
      </c>
      <c r="Z37" s="40">
        <f>Z28-Z36-Z30-Z29/(1+Hypothèses!$D$15)</f>
        <v/>
      </c>
      <c r="AA37" s="40">
        <f>AA28-AA36-AA30-AA29/(1+Hypothèses!$D$15)</f>
        <v/>
      </c>
      <c r="AB37" s="40">
        <f>AB28-AB36-AB30-AB29/(1+Hypothèses!$D$15)</f>
        <v/>
      </c>
      <c r="AC37" s="40">
        <f>AC28-AC36-AC30-AC29/(1+Hypothèses!$D$15)</f>
        <v/>
      </c>
      <c r="AD37" s="40">
        <f>AD28-AD36-AD30-AD29/(1+Hypothèses!$D$15)</f>
        <v/>
      </c>
      <c r="AE37" s="40">
        <f>AE28-AE36-AE30-AE29/(1+Hypothèses!$D$15)</f>
        <v/>
      </c>
      <c r="AF37" s="40">
        <f>AF28-AF36-AF30-AF29/(1+Hypothèses!$D$15)</f>
        <v/>
      </c>
      <c r="AG37" s="40">
        <f>AG28-AG36-AG30-AG29/(1+Hypothèses!$D$15)</f>
        <v/>
      </c>
      <c r="AH37" s="40">
        <f>AH28-AH36-AH30-AH29/(1+Hypothèses!$D$15)</f>
        <v/>
      </c>
      <c r="AI37" s="40">
        <f>AI28-AI36-AI30-AI29/(1+Hypothèses!$D$15)</f>
        <v/>
      </c>
      <c r="AJ37" s="40">
        <f>AJ28-AJ36-AJ30-AJ29/(1+Hypothèses!$D$15)</f>
        <v/>
      </c>
      <c r="AK37" s="40">
        <f>AK28-AK36-AK30-AK29/(1+Hypothèses!$D$15)</f>
        <v/>
      </c>
      <c r="AL37" s="40">
        <f>AL28-AL36-AL30-AL29/(1+Hypothèses!$D$15)</f>
        <v/>
      </c>
      <c r="AN37" s="40">
        <f>SUM(C37:N37)</f>
        <v/>
      </c>
      <c r="AO37" s="40">
        <f>SUM(O37:Z37)</f>
        <v/>
      </c>
      <c r="AP37" s="40">
        <f>SUM(AA37:AL37)</f>
        <v/>
      </c>
    </row>
    <row r="38">
      <c r="A38" s="8" t="inlineStr">
        <is>
          <t>Acquisition et coûts fixes</t>
        </is>
      </c>
    </row>
    <row r="39">
      <c r="A39" s="9" t="inlineStr">
        <is>
          <t>Dépenses d'acquisition</t>
        </is>
      </c>
      <c r="B39" s="4" t="inlineStr">
        <is>
          <t>€ HT</t>
        </is>
      </c>
      <c r="C39" s="15">
        <f>C11</f>
        <v/>
      </c>
      <c r="D39" s="15">
        <f>D11</f>
        <v/>
      </c>
      <c r="E39" s="15">
        <f>E11</f>
        <v/>
      </c>
      <c r="F39" s="15">
        <f>F11</f>
        <v/>
      </c>
      <c r="G39" s="15">
        <f>G11</f>
        <v/>
      </c>
      <c r="H39" s="15">
        <f>H11</f>
        <v/>
      </c>
      <c r="I39" s="15">
        <f>I11</f>
        <v/>
      </c>
      <c r="J39" s="15">
        <f>J11</f>
        <v/>
      </c>
      <c r="K39" s="15">
        <f>K11</f>
        <v/>
      </c>
      <c r="L39" s="15">
        <f>L11</f>
        <v/>
      </c>
      <c r="M39" s="15">
        <f>M11</f>
        <v/>
      </c>
      <c r="N39" s="15">
        <f>N11</f>
        <v/>
      </c>
      <c r="O39" s="15">
        <f>O11</f>
        <v/>
      </c>
      <c r="P39" s="15">
        <f>P11</f>
        <v/>
      </c>
      <c r="Q39" s="15">
        <f>Q11</f>
        <v/>
      </c>
      <c r="R39" s="15">
        <f>R11</f>
        <v/>
      </c>
      <c r="S39" s="15">
        <f>S11</f>
        <v/>
      </c>
      <c r="T39" s="15">
        <f>T11</f>
        <v/>
      </c>
      <c r="U39" s="15">
        <f>U11</f>
        <v/>
      </c>
      <c r="V39" s="15">
        <f>V11</f>
        <v/>
      </c>
      <c r="W39" s="15">
        <f>W11</f>
        <v/>
      </c>
      <c r="X39" s="15">
        <f>X11</f>
        <v/>
      </c>
      <c r="Y39" s="15">
        <f>Y11</f>
        <v/>
      </c>
      <c r="Z39" s="15">
        <f>Z11</f>
        <v/>
      </c>
      <c r="AA39" s="15">
        <f>AA11</f>
        <v/>
      </c>
      <c r="AB39" s="15">
        <f>AB11</f>
        <v/>
      </c>
      <c r="AC39" s="15">
        <f>AC11</f>
        <v/>
      </c>
      <c r="AD39" s="15">
        <f>AD11</f>
        <v/>
      </c>
      <c r="AE39" s="15">
        <f>AE11</f>
        <v/>
      </c>
      <c r="AF39" s="15">
        <f>AF11</f>
        <v/>
      </c>
      <c r="AG39" s="15">
        <f>AG11</f>
        <v/>
      </c>
      <c r="AH39" s="15">
        <f>AH11</f>
        <v/>
      </c>
      <c r="AI39" s="15">
        <f>AI11</f>
        <v/>
      </c>
      <c r="AJ39" s="15">
        <f>AJ11</f>
        <v/>
      </c>
      <c r="AK39" s="15">
        <f>AK11</f>
        <v/>
      </c>
      <c r="AL39" s="15">
        <f>AL11</f>
        <v/>
      </c>
      <c r="AN39" s="15">
        <f>SUM(C39:N39)</f>
        <v/>
      </c>
      <c r="AO39" s="15">
        <f>SUM(O39:Z39)</f>
        <v/>
      </c>
      <c r="AP39" s="15">
        <f>SUM(AA39:AL39)</f>
        <v/>
      </c>
    </row>
    <row r="40">
      <c r="A40" s="9" t="inlineStr">
        <is>
          <t>Rémunération des fondateurs</t>
        </is>
      </c>
      <c r="B40" s="4" t="inlineStr">
        <is>
          <t>€ HT</t>
        </is>
      </c>
      <c r="C40" s="15">
        <f>IF(C7&gt;=Hypothèses!$D$39,Hypothèses!$D$38*Hypothèses!$D$40,0)*$G$4</f>
        <v/>
      </c>
      <c r="D40" s="15">
        <f>IF(D7&gt;=Hypothèses!$D$39,Hypothèses!$D$38*Hypothèses!$D$40,0)*$G$4</f>
        <v/>
      </c>
      <c r="E40" s="15">
        <f>IF(E7&gt;=Hypothèses!$D$39,Hypothèses!$D$38*Hypothèses!$D$40,0)*$G$4</f>
        <v/>
      </c>
      <c r="F40" s="15">
        <f>IF(F7&gt;=Hypothèses!$D$39,Hypothèses!$D$38*Hypothèses!$D$40,0)*$G$4</f>
        <v/>
      </c>
      <c r="G40" s="15">
        <f>IF(G7&gt;=Hypothèses!$D$39,Hypothèses!$D$38*Hypothèses!$D$40,0)*$G$4</f>
        <v/>
      </c>
      <c r="H40" s="15">
        <f>IF(H7&gt;=Hypothèses!$D$39,Hypothèses!$D$38*Hypothèses!$D$40,0)*$G$4</f>
        <v/>
      </c>
      <c r="I40" s="15">
        <f>IF(I7&gt;=Hypothèses!$D$39,Hypothèses!$D$38*Hypothèses!$D$40,0)*$G$4</f>
        <v/>
      </c>
      <c r="J40" s="15">
        <f>IF(J7&gt;=Hypothèses!$D$39,Hypothèses!$D$38*Hypothèses!$D$40,0)*$G$4</f>
        <v/>
      </c>
      <c r="K40" s="15">
        <f>IF(K7&gt;=Hypothèses!$D$39,Hypothèses!$D$38*Hypothèses!$D$40,0)*$G$4</f>
        <v/>
      </c>
      <c r="L40" s="15">
        <f>IF(L7&gt;=Hypothèses!$D$39,Hypothèses!$D$38*Hypothèses!$D$40,0)*$G$4</f>
        <v/>
      </c>
      <c r="M40" s="15">
        <f>IF(M7&gt;=Hypothèses!$D$39,Hypothèses!$D$38*Hypothèses!$D$40,0)*$G$4</f>
        <v/>
      </c>
      <c r="N40" s="15">
        <f>IF(N7&gt;=Hypothèses!$D$39,Hypothèses!$D$38*Hypothèses!$D$40,0)*$G$4</f>
        <v/>
      </c>
      <c r="O40" s="15">
        <f>IF(O7&gt;=Hypothèses!$D$39,Hypothèses!$D$38*Hypothèses!$D$40,0)*$G$4</f>
        <v/>
      </c>
      <c r="P40" s="15">
        <f>IF(P7&gt;=Hypothèses!$D$39,Hypothèses!$D$38*Hypothèses!$D$40,0)*$G$4</f>
        <v/>
      </c>
      <c r="Q40" s="15">
        <f>IF(Q7&gt;=Hypothèses!$D$39,Hypothèses!$D$38*Hypothèses!$D$40,0)*$G$4</f>
        <v/>
      </c>
      <c r="R40" s="15">
        <f>IF(R7&gt;=Hypothèses!$D$39,Hypothèses!$D$38*Hypothèses!$D$40,0)*$G$4</f>
        <v/>
      </c>
      <c r="S40" s="15">
        <f>IF(S7&gt;=Hypothèses!$D$39,Hypothèses!$D$38*Hypothèses!$D$40,0)*$G$4</f>
        <v/>
      </c>
      <c r="T40" s="15">
        <f>IF(T7&gt;=Hypothèses!$D$39,Hypothèses!$D$38*Hypothèses!$D$40,0)*$G$4</f>
        <v/>
      </c>
      <c r="U40" s="15">
        <f>IF(U7&gt;=Hypothèses!$D$39,Hypothèses!$D$38*Hypothèses!$D$40,0)*$G$4</f>
        <v/>
      </c>
      <c r="V40" s="15">
        <f>IF(V7&gt;=Hypothèses!$D$39,Hypothèses!$D$38*Hypothèses!$D$40,0)*$G$4</f>
        <v/>
      </c>
      <c r="W40" s="15">
        <f>IF(W7&gt;=Hypothèses!$D$39,Hypothèses!$D$38*Hypothèses!$D$40,0)*$G$4</f>
        <v/>
      </c>
      <c r="X40" s="15">
        <f>IF(X7&gt;=Hypothèses!$D$39,Hypothèses!$D$38*Hypothèses!$D$40,0)*$G$4</f>
        <v/>
      </c>
      <c r="Y40" s="15">
        <f>IF(Y7&gt;=Hypothèses!$D$39,Hypothèses!$D$38*Hypothèses!$D$40,0)*$G$4</f>
        <v/>
      </c>
      <c r="Z40" s="15">
        <f>IF(Z7&gt;=Hypothèses!$D$39,Hypothèses!$D$38*Hypothèses!$D$40,0)*$G$4</f>
        <v/>
      </c>
      <c r="AA40" s="15">
        <f>IF(AA7&gt;=Hypothèses!$D$39,Hypothèses!$D$38*Hypothèses!$D$40,0)*$G$4</f>
        <v/>
      </c>
      <c r="AB40" s="15">
        <f>IF(AB7&gt;=Hypothèses!$D$39,Hypothèses!$D$38*Hypothèses!$D$40,0)*$G$4</f>
        <v/>
      </c>
      <c r="AC40" s="15">
        <f>IF(AC7&gt;=Hypothèses!$D$39,Hypothèses!$D$38*Hypothèses!$D$40,0)*$G$4</f>
        <v/>
      </c>
      <c r="AD40" s="15">
        <f>IF(AD7&gt;=Hypothèses!$D$39,Hypothèses!$D$38*Hypothèses!$D$40,0)*$G$4</f>
        <v/>
      </c>
      <c r="AE40" s="15">
        <f>IF(AE7&gt;=Hypothèses!$D$39,Hypothèses!$D$38*Hypothèses!$D$40,0)*$G$4</f>
        <v/>
      </c>
      <c r="AF40" s="15">
        <f>IF(AF7&gt;=Hypothèses!$D$39,Hypothèses!$D$38*Hypothèses!$D$40,0)*$G$4</f>
        <v/>
      </c>
      <c r="AG40" s="15">
        <f>IF(AG7&gt;=Hypothèses!$D$39,Hypothèses!$D$38*Hypothèses!$D$40,0)*$G$4</f>
        <v/>
      </c>
      <c r="AH40" s="15">
        <f>IF(AH7&gt;=Hypothèses!$D$39,Hypothèses!$D$38*Hypothèses!$D$40,0)*$G$4</f>
        <v/>
      </c>
      <c r="AI40" s="15">
        <f>IF(AI7&gt;=Hypothèses!$D$39,Hypothèses!$D$38*Hypothèses!$D$40,0)*$G$4</f>
        <v/>
      </c>
      <c r="AJ40" s="15">
        <f>IF(AJ7&gt;=Hypothèses!$D$39,Hypothèses!$D$38*Hypothèses!$D$40,0)*$G$4</f>
        <v/>
      </c>
      <c r="AK40" s="15">
        <f>IF(AK7&gt;=Hypothèses!$D$39,Hypothèses!$D$38*Hypothèses!$D$40,0)*$G$4</f>
        <v/>
      </c>
      <c r="AL40" s="15">
        <f>IF(AL7&gt;=Hypothèses!$D$39,Hypothèses!$D$38*Hypothèses!$D$40,0)*$G$4</f>
        <v/>
      </c>
      <c r="AN40" s="15">
        <f>SUM(C40:N40)</f>
        <v/>
      </c>
      <c r="AO40" s="15">
        <f>SUM(O40:Z40)</f>
        <v/>
      </c>
      <c r="AP40" s="15">
        <f>SUM(AA40:AL40)</f>
        <v/>
      </c>
    </row>
    <row r="41">
      <c r="A41" s="9" t="inlineStr">
        <is>
          <t>Salarié 1 (growth / customer success)</t>
        </is>
      </c>
      <c r="B41" s="4" t="inlineStr">
        <is>
          <t>€ HT</t>
        </is>
      </c>
      <c r="C41" s="15">
        <f>IF(C7&gt;=Hypothèses!$D$41,Hypothèses!$D$42,0)*$G$4</f>
        <v/>
      </c>
      <c r="D41" s="15">
        <f>IF(D7&gt;=Hypothèses!$D$41,Hypothèses!$D$42,0)*$G$4</f>
        <v/>
      </c>
      <c r="E41" s="15">
        <f>IF(E7&gt;=Hypothèses!$D$41,Hypothèses!$D$42,0)*$G$4</f>
        <v/>
      </c>
      <c r="F41" s="15">
        <f>IF(F7&gt;=Hypothèses!$D$41,Hypothèses!$D$42,0)*$G$4</f>
        <v/>
      </c>
      <c r="G41" s="15">
        <f>IF(G7&gt;=Hypothèses!$D$41,Hypothèses!$D$42,0)*$G$4</f>
        <v/>
      </c>
      <c r="H41" s="15">
        <f>IF(H7&gt;=Hypothèses!$D$41,Hypothèses!$D$42,0)*$G$4</f>
        <v/>
      </c>
      <c r="I41" s="15">
        <f>IF(I7&gt;=Hypothèses!$D$41,Hypothèses!$D$42,0)*$G$4</f>
        <v/>
      </c>
      <c r="J41" s="15">
        <f>IF(J7&gt;=Hypothèses!$D$41,Hypothèses!$D$42,0)*$G$4</f>
        <v/>
      </c>
      <c r="K41" s="15">
        <f>IF(K7&gt;=Hypothèses!$D$41,Hypothèses!$D$42,0)*$G$4</f>
        <v/>
      </c>
      <c r="L41" s="15">
        <f>IF(L7&gt;=Hypothèses!$D$41,Hypothèses!$D$42,0)*$G$4</f>
        <v/>
      </c>
      <c r="M41" s="15">
        <f>IF(M7&gt;=Hypothèses!$D$41,Hypothèses!$D$42,0)*$G$4</f>
        <v/>
      </c>
      <c r="N41" s="15">
        <f>IF(N7&gt;=Hypothèses!$D$41,Hypothèses!$D$42,0)*$G$4</f>
        <v/>
      </c>
      <c r="O41" s="15">
        <f>IF(O7&gt;=Hypothèses!$D$41,Hypothèses!$D$42,0)*$G$4</f>
        <v/>
      </c>
      <c r="P41" s="15">
        <f>IF(P7&gt;=Hypothèses!$D$41,Hypothèses!$D$42,0)*$G$4</f>
        <v/>
      </c>
      <c r="Q41" s="15">
        <f>IF(Q7&gt;=Hypothèses!$D$41,Hypothèses!$D$42,0)*$G$4</f>
        <v/>
      </c>
      <c r="R41" s="15">
        <f>IF(R7&gt;=Hypothèses!$D$41,Hypothèses!$D$42,0)*$G$4</f>
        <v/>
      </c>
      <c r="S41" s="15">
        <f>IF(S7&gt;=Hypothèses!$D$41,Hypothèses!$D$42,0)*$G$4</f>
        <v/>
      </c>
      <c r="T41" s="15">
        <f>IF(T7&gt;=Hypothèses!$D$41,Hypothèses!$D$42,0)*$G$4</f>
        <v/>
      </c>
      <c r="U41" s="15">
        <f>IF(U7&gt;=Hypothèses!$D$41,Hypothèses!$D$42,0)*$G$4</f>
        <v/>
      </c>
      <c r="V41" s="15">
        <f>IF(V7&gt;=Hypothèses!$D$41,Hypothèses!$D$42,0)*$G$4</f>
        <v/>
      </c>
      <c r="W41" s="15">
        <f>IF(W7&gt;=Hypothèses!$D$41,Hypothèses!$D$42,0)*$G$4</f>
        <v/>
      </c>
      <c r="X41" s="15">
        <f>IF(X7&gt;=Hypothèses!$D$41,Hypothèses!$D$42,0)*$G$4</f>
        <v/>
      </c>
      <c r="Y41" s="15">
        <f>IF(Y7&gt;=Hypothèses!$D$41,Hypothèses!$D$42,0)*$G$4</f>
        <v/>
      </c>
      <c r="Z41" s="15">
        <f>IF(Z7&gt;=Hypothèses!$D$41,Hypothèses!$D$42,0)*$G$4</f>
        <v/>
      </c>
      <c r="AA41" s="15">
        <f>IF(AA7&gt;=Hypothèses!$D$41,Hypothèses!$D$42,0)*$G$4</f>
        <v/>
      </c>
      <c r="AB41" s="15">
        <f>IF(AB7&gt;=Hypothèses!$D$41,Hypothèses!$D$42,0)*$G$4</f>
        <v/>
      </c>
      <c r="AC41" s="15">
        <f>IF(AC7&gt;=Hypothèses!$D$41,Hypothèses!$D$42,0)*$G$4</f>
        <v/>
      </c>
      <c r="AD41" s="15">
        <f>IF(AD7&gt;=Hypothèses!$D$41,Hypothèses!$D$42,0)*$G$4</f>
        <v/>
      </c>
      <c r="AE41" s="15">
        <f>IF(AE7&gt;=Hypothèses!$D$41,Hypothèses!$D$42,0)*$G$4</f>
        <v/>
      </c>
      <c r="AF41" s="15">
        <f>IF(AF7&gt;=Hypothèses!$D$41,Hypothèses!$D$42,0)*$G$4</f>
        <v/>
      </c>
      <c r="AG41" s="15">
        <f>IF(AG7&gt;=Hypothèses!$D$41,Hypothèses!$D$42,0)*$G$4</f>
        <v/>
      </c>
      <c r="AH41" s="15">
        <f>IF(AH7&gt;=Hypothèses!$D$41,Hypothèses!$D$42,0)*$G$4</f>
        <v/>
      </c>
      <c r="AI41" s="15">
        <f>IF(AI7&gt;=Hypothèses!$D$41,Hypothèses!$D$42,0)*$G$4</f>
        <v/>
      </c>
      <c r="AJ41" s="15">
        <f>IF(AJ7&gt;=Hypothèses!$D$41,Hypothèses!$D$42,0)*$G$4</f>
        <v/>
      </c>
      <c r="AK41" s="15">
        <f>IF(AK7&gt;=Hypothèses!$D$41,Hypothèses!$D$42,0)*$G$4</f>
        <v/>
      </c>
      <c r="AL41" s="15">
        <f>IF(AL7&gt;=Hypothèses!$D$41,Hypothèses!$D$42,0)*$G$4</f>
        <v/>
      </c>
      <c r="AN41" s="15">
        <f>SUM(C41:N41)</f>
        <v/>
      </c>
      <c r="AO41" s="15">
        <f>SUM(O41:Z41)</f>
        <v/>
      </c>
      <c r="AP41" s="15">
        <f>SUM(AA41:AL41)</f>
        <v/>
      </c>
    </row>
    <row r="42">
      <c r="A42" s="9" t="inlineStr">
        <is>
          <t>Salarié 2 (ingénieur)</t>
        </is>
      </c>
      <c r="B42" s="4" t="inlineStr">
        <is>
          <t>€ HT</t>
        </is>
      </c>
      <c r="C42" s="15">
        <f>IF(C7&gt;=Hypothèses!$D$43,Hypothèses!$D$44,0)*$G$4</f>
        <v/>
      </c>
      <c r="D42" s="15">
        <f>IF(D7&gt;=Hypothèses!$D$43,Hypothèses!$D$44,0)*$G$4</f>
        <v/>
      </c>
      <c r="E42" s="15">
        <f>IF(E7&gt;=Hypothèses!$D$43,Hypothèses!$D$44,0)*$G$4</f>
        <v/>
      </c>
      <c r="F42" s="15">
        <f>IF(F7&gt;=Hypothèses!$D$43,Hypothèses!$D$44,0)*$G$4</f>
        <v/>
      </c>
      <c r="G42" s="15">
        <f>IF(G7&gt;=Hypothèses!$D$43,Hypothèses!$D$44,0)*$G$4</f>
        <v/>
      </c>
      <c r="H42" s="15">
        <f>IF(H7&gt;=Hypothèses!$D$43,Hypothèses!$D$44,0)*$G$4</f>
        <v/>
      </c>
      <c r="I42" s="15">
        <f>IF(I7&gt;=Hypothèses!$D$43,Hypothèses!$D$44,0)*$G$4</f>
        <v/>
      </c>
      <c r="J42" s="15">
        <f>IF(J7&gt;=Hypothèses!$D$43,Hypothèses!$D$44,0)*$G$4</f>
        <v/>
      </c>
      <c r="K42" s="15">
        <f>IF(K7&gt;=Hypothèses!$D$43,Hypothèses!$D$44,0)*$G$4</f>
        <v/>
      </c>
      <c r="L42" s="15">
        <f>IF(L7&gt;=Hypothèses!$D$43,Hypothèses!$D$44,0)*$G$4</f>
        <v/>
      </c>
      <c r="M42" s="15">
        <f>IF(M7&gt;=Hypothèses!$D$43,Hypothèses!$D$44,0)*$G$4</f>
        <v/>
      </c>
      <c r="N42" s="15">
        <f>IF(N7&gt;=Hypothèses!$D$43,Hypothèses!$D$44,0)*$G$4</f>
        <v/>
      </c>
      <c r="O42" s="15">
        <f>IF(O7&gt;=Hypothèses!$D$43,Hypothèses!$D$44,0)*$G$4</f>
        <v/>
      </c>
      <c r="P42" s="15">
        <f>IF(P7&gt;=Hypothèses!$D$43,Hypothèses!$D$44,0)*$G$4</f>
        <v/>
      </c>
      <c r="Q42" s="15">
        <f>IF(Q7&gt;=Hypothèses!$D$43,Hypothèses!$D$44,0)*$G$4</f>
        <v/>
      </c>
      <c r="R42" s="15">
        <f>IF(R7&gt;=Hypothèses!$D$43,Hypothèses!$D$44,0)*$G$4</f>
        <v/>
      </c>
      <c r="S42" s="15">
        <f>IF(S7&gt;=Hypothèses!$D$43,Hypothèses!$D$44,0)*$G$4</f>
        <v/>
      </c>
      <c r="T42" s="15">
        <f>IF(T7&gt;=Hypothèses!$D$43,Hypothèses!$D$44,0)*$G$4</f>
        <v/>
      </c>
      <c r="U42" s="15">
        <f>IF(U7&gt;=Hypothèses!$D$43,Hypothèses!$D$44,0)*$G$4</f>
        <v/>
      </c>
      <c r="V42" s="15">
        <f>IF(V7&gt;=Hypothèses!$D$43,Hypothèses!$D$44,0)*$G$4</f>
        <v/>
      </c>
      <c r="W42" s="15">
        <f>IF(W7&gt;=Hypothèses!$D$43,Hypothèses!$D$44,0)*$G$4</f>
        <v/>
      </c>
      <c r="X42" s="15">
        <f>IF(X7&gt;=Hypothèses!$D$43,Hypothèses!$D$44,0)*$G$4</f>
        <v/>
      </c>
      <c r="Y42" s="15">
        <f>IF(Y7&gt;=Hypothèses!$D$43,Hypothèses!$D$44,0)*$G$4</f>
        <v/>
      </c>
      <c r="Z42" s="15">
        <f>IF(Z7&gt;=Hypothèses!$D$43,Hypothèses!$D$44,0)*$G$4</f>
        <v/>
      </c>
      <c r="AA42" s="15">
        <f>IF(AA7&gt;=Hypothèses!$D$43,Hypothèses!$D$44,0)*$G$4</f>
        <v/>
      </c>
      <c r="AB42" s="15">
        <f>IF(AB7&gt;=Hypothèses!$D$43,Hypothèses!$D$44,0)*$G$4</f>
        <v/>
      </c>
      <c r="AC42" s="15">
        <f>IF(AC7&gt;=Hypothèses!$D$43,Hypothèses!$D$44,0)*$G$4</f>
        <v/>
      </c>
      <c r="AD42" s="15">
        <f>IF(AD7&gt;=Hypothèses!$D$43,Hypothèses!$D$44,0)*$G$4</f>
        <v/>
      </c>
      <c r="AE42" s="15">
        <f>IF(AE7&gt;=Hypothèses!$D$43,Hypothèses!$D$44,0)*$G$4</f>
        <v/>
      </c>
      <c r="AF42" s="15">
        <f>IF(AF7&gt;=Hypothèses!$D$43,Hypothèses!$D$44,0)*$G$4</f>
        <v/>
      </c>
      <c r="AG42" s="15">
        <f>IF(AG7&gt;=Hypothèses!$D$43,Hypothèses!$D$44,0)*$G$4</f>
        <v/>
      </c>
      <c r="AH42" s="15">
        <f>IF(AH7&gt;=Hypothèses!$D$43,Hypothèses!$D$44,0)*$G$4</f>
        <v/>
      </c>
      <c r="AI42" s="15">
        <f>IF(AI7&gt;=Hypothèses!$D$43,Hypothèses!$D$44,0)*$G$4</f>
        <v/>
      </c>
      <c r="AJ42" s="15">
        <f>IF(AJ7&gt;=Hypothèses!$D$43,Hypothèses!$D$44,0)*$G$4</f>
        <v/>
      </c>
      <c r="AK42" s="15">
        <f>IF(AK7&gt;=Hypothèses!$D$43,Hypothèses!$D$44,0)*$G$4</f>
        <v/>
      </c>
      <c r="AL42" s="15">
        <f>IF(AL7&gt;=Hypothèses!$D$43,Hypothèses!$D$44,0)*$G$4</f>
        <v/>
      </c>
      <c r="AN42" s="15">
        <f>SUM(C42:N42)</f>
        <v/>
      </c>
      <c r="AO42" s="15">
        <f>SUM(O42:Z42)</f>
        <v/>
      </c>
      <c r="AP42" s="15">
        <f>SUM(AA42:AL42)</f>
        <v/>
      </c>
    </row>
    <row r="43">
      <c r="A43" s="9" t="inlineStr">
        <is>
          <t>Développement MVP externe (étalé jusqu'au lancement)</t>
        </is>
      </c>
      <c r="B43" s="4" t="inlineStr">
        <is>
          <t>€ HT</t>
        </is>
      </c>
      <c r="C43" s="15">
        <f>IF(C7&lt;$B$5,Hypothèses!$D$45/MAX(1,$B$5-1),0)</f>
        <v/>
      </c>
      <c r="D43" s="15">
        <f>IF(D7&lt;$B$5,Hypothèses!$D$45/MAX(1,$B$5-1),0)</f>
        <v/>
      </c>
      <c r="E43" s="15">
        <f>IF(E7&lt;$B$5,Hypothèses!$D$45/MAX(1,$B$5-1),0)</f>
        <v/>
      </c>
      <c r="F43" s="15">
        <f>IF(F7&lt;$B$5,Hypothèses!$D$45/MAX(1,$B$5-1),0)</f>
        <v/>
      </c>
      <c r="G43" s="15">
        <f>IF(G7&lt;$B$5,Hypothèses!$D$45/MAX(1,$B$5-1),0)</f>
        <v/>
      </c>
      <c r="H43" s="15">
        <f>IF(H7&lt;$B$5,Hypothèses!$D$45/MAX(1,$B$5-1),0)</f>
        <v/>
      </c>
      <c r="I43" s="15">
        <f>IF(I7&lt;$B$5,Hypothèses!$D$45/MAX(1,$B$5-1),0)</f>
        <v/>
      </c>
      <c r="J43" s="15">
        <f>IF(J7&lt;$B$5,Hypothèses!$D$45/MAX(1,$B$5-1),0)</f>
        <v/>
      </c>
      <c r="K43" s="15">
        <f>IF(K7&lt;$B$5,Hypothèses!$D$45/MAX(1,$B$5-1),0)</f>
        <v/>
      </c>
      <c r="L43" s="15">
        <f>IF(L7&lt;$B$5,Hypothèses!$D$45/MAX(1,$B$5-1),0)</f>
        <v/>
      </c>
      <c r="M43" s="15">
        <f>IF(M7&lt;$B$5,Hypothèses!$D$45/MAX(1,$B$5-1),0)</f>
        <v/>
      </c>
      <c r="N43" s="15">
        <f>IF(N7&lt;$B$5,Hypothèses!$D$45/MAX(1,$B$5-1),0)</f>
        <v/>
      </c>
      <c r="O43" s="15">
        <f>IF(O7&lt;$B$5,Hypothèses!$D$45/MAX(1,$B$5-1),0)</f>
        <v/>
      </c>
      <c r="P43" s="15">
        <f>IF(P7&lt;$B$5,Hypothèses!$D$45/MAX(1,$B$5-1),0)</f>
        <v/>
      </c>
      <c r="Q43" s="15">
        <f>IF(Q7&lt;$B$5,Hypothèses!$D$45/MAX(1,$B$5-1),0)</f>
        <v/>
      </c>
      <c r="R43" s="15">
        <f>IF(R7&lt;$B$5,Hypothèses!$D$45/MAX(1,$B$5-1),0)</f>
        <v/>
      </c>
      <c r="S43" s="15">
        <f>IF(S7&lt;$B$5,Hypothèses!$D$45/MAX(1,$B$5-1),0)</f>
        <v/>
      </c>
      <c r="T43" s="15">
        <f>IF(T7&lt;$B$5,Hypothèses!$D$45/MAX(1,$B$5-1),0)</f>
        <v/>
      </c>
      <c r="U43" s="15">
        <f>IF(U7&lt;$B$5,Hypothèses!$D$45/MAX(1,$B$5-1),0)</f>
        <v/>
      </c>
      <c r="V43" s="15">
        <f>IF(V7&lt;$B$5,Hypothèses!$D$45/MAX(1,$B$5-1),0)</f>
        <v/>
      </c>
      <c r="W43" s="15">
        <f>IF(W7&lt;$B$5,Hypothèses!$D$45/MAX(1,$B$5-1),0)</f>
        <v/>
      </c>
      <c r="X43" s="15">
        <f>IF(X7&lt;$B$5,Hypothèses!$D$45/MAX(1,$B$5-1),0)</f>
        <v/>
      </c>
      <c r="Y43" s="15">
        <f>IF(Y7&lt;$B$5,Hypothèses!$D$45/MAX(1,$B$5-1),0)</f>
        <v/>
      </c>
      <c r="Z43" s="15">
        <f>IF(Z7&lt;$B$5,Hypothèses!$D$45/MAX(1,$B$5-1),0)</f>
        <v/>
      </c>
      <c r="AA43" s="15">
        <f>IF(AA7&lt;$B$5,Hypothèses!$D$45/MAX(1,$B$5-1),0)</f>
        <v/>
      </c>
      <c r="AB43" s="15">
        <f>IF(AB7&lt;$B$5,Hypothèses!$D$45/MAX(1,$B$5-1),0)</f>
        <v/>
      </c>
      <c r="AC43" s="15">
        <f>IF(AC7&lt;$B$5,Hypothèses!$D$45/MAX(1,$B$5-1),0)</f>
        <v/>
      </c>
      <c r="AD43" s="15">
        <f>IF(AD7&lt;$B$5,Hypothèses!$D$45/MAX(1,$B$5-1),0)</f>
        <v/>
      </c>
      <c r="AE43" s="15">
        <f>IF(AE7&lt;$B$5,Hypothèses!$D$45/MAX(1,$B$5-1),0)</f>
        <v/>
      </c>
      <c r="AF43" s="15">
        <f>IF(AF7&lt;$B$5,Hypothèses!$D$45/MAX(1,$B$5-1),0)</f>
        <v/>
      </c>
      <c r="AG43" s="15">
        <f>IF(AG7&lt;$B$5,Hypothèses!$D$45/MAX(1,$B$5-1),0)</f>
        <v/>
      </c>
      <c r="AH43" s="15">
        <f>IF(AH7&lt;$B$5,Hypothèses!$D$45/MAX(1,$B$5-1),0)</f>
        <v/>
      </c>
      <c r="AI43" s="15">
        <f>IF(AI7&lt;$B$5,Hypothèses!$D$45/MAX(1,$B$5-1),0)</f>
        <v/>
      </c>
      <c r="AJ43" s="15">
        <f>IF(AJ7&lt;$B$5,Hypothèses!$D$45/MAX(1,$B$5-1),0)</f>
        <v/>
      </c>
      <c r="AK43" s="15">
        <f>IF(AK7&lt;$B$5,Hypothèses!$D$45/MAX(1,$B$5-1),0)</f>
        <v/>
      </c>
      <c r="AL43" s="15">
        <f>IF(AL7&lt;$B$5,Hypothèses!$D$45/MAX(1,$B$5-1),0)</f>
        <v/>
      </c>
      <c r="AN43" s="15">
        <f>SUM(C43:N43)</f>
        <v/>
      </c>
      <c r="AO43" s="15">
        <f>SUM(O43:Z43)</f>
        <v/>
      </c>
      <c r="AP43" s="15">
        <f>SUM(AA43:AL43)</f>
        <v/>
      </c>
    </row>
    <row r="44">
      <c r="A44" s="9" t="inlineStr">
        <is>
          <t>Outils et SaaS</t>
        </is>
      </c>
      <c r="B44" s="4" t="inlineStr">
        <is>
          <t>€ HT</t>
        </is>
      </c>
      <c r="C44" s="15">
        <f>Hypothèses!$D$46*$G$4</f>
        <v/>
      </c>
      <c r="D44" s="15">
        <f>Hypothèses!$D$46*$G$4</f>
        <v/>
      </c>
      <c r="E44" s="15">
        <f>Hypothèses!$D$46*$G$4</f>
        <v/>
      </c>
      <c r="F44" s="15">
        <f>Hypothèses!$D$46*$G$4</f>
        <v/>
      </c>
      <c r="G44" s="15">
        <f>Hypothèses!$D$46*$G$4</f>
        <v/>
      </c>
      <c r="H44" s="15">
        <f>Hypothèses!$D$46*$G$4</f>
        <v/>
      </c>
      <c r="I44" s="15">
        <f>Hypothèses!$D$46*$G$4</f>
        <v/>
      </c>
      <c r="J44" s="15">
        <f>Hypothèses!$D$46*$G$4</f>
        <v/>
      </c>
      <c r="K44" s="15">
        <f>Hypothèses!$D$46*$G$4</f>
        <v/>
      </c>
      <c r="L44" s="15">
        <f>Hypothèses!$D$46*$G$4</f>
        <v/>
      </c>
      <c r="M44" s="15">
        <f>Hypothèses!$D$46*$G$4</f>
        <v/>
      </c>
      <c r="N44" s="15">
        <f>Hypothèses!$D$46*$G$4</f>
        <v/>
      </c>
      <c r="O44" s="15">
        <f>Hypothèses!$D$46*$G$4</f>
        <v/>
      </c>
      <c r="P44" s="15">
        <f>Hypothèses!$D$46*$G$4</f>
        <v/>
      </c>
      <c r="Q44" s="15">
        <f>Hypothèses!$D$46*$G$4</f>
        <v/>
      </c>
      <c r="R44" s="15">
        <f>Hypothèses!$D$46*$G$4</f>
        <v/>
      </c>
      <c r="S44" s="15">
        <f>Hypothèses!$D$46*$G$4</f>
        <v/>
      </c>
      <c r="T44" s="15">
        <f>Hypothèses!$D$46*$G$4</f>
        <v/>
      </c>
      <c r="U44" s="15">
        <f>Hypothèses!$D$46*$G$4</f>
        <v/>
      </c>
      <c r="V44" s="15">
        <f>Hypothèses!$D$46*$G$4</f>
        <v/>
      </c>
      <c r="W44" s="15">
        <f>Hypothèses!$D$46*$G$4</f>
        <v/>
      </c>
      <c r="X44" s="15">
        <f>Hypothèses!$D$46*$G$4</f>
        <v/>
      </c>
      <c r="Y44" s="15">
        <f>Hypothèses!$D$46*$G$4</f>
        <v/>
      </c>
      <c r="Z44" s="15">
        <f>Hypothèses!$D$46*$G$4</f>
        <v/>
      </c>
      <c r="AA44" s="15">
        <f>Hypothèses!$D$46*$G$4</f>
        <v/>
      </c>
      <c r="AB44" s="15">
        <f>Hypothèses!$D$46*$G$4</f>
        <v/>
      </c>
      <c r="AC44" s="15">
        <f>Hypothèses!$D$46*$G$4</f>
        <v/>
      </c>
      <c r="AD44" s="15">
        <f>Hypothèses!$D$46*$G$4</f>
        <v/>
      </c>
      <c r="AE44" s="15">
        <f>Hypothèses!$D$46*$G$4</f>
        <v/>
      </c>
      <c r="AF44" s="15">
        <f>Hypothèses!$D$46*$G$4</f>
        <v/>
      </c>
      <c r="AG44" s="15">
        <f>Hypothèses!$D$46*$G$4</f>
        <v/>
      </c>
      <c r="AH44" s="15">
        <f>Hypothèses!$D$46*$G$4</f>
        <v/>
      </c>
      <c r="AI44" s="15">
        <f>Hypothèses!$D$46*$G$4</f>
        <v/>
      </c>
      <c r="AJ44" s="15">
        <f>Hypothèses!$D$46*$G$4</f>
        <v/>
      </c>
      <c r="AK44" s="15">
        <f>Hypothèses!$D$46*$G$4</f>
        <v/>
      </c>
      <c r="AL44" s="15">
        <f>Hypothèses!$D$46*$G$4</f>
        <v/>
      </c>
      <c r="AN44" s="15">
        <f>SUM(C44:N44)</f>
        <v/>
      </c>
      <c r="AO44" s="15">
        <f>SUM(O44:Z44)</f>
        <v/>
      </c>
      <c r="AP44" s="15">
        <f>SUM(AA44:AL44)</f>
        <v/>
      </c>
    </row>
    <row r="45">
      <c r="A45" s="9" t="inlineStr">
        <is>
          <t>Juridique et comptabilité</t>
        </is>
      </c>
      <c r="B45" s="4" t="inlineStr">
        <is>
          <t>€ HT</t>
        </is>
      </c>
      <c r="C45" s="15">
        <f>Hypothèses!$D$47*$G$4</f>
        <v/>
      </c>
      <c r="D45" s="15">
        <f>Hypothèses!$D$47*$G$4</f>
        <v/>
      </c>
      <c r="E45" s="15">
        <f>Hypothèses!$D$47*$G$4</f>
        <v/>
      </c>
      <c r="F45" s="15">
        <f>Hypothèses!$D$47*$G$4</f>
        <v/>
      </c>
      <c r="G45" s="15">
        <f>Hypothèses!$D$47*$G$4</f>
        <v/>
      </c>
      <c r="H45" s="15">
        <f>Hypothèses!$D$47*$G$4</f>
        <v/>
      </c>
      <c r="I45" s="15">
        <f>Hypothèses!$D$47*$G$4</f>
        <v/>
      </c>
      <c r="J45" s="15">
        <f>Hypothèses!$D$47*$G$4</f>
        <v/>
      </c>
      <c r="K45" s="15">
        <f>Hypothèses!$D$47*$G$4</f>
        <v/>
      </c>
      <c r="L45" s="15">
        <f>Hypothèses!$D$47*$G$4</f>
        <v/>
      </c>
      <c r="M45" s="15">
        <f>Hypothèses!$D$47*$G$4</f>
        <v/>
      </c>
      <c r="N45" s="15">
        <f>Hypothèses!$D$47*$G$4</f>
        <v/>
      </c>
      <c r="O45" s="15">
        <f>Hypothèses!$D$47*$G$4</f>
        <v/>
      </c>
      <c r="P45" s="15">
        <f>Hypothèses!$D$47*$G$4</f>
        <v/>
      </c>
      <c r="Q45" s="15">
        <f>Hypothèses!$D$47*$G$4</f>
        <v/>
      </c>
      <c r="R45" s="15">
        <f>Hypothèses!$D$47*$G$4</f>
        <v/>
      </c>
      <c r="S45" s="15">
        <f>Hypothèses!$D$47*$G$4</f>
        <v/>
      </c>
      <c r="T45" s="15">
        <f>Hypothèses!$D$47*$G$4</f>
        <v/>
      </c>
      <c r="U45" s="15">
        <f>Hypothèses!$D$47*$G$4</f>
        <v/>
      </c>
      <c r="V45" s="15">
        <f>Hypothèses!$D$47*$G$4</f>
        <v/>
      </c>
      <c r="W45" s="15">
        <f>Hypothèses!$D$47*$G$4</f>
        <v/>
      </c>
      <c r="X45" s="15">
        <f>Hypothèses!$D$47*$G$4</f>
        <v/>
      </c>
      <c r="Y45" s="15">
        <f>Hypothèses!$D$47*$G$4</f>
        <v/>
      </c>
      <c r="Z45" s="15">
        <f>Hypothèses!$D$47*$G$4</f>
        <v/>
      </c>
      <c r="AA45" s="15">
        <f>Hypothèses!$D$47*$G$4</f>
        <v/>
      </c>
      <c r="AB45" s="15">
        <f>Hypothèses!$D$47*$G$4</f>
        <v/>
      </c>
      <c r="AC45" s="15">
        <f>Hypothèses!$D$47*$G$4</f>
        <v/>
      </c>
      <c r="AD45" s="15">
        <f>Hypothèses!$D$47*$G$4</f>
        <v/>
      </c>
      <c r="AE45" s="15">
        <f>Hypothèses!$D$47*$G$4</f>
        <v/>
      </c>
      <c r="AF45" s="15">
        <f>Hypothèses!$D$47*$G$4</f>
        <v/>
      </c>
      <c r="AG45" s="15">
        <f>Hypothèses!$D$47*$G$4</f>
        <v/>
      </c>
      <c r="AH45" s="15">
        <f>Hypothèses!$D$47*$G$4</f>
        <v/>
      </c>
      <c r="AI45" s="15">
        <f>Hypothèses!$D$47*$G$4</f>
        <v/>
      </c>
      <c r="AJ45" s="15">
        <f>Hypothèses!$D$47*$G$4</f>
        <v/>
      </c>
      <c r="AK45" s="15">
        <f>Hypothèses!$D$47*$G$4</f>
        <v/>
      </c>
      <c r="AL45" s="15">
        <f>Hypothèses!$D$47*$G$4</f>
        <v/>
      </c>
      <c r="AN45" s="15">
        <f>SUM(C45:N45)</f>
        <v/>
      </c>
      <c r="AO45" s="15">
        <f>SUM(O45:Z45)</f>
        <v/>
      </c>
      <c r="AP45" s="15">
        <f>SUM(AA45:AL45)</f>
        <v/>
      </c>
    </row>
    <row r="46">
      <c r="A46" s="9" t="inlineStr">
        <is>
          <t>Assurance RC pro</t>
        </is>
      </c>
      <c r="B46" s="4" t="inlineStr">
        <is>
          <t>€</t>
        </is>
      </c>
      <c r="C46" s="15">
        <f>C9*Hypothèses!$D$48*$G$4</f>
        <v/>
      </c>
      <c r="D46" s="15">
        <f>D9*Hypothèses!$D$48*$G$4</f>
        <v/>
      </c>
      <c r="E46" s="15">
        <f>E9*Hypothèses!$D$48*$G$4</f>
        <v/>
      </c>
      <c r="F46" s="15">
        <f>F9*Hypothèses!$D$48*$G$4</f>
        <v/>
      </c>
      <c r="G46" s="15">
        <f>G9*Hypothèses!$D$48*$G$4</f>
        <v/>
      </c>
      <c r="H46" s="15">
        <f>H9*Hypothèses!$D$48*$G$4</f>
        <v/>
      </c>
      <c r="I46" s="15">
        <f>I9*Hypothèses!$D$48*$G$4</f>
        <v/>
      </c>
      <c r="J46" s="15">
        <f>J9*Hypothèses!$D$48*$G$4</f>
        <v/>
      </c>
      <c r="K46" s="15">
        <f>K9*Hypothèses!$D$48*$G$4</f>
        <v/>
      </c>
      <c r="L46" s="15">
        <f>L9*Hypothèses!$D$48*$G$4</f>
        <v/>
      </c>
      <c r="M46" s="15">
        <f>M9*Hypothèses!$D$48*$G$4</f>
        <v/>
      </c>
      <c r="N46" s="15">
        <f>N9*Hypothèses!$D$48*$G$4</f>
        <v/>
      </c>
      <c r="O46" s="15">
        <f>O9*Hypothèses!$D$48*$G$4</f>
        <v/>
      </c>
      <c r="P46" s="15">
        <f>P9*Hypothèses!$D$48*$G$4</f>
        <v/>
      </c>
      <c r="Q46" s="15">
        <f>Q9*Hypothèses!$D$48*$G$4</f>
        <v/>
      </c>
      <c r="R46" s="15">
        <f>R9*Hypothèses!$D$48*$G$4</f>
        <v/>
      </c>
      <c r="S46" s="15">
        <f>S9*Hypothèses!$D$48*$G$4</f>
        <v/>
      </c>
      <c r="T46" s="15">
        <f>T9*Hypothèses!$D$48*$G$4</f>
        <v/>
      </c>
      <c r="U46" s="15">
        <f>U9*Hypothèses!$D$48*$G$4</f>
        <v/>
      </c>
      <c r="V46" s="15">
        <f>V9*Hypothèses!$D$48*$G$4</f>
        <v/>
      </c>
      <c r="W46" s="15">
        <f>W9*Hypothèses!$D$48*$G$4</f>
        <v/>
      </c>
      <c r="X46" s="15">
        <f>X9*Hypothèses!$D$48*$G$4</f>
        <v/>
      </c>
      <c r="Y46" s="15">
        <f>Y9*Hypothèses!$D$48*$G$4</f>
        <v/>
      </c>
      <c r="Z46" s="15">
        <f>Z9*Hypothèses!$D$48*$G$4</f>
        <v/>
      </c>
      <c r="AA46" s="15">
        <f>AA9*Hypothèses!$D$48*$G$4</f>
        <v/>
      </c>
      <c r="AB46" s="15">
        <f>AB9*Hypothèses!$D$48*$G$4</f>
        <v/>
      </c>
      <c r="AC46" s="15">
        <f>AC9*Hypothèses!$D$48*$G$4</f>
        <v/>
      </c>
      <c r="AD46" s="15">
        <f>AD9*Hypothèses!$D$48*$G$4</f>
        <v/>
      </c>
      <c r="AE46" s="15">
        <f>AE9*Hypothèses!$D$48*$G$4</f>
        <v/>
      </c>
      <c r="AF46" s="15">
        <f>AF9*Hypothèses!$D$48*$G$4</f>
        <v/>
      </c>
      <c r="AG46" s="15">
        <f>AG9*Hypothèses!$D$48*$G$4</f>
        <v/>
      </c>
      <c r="AH46" s="15">
        <f>AH9*Hypothèses!$D$48*$G$4</f>
        <v/>
      </c>
      <c r="AI46" s="15">
        <f>AI9*Hypothèses!$D$48*$G$4</f>
        <v/>
      </c>
      <c r="AJ46" s="15">
        <f>AJ9*Hypothèses!$D$48*$G$4</f>
        <v/>
      </c>
      <c r="AK46" s="15">
        <f>AK9*Hypothèses!$D$48*$G$4</f>
        <v/>
      </c>
      <c r="AL46" s="15">
        <f>AL9*Hypothèses!$D$48*$G$4</f>
        <v/>
      </c>
      <c r="AN46" s="15">
        <f>SUM(C46:N46)</f>
        <v/>
      </c>
      <c r="AO46" s="15">
        <f>SUM(O46:Z46)</f>
        <v/>
      </c>
      <c r="AP46" s="15">
        <f>SUM(AA46:AL46)</f>
        <v/>
      </c>
    </row>
    <row r="47">
      <c r="A47" s="9" t="inlineStr">
        <is>
          <t>Marketing fixe</t>
        </is>
      </c>
      <c r="B47" s="4" t="inlineStr">
        <is>
          <t>€ HT</t>
        </is>
      </c>
      <c r="C47" s="15">
        <f>C9*Hypothèses!$D$49*$G$4</f>
        <v/>
      </c>
      <c r="D47" s="15">
        <f>D9*Hypothèses!$D$49*$G$4</f>
        <v/>
      </c>
      <c r="E47" s="15">
        <f>E9*Hypothèses!$D$49*$G$4</f>
        <v/>
      </c>
      <c r="F47" s="15">
        <f>F9*Hypothèses!$D$49*$G$4</f>
        <v/>
      </c>
      <c r="G47" s="15">
        <f>G9*Hypothèses!$D$49*$G$4</f>
        <v/>
      </c>
      <c r="H47" s="15">
        <f>H9*Hypothèses!$D$49*$G$4</f>
        <v/>
      </c>
      <c r="I47" s="15">
        <f>I9*Hypothèses!$D$49*$G$4</f>
        <v/>
      </c>
      <c r="J47" s="15">
        <f>J9*Hypothèses!$D$49*$G$4</f>
        <v/>
      </c>
      <c r="K47" s="15">
        <f>K9*Hypothèses!$D$49*$G$4</f>
        <v/>
      </c>
      <c r="L47" s="15">
        <f>L9*Hypothèses!$D$49*$G$4</f>
        <v/>
      </c>
      <c r="M47" s="15">
        <f>M9*Hypothèses!$D$49*$G$4</f>
        <v/>
      </c>
      <c r="N47" s="15">
        <f>N9*Hypothèses!$D$49*$G$4</f>
        <v/>
      </c>
      <c r="O47" s="15">
        <f>O9*Hypothèses!$D$49*$G$4</f>
        <v/>
      </c>
      <c r="P47" s="15">
        <f>P9*Hypothèses!$D$49*$G$4</f>
        <v/>
      </c>
      <c r="Q47" s="15">
        <f>Q9*Hypothèses!$D$49*$G$4</f>
        <v/>
      </c>
      <c r="R47" s="15">
        <f>R9*Hypothèses!$D$49*$G$4</f>
        <v/>
      </c>
      <c r="S47" s="15">
        <f>S9*Hypothèses!$D$49*$G$4</f>
        <v/>
      </c>
      <c r="T47" s="15">
        <f>T9*Hypothèses!$D$49*$G$4</f>
        <v/>
      </c>
      <c r="U47" s="15">
        <f>U9*Hypothèses!$D$49*$G$4</f>
        <v/>
      </c>
      <c r="V47" s="15">
        <f>V9*Hypothèses!$D$49*$G$4</f>
        <v/>
      </c>
      <c r="W47" s="15">
        <f>W9*Hypothèses!$D$49*$G$4</f>
        <v/>
      </c>
      <c r="X47" s="15">
        <f>X9*Hypothèses!$D$49*$G$4</f>
        <v/>
      </c>
      <c r="Y47" s="15">
        <f>Y9*Hypothèses!$D$49*$G$4</f>
        <v/>
      </c>
      <c r="Z47" s="15">
        <f>Z9*Hypothèses!$D$49*$G$4</f>
        <v/>
      </c>
      <c r="AA47" s="15">
        <f>AA9*Hypothèses!$D$49*$G$4</f>
        <v/>
      </c>
      <c r="AB47" s="15">
        <f>AB9*Hypothèses!$D$49*$G$4</f>
        <v/>
      </c>
      <c r="AC47" s="15">
        <f>AC9*Hypothèses!$D$49*$G$4</f>
        <v/>
      </c>
      <c r="AD47" s="15">
        <f>AD9*Hypothèses!$D$49*$G$4</f>
        <v/>
      </c>
      <c r="AE47" s="15">
        <f>AE9*Hypothèses!$D$49*$G$4</f>
        <v/>
      </c>
      <c r="AF47" s="15">
        <f>AF9*Hypothèses!$D$49*$G$4</f>
        <v/>
      </c>
      <c r="AG47" s="15">
        <f>AG9*Hypothèses!$D$49*$G$4</f>
        <v/>
      </c>
      <c r="AH47" s="15">
        <f>AH9*Hypothèses!$D$49*$G$4</f>
        <v/>
      </c>
      <c r="AI47" s="15">
        <f>AI9*Hypothèses!$D$49*$G$4</f>
        <v/>
      </c>
      <c r="AJ47" s="15">
        <f>AJ9*Hypothèses!$D$49*$G$4</f>
        <v/>
      </c>
      <c r="AK47" s="15">
        <f>AK9*Hypothèses!$D$49*$G$4</f>
        <v/>
      </c>
      <c r="AL47" s="15">
        <f>AL9*Hypothèses!$D$49*$G$4</f>
        <v/>
      </c>
      <c r="AN47" s="15">
        <f>SUM(C47:N47)</f>
        <v/>
      </c>
      <c r="AO47" s="15">
        <f>SUM(O47:Z47)</f>
        <v/>
      </c>
      <c r="AP47" s="15">
        <f>SUM(AA47:AL47)</f>
        <v/>
      </c>
    </row>
    <row r="48">
      <c r="A48" s="9" t="inlineStr">
        <is>
          <t>Frais généraux</t>
        </is>
      </c>
      <c r="B48" s="4" t="inlineStr">
        <is>
          <t>€ HT</t>
        </is>
      </c>
      <c r="C48" s="15">
        <f>Hypothèses!$D$50*$G$4</f>
        <v/>
      </c>
      <c r="D48" s="15">
        <f>Hypothèses!$D$50*$G$4</f>
        <v/>
      </c>
      <c r="E48" s="15">
        <f>Hypothèses!$D$50*$G$4</f>
        <v/>
      </c>
      <c r="F48" s="15">
        <f>Hypothèses!$D$50*$G$4</f>
        <v/>
      </c>
      <c r="G48" s="15">
        <f>Hypothèses!$D$50*$G$4</f>
        <v/>
      </c>
      <c r="H48" s="15">
        <f>Hypothèses!$D$50*$G$4</f>
        <v/>
      </c>
      <c r="I48" s="15">
        <f>Hypothèses!$D$50*$G$4</f>
        <v/>
      </c>
      <c r="J48" s="15">
        <f>Hypothèses!$D$50*$G$4</f>
        <v/>
      </c>
      <c r="K48" s="15">
        <f>Hypothèses!$D$50*$G$4</f>
        <v/>
      </c>
      <c r="L48" s="15">
        <f>Hypothèses!$D$50*$G$4</f>
        <v/>
      </c>
      <c r="M48" s="15">
        <f>Hypothèses!$D$50*$G$4</f>
        <v/>
      </c>
      <c r="N48" s="15">
        <f>Hypothèses!$D$50*$G$4</f>
        <v/>
      </c>
      <c r="O48" s="15">
        <f>Hypothèses!$D$50*$G$4</f>
        <v/>
      </c>
      <c r="P48" s="15">
        <f>Hypothèses!$D$50*$G$4</f>
        <v/>
      </c>
      <c r="Q48" s="15">
        <f>Hypothèses!$D$50*$G$4</f>
        <v/>
      </c>
      <c r="R48" s="15">
        <f>Hypothèses!$D$50*$G$4</f>
        <v/>
      </c>
      <c r="S48" s="15">
        <f>Hypothèses!$D$50*$G$4</f>
        <v/>
      </c>
      <c r="T48" s="15">
        <f>Hypothèses!$D$50*$G$4</f>
        <v/>
      </c>
      <c r="U48" s="15">
        <f>Hypothèses!$D$50*$G$4</f>
        <v/>
      </c>
      <c r="V48" s="15">
        <f>Hypothèses!$D$50*$G$4</f>
        <v/>
      </c>
      <c r="W48" s="15">
        <f>Hypothèses!$D$50*$G$4</f>
        <v/>
      </c>
      <c r="X48" s="15">
        <f>Hypothèses!$D$50*$G$4</f>
        <v/>
      </c>
      <c r="Y48" s="15">
        <f>Hypothèses!$D$50*$G$4</f>
        <v/>
      </c>
      <c r="Z48" s="15">
        <f>Hypothèses!$D$50*$G$4</f>
        <v/>
      </c>
      <c r="AA48" s="15">
        <f>Hypothèses!$D$50*$G$4</f>
        <v/>
      </c>
      <c r="AB48" s="15">
        <f>Hypothèses!$D$50*$G$4</f>
        <v/>
      </c>
      <c r="AC48" s="15">
        <f>Hypothèses!$D$50*$G$4</f>
        <v/>
      </c>
      <c r="AD48" s="15">
        <f>Hypothèses!$D$50*$G$4</f>
        <v/>
      </c>
      <c r="AE48" s="15">
        <f>Hypothèses!$D$50*$G$4</f>
        <v/>
      </c>
      <c r="AF48" s="15">
        <f>Hypothèses!$D$50*$G$4</f>
        <v/>
      </c>
      <c r="AG48" s="15">
        <f>Hypothèses!$D$50*$G$4</f>
        <v/>
      </c>
      <c r="AH48" s="15">
        <f>Hypothèses!$D$50*$G$4</f>
        <v/>
      </c>
      <c r="AI48" s="15">
        <f>Hypothèses!$D$50*$G$4</f>
        <v/>
      </c>
      <c r="AJ48" s="15">
        <f>Hypothèses!$D$50*$G$4</f>
        <v/>
      </c>
      <c r="AK48" s="15">
        <f>Hypothèses!$D$50*$G$4</f>
        <v/>
      </c>
      <c r="AL48" s="15">
        <f>Hypothèses!$D$50*$G$4</f>
        <v/>
      </c>
      <c r="AN48" s="15">
        <f>SUM(C48:N48)</f>
        <v/>
      </c>
      <c r="AO48" s="15">
        <f>SUM(O48:Z48)</f>
        <v/>
      </c>
      <c r="AP48" s="15">
        <f>SUM(AA48:AL48)</f>
        <v/>
      </c>
    </row>
    <row r="49">
      <c r="A49" s="9" t="inlineStr">
        <is>
          <t>Audit de sécurité (annuel, à partir du lancement)</t>
        </is>
      </c>
      <c r="B49" s="4" t="inlineStr">
        <is>
          <t>€ HT</t>
        </is>
      </c>
      <c r="C49" s="15">
        <f>IF(AND(C9=1,MOD(C7-$B$5,12)=0),Hypothèses!$D$51,0)*$G$4</f>
        <v/>
      </c>
      <c r="D49" s="15">
        <f>IF(AND(D9=1,MOD(D7-$B$5,12)=0),Hypothèses!$D$51,0)*$G$4</f>
        <v/>
      </c>
      <c r="E49" s="15">
        <f>IF(AND(E9=1,MOD(E7-$B$5,12)=0),Hypothèses!$D$51,0)*$G$4</f>
        <v/>
      </c>
      <c r="F49" s="15">
        <f>IF(AND(F9=1,MOD(F7-$B$5,12)=0),Hypothèses!$D$51,0)*$G$4</f>
        <v/>
      </c>
      <c r="G49" s="15">
        <f>IF(AND(G9=1,MOD(G7-$B$5,12)=0),Hypothèses!$D$51,0)*$G$4</f>
        <v/>
      </c>
      <c r="H49" s="15">
        <f>IF(AND(H9=1,MOD(H7-$B$5,12)=0),Hypothèses!$D$51,0)*$G$4</f>
        <v/>
      </c>
      <c r="I49" s="15">
        <f>IF(AND(I9=1,MOD(I7-$B$5,12)=0),Hypothèses!$D$51,0)*$G$4</f>
        <v/>
      </c>
      <c r="J49" s="15">
        <f>IF(AND(J9=1,MOD(J7-$B$5,12)=0),Hypothèses!$D$51,0)*$G$4</f>
        <v/>
      </c>
      <c r="K49" s="15">
        <f>IF(AND(K9=1,MOD(K7-$B$5,12)=0),Hypothèses!$D$51,0)*$G$4</f>
        <v/>
      </c>
      <c r="L49" s="15">
        <f>IF(AND(L9=1,MOD(L7-$B$5,12)=0),Hypothèses!$D$51,0)*$G$4</f>
        <v/>
      </c>
      <c r="M49" s="15">
        <f>IF(AND(M9=1,MOD(M7-$B$5,12)=0),Hypothèses!$D$51,0)*$G$4</f>
        <v/>
      </c>
      <c r="N49" s="15">
        <f>IF(AND(N9=1,MOD(N7-$B$5,12)=0),Hypothèses!$D$51,0)*$G$4</f>
        <v/>
      </c>
      <c r="O49" s="15">
        <f>IF(AND(O9=1,MOD(O7-$B$5,12)=0),Hypothèses!$D$51,0)*$G$4</f>
        <v/>
      </c>
      <c r="P49" s="15">
        <f>IF(AND(P9=1,MOD(P7-$B$5,12)=0),Hypothèses!$D$51,0)*$G$4</f>
        <v/>
      </c>
      <c r="Q49" s="15">
        <f>IF(AND(Q9=1,MOD(Q7-$B$5,12)=0),Hypothèses!$D$51,0)*$G$4</f>
        <v/>
      </c>
      <c r="R49" s="15">
        <f>IF(AND(R9=1,MOD(R7-$B$5,12)=0),Hypothèses!$D$51,0)*$G$4</f>
        <v/>
      </c>
      <c r="S49" s="15">
        <f>IF(AND(S9=1,MOD(S7-$B$5,12)=0),Hypothèses!$D$51,0)*$G$4</f>
        <v/>
      </c>
      <c r="T49" s="15">
        <f>IF(AND(T9=1,MOD(T7-$B$5,12)=0),Hypothèses!$D$51,0)*$G$4</f>
        <v/>
      </c>
      <c r="U49" s="15">
        <f>IF(AND(U9=1,MOD(U7-$B$5,12)=0),Hypothèses!$D$51,0)*$G$4</f>
        <v/>
      </c>
      <c r="V49" s="15">
        <f>IF(AND(V9=1,MOD(V7-$B$5,12)=0),Hypothèses!$D$51,0)*$G$4</f>
        <v/>
      </c>
      <c r="W49" s="15">
        <f>IF(AND(W9=1,MOD(W7-$B$5,12)=0),Hypothèses!$D$51,0)*$G$4</f>
        <v/>
      </c>
      <c r="X49" s="15">
        <f>IF(AND(X9=1,MOD(X7-$B$5,12)=0),Hypothèses!$D$51,0)*$G$4</f>
        <v/>
      </c>
      <c r="Y49" s="15">
        <f>IF(AND(Y9=1,MOD(Y7-$B$5,12)=0),Hypothèses!$D$51,0)*$G$4</f>
        <v/>
      </c>
      <c r="Z49" s="15">
        <f>IF(AND(Z9=1,MOD(Z7-$B$5,12)=0),Hypothèses!$D$51,0)*$G$4</f>
        <v/>
      </c>
      <c r="AA49" s="15">
        <f>IF(AND(AA9=1,MOD(AA7-$B$5,12)=0),Hypothèses!$D$51,0)*$G$4</f>
        <v/>
      </c>
      <c r="AB49" s="15">
        <f>IF(AND(AB9=1,MOD(AB7-$B$5,12)=0),Hypothèses!$D$51,0)*$G$4</f>
        <v/>
      </c>
      <c r="AC49" s="15">
        <f>IF(AND(AC9=1,MOD(AC7-$B$5,12)=0),Hypothèses!$D$51,0)*$G$4</f>
        <v/>
      </c>
      <c r="AD49" s="15">
        <f>IF(AND(AD9=1,MOD(AD7-$B$5,12)=0),Hypothèses!$D$51,0)*$G$4</f>
        <v/>
      </c>
      <c r="AE49" s="15">
        <f>IF(AND(AE9=1,MOD(AE7-$B$5,12)=0),Hypothèses!$D$51,0)*$G$4</f>
        <v/>
      </c>
      <c r="AF49" s="15">
        <f>IF(AND(AF9=1,MOD(AF7-$B$5,12)=0),Hypothèses!$D$51,0)*$G$4</f>
        <v/>
      </c>
      <c r="AG49" s="15">
        <f>IF(AND(AG9=1,MOD(AG7-$B$5,12)=0),Hypothèses!$D$51,0)*$G$4</f>
        <v/>
      </c>
      <c r="AH49" s="15">
        <f>IF(AND(AH9=1,MOD(AH7-$B$5,12)=0),Hypothèses!$D$51,0)*$G$4</f>
        <v/>
      </c>
      <c r="AI49" s="15">
        <f>IF(AND(AI9=1,MOD(AI7-$B$5,12)=0),Hypothèses!$D$51,0)*$G$4</f>
        <v/>
      </c>
      <c r="AJ49" s="15">
        <f>IF(AND(AJ9=1,MOD(AJ7-$B$5,12)=0),Hypothèses!$D$51,0)*$G$4</f>
        <v/>
      </c>
      <c r="AK49" s="15">
        <f>IF(AND(AK9=1,MOD(AK7-$B$5,12)=0),Hypothèses!$D$51,0)*$G$4</f>
        <v/>
      </c>
      <c r="AL49" s="15">
        <f>IF(AND(AL9=1,MOD(AL7-$B$5,12)=0),Hypothèses!$D$51,0)*$G$4</f>
        <v/>
      </c>
      <c r="AN49" s="15">
        <f>SUM(C49:N49)</f>
        <v/>
      </c>
      <c r="AO49" s="15">
        <f>SUM(O49:Z49)</f>
        <v/>
      </c>
      <c r="AP49" s="15">
        <f>SUM(AA49:AL49)</f>
        <v/>
      </c>
    </row>
    <row r="50">
      <c r="A50" s="9" t="inlineStr">
        <is>
          <t>Frais de constitution</t>
        </is>
      </c>
      <c r="B50" s="4" t="inlineStr">
        <is>
          <t>€ HT</t>
        </is>
      </c>
      <c r="C50" s="15">
        <f>IF(C7=2,Hypothèses!$D$52,0)</f>
        <v/>
      </c>
      <c r="D50" s="15">
        <f>IF(D7=2,Hypothèses!$D$52,0)</f>
        <v/>
      </c>
      <c r="E50" s="15">
        <f>IF(E7=2,Hypothèses!$D$52,0)</f>
        <v/>
      </c>
      <c r="F50" s="15">
        <f>IF(F7=2,Hypothèses!$D$52,0)</f>
        <v/>
      </c>
      <c r="G50" s="15">
        <f>IF(G7=2,Hypothèses!$D$52,0)</f>
        <v/>
      </c>
      <c r="H50" s="15">
        <f>IF(H7=2,Hypothèses!$D$52,0)</f>
        <v/>
      </c>
      <c r="I50" s="15">
        <f>IF(I7=2,Hypothèses!$D$52,0)</f>
        <v/>
      </c>
      <c r="J50" s="15">
        <f>IF(J7=2,Hypothèses!$D$52,0)</f>
        <v/>
      </c>
      <c r="K50" s="15">
        <f>IF(K7=2,Hypothèses!$D$52,0)</f>
        <v/>
      </c>
      <c r="L50" s="15">
        <f>IF(L7=2,Hypothèses!$D$52,0)</f>
        <v/>
      </c>
      <c r="M50" s="15">
        <f>IF(M7=2,Hypothèses!$D$52,0)</f>
        <v/>
      </c>
      <c r="N50" s="15">
        <f>IF(N7=2,Hypothèses!$D$52,0)</f>
        <v/>
      </c>
      <c r="O50" s="15">
        <f>IF(O7=2,Hypothèses!$D$52,0)</f>
        <v/>
      </c>
      <c r="P50" s="15">
        <f>IF(P7=2,Hypothèses!$D$52,0)</f>
        <v/>
      </c>
      <c r="Q50" s="15">
        <f>IF(Q7=2,Hypothèses!$D$52,0)</f>
        <v/>
      </c>
      <c r="R50" s="15">
        <f>IF(R7=2,Hypothèses!$D$52,0)</f>
        <v/>
      </c>
      <c r="S50" s="15">
        <f>IF(S7=2,Hypothèses!$D$52,0)</f>
        <v/>
      </c>
      <c r="T50" s="15">
        <f>IF(T7=2,Hypothèses!$D$52,0)</f>
        <v/>
      </c>
      <c r="U50" s="15">
        <f>IF(U7=2,Hypothèses!$D$52,0)</f>
        <v/>
      </c>
      <c r="V50" s="15">
        <f>IF(V7=2,Hypothèses!$D$52,0)</f>
        <v/>
      </c>
      <c r="W50" s="15">
        <f>IF(W7=2,Hypothèses!$D$52,0)</f>
        <v/>
      </c>
      <c r="X50" s="15">
        <f>IF(X7=2,Hypothèses!$D$52,0)</f>
        <v/>
      </c>
      <c r="Y50" s="15">
        <f>IF(Y7=2,Hypothèses!$D$52,0)</f>
        <v/>
      </c>
      <c r="Z50" s="15">
        <f>IF(Z7=2,Hypothèses!$D$52,0)</f>
        <v/>
      </c>
      <c r="AA50" s="15">
        <f>IF(AA7=2,Hypothèses!$D$52,0)</f>
        <v/>
      </c>
      <c r="AB50" s="15">
        <f>IF(AB7=2,Hypothèses!$D$52,0)</f>
        <v/>
      </c>
      <c r="AC50" s="15">
        <f>IF(AC7=2,Hypothèses!$D$52,0)</f>
        <v/>
      </c>
      <c r="AD50" s="15">
        <f>IF(AD7=2,Hypothèses!$D$52,0)</f>
        <v/>
      </c>
      <c r="AE50" s="15">
        <f>IF(AE7=2,Hypothèses!$D$52,0)</f>
        <v/>
      </c>
      <c r="AF50" s="15">
        <f>IF(AF7=2,Hypothèses!$D$52,0)</f>
        <v/>
      </c>
      <c r="AG50" s="15">
        <f>IF(AG7=2,Hypothèses!$D$52,0)</f>
        <v/>
      </c>
      <c r="AH50" s="15">
        <f>IF(AH7=2,Hypothèses!$D$52,0)</f>
        <v/>
      </c>
      <c r="AI50" s="15">
        <f>IF(AI7=2,Hypothèses!$D$52,0)</f>
        <v/>
      </c>
      <c r="AJ50" s="15">
        <f>IF(AJ7=2,Hypothèses!$D$52,0)</f>
        <v/>
      </c>
      <c r="AK50" s="15">
        <f>IF(AK7=2,Hypothèses!$D$52,0)</f>
        <v/>
      </c>
      <c r="AL50" s="15">
        <f>IF(AL7=2,Hypothèses!$D$52,0)</f>
        <v/>
      </c>
      <c r="AN50" s="15">
        <f>SUM(C50:N50)</f>
        <v/>
      </c>
      <c r="AO50" s="15">
        <f>SUM(O50:Z50)</f>
        <v/>
      </c>
      <c r="AP50" s="15">
        <f>SUM(AA50:AL50)</f>
        <v/>
      </c>
    </row>
    <row r="51">
      <c r="A51" s="2" t="inlineStr">
        <is>
          <t>Total coûts fixes</t>
        </is>
      </c>
      <c r="B51" s="4" t="inlineStr">
        <is>
          <t>€ HT</t>
        </is>
      </c>
      <c r="C51" s="40">
        <f>SUM(C40:C50)</f>
        <v/>
      </c>
      <c r="D51" s="40">
        <f>SUM(D40:D50)</f>
        <v/>
      </c>
      <c r="E51" s="40">
        <f>SUM(E40:E50)</f>
        <v/>
      </c>
      <c r="F51" s="40">
        <f>SUM(F40:F50)</f>
        <v/>
      </c>
      <c r="G51" s="40">
        <f>SUM(G40:G50)</f>
        <v/>
      </c>
      <c r="H51" s="40">
        <f>SUM(H40:H50)</f>
        <v/>
      </c>
      <c r="I51" s="40">
        <f>SUM(I40:I50)</f>
        <v/>
      </c>
      <c r="J51" s="40">
        <f>SUM(J40:J50)</f>
        <v/>
      </c>
      <c r="K51" s="40">
        <f>SUM(K40:K50)</f>
        <v/>
      </c>
      <c r="L51" s="40">
        <f>SUM(L40:L50)</f>
        <v/>
      </c>
      <c r="M51" s="40">
        <f>SUM(M40:M50)</f>
        <v/>
      </c>
      <c r="N51" s="40">
        <f>SUM(N40:N50)</f>
        <v/>
      </c>
      <c r="O51" s="40">
        <f>SUM(O40:O50)</f>
        <v/>
      </c>
      <c r="P51" s="40">
        <f>SUM(P40:P50)</f>
        <v/>
      </c>
      <c r="Q51" s="40">
        <f>SUM(Q40:Q50)</f>
        <v/>
      </c>
      <c r="R51" s="40">
        <f>SUM(R40:R50)</f>
        <v/>
      </c>
      <c r="S51" s="40">
        <f>SUM(S40:S50)</f>
        <v/>
      </c>
      <c r="T51" s="40">
        <f>SUM(T40:T50)</f>
        <v/>
      </c>
      <c r="U51" s="40">
        <f>SUM(U40:U50)</f>
        <v/>
      </c>
      <c r="V51" s="40">
        <f>SUM(V40:V50)</f>
        <v/>
      </c>
      <c r="W51" s="40">
        <f>SUM(W40:W50)</f>
        <v/>
      </c>
      <c r="X51" s="40">
        <f>SUM(X40:X50)</f>
        <v/>
      </c>
      <c r="Y51" s="40">
        <f>SUM(Y40:Y50)</f>
        <v/>
      </c>
      <c r="Z51" s="40">
        <f>SUM(Z40:Z50)</f>
        <v/>
      </c>
      <c r="AA51" s="40">
        <f>SUM(AA40:AA50)</f>
        <v/>
      </c>
      <c r="AB51" s="40">
        <f>SUM(AB40:AB50)</f>
        <v/>
      </c>
      <c r="AC51" s="40">
        <f>SUM(AC40:AC50)</f>
        <v/>
      </c>
      <c r="AD51" s="40">
        <f>SUM(AD40:AD50)</f>
        <v/>
      </c>
      <c r="AE51" s="40">
        <f>SUM(AE40:AE50)</f>
        <v/>
      </c>
      <c r="AF51" s="40">
        <f>SUM(AF40:AF50)</f>
        <v/>
      </c>
      <c r="AG51" s="40">
        <f>SUM(AG40:AG50)</f>
        <v/>
      </c>
      <c r="AH51" s="40">
        <f>SUM(AH40:AH50)</f>
        <v/>
      </c>
      <c r="AI51" s="40">
        <f>SUM(AI40:AI50)</f>
        <v/>
      </c>
      <c r="AJ51" s="40">
        <f>SUM(AJ40:AJ50)</f>
        <v/>
      </c>
      <c r="AK51" s="40">
        <f>SUM(AK40:AK50)</f>
        <v/>
      </c>
      <c r="AL51" s="40">
        <f>SUM(AL40:AL50)</f>
        <v/>
      </c>
      <c r="AN51" s="40">
        <f>SUM(C51:N51)</f>
        <v/>
      </c>
      <c r="AO51" s="40">
        <f>SUM(O51:Z51)</f>
        <v/>
      </c>
      <c r="AP51" s="40">
        <f>SUM(AA51:AL51)</f>
        <v/>
      </c>
    </row>
    <row r="52">
      <c r="A52" s="2" t="inlineStr">
        <is>
          <t>EBITDA (marge variable − acquisition − fixes)</t>
        </is>
      </c>
      <c r="B52" s="4" t="inlineStr">
        <is>
          <t>€ HT</t>
        </is>
      </c>
      <c r="C52" s="40">
        <f>C37-C39-C51</f>
        <v/>
      </c>
      <c r="D52" s="40">
        <f>D37-D39-D51</f>
        <v/>
      </c>
      <c r="E52" s="40">
        <f>E37-E39-E51</f>
        <v/>
      </c>
      <c r="F52" s="40">
        <f>F37-F39-F51</f>
        <v/>
      </c>
      <c r="G52" s="40">
        <f>G37-G39-G51</f>
        <v/>
      </c>
      <c r="H52" s="40">
        <f>H37-H39-H51</f>
        <v/>
      </c>
      <c r="I52" s="40">
        <f>I37-I39-I51</f>
        <v/>
      </c>
      <c r="J52" s="40">
        <f>J37-J39-J51</f>
        <v/>
      </c>
      <c r="K52" s="40">
        <f>K37-K39-K51</f>
        <v/>
      </c>
      <c r="L52" s="40">
        <f>L37-L39-L51</f>
        <v/>
      </c>
      <c r="M52" s="40">
        <f>M37-M39-M51</f>
        <v/>
      </c>
      <c r="N52" s="40">
        <f>N37-N39-N51</f>
        <v/>
      </c>
      <c r="O52" s="40">
        <f>O37-O39-O51</f>
        <v/>
      </c>
      <c r="P52" s="40">
        <f>P37-P39-P51</f>
        <v/>
      </c>
      <c r="Q52" s="40">
        <f>Q37-Q39-Q51</f>
        <v/>
      </c>
      <c r="R52" s="40">
        <f>R37-R39-R51</f>
        <v/>
      </c>
      <c r="S52" s="40">
        <f>S37-S39-S51</f>
        <v/>
      </c>
      <c r="T52" s="40">
        <f>T37-T39-T51</f>
        <v/>
      </c>
      <c r="U52" s="40">
        <f>U37-U39-U51</f>
        <v/>
      </c>
      <c r="V52" s="40">
        <f>V37-V39-V51</f>
        <v/>
      </c>
      <c r="W52" s="40">
        <f>W37-W39-W51</f>
        <v/>
      </c>
      <c r="X52" s="40">
        <f>X37-X39-X51</f>
        <v/>
      </c>
      <c r="Y52" s="40">
        <f>Y37-Y39-Y51</f>
        <v/>
      </c>
      <c r="Z52" s="40">
        <f>Z37-Z39-Z51</f>
        <v/>
      </c>
      <c r="AA52" s="40">
        <f>AA37-AA39-AA51</f>
        <v/>
      </c>
      <c r="AB52" s="40">
        <f>AB37-AB39-AB51</f>
        <v/>
      </c>
      <c r="AC52" s="40">
        <f>AC37-AC39-AC51</f>
        <v/>
      </c>
      <c r="AD52" s="40">
        <f>AD37-AD39-AD51</f>
        <v/>
      </c>
      <c r="AE52" s="40">
        <f>AE37-AE39-AE51</f>
        <v/>
      </c>
      <c r="AF52" s="40">
        <f>AF37-AF39-AF51</f>
        <v/>
      </c>
      <c r="AG52" s="40">
        <f>AG37-AG39-AG51</f>
        <v/>
      </c>
      <c r="AH52" s="40">
        <f>AH37-AH39-AH51</f>
        <v/>
      </c>
      <c r="AI52" s="40">
        <f>AI37-AI39-AI51</f>
        <v/>
      </c>
      <c r="AJ52" s="40">
        <f>AJ37-AJ39-AJ51</f>
        <v/>
      </c>
      <c r="AK52" s="40">
        <f>AK37-AK39-AK51</f>
        <v/>
      </c>
      <c r="AL52" s="40">
        <f>AL37-AL39-AL51</f>
        <v/>
      </c>
      <c r="AN52" s="40">
        <f>SUM(C52:N52)</f>
        <v/>
      </c>
      <c r="AO52" s="40">
        <f>SUM(O52:Z52)</f>
        <v/>
      </c>
      <c r="AP52" s="40">
        <f>SUM(AA52:AL52)</f>
        <v/>
      </c>
    </row>
    <row r="53">
      <c r="A53" s="9" t="inlineStr">
        <is>
          <t>EBITDA positif ? (1 = oui)</t>
        </is>
      </c>
      <c r="B53" s="4" t="inlineStr">
        <is>
          <t>0/1</t>
        </is>
      </c>
      <c r="C53" s="13">
        <f>IF(C52&gt;0,1,0)</f>
        <v/>
      </c>
      <c r="D53" s="13">
        <f>IF(D52&gt;0,1,0)</f>
        <v/>
      </c>
      <c r="E53" s="13">
        <f>IF(E52&gt;0,1,0)</f>
        <v/>
      </c>
      <c r="F53" s="13">
        <f>IF(F52&gt;0,1,0)</f>
        <v/>
      </c>
      <c r="G53" s="13">
        <f>IF(G52&gt;0,1,0)</f>
        <v/>
      </c>
      <c r="H53" s="13">
        <f>IF(H52&gt;0,1,0)</f>
        <v/>
      </c>
      <c r="I53" s="13">
        <f>IF(I52&gt;0,1,0)</f>
        <v/>
      </c>
      <c r="J53" s="13">
        <f>IF(J52&gt;0,1,0)</f>
        <v/>
      </c>
      <c r="K53" s="13">
        <f>IF(K52&gt;0,1,0)</f>
        <v/>
      </c>
      <c r="L53" s="13">
        <f>IF(L52&gt;0,1,0)</f>
        <v/>
      </c>
      <c r="M53" s="13">
        <f>IF(M52&gt;0,1,0)</f>
        <v/>
      </c>
      <c r="N53" s="13">
        <f>IF(N52&gt;0,1,0)</f>
        <v/>
      </c>
      <c r="O53" s="13">
        <f>IF(O52&gt;0,1,0)</f>
        <v/>
      </c>
      <c r="P53" s="13">
        <f>IF(P52&gt;0,1,0)</f>
        <v/>
      </c>
      <c r="Q53" s="13">
        <f>IF(Q52&gt;0,1,0)</f>
        <v/>
      </c>
      <c r="R53" s="13">
        <f>IF(R52&gt;0,1,0)</f>
        <v/>
      </c>
      <c r="S53" s="13">
        <f>IF(S52&gt;0,1,0)</f>
        <v/>
      </c>
      <c r="T53" s="13">
        <f>IF(T52&gt;0,1,0)</f>
        <v/>
      </c>
      <c r="U53" s="13">
        <f>IF(U52&gt;0,1,0)</f>
        <v/>
      </c>
      <c r="V53" s="13">
        <f>IF(V52&gt;0,1,0)</f>
        <v/>
      </c>
      <c r="W53" s="13">
        <f>IF(W52&gt;0,1,0)</f>
        <v/>
      </c>
      <c r="X53" s="13">
        <f>IF(X52&gt;0,1,0)</f>
        <v/>
      </c>
      <c r="Y53" s="13">
        <f>IF(Y52&gt;0,1,0)</f>
        <v/>
      </c>
      <c r="Z53" s="13">
        <f>IF(Z52&gt;0,1,0)</f>
        <v/>
      </c>
      <c r="AA53" s="13">
        <f>IF(AA52&gt;0,1,0)</f>
        <v/>
      </c>
      <c r="AB53" s="13">
        <f>IF(AB52&gt;0,1,0)</f>
        <v/>
      </c>
      <c r="AC53" s="13">
        <f>IF(AC52&gt;0,1,0)</f>
        <v/>
      </c>
      <c r="AD53" s="13">
        <f>IF(AD52&gt;0,1,0)</f>
        <v/>
      </c>
      <c r="AE53" s="13">
        <f>IF(AE52&gt;0,1,0)</f>
        <v/>
      </c>
      <c r="AF53" s="13">
        <f>IF(AF52&gt;0,1,0)</f>
        <v/>
      </c>
      <c r="AG53" s="13">
        <f>IF(AG52&gt;0,1,0)</f>
        <v/>
      </c>
      <c r="AH53" s="13">
        <f>IF(AH52&gt;0,1,0)</f>
        <v/>
      </c>
      <c r="AI53" s="13">
        <f>IF(AI52&gt;0,1,0)</f>
        <v/>
      </c>
      <c r="AJ53" s="13">
        <f>IF(AJ52&gt;0,1,0)</f>
        <v/>
      </c>
      <c r="AK53" s="13">
        <f>IF(AK52&gt;0,1,0)</f>
        <v/>
      </c>
      <c r="AL53" s="13">
        <f>IF(AL52&gt;0,1,0)</f>
        <v/>
      </c>
    </row>
    <row r="54">
      <c r="A54" s="8" t="inlineStr">
        <is>
          <t>Trésorerie</t>
        </is>
      </c>
    </row>
    <row r="55">
      <c r="A55" s="9" t="inlineStr">
        <is>
          <t>TVA collectée reversée (mois suivant)</t>
        </is>
      </c>
      <c r="B55" s="4" t="inlineStr">
        <is>
          <t>€</t>
        </is>
      </c>
      <c r="C55" s="15">
        <f>0</f>
        <v/>
      </c>
      <c r="D55" s="15">
        <f>C27</f>
        <v/>
      </c>
      <c r="E55" s="15">
        <f>D27</f>
        <v/>
      </c>
      <c r="F55" s="15">
        <f>E27</f>
        <v/>
      </c>
      <c r="G55" s="15">
        <f>F27</f>
        <v/>
      </c>
      <c r="H55" s="15">
        <f>G27</f>
        <v/>
      </c>
      <c r="I55" s="15">
        <f>H27</f>
        <v/>
      </c>
      <c r="J55" s="15">
        <f>I27</f>
        <v/>
      </c>
      <c r="K55" s="15">
        <f>J27</f>
        <v/>
      </c>
      <c r="L55" s="15">
        <f>K27</f>
        <v/>
      </c>
      <c r="M55" s="15">
        <f>L27</f>
        <v/>
      </c>
      <c r="N55" s="15">
        <f>M27</f>
        <v/>
      </c>
      <c r="O55" s="15">
        <f>N27</f>
        <v/>
      </c>
      <c r="P55" s="15">
        <f>O27</f>
        <v/>
      </c>
      <c r="Q55" s="15">
        <f>P27</f>
        <v/>
      </c>
      <c r="R55" s="15">
        <f>Q27</f>
        <v/>
      </c>
      <c r="S55" s="15">
        <f>R27</f>
        <v/>
      </c>
      <c r="T55" s="15">
        <f>S27</f>
        <v/>
      </c>
      <c r="U55" s="15">
        <f>T27</f>
        <v/>
      </c>
      <c r="V55" s="15">
        <f>U27</f>
        <v/>
      </c>
      <c r="W55" s="15">
        <f>V27</f>
        <v/>
      </c>
      <c r="X55" s="15">
        <f>W27</f>
        <v/>
      </c>
      <c r="Y55" s="15">
        <f>X27</f>
        <v/>
      </c>
      <c r="Z55" s="15">
        <f>Y27</f>
        <v/>
      </c>
      <c r="AA55" s="15">
        <f>Z27</f>
        <v/>
      </c>
      <c r="AB55" s="15">
        <f>AA27</f>
        <v/>
      </c>
      <c r="AC55" s="15">
        <f>AB27</f>
        <v/>
      </c>
      <c r="AD55" s="15">
        <f>AC27</f>
        <v/>
      </c>
      <c r="AE55" s="15">
        <f>AD27</f>
        <v/>
      </c>
      <c r="AF55" s="15">
        <f>AE27</f>
        <v/>
      </c>
      <c r="AG55" s="15">
        <f>AF27</f>
        <v/>
      </c>
      <c r="AH55" s="15">
        <f>AG27</f>
        <v/>
      </c>
      <c r="AI55" s="15">
        <f>AH27</f>
        <v/>
      </c>
      <c r="AJ55" s="15">
        <f>AI27</f>
        <v/>
      </c>
      <c r="AK55" s="15">
        <f>AJ27</f>
        <v/>
      </c>
      <c r="AL55" s="15">
        <f>AK27</f>
        <v/>
      </c>
      <c r="AN55" s="15">
        <f>SUM(C55:N55)</f>
        <v/>
      </c>
      <c r="AO55" s="15">
        <f>SUM(O55:Z55)</f>
        <v/>
      </c>
      <c r="AP55" s="15">
        <f>SUM(AA55:AL55)</f>
        <v/>
      </c>
    </row>
    <row r="56">
      <c r="A56" s="9" t="inlineStr">
        <is>
          <t>TVA déductible récupérée (mois suivant, coûts externes)</t>
        </is>
      </c>
      <c r="B56" s="4" t="inlineStr">
        <is>
          <t>€</t>
        </is>
      </c>
      <c r="C56" s="15">
        <f>0</f>
        <v/>
      </c>
      <c r="D56" s="15">
        <f>(C36+C39+C43+C44+C45+C47+C48+C49+C50)*Hypothèses!$D$15</f>
        <v/>
      </c>
      <c r="E56" s="15">
        <f>(D36+D39+D43+D44+D45+D47+D48+D49+D50)*Hypothèses!$D$15</f>
        <v/>
      </c>
      <c r="F56" s="15">
        <f>(E36+E39+E43+E44+E45+E47+E48+E49+E50)*Hypothèses!$D$15</f>
        <v/>
      </c>
      <c r="G56" s="15">
        <f>(F36+F39+F43+F44+F45+F47+F48+F49+F50)*Hypothèses!$D$15</f>
        <v/>
      </c>
      <c r="H56" s="15">
        <f>(G36+G39+G43+G44+G45+G47+G48+G49+G50)*Hypothèses!$D$15</f>
        <v/>
      </c>
      <c r="I56" s="15">
        <f>(H36+H39+H43+H44+H45+H47+H48+H49+H50)*Hypothèses!$D$15</f>
        <v/>
      </c>
      <c r="J56" s="15">
        <f>(I36+I39+I43+I44+I45+I47+I48+I49+I50)*Hypothèses!$D$15</f>
        <v/>
      </c>
      <c r="K56" s="15">
        <f>(J36+J39+J43+J44+J45+J47+J48+J49+J50)*Hypothèses!$D$15</f>
        <v/>
      </c>
      <c r="L56" s="15">
        <f>(K36+K39+K43+K44+K45+K47+K48+K49+K50)*Hypothèses!$D$15</f>
        <v/>
      </c>
      <c r="M56" s="15">
        <f>(L36+L39+L43+L44+L45+L47+L48+L49+L50)*Hypothèses!$D$15</f>
        <v/>
      </c>
      <c r="N56" s="15">
        <f>(M36+M39+M43+M44+M45+M47+M48+M49+M50)*Hypothèses!$D$15</f>
        <v/>
      </c>
      <c r="O56" s="15">
        <f>(N36+N39+N43+N44+N45+N47+N48+N49+N50)*Hypothèses!$D$15</f>
        <v/>
      </c>
      <c r="P56" s="15">
        <f>(O36+O39+O43+O44+O45+O47+O48+O49+O50)*Hypothèses!$D$15</f>
        <v/>
      </c>
      <c r="Q56" s="15">
        <f>(P36+P39+P43+P44+P45+P47+P48+P49+P50)*Hypothèses!$D$15</f>
        <v/>
      </c>
      <c r="R56" s="15">
        <f>(Q36+Q39+Q43+Q44+Q45+Q47+Q48+Q49+Q50)*Hypothèses!$D$15</f>
        <v/>
      </c>
      <c r="S56" s="15">
        <f>(R36+R39+R43+R44+R45+R47+R48+R49+R50)*Hypothèses!$D$15</f>
        <v/>
      </c>
      <c r="T56" s="15">
        <f>(S36+S39+S43+S44+S45+S47+S48+S49+S50)*Hypothèses!$D$15</f>
        <v/>
      </c>
      <c r="U56" s="15">
        <f>(T36+T39+T43+T44+T45+T47+T48+T49+T50)*Hypothèses!$D$15</f>
        <v/>
      </c>
      <c r="V56" s="15">
        <f>(U36+U39+U43+U44+U45+U47+U48+U49+U50)*Hypothèses!$D$15</f>
        <v/>
      </c>
      <c r="W56" s="15">
        <f>(V36+V39+V43+V44+V45+V47+V48+V49+V50)*Hypothèses!$D$15</f>
        <v/>
      </c>
      <c r="X56" s="15">
        <f>(W36+W39+W43+W44+W45+W47+W48+W49+W50)*Hypothèses!$D$15</f>
        <v/>
      </c>
      <c r="Y56" s="15">
        <f>(X36+X39+X43+X44+X45+X47+X48+X49+X50)*Hypothèses!$D$15</f>
        <v/>
      </c>
      <c r="Z56" s="15">
        <f>(Y36+Y39+Y43+Y44+Y45+Y47+Y48+Y49+Y50)*Hypothèses!$D$15</f>
        <v/>
      </c>
      <c r="AA56" s="15">
        <f>(Z36+Z39+Z43+Z44+Z45+Z47+Z48+Z49+Z50)*Hypothèses!$D$15</f>
        <v/>
      </c>
      <c r="AB56" s="15">
        <f>(AA36+AA39+AA43+AA44+AA45+AA47+AA48+AA49+AA50)*Hypothèses!$D$15</f>
        <v/>
      </c>
      <c r="AC56" s="15">
        <f>(AB36+AB39+AB43+AB44+AB45+AB47+AB48+AB49+AB50)*Hypothèses!$D$15</f>
        <v/>
      </c>
      <c r="AD56" s="15">
        <f>(AC36+AC39+AC43+AC44+AC45+AC47+AC48+AC49+AC50)*Hypothèses!$D$15</f>
        <v/>
      </c>
      <c r="AE56" s="15">
        <f>(AD36+AD39+AD43+AD44+AD45+AD47+AD48+AD49+AD50)*Hypothèses!$D$15</f>
        <v/>
      </c>
      <c r="AF56" s="15">
        <f>(AE36+AE39+AE43+AE44+AE45+AE47+AE48+AE49+AE50)*Hypothèses!$D$15</f>
        <v/>
      </c>
      <c r="AG56" s="15">
        <f>(AF36+AF39+AF43+AF44+AF45+AF47+AF48+AF49+AF50)*Hypothèses!$D$15</f>
        <v/>
      </c>
      <c r="AH56" s="15">
        <f>(AG36+AG39+AG43+AG44+AG45+AG47+AG48+AG49+AG50)*Hypothèses!$D$15</f>
        <v/>
      </c>
      <c r="AI56" s="15">
        <f>(AH36+AH39+AH43+AH44+AH45+AH47+AH48+AH49+AH50)*Hypothèses!$D$15</f>
        <v/>
      </c>
      <c r="AJ56" s="15">
        <f>(AI36+AI39+AI43+AI44+AI45+AI47+AI48+AI49+AI50)*Hypothèses!$D$15</f>
        <v/>
      </c>
      <c r="AK56" s="15">
        <f>(AJ36+AJ39+AJ43+AJ44+AJ45+AJ47+AJ48+AJ49+AJ50)*Hypothèses!$D$15</f>
        <v/>
      </c>
      <c r="AL56" s="15">
        <f>(AK36+AK39+AK43+AK44+AK45+AK47+AK48+AK49+AK50)*Hypothèses!$D$15</f>
        <v/>
      </c>
      <c r="AN56" s="15">
        <f>SUM(C56:N56)</f>
        <v/>
      </c>
      <c r="AO56" s="15">
        <f>SUM(O56:Z56)</f>
        <v/>
      </c>
      <c r="AP56" s="15">
        <f>SUM(AA56:AL56)</f>
        <v/>
      </c>
    </row>
    <row r="57">
      <c r="A57" s="9" t="inlineStr">
        <is>
          <t>Financement reçu</t>
        </is>
      </c>
      <c r="B57" s="4" t="inlineStr">
        <is>
          <t>€</t>
        </is>
      </c>
      <c r="C57" s="15">
        <f>Hypothèses!$D$56*(IF(C7=Hypothèses!$D$57,Hypothèses!$D$58,0)+IF(C7=Hypothèses!$D$59,Hypothèses!$D$60,0)+IF(C7=Hypothèses!$D$61,Hypothèses!$D$62,0))</f>
        <v/>
      </c>
      <c r="D57" s="15">
        <f>Hypothèses!$D$56*(IF(D7=Hypothèses!$D$57,Hypothèses!$D$58,0)+IF(D7=Hypothèses!$D$59,Hypothèses!$D$60,0)+IF(D7=Hypothèses!$D$61,Hypothèses!$D$62,0))</f>
        <v/>
      </c>
      <c r="E57" s="15">
        <f>Hypothèses!$D$56*(IF(E7=Hypothèses!$D$57,Hypothèses!$D$58,0)+IF(E7=Hypothèses!$D$59,Hypothèses!$D$60,0)+IF(E7=Hypothèses!$D$61,Hypothèses!$D$62,0))</f>
        <v/>
      </c>
      <c r="F57" s="15">
        <f>Hypothèses!$D$56*(IF(F7=Hypothèses!$D$57,Hypothèses!$D$58,0)+IF(F7=Hypothèses!$D$59,Hypothèses!$D$60,0)+IF(F7=Hypothèses!$D$61,Hypothèses!$D$62,0))</f>
        <v/>
      </c>
      <c r="G57" s="15">
        <f>Hypothèses!$D$56*(IF(G7=Hypothèses!$D$57,Hypothèses!$D$58,0)+IF(G7=Hypothèses!$D$59,Hypothèses!$D$60,0)+IF(G7=Hypothèses!$D$61,Hypothèses!$D$62,0))</f>
        <v/>
      </c>
      <c r="H57" s="15">
        <f>Hypothèses!$D$56*(IF(H7=Hypothèses!$D$57,Hypothèses!$D$58,0)+IF(H7=Hypothèses!$D$59,Hypothèses!$D$60,0)+IF(H7=Hypothèses!$D$61,Hypothèses!$D$62,0))</f>
        <v/>
      </c>
      <c r="I57" s="15">
        <f>Hypothèses!$D$56*(IF(I7=Hypothèses!$D$57,Hypothèses!$D$58,0)+IF(I7=Hypothèses!$D$59,Hypothèses!$D$60,0)+IF(I7=Hypothèses!$D$61,Hypothèses!$D$62,0))</f>
        <v/>
      </c>
      <c r="J57" s="15">
        <f>Hypothèses!$D$56*(IF(J7=Hypothèses!$D$57,Hypothèses!$D$58,0)+IF(J7=Hypothèses!$D$59,Hypothèses!$D$60,0)+IF(J7=Hypothèses!$D$61,Hypothèses!$D$62,0))</f>
        <v/>
      </c>
      <c r="K57" s="15">
        <f>Hypothèses!$D$56*(IF(K7=Hypothèses!$D$57,Hypothèses!$D$58,0)+IF(K7=Hypothèses!$D$59,Hypothèses!$D$60,0)+IF(K7=Hypothèses!$D$61,Hypothèses!$D$62,0))</f>
        <v/>
      </c>
      <c r="L57" s="15">
        <f>Hypothèses!$D$56*(IF(L7=Hypothèses!$D$57,Hypothèses!$D$58,0)+IF(L7=Hypothèses!$D$59,Hypothèses!$D$60,0)+IF(L7=Hypothèses!$D$61,Hypothèses!$D$62,0))</f>
        <v/>
      </c>
      <c r="M57" s="15">
        <f>Hypothèses!$D$56*(IF(M7=Hypothèses!$D$57,Hypothèses!$D$58,0)+IF(M7=Hypothèses!$D$59,Hypothèses!$D$60,0)+IF(M7=Hypothèses!$D$61,Hypothèses!$D$62,0))</f>
        <v/>
      </c>
      <c r="N57" s="15">
        <f>Hypothèses!$D$56*(IF(N7=Hypothèses!$D$57,Hypothèses!$D$58,0)+IF(N7=Hypothèses!$D$59,Hypothèses!$D$60,0)+IF(N7=Hypothèses!$D$61,Hypothèses!$D$62,0))</f>
        <v/>
      </c>
      <c r="O57" s="15">
        <f>Hypothèses!$D$56*(IF(O7=Hypothèses!$D$57,Hypothèses!$D$58,0)+IF(O7=Hypothèses!$D$59,Hypothèses!$D$60,0)+IF(O7=Hypothèses!$D$61,Hypothèses!$D$62,0))</f>
        <v/>
      </c>
      <c r="P57" s="15">
        <f>Hypothèses!$D$56*(IF(P7=Hypothèses!$D$57,Hypothèses!$D$58,0)+IF(P7=Hypothèses!$D$59,Hypothèses!$D$60,0)+IF(P7=Hypothèses!$D$61,Hypothèses!$D$62,0))</f>
        <v/>
      </c>
      <c r="Q57" s="15">
        <f>Hypothèses!$D$56*(IF(Q7=Hypothèses!$D$57,Hypothèses!$D$58,0)+IF(Q7=Hypothèses!$D$59,Hypothèses!$D$60,0)+IF(Q7=Hypothèses!$D$61,Hypothèses!$D$62,0))</f>
        <v/>
      </c>
      <c r="R57" s="15">
        <f>Hypothèses!$D$56*(IF(R7=Hypothèses!$D$57,Hypothèses!$D$58,0)+IF(R7=Hypothèses!$D$59,Hypothèses!$D$60,0)+IF(R7=Hypothèses!$D$61,Hypothèses!$D$62,0))</f>
        <v/>
      </c>
      <c r="S57" s="15">
        <f>Hypothèses!$D$56*(IF(S7=Hypothèses!$D$57,Hypothèses!$D$58,0)+IF(S7=Hypothèses!$D$59,Hypothèses!$D$60,0)+IF(S7=Hypothèses!$D$61,Hypothèses!$D$62,0))</f>
        <v/>
      </c>
      <c r="T57" s="15">
        <f>Hypothèses!$D$56*(IF(T7=Hypothèses!$D$57,Hypothèses!$D$58,0)+IF(T7=Hypothèses!$D$59,Hypothèses!$D$60,0)+IF(T7=Hypothèses!$D$61,Hypothèses!$D$62,0))</f>
        <v/>
      </c>
      <c r="U57" s="15">
        <f>Hypothèses!$D$56*(IF(U7=Hypothèses!$D$57,Hypothèses!$D$58,0)+IF(U7=Hypothèses!$D$59,Hypothèses!$D$60,0)+IF(U7=Hypothèses!$D$61,Hypothèses!$D$62,0))</f>
        <v/>
      </c>
      <c r="V57" s="15">
        <f>Hypothèses!$D$56*(IF(V7=Hypothèses!$D$57,Hypothèses!$D$58,0)+IF(V7=Hypothèses!$D$59,Hypothèses!$D$60,0)+IF(V7=Hypothèses!$D$61,Hypothèses!$D$62,0))</f>
        <v/>
      </c>
      <c r="W57" s="15">
        <f>Hypothèses!$D$56*(IF(W7=Hypothèses!$D$57,Hypothèses!$D$58,0)+IF(W7=Hypothèses!$D$59,Hypothèses!$D$60,0)+IF(W7=Hypothèses!$D$61,Hypothèses!$D$62,0))</f>
        <v/>
      </c>
      <c r="X57" s="15">
        <f>Hypothèses!$D$56*(IF(X7=Hypothèses!$D$57,Hypothèses!$D$58,0)+IF(X7=Hypothèses!$D$59,Hypothèses!$D$60,0)+IF(X7=Hypothèses!$D$61,Hypothèses!$D$62,0))</f>
        <v/>
      </c>
      <c r="Y57" s="15">
        <f>Hypothèses!$D$56*(IF(Y7=Hypothèses!$D$57,Hypothèses!$D$58,0)+IF(Y7=Hypothèses!$D$59,Hypothèses!$D$60,0)+IF(Y7=Hypothèses!$D$61,Hypothèses!$D$62,0))</f>
        <v/>
      </c>
      <c r="Z57" s="15">
        <f>Hypothèses!$D$56*(IF(Z7=Hypothèses!$D$57,Hypothèses!$D$58,0)+IF(Z7=Hypothèses!$D$59,Hypothèses!$D$60,0)+IF(Z7=Hypothèses!$D$61,Hypothèses!$D$62,0))</f>
        <v/>
      </c>
      <c r="AA57" s="15">
        <f>Hypothèses!$D$56*(IF(AA7=Hypothèses!$D$57,Hypothèses!$D$58,0)+IF(AA7=Hypothèses!$D$59,Hypothèses!$D$60,0)+IF(AA7=Hypothèses!$D$61,Hypothèses!$D$62,0))</f>
        <v/>
      </c>
      <c r="AB57" s="15">
        <f>Hypothèses!$D$56*(IF(AB7=Hypothèses!$D$57,Hypothèses!$D$58,0)+IF(AB7=Hypothèses!$D$59,Hypothèses!$D$60,0)+IF(AB7=Hypothèses!$D$61,Hypothèses!$D$62,0))</f>
        <v/>
      </c>
      <c r="AC57" s="15">
        <f>Hypothèses!$D$56*(IF(AC7=Hypothèses!$D$57,Hypothèses!$D$58,0)+IF(AC7=Hypothèses!$D$59,Hypothèses!$D$60,0)+IF(AC7=Hypothèses!$D$61,Hypothèses!$D$62,0))</f>
        <v/>
      </c>
      <c r="AD57" s="15">
        <f>Hypothèses!$D$56*(IF(AD7=Hypothèses!$D$57,Hypothèses!$D$58,0)+IF(AD7=Hypothèses!$D$59,Hypothèses!$D$60,0)+IF(AD7=Hypothèses!$D$61,Hypothèses!$D$62,0))</f>
        <v/>
      </c>
      <c r="AE57" s="15">
        <f>Hypothèses!$D$56*(IF(AE7=Hypothèses!$D$57,Hypothèses!$D$58,0)+IF(AE7=Hypothèses!$D$59,Hypothèses!$D$60,0)+IF(AE7=Hypothèses!$D$61,Hypothèses!$D$62,0))</f>
        <v/>
      </c>
      <c r="AF57" s="15">
        <f>Hypothèses!$D$56*(IF(AF7=Hypothèses!$D$57,Hypothèses!$D$58,0)+IF(AF7=Hypothèses!$D$59,Hypothèses!$D$60,0)+IF(AF7=Hypothèses!$D$61,Hypothèses!$D$62,0))</f>
        <v/>
      </c>
      <c r="AG57" s="15">
        <f>Hypothèses!$D$56*(IF(AG7=Hypothèses!$D$57,Hypothèses!$D$58,0)+IF(AG7=Hypothèses!$D$59,Hypothèses!$D$60,0)+IF(AG7=Hypothèses!$D$61,Hypothèses!$D$62,0))</f>
        <v/>
      </c>
      <c r="AH57" s="15">
        <f>Hypothèses!$D$56*(IF(AH7=Hypothèses!$D$57,Hypothèses!$D$58,0)+IF(AH7=Hypothèses!$D$59,Hypothèses!$D$60,0)+IF(AH7=Hypothèses!$D$61,Hypothèses!$D$62,0))</f>
        <v/>
      </c>
      <c r="AI57" s="15">
        <f>Hypothèses!$D$56*(IF(AI7=Hypothèses!$D$57,Hypothèses!$D$58,0)+IF(AI7=Hypothèses!$D$59,Hypothèses!$D$60,0)+IF(AI7=Hypothèses!$D$61,Hypothèses!$D$62,0))</f>
        <v/>
      </c>
      <c r="AJ57" s="15">
        <f>Hypothèses!$D$56*(IF(AJ7=Hypothèses!$D$57,Hypothèses!$D$58,0)+IF(AJ7=Hypothèses!$D$59,Hypothèses!$D$60,0)+IF(AJ7=Hypothèses!$D$61,Hypothèses!$D$62,0))</f>
        <v/>
      </c>
      <c r="AK57" s="15">
        <f>Hypothèses!$D$56*(IF(AK7=Hypothèses!$D$57,Hypothèses!$D$58,0)+IF(AK7=Hypothèses!$D$59,Hypothèses!$D$60,0)+IF(AK7=Hypothèses!$D$61,Hypothèses!$D$62,0))</f>
        <v/>
      </c>
      <c r="AL57" s="15">
        <f>Hypothèses!$D$56*(IF(AL7=Hypothèses!$D$57,Hypothèses!$D$58,0)+IF(AL7=Hypothèses!$D$59,Hypothèses!$D$60,0)+IF(AL7=Hypothèses!$D$61,Hypothèses!$D$62,0))</f>
        <v/>
      </c>
      <c r="AN57" s="15">
        <f>SUM(C57:N57)</f>
        <v/>
      </c>
      <c r="AO57" s="15">
        <f>SUM(O57:Z57)</f>
        <v/>
      </c>
      <c r="AP57" s="15">
        <f>SUM(AA57:AL57)</f>
        <v/>
      </c>
    </row>
    <row r="58">
      <c r="A58" s="9" t="inlineStr">
        <is>
          <t>Trésorerie d'ouverture</t>
        </is>
      </c>
      <c r="B58" s="4" t="inlineStr">
        <is>
          <t>€</t>
        </is>
      </c>
      <c r="C58" s="15">
        <f>Hypothèses!$D$54</f>
        <v/>
      </c>
      <c r="D58" s="15">
        <f>C60</f>
        <v/>
      </c>
      <c r="E58" s="15">
        <f>D60</f>
        <v/>
      </c>
      <c r="F58" s="15">
        <f>E60</f>
        <v/>
      </c>
      <c r="G58" s="15">
        <f>F60</f>
        <v/>
      </c>
      <c r="H58" s="15">
        <f>G60</f>
        <v/>
      </c>
      <c r="I58" s="15">
        <f>H60</f>
        <v/>
      </c>
      <c r="J58" s="15">
        <f>I60</f>
        <v/>
      </c>
      <c r="K58" s="15">
        <f>J60</f>
        <v/>
      </c>
      <c r="L58" s="15">
        <f>K60</f>
        <v/>
      </c>
      <c r="M58" s="15">
        <f>L60</f>
        <v/>
      </c>
      <c r="N58" s="15">
        <f>M60</f>
        <v/>
      </c>
      <c r="O58" s="15">
        <f>N60</f>
        <v/>
      </c>
      <c r="P58" s="15">
        <f>O60</f>
        <v/>
      </c>
      <c r="Q58" s="15">
        <f>P60</f>
        <v/>
      </c>
      <c r="R58" s="15">
        <f>Q60</f>
        <v/>
      </c>
      <c r="S58" s="15">
        <f>R60</f>
        <v/>
      </c>
      <c r="T58" s="15">
        <f>S60</f>
        <v/>
      </c>
      <c r="U58" s="15">
        <f>T60</f>
        <v/>
      </c>
      <c r="V58" s="15">
        <f>U60</f>
        <v/>
      </c>
      <c r="W58" s="15">
        <f>V60</f>
        <v/>
      </c>
      <c r="X58" s="15">
        <f>W60</f>
        <v/>
      </c>
      <c r="Y58" s="15">
        <f>X60</f>
        <v/>
      </c>
      <c r="Z58" s="15">
        <f>Y60</f>
        <v/>
      </c>
      <c r="AA58" s="15">
        <f>Z60</f>
        <v/>
      </c>
      <c r="AB58" s="15">
        <f>AA60</f>
        <v/>
      </c>
      <c r="AC58" s="15">
        <f>AB60</f>
        <v/>
      </c>
      <c r="AD58" s="15">
        <f>AC60</f>
        <v/>
      </c>
      <c r="AE58" s="15">
        <f>AD60</f>
        <v/>
      </c>
      <c r="AF58" s="15">
        <f>AE60</f>
        <v/>
      </c>
      <c r="AG58" s="15">
        <f>AF60</f>
        <v/>
      </c>
      <c r="AH58" s="15">
        <f>AG60</f>
        <v/>
      </c>
      <c r="AI58" s="15">
        <f>AH60</f>
        <v/>
      </c>
      <c r="AJ58" s="15">
        <f>AI60</f>
        <v/>
      </c>
      <c r="AK58" s="15">
        <f>AJ60</f>
        <v/>
      </c>
      <c r="AL58" s="15">
        <f>AK60</f>
        <v/>
      </c>
    </row>
    <row r="59">
      <c r="A59" s="9" t="inlineStr">
        <is>
          <t>Flux de trésorerie du mois</t>
        </is>
      </c>
      <c r="B59" s="4" t="inlineStr">
        <is>
          <t>€</t>
        </is>
      </c>
      <c r="C59" s="15">
        <f>C31-C36-C39-C51-C55+C56+C57</f>
        <v/>
      </c>
      <c r="D59" s="15">
        <f>D31-D36-D39-D51-D55+D56+D57</f>
        <v/>
      </c>
      <c r="E59" s="15">
        <f>E31-E36-E39-E51-E55+E56+E57</f>
        <v/>
      </c>
      <c r="F59" s="15">
        <f>F31-F36-F39-F51-F55+F56+F57</f>
        <v/>
      </c>
      <c r="G59" s="15">
        <f>G31-G36-G39-G51-G55+G56+G57</f>
        <v/>
      </c>
      <c r="H59" s="15">
        <f>H31-H36-H39-H51-H55+H56+H57</f>
        <v/>
      </c>
      <c r="I59" s="15">
        <f>I31-I36-I39-I51-I55+I56+I57</f>
        <v/>
      </c>
      <c r="J59" s="15">
        <f>J31-J36-J39-J51-J55+J56+J57</f>
        <v/>
      </c>
      <c r="K59" s="15">
        <f>K31-K36-K39-K51-K55+K56+K57</f>
        <v/>
      </c>
      <c r="L59" s="15">
        <f>L31-L36-L39-L51-L55+L56+L57</f>
        <v/>
      </c>
      <c r="M59" s="15">
        <f>M31-M36-M39-M51-M55+M56+M57</f>
        <v/>
      </c>
      <c r="N59" s="15">
        <f>N31-N36-N39-N51-N55+N56+N57</f>
        <v/>
      </c>
      <c r="O59" s="15">
        <f>O31-O36-O39-O51-O55+O56+O57</f>
        <v/>
      </c>
      <c r="P59" s="15">
        <f>P31-P36-P39-P51-P55+P56+P57</f>
        <v/>
      </c>
      <c r="Q59" s="15">
        <f>Q31-Q36-Q39-Q51-Q55+Q56+Q57</f>
        <v/>
      </c>
      <c r="R59" s="15">
        <f>R31-R36-R39-R51-R55+R56+R57</f>
        <v/>
      </c>
      <c r="S59" s="15">
        <f>S31-S36-S39-S51-S55+S56+S57</f>
        <v/>
      </c>
      <c r="T59" s="15">
        <f>T31-T36-T39-T51-T55+T56+T57</f>
        <v/>
      </c>
      <c r="U59" s="15">
        <f>U31-U36-U39-U51-U55+U56+U57</f>
        <v/>
      </c>
      <c r="V59" s="15">
        <f>V31-V36-V39-V51-V55+V56+V57</f>
        <v/>
      </c>
      <c r="W59" s="15">
        <f>W31-W36-W39-W51-W55+W56+W57</f>
        <v/>
      </c>
      <c r="X59" s="15">
        <f>X31-X36-X39-X51-X55+X56+X57</f>
        <v/>
      </c>
      <c r="Y59" s="15">
        <f>Y31-Y36-Y39-Y51-Y55+Y56+Y57</f>
        <v/>
      </c>
      <c r="Z59" s="15">
        <f>Z31-Z36-Z39-Z51-Z55+Z56+Z57</f>
        <v/>
      </c>
      <c r="AA59" s="15">
        <f>AA31-AA36-AA39-AA51-AA55+AA56+AA57</f>
        <v/>
      </c>
      <c r="AB59" s="15">
        <f>AB31-AB36-AB39-AB51-AB55+AB56+AB57</f>
        <v/>
      </c>
      <c r="AC59" s="15">
        <f>AC31-AC36-AC39-AC51-AC55+AC56+AC57</f>
        <v/>
      </c>
      <c r="AD59" s="15">
        <f>AD31-AD36-AD39-AD51-AD55+AD56+AD57</f>
        <v/>
      </c>
      <c r="AE59" s="15">
        <f>AE31-AE36-AE39-AE51-AE55+AE56+AE57</f>
        <v/>
      </c>
      <c r="AF59" s="15">
        <f>AF31-AF36-AF39-AF51-AF55+AF56+AF57</f>
        <v/>
      </c>
      <c r="AG59" s="15">
        <f>AG31-AG36-AG39-AG51-AG55+AG56+AG57</f>
        <v/>
      </c>
      <c r="AH59" s="15">
        <f>AH31-AH36-AH39-AH51-AH55+AH56+AH57</f>
        <v/>
      </c>
      <c r="AI59" s="15">
        <f>AI31-AI36-AI39-AI51-AI55+AI56+AI57</f>
        <v/>
      </c>
      <c r="AJ59" s="15">
        <f>AJ31-AJ36-AJ39-AJ51-AJ55+AJ56+AJ57</f>
        <v/>
      </c>
      <c r="AK59" s="15">
        <f>AK31-AK36-AK39-AK51-AK55+AK56+AK57</f>
        <v/>
      </c>
      <c r="AL59" s="15">
        <f>AL31-AL36-AL39-AL51-AL55+AL56+AL57</f>
        <v/>
      </c>
      <c r="AN59" s="15">
        <f>SUM(C59:N59)</f>
        <v/>
      </c>
      <c r="AO59" s="15">
        <f>SUM(O59:Z59)</f>
        <v/>
      </c>
      <c r="AP59" s="15">
        <f>SUM(AA59:AL59)</f>
        <v/>
      </c>
    </row>
    <row r="60">
      <c r="A60" s="2" t="inlineStr">
        <is>
          <t>Trésorerie de clôture</t>
        </is>
      </c>
      <c r="B60" s="4" t="inlineStr">
        <is>
          <t>€</t>
        </is>
      </c>
      <c r="C60" s="40">
        <f>C58+C59</f>
        <v/>
      </c>
      <c r="D60" s="40">
        <f>D58+D59</f>
        <v/>
      </c>
      <c r="E60" s="40">
        <f>E58+E59</f>
        <v/>
      </c>
      <c r="F60" s="40">
        <f>F58+F59</f>
        <v/>
      </c>
      <c r="G60" s="40">
        <f>G58+G59</f>
        <v/>
      </c>
      <c r="H60" s="40">
        <f>H58+H59</f>
        <v/>
      </c>
      <c r="I60" s="40">
        <f>I58+I59</f>
        <v/>
      </c>
      <c r="J60" s="40">
        <f>J58+J59</f>
        <v/>
      </c>
      <c r="K60" s="40">
        <f>K58+K59</f>
        <v/>
      </c>
      <c r="L60" s="40">
        <f>L58+L59</f>
        <v/>
      </c>
      <c r="M60" s="40">
        <f>M58+M59</f>
        <v/>
      </c>
      <c r="N60" s="40">
        <f>N58+N59</f>
        <v/>
      </c>
      <c r="O60" s="40">
        <f>O58+O59</f>
        <v/>
      </c>
      <c r="P60" s="40">
        <f>P58+P59</f>
        <v/>
      </c>
      <c r="Q60" s="40">
        <f>Q58+Q59</f>
        <v/>
      </c>
      <c r="R60" s="40">
        <f>R58+R59</f>
        <v/>
      </c>
      <c r="S60" s="40">
        <f>S58+S59</f>
        <v/>
      </c>
      <c r="T60" s="40">
        <f>T58+T59</f>
        <v/>
      </c>
      <c r="U60" s="40">
        <f>U58+U59</f>
        <v/>
      </c>
      <c r="V60" s="40">
        <f>V58+V59</f>
        <v/>
      </c>
      <c r="W60" s="40">
        <f>W58+W59</f>
        <v/>
      </c>
      <c r="X60" s="40">
        <f>X58+X59</f>
        <v/>
      </c>
      <c r="Y60" s="40">
        <f>Y58+Y59</f>
        <v/>
      </c>
      <c r="Z60" s="40">
        <f>Z58+Z59</f>
        <v/>
      </c>
      <c r="AA60" s="40">
        <f>AA58+AA59</f>
        <v/>
      </c>
      <c r="AB60" s="40">
        <f>AB58+AB59</f>
        <v/>
      </c>
      <c r="AC60" s="40">
        <f>AC58+AC59</f>
        <v/>
      </c>
      <c r="AD60" s="40">
        <f>AD58+AD59</f>
        <v/>
      </c>
      <c r="AE60" s="40">
        <f>AE58+AE59</f>
        <v/>
      </c>
      <c r="AF60" s="40">
        <f>AF58+AF59</f>
        <v/>
      </c>
      <c r="AG60" s="40">
        <f>AG58+AG59</f>
        <v/>
      </c>
      <c r="AH60" s="40">
        <f>AH58+AH59</f>
        <v/>
      </c>
      <c r="AI60" s="40">
        <f>AI58+AI59</f>
        <v/>
      </c>
      <c r="AJ60" s="40">
        <f>AJ58+AJ59</f>
        <v/>
      </c>
      <c r="AK60" s="40">
        <f>AK58+AK59</f>
        <v/>
      </c>
      <c r="AL60" s="40">
        <f>AL58+AL59</f>
        <v/>
      </c>
      <c r="AN60" s="40">
        <f>N60</f>
        <v/>
      </c>
      <c r="AO60" s="40">
        <f>Z60</f>
        <v/>
      </c>
      <c r="AP60" s="40">
        <f>AL60</f>
        <v/>
      </c>
    </row>
    <row r="61">
      <c r="A61" s="9" t="inlineStr">
        <is>
          <t>Financement cumulé</t>
        </is>
      </c>
      <c r="B61" s="4" t="inlineStr">
        <is>
          <t>€</t>
        </is>
      </c>
      <c r="C61" s="15">
        <f>0+C57</f>
        <v/>
      </c>
      <c r="D61" s="15">
        <f>C61+D57</f>
        <v/>
      </c>
      <c r="E61" s="15">
        <f>D61+E57</f>
        <v/>
      </c>
      <c r="F61" s="15">
        <f>E61+F57</f>
        <v/>
      </c>
      <c r="G61" s="15">
        <f>F61+G57</f>
        <v/>
      </c>
      <c r="H61" s="15">
        <f>G61+H57</f>
        <v/>
      </c>
      <c r="I61" s="15">
        <f>H61+I57</f>
        <v/>
      </c>
      <c r="J61" s="15">
        <f>I61+J57</f>
        <v/>
      </c>
      <c r="K61" s="15">
        <f>J61+K57</f>
        <v/>
      </c>
      <c r="L61" s="15">
        <f>K61+L57</f>
        <v/>
      </c>
      <c r="M61" s="15">
        <f>L61+M57</f>
        <v/>
      </c>
      <c r="N61" s="15">
        <f>M61+N57</f>
        <v/>
      </c>
      <c r="O61" s="15">
        <f>N61+O57</f>
        <v/>
      </c>
      <c r="P61" s="15">
        <f>O61+P57</f>
        <v/>
      </c>
      <c r="Q61" s="15">
        <f>P61+Q57</f>
        <v/>
      </c>
      <c r="R61" s="15">
        <f>Q61+R57</f>
        <v/>
      </c>
      <c r="S61" s="15">
        <f>R61+S57</f>
        <v/>
      </c>
      <c r="T61" s="15">
        <f>S61+T57</f>
        <v/>
      </c>
      <c r="U61" s="15">
        <f>T61+U57</f>
        <v/>
      </c>
      <c r="V61" s="15">
        <f>U61+V57</f>
        <v/>
      </c>
      <c r="W61" s="15">
        <f>V61+W57</f>
        <v/>
      </c>
      <c r="X61" s="15">
        <f>W61+X57</f>
        <v/>
      </c>
      <c r="Y61" s="15">
        <f>X61+Y57</f>
        <v/>
      </c>
      <c r="Z61" s="15">
        <f>Y61+Z57</f>
        <v/>
      </c>
      <c r="AA61" s="15">
        <f>Z61+AA57</f>
        <v/>
      </c>
      <c r="AB61" s="15">
        <f>AA61+AB57</f>
        <v/>
      </c>
      <c r="AC61" s="15">
        <f>AB61+AC57</f>
        <v/>
      </c>
      <c r="AD61" s="15">
        <f>AC61+AD57</f>
        <v/>
      </c>
      <c r="AE61" s="15">
        <f>AD61+AE57</f>
        <v/>
      </c>
      <c r="AF61" s="15">
        <f>AE61+AF57</f>
        <v/>
      </c>
      <c r="AG61" s="15">
        <f>AF61+AG57</f>
        <v/>
      </c>
      <c r="AH61" s="15">
        <f>AG61+AH57</f>
        <v/>
      </c>
      <c r="AI61" s="15">
        <f>AH61+AI57</f>
        <v/>
      </c>
      <c r="AJ61" s="15">
        <f>AI61+AJ57</f>
        <v/>
      </c>
      <c r="AK61" s="15">
        <f>AJ61+AK57</f>
        <v/>
      </c>
      <c r="AL61" s="15">
        <f>AK61+AL57</f>
        <v/>
      </c>
      <c r="AN61" s="15">
        <f>N61</f>
        <v/>
      </c>
      <c r="AO61" s="15">
        <f>Z61</f>
        <v/>
      </c>
      <c r="AP61" s="15">
        <f>AL61</f>
        <v/>
      </c>
    </row>
    <row r="62">
      <c r="A62" s="2" t="inlineStr">
        <is>
          <t>Trésorerie cumulée hors financement</t>
        </is>
      </c>
      <c r="B62" s="4" t="inlineStr">
        <is>
          <t>€</t>
        </is>
      </c>
      <c r="C62" s="40">
        <f>C60-C61</f>
        <v/>
      </c>
      <c r="D62" s="40">
        <f>D60-D61</f>
        <v/>
      </c>
      <c r="E62" s="40">
        <f>E60-E61</f>
        <v/>
      </c>
      <c r="F62" s="40">
        <f>F60-F61</f>
        <v/>
      </c>
      <c r="G62" s="40">
        <f>G60-G61</f>
        <v/>
      </c>
      <c r="H62" s="40">
        <f>H60-H61</f>
        <v/>
      </c>
      <c r="I62" s="40">
        <f>I60-I61</f>
        <v/>
      </c>
      <c r="J62" s="40">
        <f>J60-J61</f>
        <v/>
      </c>
      <c r="K62" s="40">
        <f>K60-K61</f>
        <v/>
      </c>
      <c r="L62" s="40">
        <f>L60-L61</f>
        <v/>
      </c>
      <c r="M62" s="40">
        <f>M60-M61</f>
        <v/>
      </c>
      <c r="N62" s="40">
        <f>N60-N61</f>
        <v/>
      </c>
      <c r="O62" s="40">
        <f>O60-O61</f>
        <v/>
      </c>
      <c r="P62" s="40">
        <f>P60-P61</f>
        <v/>
      </c>
      <c r="Q62" s="40">
        <f>Q60-Q61</f>
        <v/>
      </c>
      <c r="R62" s="40">
        <f>R60-R61</f>
        <v/>
      </c>
      <c r="S62" s="40">
        <f>S60-S61</f>
        <v/>
      </c>
      <c r="T62" s="40">
        <f>T60-T61</f>
        <v/>
      </c>
      <c r="U62" s="40">
        <f>U60-U61</f>
        <v/>
      </c>
      <c r="V62" s="40">
        <f>V60-V61</f>
        <v/>
      </c>
      <c r="W62" s="40">
        <f>W60-W61</f>
        <v/>
      </c>
      <c r="X62" s="40">
        <f>X60-X61</f>
        <v/>
      </c>
      <c r="Y62" s="40">
        <f>Y60-Y61</f>
        <v/>
      </c>
      <c r="Z62" s="40">
        <f>Z60-Z61</f>
        <v/>
      </c>
      <c r="AA62" s="40">
        <f>AA60-AA61</f>
        <v/>
      </c>
      <c r="AB62" s="40">
        <f>AB60-AB61</f>
        <v/>
      </c>
      <c r="AC62" s="40">
        <f>AC60-AC61</f>
        <v/>
      </c>
      <c r="AD62" s="40">
        <f>AD60-AD61</f>
        <v/>
      </c>
      <c r="AE62" s="40">
        <f>AE60-AE61</f>
        <v/>
      </c>
      <c r="AF62" s="40">
        <f>AF60-AF61</f>
        <v/>
      </c>
      <c r="AG62" s="40">
        <f>AG60-AG61</f>
        <v/>
      </c>
      <c r="AH62" s="40">
        <f>AH60-AH61</f>
        <v/>
      </c>
      <c r="AI62" s="40">
        <f>AI60-AI61</f>
        <v/>
      </c>
      <c r="AJ62" s="40">
        <f>AJ60-AJ61</f>
        <v/>
      </c>
      <c r="AK62" s="40">
        <f>AK60-AK61</f>
        <v/>
      </c>
      <c r="AL62" s="40">
        <f>AL60-AL61</f>
        <v/>
      </c>
      <c r="AN62" s="40">
        <f>N62</f>
        <v/>
      </c>
      <c r="AO62" s="40">
        <f>Z62</f>
        <v/>
      </c>
      <c r="AP62" s="40">
        <f>AL62</f>
        <v/>
      </c>
    </row>
    <row r="63">
      <c r="A63" s="9" t="inlineStr">
        <is>
          <t>Point bas glissant hors financement</t>
        </is>
      </c>
      <c r="B63" s="4" t="inlineStr">
        <is>
          <t>€</t>
        </is>
      </c>
      <c r="C63" s="15">
        <f>C62</f>
        <v/>
      </c>
      <c r="D63" s="15">
        <f>MIN(C63,D62)</f>
        <v/>
      </c>
      <c r="E63" s="15">
        <f>MIN(D63,E62)</f>
        <v/>
      </c>
      <c r="F63" s="15">
        <f>MIN(E63,F62)</f>
        <v/>
      </c>
      <c r="G63" s="15">
        <f>MIN(F63,G62)</f>
        <v/>
      </c>
      <c r="H63" s="15">
        <f>MIN(G63,H62)</f>
        <v/>
      </c>
      <c r="I63" s="15">
        <f>MIN(H63,I62)</f>
        <v/>
      </c>
      <c r="J63" s="15">
        <f>MIN(I63,J62)</f>
        <v/>
      </c>
      <c r="K63" s="15">
        <f>MIN(J63,K62)</f>
        <v/>
      </c>
      <c r="L63" s="15">
        <f>MIN(K63,L62)</f>
        <v/>
      </c>
      <c r="M63" s="15">
        <f>MIN(L63,M62)</f>
        <v/>
      </c>
      <c r="N63" s="15">
        <f>MIN(M63,N62)</f>
        <v/>
      </c>
      <c r="O63" s="15">
        <f>MIN(N63,O62)</f>
        <v/>
      </c>
      <c r="P63" s="15">
        <f>MIN(O63,P62)</f>
        <v/>
      </c>
      <c r="Q63" s="15">
        <f>MIN(P63,Q62)</f>
        <v/>
      </c>
      <c r="R63" s="15">
        <f>MIN(Q63,R62)</f>
        <v/>
      </c>
      <c r="S63" s="15">
        <f>MIN(R63,S62)</f>
        <v/>
      </c>
      <c r="T63" s="15">
        <f>MIN(S63,T62)</f>
        <v/>
      </c>
      <c r="U63" s="15">
        <f>MIN(T63,U62)</f>
        <v/>
      </c>
      <c r="V63" s="15">
        <f>MIN(U63,V62)</f>
        <v/>
      </c>
      <c r="W63" s="15">
        <f>MIN(V63,W62)</f>
        <v/>
      </c>
      <c r="X63" s="15">
        <f>MIN(W63,X62)</f>
        <v/>
      </c>
      <c r="Y63" s="15">
        <f>MIN(X63,Y62)</f>
        <v/>
      </c>
      <c r="Z63" s="15">
        <f>MIN(Y63,Z62)</f>
        <v/>
      </c>
      <c r="AA63" s="15">
        <f>MIN(Z63,AA62)</f>
        <v/>
      </c>
      <c r="AB63" s="15">
        <f>MIN(AA63,AB62)</f>
        <v/>
      </c>
      <c r="AC63" s="15">
        <f>MIN(AB63,AC62)</f>
        <v/>
      </c>
      <c r="AD63" s="15">
        <f>MIN(AC63,AD62)</f>
        <v/>
      </c>
      <c r="AE63" s="15">
        <f>MIN(AD63,AE62)</f>
        <v/>
      </c>
      <c r="AF63" s="15">
        <f>MIN(AE63,AF62)</f>
        <v/>
      </c>
      <c r="AG63" s="15">
        <f>MIN(AF63,AG62)</f>
        <v/>
      </c>
      <c r="AH63" s="15">
        <f>MIN(AG63,AH62)</f>
        <v/>
      </c>
      <c r="AI63" s="15">
        <f>MIN(AH63,AI62)</f>
        <v/>
      </c>
      <c r="AJ63" s="15">
        <f>MIN(AI63,AJ62)</f>
        <v/>
      </c>
      <c r="AK63" s="15">
        <f>MIN(AJ63,AK62)</f>
        <v/>
      </c>
      <c r="AL63" s="15">
        <f>MIN(AK63,AL62)</f>
        <v/>
      </c>
      <c r="AN63" s="15">
        <f>N63</f>
        <v/>
      </c>
      <c r="AO63" s="15">
        <f>Z63</f>
        <v/>
      </c>
      <c r="AP63" s="15">
        <f>AL63</f>
        <v/>
      </c>
    </row>
    <row r="64">
      <c r="A64" s="9" t="inlineStr">
        <is>
          <t>Trésorerie cumulée hors financement positive après lancement ? (1 = oui)</t>
        </is>
      </c>
      <c r="B64" s="4" t="inlineStr">
        <is>
          <t>0/1</t>
        </is>
      </c>
      <c r="C64" s="13">
        <f>IF(AND(C9=1,C62&gt;0),1,0)</f>
        <v/>
      </c>
      <c r="D64" s="13">
        <f>IF(AND(D9=1,D62&gt;0),1,0)</f>
        <v/>
      </c>
      <c r="E64" s="13">
        <f>IF(AND(E9=1,E62&gt;0),1,0)</f>
        <v/>
      </c>
      <c r="F64" s="13">
        <f>IF(AND(F9=1,F62&gt;0),1,0)</f>
        <v/>
      </c>
      <c r="G64" s="13">
        <f>IF(AND(G9=1,G62&gt;0),1,0)</f>
        <v/>
      </c>
      <c r="H64" s="13">
        <f>IF(AND(H9=1,H62&gt;0),1,0)</f>
        <v/>
      </c>
      <c r="I64" s="13">
        <f>IF(AND(I9=1,I62&gt;0),1,0)</f>
        <v/>
      </c>
      <c r="J64" s="13">
        <f>IF(AND(J9=1,J62&gt;0),1,0)</f>
        <v/>
      </c>
      <c r="K64" s="13">
        <f>IF(AND(K9=1,K62&gt;0),1,0)</f>
        <v/>
      </c>
      <c r="L64" s="13">
        <f>IF(AND(L9=1,L62&gt;0),1,0)</f>
        <v/>
      </c>
      <c r="M64" s="13">
        <f>IF(AND(M9=1,M62&gt;0),1,0)</f>
        <v/>
      </c>
      <c r="N64" s="13">
        <f>IF(AND(N9=1,N62&gt;0),1,0)</f>
        <v/>
      </c>
      <c r="O64" s="13">
        <f>IF(AND(O9=1,O62&gt;0),1,0)</f>
        <v/>
      </c>
      <c r="P64" s="13">
        <f>IF(AND(P9=1,P62&gt;0),1,0)</f>
        <v/>
      </c>
      <c r="Q64" s="13">
        <f>IF(AND(Q9=1,Q62&gt;0),1,0)</f>
        <v/>
      </c>
      <c r="R64" s="13">
        <f>IF(AND(R9=1,R62&gt;0),1,0)</f>
        <v/>
      </c>
      <c r="S64" s="13">
        <f>IF(AND(S9=1,S62&gt;0),1,0)</f>
        <v/>
      </c>
      <c r="T64" s="13">
        <f>IF(AND(T9=1,T62&gt;0),1,0)</f>
        <v/>
      </c>
      <c r="U64" s="13">
        <f>IF(AND(U9=1,U62&gt;0),1,0)</f>
        <v/>
      </c>
      <c r="V64" s="13">
        <f>IF(AND(V9=1,V62&gt;0),1,0)</f>
        <v/>
      </c>
      <c r="W64" s="13">
        <f>IF(AND(W9=1,W62&gt;0),1,0)</f>
        <v/>
      </c>
      <c r="X64" s="13">
        <f>IF(AND(X9=1,X62&gt;0),1,0)</f>
        <v/>
      </c>
      <c r="Y64" s="13">
        <f>IF(AND(Y9=1,Y62&gt;0),1,0)</f>
        <v/>
      </c>
      <c r="Z64" s="13">
        <f>IF(AND(Z9=1,Z62&gt;0),1,0)</f>
        <v/>
      </c>
      <c r="AA64" s="13">
        <f>IF(AND(AA9=1,AA62&gt;0),1,0)</f>
        <v/>
      </c>
      <c r="AB64" s="13">
        <f>IF(AND(AB9=1,AB62&gt;0),1,0)</f>
        <v/>
      </c>
      <c r="AC64" s="13">
        <f>IF(AND(AC9=1,AC62&gt;0),1,0)</f>
        <v/>
      </c>
      <c r="AD64" s="13">
        <f>IF(AND(AD9=1,AD62&gt;0),1,0)</f>
        <v/>
      </c>
      <c r="AE64" s="13">
        <f>IF(AND(AE9=1,AE62&gt;0),1,0)</f>
        <v/>
      </c>
      <c r="AF64" s="13">
        <f>IF(AND(AF9=1,AF62&gt;0),1,0)</f>
        <v/>
      </c>
      <c r="AG64" s="13">
        <f>IF(AND(AG9=1,AG62&gt;0),1,0)</f>
        <v/>
      </c>
      <c r="AH64" s="13">
        <f>IF(AND(AH9=1,AH62&gt;0),1,0)</f>
        <v/>
      </c>
      <c r="AI64" s="13">
        <f>IF(AND(AI9=1,AI62&gt;0),1,0)</f>
        <v/>
      </c>
      <c r="AJ64" s="13">
        <f>IF(AND(AJ9=1,AJ62&gt;0),1,0)</f>
        <v/>
      </c>
      <c r="AK64" s="13">
        <f>IF(AND(AK9=1,AK62&gt;0),1,0)</f>
        <v/>
      </c>
      <c r="AL64" s="13">
        <f>IF(AND(AL9=1,AL62&gt;0),1,0)</f>
        <v/>
      </c>
    </row>
    <row r="65">
      <c r="A65" s="8" t="inlineStr">
        <is>
          <t>Indicateurs</t>
        </is>
      </c>
    </row>
    <row r="66">
      <c r="A66" s="9" t="inlineStr">
        <is>
          <t>ARR HT instantané (CA HT × 12)</t>
        </is>
      </c>
      <c r="B66" s="4" t="inlineStr">
        <is>
          <t>€ HT</t>
        </is>
      </c>
      <c r="C66" s="15">
        <f>C28*12</f>
        <v/>
      </c>
      <c r="D66" s="15">
        <f>D28*12</f>
        <v/>
      </c>
      <c r="E66" s="15">
        <f>E28*12</f>
        <v/>
      </c>
      <c r="F66" s="15">
        <f>F28*12</f>
        <v/>
      </c>
      <c r="G66" s="15">
        <f>G28*12</f>
        <v/>
      </c>
      <c r="H66" s="15">
        <f>H28*12</f>
        <v/>
      </c>
      <c r="I66" s="15">
        <f>I28*12</f>
        <v/>
      </c>
      <c r="J66" s="15">
        <f>J28*12</f>
        <v/>
      </c>
      <c r="K66" s="15">
        <f>K28*12</f>
        <v/>
      </c>
      <c r="L66" s="15">
        <f>L28*12</f>
        <v/>
      </c>
      <c r="M66" s="15">
        <f>M28*12</f>
        <v/>
      </c>
      <c r="N66" s="15">
        <f>N28*12</f>
        <v/>
      </c>
      <c r="O66" s="15">
        <f>O28*12</f>
        <v/>
      </c>
      <c r="P66" s="15">
        <f>P28*12</f>
        <v/>
      </c>
      <c r="Q66" s="15">
        <f>Q28*12</f>
        <v/>
      </c>
      <c r="R66" s="15">
        <f>R28*12</f>
        <v/>
      </c>
      <c r="S66" s="15">
        <f>S28*12</f>
        <v/>
      </c>
      <c r="T66" s="15">
        <f>T28*12</f>
        <v/>
      </c>
      <c r="U66" s="15">
        <f>U28*12</f>
        <v/>
      </c>
      <c r="V66" s="15">
        <f>V28*12</f>
        <v/>
      </c>
      <c r="W66" s="15">
        <f>W28*12</f>
        <v/>
      </c>
      <c r="X66" s="15">
        <f>X28*12</f>
        <v/>
      </c>
      <c r="Y66" s="15">
        <f>Y28*12</f>
        <v/>
      </c>
      <c r="Z66" s="15">
        <f>Z28*12</f>
        <v/>
      </c>
      <c r="AA66" s="15">
        <f>AA28*12</f>
        <v/>
      </c>
      <c r="AB66" s="15">
        <f>AB28*12</f>
        <v/>
      </c>
      <c r="AC66" s="15">
        <f>AC28*12</f>
        <v/>
      </c>
      <c r="AD66" s="15">
        <f>AD28*12</f>
        <v/>
      </c>
      <c r="AE66" s="15">
        <f>AE28*12</f>
        <v/>
      </c>
      <c r="AF66" s="15">
        <f>AF28*12</f>
        <v/>
      </c>
      <c r="AG66" s="15">
        <f>AG28*12</f>
        <v/>
      </c>
      <c r="AH66" s="15">
        <f>AH28*12</f>
        <v/>
      </c>
      <c r="AI66" s="15">
        <f>AI28*12</f>
        <v/>
      </c>
      <c r="AJ66" s="15">
        <f>AJ28*12</f>
        <v/>
      </c>
      <c r="AK66" s="15">
        <f>AK28*12</f>
        <v/>
      </c>
      <c r="AL66" s="15">
        <f>AL28*12</f>
        <v/>
      </c>
      <c r="AN66" s="15">
        <f>N66</f>
        <v/>
      </c>
      <c r="AO66" s="15">
        <f>Z66</f>
        <v/>
      </c>
      <c r="AP66" s="15">
        <f>AL66</f>
        <v/>
      </c>
    </row>
    <row r="67">
      <c r="A67" s="9" t="inlineStr">
        <is>
          <t>ARPA HT (CA HT / abonnés)</t>
        </is>
      </c>
      <c r="B67" s="4" t="inlineStr">
        <is>
          <t>€ HT</t>
        </is>
      </c>
      <c r="C67" s="19">
        <f>IF(C18&gt;0,C28/C18,0)</f>
        <v/>
      </c>
      <c r="D67" s="19">
        <f>IF(D18&gt;0,D28/D18,0)</f>
        <v/>
      </c>
      <c r="E67" s="19">
        <f>IF(E18&gt;0,E28/E18,0)</f>
        <v/>
      </c>
      <c r="F67" s="19">
        <f>IF(F18&gt;0,F28/F18,0)</f>
        <v/>
      </c>
      <c r="G67" s="19">
        <f>IF(G18&gt;0,G28/G18,0)</f>
        <v/>
      </c>
      <c r="H67" s="19">
        <f>IF(H18&gt;0,H28/H18,0)</f>
        <v/>
      </c>
      <c r="I67" s="19">
        <f>IF(I18&gt;0,I28/I18,0)</f>
        <v/>
      </c>
      <c r="J67" s="19">
        <f>IF(J18&gt;0,J28/J18,0)</f>
        <v/>
      </c>
      <c r="K67" s="19">
        <f>IF(K18&gt;0,K28/K18,0)</f>
        <v/>
      </c>
      <c r="L67" s="19">
        <f>IF(L18&gt;0,L28/L18,0)</f>
        <v/>
      </c>
      <c r="M67" s="19">
        <f>IF(M18&gt;0,M28/M18,0)</f>
        <v/>
      </c>
      <c r="N67" s="19">
        <f>IF(N18&gt;0,N28/N18,0)</f>
        <v/>
      </c>
      <c r="O67" s="19">
        <f>IF(O18&gt;0,O28/O18,0)</f>
        <v/>
      </c>
      <c r="P67" s="19">
        <f>IF(P18&gt;0,P28/P18,0)</f>
        <v/>
      </c>
      <c r="Q67" s="19">
        <f>IF(Q18&gt;0,Q28/Q18,0)</f>
        <v/>
      </c>
      <c r="R67" s="19">
        <f>IF(R18&gt;0,R28/R18,0)</f>
        <v/>
      </c>
      <c r="S67" s="19">
        <f>IF(S18&gt;0,S28/S18,0)</f>
        <v/>
      </c>
      <c r="T67" s="19">
        <f>IF(T18&gt;0,T28/T18,0)</f>
        <v/>
      </c>
      <c r="U67" s="19">
        <f>IF(U18&gt;0,U28/U18,0)</f>
        <v/>
      </c>
      <c r="V67" s="19">
        <f>IF(V18&gt;0,V28/V18,0)</f>
        <v/>
      </c>
      <c r="W67" s="19">
        <f>IF(W18&gt;0,W28/W18,0)</f>
        <v/>
      </c>
      <c r="X67" s="19">
        <f>IF(X18&gt;0,X28/X18,0)</f>
        <v/>
      </c>
      <c r="Y67" s="19">
        <f>IF(Y18&gt;0,Y28/Y18,0)</f>
        <v/>
      </c>
      <c r="Z67" s="19">
        <f>IF(Z18&gt;0,Z28/Z18,0)</f>
        <v/>
      </c>
      <c r="AA67" s="19">
        <f>IF(AA18&gt;0,AA28/AA18,0)</f>
        <v/>
      </c>
      <c r="AB67" s="19">
        <f>IF(AB18&gt;0,AB28/AB18,0)</f>
        <v/>
      </c>
      <c r="AC67" s="19">
        <f>IF(AC18&gt;0,AC28/AC18,0)</f>
        <v/>
      </c>
      <c r="AD67" s="19">
        <f>IF(AD18&gt;0,AD28/AD18,0)</f>
        <v/>
      </c>
      <c r="AE67" s="19">
        <f>IF(AE18&gt;0,AE28/AE18,0)</f>
        <v/>
      </c>
      <c r="AF67" s="19">
        <f>IF(AF18&gt;0,AF28/AF18,0)</f>
        <v/>
      </c>
      <c r="AG67" s="19">
        <f>IF(AG18&gt;0,AG28/AG18,0)</f>
        <v/>
      </c>
      <c r="AH67" s="19">
        <f>IF(AH18&gt;0,AH28/AH18,0)</f>
        <v/>
      </c>
      <c r="AI67" s="19">
        <f>IF(AI18&gt;0,AI28/AI18,0)</f>
        <v/>
      </c>
      <c r="AJ67" s="19">
        <f>IF(AJ18&gt;0,AJ28/AJ18,0)</f>
        <v/>
      </c>
      <c r="AK67" s="19">
        <f>IF(AK18&gt;0,AK28/AK18,0)</f>
        <v/>
      </c>
      <c r="AL67" s="19">
        <f>IF(AL18&gt;0,AL28/AL18,0)</f>
        <v/>
      </c>
      <c r="AN67" s="19">
        <f>N67</f>
        <v/>
      </c>
      <c r="AO67" s="19">
        <f>Z67</f>
        <v/>
      </c>
      <c r="AP67" s="19">
        <f>AL67</f>
        <v/>
      </c>
    </row>
    <row r="68">
      <c r="A68" s="9" t="inlineStr">
        <is>
          <t>Coût variable par abonné</t>
        </is>
      </c>
      <c r="B68" s="4" t="inlineStr">
        <is>
          <t>€ HT</t>
        </is>
      </c>
      <c r="C68" s="19">
        <f>IF(C18&gt;0,C36/C18,0)</f>
        <v/>
      </c>
      <c r="D68" s="19">
        <f>IF(D18&gt;0,D36/D18,0)</f>
        <v/>
      </c>
      <c r="E68" s="19">
        <f>IF(E18&gt;0,E36/E18,0)</f>
        <v/>
      </c>
      <c r="F68" s="19">
        <f>IF(F18&gt;0,F36/F18,0)</f>
        <v/>
      </c>
      <c r="G68" s="19">
        <f>IF(G18&gt;0,G36/G18,0)</f>
        <v/>
      </c>
      <c r="H68" s="19">
        <f>IF(H18&gt;0,H36/H18,0)</f>
        <v/>
      </c>
      <c r="I68" s="19">
        <f>IF(I18&gt;0,I36/I18,0)</f>
        <v/>
      </c>
      <c r="J68" s="19">
        <f>IF(J18&gt;0,J36/J18,0)</f>
        <v/>
      </c>
      <c r="K68" s="19">
        <f>IF(K18&gt;0,K36/K18,0)</f>
        <v/>
      </c>
      <c r="L68" s="19">
        <f>IF(L18&gt;0,L36/L18,0)</f>
        <v/>
      </c>
      <c r="M68" s="19">
        <f>IF(M18&gt;0,M36/M18,0)</f>
        <v/>
      </c>
      <c r="N68" s="19">
        <f>IF(N18&gt;0,N36/N18,0)</f>
        <v/>
      </c>
      <c r="O68" s="19">
        <f>IF(O18&gt;0,O36/O18,0)</f>
        <v/>
      </c>
      <c r="P68" s="19">
        <f>IF(P18&gt;0,P36/P18,0)</f>
        <v/>
      </c>
      <c r="Q68" s="19">
        <f>IF(Q18&gt;0,Q36/Q18,0)</f>
        <v/>
      </c>
      <c r="R68" s="19">
        <f>IF(R18&gt;0,R36/R18,0)</f>
        <v/>
      </c>
      <c r="S68" s="19">
        <f>IF(S18&gt;0,S36/S18,0)</f>
        <v/>
      </c>
      <c r="T68" s="19">
        <f>IF(T18&gt;0,T36/T18,0)</f>
        <v/>
      </c>
      <c r="U68" s="19">
        <f>IF(U18&gt;0,U36/U18,0)</f>
        <v/>
      </c>
      <c r="V68" s="19">
        <f>IF(V18&gt;0,V36/V18,0)</f>
        <v/>
      </c>
      <c r="W68" s="19">
        <f>IF(W18&gt;0,W36/W18,0)</f>
        <v/>
      </c>
      <c r="X68" s="19">
        <f>IF(X18&gt;0,X36/X18,0)</f>
        <v/>
      </c>
      <c r="Y68" s="19">
        <f>IF(Y18&gt;0,Y36/Y18,0)</f>
        <v/>
      </c>
      <c r="Z68" s="19">
        <f>IF(Z18&gt;0,Z36/Z18,0)</f>
        <v/>
      </c>
      <c r="AA68" s="19">
        <f>IF(AA18&gt;0,AA36/AA18,0)</f>
        <v/>
      </c>
      <c r="AB68" s="19">
        <f>IF(AB18&gt;0,AB36/AB18,0)</f>
        <v/>
      </c>
      <c r="AC68" s="19">
        <f>IF(AC18&gt;0,AC36/AC18,0)</f>
        <v/>
      </c>
      <c r="AD68" s="19">
        <f>IF(AD18&gt;0,AD36/AD18,0)</f>
        <v/>
      </c>
      <c r="AE68" s="19">
        <f>IF(AE18&gt;0,AE36/AE18,0)</f>
        <v/>
      </c>
      <c r="AF68" s="19">
        <f>IF(AF18&gt;0,AF36/AF18,0)</f>
        <v/>
      </c>
      <c r="AG68" s="19">
        <f>IF(AG18&gt;0,AG36/AG18,0)</f>
        <v/>
      </c>
      <c r="AH68" s="19">
        <f>IF(AH18&gt;0,AH36/AH18,0)</f>
        <v/>
      </c>
      <c r="AI68" s="19">
        <f>IF(AI18&gt;0,AI36/AI18,0)</f>
        <v/>
      </c>
      <c r="AJ68" s="19">
        <f>IF(AJ18&gt;0,AJ36/AJ18,0)</f>
        <v/>
      </c>
      <c r="AK68" s="19">
        <f>IF(AK18&gt;0,AK36/AK18,0)</f>
        <v/>
      </c>
      <c r="AL68" s="19">
        <f>IF(AL18&gt;0,AL36/AL18,0)</f>
        <v/>
      </c>
      <c r="AN68" s="19">
        <f>N68</f>
        <v/>
      </c>
      <c r="AO68" s="19">
        <f>Z68</f>
        <v/>
      </c>
      <c r="AP68" s="19">
        <f>AL68</f>
        <v/>
      </c>
    </row>
    <row r="69">
      <c r="A69" s="9" t="inlineStr">
        <is>
          <t>Contribution par abonné</t>
        </is>
      </c>
      <c r="B69" s="4" t="inlineStr">
        <is>
          <t>€ HT</t>
        </is>
      </c>
      <c r="C69" s="19">
        <f>IF(C18&gt;0,C37/C18,0)</f>
        <v/>
      </c>
      <c r="D69" s="19">
        <f>IF(D18&gt;0,D37/D18,0)</f>
        <v/>
      </c>
      <c r="E69" s="19">
        <f>IF(E18&gt;0,E37/E18,0)</f>
        <v/>
      </c>
      <c r="F69" s="19">
        <f>IF(F18&gt;0,F37/F18,0)</f>
        <v/>
      </c>
      <c r="G69" s="19">
        <f>IF(G18&gt;0,G37/G18,0)</f>
        <v/>
      </c>
      <c r="H69" s="19">
        <f>IF(H18&gt;0,H37/H18,0)</f>
        <v/>
      </c>
      <c r="I69" s="19">
        <f>IF(I18&gt;0,I37/I18,0)</f>
        <v/>
      </c>
      <c r="J69" s="19">
        <f>IF(J18&gt;0,J37/J18,0)</f>
        <v/>
      </c>
      <c r="K69" s="19">
        <f>IF(K18&gt;0,K37/K18,0)</f>
        <v/>
      </c>
      <c r="L69" s="19">
        <f>IF(L18&gt;0,L37/L18,0)</f>
        <v/>
      </c>
      <c r="M69" s="19">
        <f>IF(M18&gt;0,M37/M18,0)</f>
        <v/>
      </c>
      <c r="N69" s="19">
        <f>IF(N18&gt;0,N37/N18,0)</f>
        <v/>
      </c>
      <c r="O69" s="19">
        <f>IF(O18&gt;0,O37/O18,0)</f>
        <v/>
      </c>
      <c r="P69" s="19">
        <f>IF(P18&gt;0,P37/P18,0)</f>
        <v/>
      </c>
      <c r="Q69" s="19">
        <f>IF(Q18&gt;0,Q37/Q18,0)</f>
        <v/>
      </c>
      <c r="R69" s="19">
        <f>IF(R18&gt;0,R37/R18,0)</f>
        <v/>
      </c>
      <c r="S69" s="19">
        <f>IF(S18&gt;0,S37/S18,0)</f>
        <v/>
      </c>
      <c r="T69" s="19">
        <f>IF(T18&gt;0,T37/T18,0)</f>
        <v/>
      </c>
      <c r="U69" s="19">
        <f>IF(U18&gt;0,U37/U18,0)</f>
        <v/>
      </c>
      <c r="V69" s="19">
        <f>IF(V18&gt;0,V37/V18,0)</f>
        <v/>
      </c>
      <c r="W69" s="19">
        <f>IF(W18&gt;0,W37/W18,0)</f>
        <v/>
      </c>
      <c r="X69" s="19">
        <f>IF(X18&gt;0,X37/X18,0)</f>
        <v/>
      </c>
      <c r="Y69" s="19">
        <f>IF(Y18&gt;0,Y37/Y18,0)</f>
        <v/>
      </c>
      <c r="Z69" s="19">
        <f>IF(Z18&gt;0,Z37/Z18,0)</f>
        <v/>
      </c>
      <c r="AA69" s="19">
        <f>IF(AA18&gt;0,AA37/AA18,0)</f>
        <v/>
      </c>
      <c r="AB69" s="19">
        <f>IF(AB18&gt;0,AB37/AB18,0)</f>
        <v/>
      </c>
      <c r="AC69" s="19">
        <f>IF(AC18&gt;0,AC37/AC18,0)</f>
        <v/>
      </c>
      <c r="AD69" s="19">
        <f>IF(AD18&gt;0,AD37/AD18,0)</f>
        <v/>
      </c>
      <c r="AE69" s="19">
        <f>IF(AE18&gt;0,AE37/AE18,0)</f>
        <v/>
      </c>
      <c r="AF69" s="19">
        <f>IF(AF18&gt;0,AF37/AF18,0)</f>
        <v/>
      </c>
      <c r="AG69" s="19">
        <f>IF(AG18&gt;0,AG37/AG18,0)</f>
        <v/>
      </c>
      <c r="AH69" s="19">
        <f>IF(AH18&gt;0,AH37/AH18,0)</f>
        <v/>
      </c>
      <c r="AI69" s="19">
        <f>IF(AI18&gt;0,AI37/AI18,0)</f>
        <v/>
      </c>
      <c r="AJ69" s="19">
        <f>IF(AJ18&gt;0,AJ37/AJ18,0)</f>
        <v/>
      </c>
      <c r="AK69" s="19">
        <f>IF(AK18&gt;0,AK37/AK18,0)</f>
        <v/>
      </c>
      <c r="AL69" s="19">
        <f>IF(AL18&gt;0,AL37/AL18,0)</f>
        <v/>
      </c>
      <c r="AN69" s="19">
        <f>N69</f>
        <v/>
      </c>
      <c r="AO69" s="19">
        <f>Z69</f>
        <v/>
      </c>
      <c r="AP69" s="19">
        <f>AL69</f>
        <v/>
      </c>
    </row>
    <row r="70">
      <c r="A70" s="9" t="inlineStr">
        <is>
          <t>Marge variable (% du CA HT)</t>
        </is>
      </c>
      <c r="B70" s="4" t="inlineStr">
        <is>
          <t>%</t>
        </is>
      </c>
      <c r="C70" s="17">
        <f>IF(C28&gt;0,C37/C28,0)</f>
        <v/>
      </c>
      <c r="D70" s="17">
        <f>IF(D28&gt;0,D37/D28,0)</f>
        <v/>
      </c>
      <c r="E70" s="17">
        <f>IF(E28&gt;0,E37/E28,0)</f>
        <v/>
      </c>
      <c r="F70" s="17">
        <f>IF(F28&gt;0,F37/F28,0)</f>
        <v/>
      </c>
      <c r="G70" s="17">
        <f>IF(G28&gt;0,G37/G28,0)</f>
        <v/>
      </c>
      <c r="H70" s="17">
        <f>IF(H28&gt;0,H37/H28,0)</f>
        <v/>
      </c>
      <c r="I70" s="17">
        <f>IF(I28&gt;0,I37/I28,0)</f>
        <v/>
      </c>
      <c r="J70" s="17">
        <f>IF(J28&gt;0,J37/J28,0)</f>
        <v/>
      </c>
      <c r="K70" s="17">
        <f>IF(K28&gt;0,K37/K28,0)</f>
        <v/>
      </c>
      <c r="L70" s="17">
        <f>IF(L28&gt;0,L37/L28,0)</f>
        <v/>
      </c>
      <c r="M70" s="17">
        <f>IF(M28&gt;0,M37/M28,0)</f>
        <v/>
      </c>
      <c r="N70" s="17">
        <f>IF(N28&gt;0,N37/N28,0)</f>
        <v/>
      </c>
      <c r="O70" s="17">
        <f>IF(O28&gt;0,O37/O28,0)</f>
        <v/>
      </c>
      <c r="P70" s="17">
        <f>IF(P28&gt;0,P37/P28,0)</f>
        <v/>
      </c>
      <c r="Q70" s="17">
        <f>IF(Q28&gt;0,Q37/Q28,0)</f>
        <v/>
      </c>
      <c r="R70" s="17">
        <f>IF(R28&gt;0,R37/R28,0)</f>
        <v/>
      </c>
      <c r="S70" s="17">
        <f>IF(S28&gt;0,S37/S28,0)</f>
        <v/>
      </c>
      <c r="T70" s="17">
        <f>IF(T28&gt;0,T37/T28,0)</f>
        <v/>
      </c>
      <c r="U70" s="17">
        <f>IF(U28&gt;0,U37/U28,0)</f>
        <v/>
      </c>
      <c r="V70" s="17">
        <f>IF(V28&gt;0,V37/V28,0)</f>
        <v/>
      </c>
      <c r="W70" s="17">
        <f>IF(W28&gt;0,W37/W28,0)</f>
        <v/>
      </c>
      <c r="X70" s="17">
        <f>IF(X28&gt;0,X37/X28,0)</f>
        <v/>
      </c>
      <c r="Y70" s="17">
        <f>IF(Y28&gt;0,Y37/Y28,0)</f>
        <v/>
      </c>
      <c r="Z70" s="17">
        <f>IF(Z28&gt;0,Z37/Z28,0)</f>
        <v/>
      </c>
      <c r="AA70" s="17">
        <f>IF(AA28&gt;0,AA37/AA28,0)</f>
        <v/>
      </c>
      <c r="AB70" s="17">
        <f>IF(AB28&gt;0,AB37/AB28,0)</f>
        <v/>
      </c>
      <c r="AC70" s="17">
        <f>IF(AC28&gt;0,AC37/AC28,0)</f>
        <v/>
      </c>
      <c r="AD70" s="17">
        <f>IF(AD28&gt;0,AD37/AD28,0)</f>
        <v/>
      </c>
      <c r="AE70" s="17">
        <f>IF(AE28&gt;0,AE37/AE28,0)</f>
        <v/>
      </c>
      <c r="AF70" s="17">
        <f>IF(AF28&gt;0,AF37/AF28,0)</f>
        <v/>
      </c>
      <c r="AG70" s="17">
        <f>IF(AG28&gt;0,AG37/AG28,0)</f>
        <v/>
      </c>
      <c r="AH70" s="17">
        <f>IF(AH28&gt;0,AH37/AH28,0)</f>
        <v/>
      </c>
      <c r="AI70" s="17">
        <f>IF(AI28&gt;0,AI37/AI28,0)</f>
        <v/>
      </c>
      <c r="AJ70" s="17">
        <f>IF(AJ28&gt;0,AJ37/AJ28,0)</f>
        <v/>
      </c>
      <c r="AK70" s="17">
        <f>IF(AK28&gt;0,AK37/AK28,0)</f>
        <v/>
      </c>
      <c r="AL70" s="17">
        <f>IF(AL28&gt;0,AL37/AL28,0)</f>
        <v/>
      </c>
      <c r="AN70" s="17">
        <f>N70</f>
        <v/>
      </c>
      <c r="AO70" s="17">
        <f>Z70</f>
        <v/>
      </c>
      <c r="AP70" s="17">
        <f>AL70</f>
        <v/>
      </c>
    </row>
    <row r="71">
      <c r="A71" s="9" t="inlineStr">
        <is>
          <t>CAC effectif</t>
        </is>
      </c>
      <c r="B71" s="4" t="inlineStr">
        <is>
          <t>€</t>
        </is>
      </c>
      <c r="C71" s="15">
        <f>IF(C14&gt;0,C39/C14,0)</f>
        <v/>
      </c>
      <c r="D71" s="15">
        <f>IF(D14&gt;0,D39/D14,0)</f>
        <v/>
      </c>
      <c r="E71" s="15">
        <f>IF(E14&gt;0,E39/E14,0)</f>
        <v/>
      </c>
      <c r="F71" s="15">
        <f>IF(F14&gt;0,F39/F14,0)</f>
        <v/>
      </c>
      <c r="G71" s="15">
        <f>IF(G14&gt;0,G39/G14,0)</f>
        <v/>
      </c>
      <c r="H71" s="15">
        <f>IF(H14&gt;0,H39/H14,0)</f>
        <v/>
      </c>
      <c r="I71" s="15">
        <f>IF(I14&gt;0,I39/I14,0)</f>
        <v/>
      </c>
      <c r="J71" s="15">
        <f>IF(J14&gt;0,J39/J14,0)</f>
        <v/>
      </c>
      <c r="K71" s="15">
        <f>IF(K14&gt;0,K39/K14,0)</f>
        <v/>
      </c>
      <c r="L71" s="15">
        <f>IF(L14&gt;0,L39/L14,0)</f>
        <v/>
      </c>
      <c r="M71" s="15">
        <f>IF(M14&gt;0,M39/M14,0)</f>
        <v/>
      </c>
      <c r="N71" s="15">
        <f>IF(N14&gt;0,N39/N14,0)</f>
        <v/>
      </c>
      <c r="O71" s="15">
        <f>IF(O14&gt;0,O39/O14,0)</f>
        <v/>
      </c>
      <c r="P71" s="15">
        <f>IF(P14&gt;0,P39/P14,0)</f>
        <v/>
      </c>
      <c r="Q71" s="15">
        <f>IF(Q14&gt;0,Q39/Q14,0)</f>
        <v/>
      </c>
      <c r="R71" s="15">
        <f>IF(R14&gt;0,R39/R14,0)</f>
        <v/>
      </c>
      <c r="S71" s="15">
        <f>IF(S14&gt;0,S39/S14,0)</f>
        <v/>
      </c>
      <c r="T71" s="15">
        <f>IF(T14&gt;0,T39/T14,0)</f>
        <v/>
      </c>
      <c r="U71" s="15">
        <f>IF(U14&gt;0,U39/U14,0)</f>
        <v/>
      </c>
      <c r="V71" s="15">
        <f>IF(V14&gt;0,V39/V14,0)</f>
        <v/>
      </c>
      <c r="W71" s="15">
        <f>IF(W14&gt;0,W39/W14,0)</f>
        <v/>
      </c>
      <c r="X71" s="15">
        <f>IF(X14&gt;0,X39/X14,0)</f>
        <v/>
      </c>
      <c r="Y71" s="15">
        <f>IF(Y14&gt;0,Y39/Y14,0)</f>
        <v/>
      </c>
      <c r="Z71" s="15">
        <f>IF(Z14&gt;0,Z39/Z14,0)</f>
        <v/>
      </c>
      <c r="AA71" s="15">
        <f>IF(AA14&gt;0,AA39/AA14,0)</f>
        <v/>
      </c>
      <c r="AB71" s="15">
        <f>IF(AB14&gt;0,AB39/AB14,0)</f>
        <v/>
      </c>
      <c r="AC71" s="15">
        <f>IF(AC14&gt;0,AC39/AC14,0)</f>
        <v/>
      </c>
      <c r="AD71" s="15">
        <f>IF(AD14&gt;0,AD39/AD14,0)</f>
        <v/>
      </c>
      <c r="AE71" s="15">
        <f>IF(AE14&gt;0,AE39/AE14,0)</f>
        <v/>
      </c>
      <c r="AF71" s="15">
        <f>IF(AF14&gt;0,AF39/AF14,0)</f>
        <v/>
      </c>
      <c r="AG71" s="15">
        <f>IF(AG14&gt;0,AG39/AG14,0)</f>
        <v/>
      </c>
      <c r="AH71" s="15">
        <f>IF(AH14&gt;0,AH39/AH14,0)</f>
        <v/>
      </c>
      <c r="AI71" s="15">
        <f>IF(AI14&gt;0,AI39/AI14,0)</f>
        <v/>
      </c>
      <c r="AJ71" s="15">
        <f>IF(AJ14&gt;0,AJ39/AJ14,0)</f>
        <v/>
      </c>
      <c r="AK71" s="15">
        <f>IF(AK14&gt;0,AK39/AK14,0)</f>
        <v/>
      </c>
      <c r="AL71" s="15">
        <f>IF(AL14&gt;0,AL39/AL14,0)</f>
        <v/>
      </c>
      <c r="AN71" s="15">
        <f>N71</f>
        <v/>
      </c>
      <c r="AO71" s="15">
        <f>Z71</f>
        <v/>
      </c>
      <c r="AP71" s="15">
        <f>AL71</f>
        <v/>
      </c>
    </row>
    <row r="72">
      <c r="A72" s="9" t="inlineStr">
        <is>
          <t>Payback du CAC (mois)</t>
        </is>
      </c>
      <c r="B72" s="4" t="inlineStr">
        <is>
          <t>mois</t>
        </is>
      </c>
      <c r="C72" s="38">
        <f>IF(C69&gt;0,Hypothèses!$D$23*$E$4/C69,0)</f>
        <v/>
      </c>
      <c r="D72" s="38">
        <f>IF(D69&gt;0,Hypothèses!$D$23*$E$4/D69,0)</f>
        <v/>
      </c>
      <c r="E72" s="38">
        <f>IF(E69&gt;0,Hypothèses!$D$23*$E$4/E69,0)</f>
        <v/>
      </c>
      <c r="F72" s="38">
        <f>IF(F69&gt;0,Hypothèses!$D$23*$E$4/F69,0)</f>
        <v/>
      </c>
      <c r="G72" s="38">
        <f>IF(G69&gt;0,Hypothèses!$D$23*$E$4/G69,0)</f>
        <v/>
      </c>
      <c r="H72" s="38">
        <f>IF(H69&gt;0,Hypothèses!$D$23*$E$4/H69,0)</f>
        <v/>
      </c>
      <c r="I72" s="38">
        <f>IF(I69&gt;0,Hypothèses!$D$23*$E$4/I69,0)</f>
        <v/>
      </c>
      <c r="J72" s="38">
        <f>IF(J69&gt;0,Hypothèses!$D$23*$E$4/J69,0)</f>
        <v/>
      </c>
      <c r="K72" s="38">
        <f>IF(K69&gt;0,Hypothèses!$D$23*$E$4/K69,0)</f>
        <v/>
      </c>
      <c r="L72" s="38">
        <f>IF(L69&gt;0,Hypothèses!$D$23*$E$4/L69,0)</f>
        <v/>
      </c>
      <c r="M72" s="38">
        <f>IF(M69&gt;0,Hypothèses!$D$23*$E$4/M69,0)</f>
        <v/>
      </c>
      <c r="N72" s="38">
        <f>IF(N69&gt;0,Hypothèses!$D$23*$E$4/N69,0)</f>
        <v/>
      </c>
      <c r="O72" s="38">
        <f>IF(O69&gt;0,Hypothèses!$D$23*$E$4/O69,0)</f>
        <v/>
      </c>
      <c r="P72" s="38">
        <f>IF(P69&gt;0,Hypothèses!$D$23*$E$4/P69,0)</f>
        <v/>
      </c>
      <c r="Q72" s="38">
        <f>IF(Q69&gt;0,Hypothèses!$D$23*$E$4/Q69,0)</f>
        <v/>
      </c>
      <c r="R72" s="38">
        <f>IF(R69&gt;0,Hypothèses!$D$23*$E$4/R69,0)</f>
        <v/>
      </c>
      <c r="S72" s="38">
        <f>IF(S69&gt;0,Hypothèses!$D$23*$E$4/S69,0)</f>
        <v/>
      </c>
      <c r="T72" s="38">
        <f>IF(T69&gt;0,Hypothèses!$D$23*$E$4/T69,0)</f>
        <v/>
      </c>
      <c r="U72" s="38">
        <f>IF(U69&gt;0,Hypothèses!$D$23*$E$4/U69,0)</f>
        <v/>
      </c>
      <c r="V72" s="38">
        <f>IF(V69&gt;0,Hypothèses!$D$23*$E$4/V69,0)</f>
        <v/>
      </c>
      <c r="W72" s="38">
        <f>IF(W69&gt;0,Hypothèses!$D$23*$E$4/W69,0)</f>
        <v/>
      </c>
      <c r="X72" s="38">
        <f>IF(X69&gt;0,Hypothèses!$D$23*$E$4/X69,0)</f>
        <v/>
      </c>
      <c r="Y72" s="38">
        <f>IF(Y69&gt;0,Hypothèses!$D$23*$E$4/Y69,0)</f>
        <v/>
      </c>
      <c r="Z72" s="38">
        <f>IF(Z69&gt;0,Hypothèses!$D$23*$E$4/Z69,0)</f>
        <v/>
      </c>
      <c r="AA72" s="38">
        <f>IF(AA69&gt;0,Hypothèses!$D$23*$E$4/AA69,0)</f>
        <v/>
      </c>
      <c r="AB72" s="38">
        <f>IF(AB69&gt;0,Hypothèses!$D$23*$E$4/AB69,0)</f>
        <v/>
      </c>
      <c r="AC72" s="38">
        <f>IF(AC69&gt;0,Hypothèses!$D$23*$E$4/AC69,0)</f>
        <v/>
      </c>
      <c r="AD72" s="38">
        <f>IF(AD69&gt;0,Hypothèses!$D$23*$E$4/AD69,0)</f>
        <v/>
      </c>
      <c r="AE72" s="38">
        <f>IF(AE69&gt;0,Hypothèses!$D$23*$E$4/AE69,0)</f>
        <v/>
      </c>
      <c r="AF72" s="38">
        <f>IF(AF69&gt;0,Hypothèses!$D$23*$E$4/AF69,0)</f>
        <v/>
      </c>
      <c r="AG72" s="38">
        <f>IF(AG69&gt;0,Hypothèses!$D$23*$E$4/AG69,0)</f>
        <v/>
      </c>
      <c r="AH72" s="38">
        <f>IF(AH69&gt;0,Hypothèses!$D$23*$E$4/AH69,0)</f>
        <v/>
      </c>
      <c r="AI72" s="38">
        <f>IF(AI69&gt;0,Hypothèses!$D$23*$E$4/AI69,0)</f>
        <v/>
      </c>
      <c r="AJ72" s="38">
        <f>IF(AJ69&gt;0,Hypothèses!$D$23*$E$4/AJ69,0)</f>
        <v/>
      </c>
      <c r="AK72" s="38">
        <f>IF(AK69&gt;0,Hypothèses!$D$23*$E$4/AK69,0)</f>
        <v/>
      </c>
      <c r="AL72" s="38">
        <f>IF(AL69&gt;0,Hypothèses!$D$23*$E$4/AL69,0)</f>
        <v/>
      </c>
      <c r="AN72" s="38">
        <f>N72</f>
        <v/>
      </c>
      <c r="AO72" s="38">
        <f>Z72</f>
        <v/>
      </c>
      <c r="AP72" s="38">
        <f>AL72</f>
        <v/>
      </c>
    </row>
    <row r="73">
      <c r="A73" s="9" t="inlineStr">
        <is>
          <t>LTV contributive simplifiée (contribution / churn)</t>
        </is>
      </c>
      <c r="B73" s="4" t="inlineStr">
        <is>
          <t>€ HT</t>
        </is>
      </c>
      <c r="C73" s="15">
        <f>IF(Hypothèses!$D$26*$D$4&gt;0,C69/(Hypothèses!$D$26*$D$4),0)</f>
        <v/>
      </c>
      <c r="D73" s="15">
        <f>IF(Hypothèses!$D$26*$D$4&gt;0,D69/(Hypothèses!$D$26*$D$4),0)</f>
        <v/>
      </c>
      <c r="E73" s="15">
        <f>IF(Hypothèses!$D$26*$D$4&gt;0,E69/(Hypothèses!$D$26*$D$4),0)</f>
        <v/>
      </c>
      <c r="F73" s="15">
        <f>IF(Hypothèses!$D$26*$D$4&gt;0,F69/(Hypothèses!$D$26*$D$4),0)</f>
        <v/>
      </c>
      <c r="G73" s="15">
        <f>IF(Hypothèses!$D$26*$D$4&gt;0,G69/(Hypothèses!$D$26*$D$4),0)</f>
        <v/>
      </c>
      <c r="H73" s="15">
        <f>IF(Hypothèses!$D$26*$D$4&gt;0,H69/(Hypothèses!$D$26*$D$4),0)</f>
        <v/>
      </c>
      <c r="I73" s="15">
        <f>IF(Hypothèses!$D$26*$D$4&gt;0,I69/(Hypothèses!$D$26*$D$4),0)</f>
        <v/>
      </c>
      <c r="J73" s="15">
        <f>IF(Hypothèses!$D$26*$D$4&gt;0,J69/(Hypothèses!$D$26*$D$4),0)</f>
        <v/>
      </c>
      <c r="K73" s="15">
        <f>IF(Hypothèses!$D$26*$D$4&gt;0,K69/(Hypothèses!$D$26*$D$4),0)</f>
        <v/>
      </c>
      <c r="L73" s="15">
        <f>IF(Hypothèses!$D$26*$D$4&gt;0,L69/(Hypothèses!$D$26*$D$4),0)</f>
        <v/>
      </c>
      <c r="M73" s="15">
        <f>IF(Hypothèses!$D$26*$D$4&gt;0,M69/(Hypothèses!$D$26*$D$4),0)</f>
        <v/>
      </c>
      <c r="N73" s="15">
        <f>IF(Hypothèses!$D$26*$D$4&gt;0,N69/(Hypothèses!$D$26*$D$4),0)</f>
        <v/>
      </c>
      <c r="O73" s="15">
        <f>IF(Hypothèses!$D$26*$D$4&gt;0,O69/(Hypothèses!$D$26*$D$4),0)</f>
        <v/>
      </c>
      <c r="P73" s="15">
        <f>IF(Hypothèses!$D$26*$D$4&gt;0,P69/(Hypothèses!$D$26*$D$4),0)</f>
        <v/>
      </c>
      <c r="Q73" s="15">
        <f>IF(Hypothèses!$D$26*$D$4&gt;0,Q69/(Hypothèses!$D$26*$D$4),0)</f>
        <v/>
      </c>
      <c r="R73" s="15">
        <f>IF(Hypothèses!$D$26*$D$4&gt;0,R69/(Hypothèses!$D$26*$D$4),0)</f>
        <v/>
      </c>
      <c r="S73" s="15">
        <f>IF(Hypothèses!$D$26*$D$4&gt;0,S69/(Hypothèses!$D$26*$D$4),0)</f>
        <v/>
      </c>
      <c r="T73" s="15">
        <f>IF(Hypothèses!$D$26*$D$4&gt;0,T69/(Hypothèses!$D$26*$D$4),0)</f>
        <v/>
      </c>
      <c r="U73" s="15">
        <f>IF(Hypothèses!$D$26*$D$4&gt;0,U69/(Hypothèses!$D$26*$D$4),0)</f>
        <v/>
      </c>
      <c r="V73" s="15">
        <f>IF(Hypothèses!$D$26*$D$4&gt;0,V69/(Hypothèses!$D$26*$D$4),0)</f>
        <v/>
      </c>
      <c r="W73" s="15">
        <f>IF(Hypothèses!$D$26*$D$4&gt;0,W69/(Hypothèses!$D$26*$D$4),0)</f>
        <v/>
      </c>
      <c r="X73" s="15">
        <f>IF(Hypothèses!$D$26*$D$4&gt;0,X69/(Hypothèses!$D$26*$D$4),0)</f>
        <v/>
      </c>
      <c r="Y73" s="15">
        <f>IF(Hypothèses!$D$26*$D$4&gt;0,Y69/(Hypothèses!$D$26*$D$4),0)</f>
        <v/>
      </c>
      <c r="Z73" s="15">
        <f>IF(Hypothèses!$D$26*$D$4&gt;0,Z69/(Hypothèses!$D$26*$D$4),0)</f>
        <v/>
      </c>
      <c r="AA73" s="15">
        <f>IF(Hypothèses!$D$26*$D$4&gt;0,AA69/(Hypothèses!$D$26*$D$4),0)</f>
        <v/>
      </c>
      <c r="AB73" s="15">
        <f>IF(Hypothèses!$D$26*$D$4&gt;0,AB69/(Hypothèses!$D$26*$D$4),0)</f>
        <v/>
      </c>
      <c r="AC73" s="15">
        <f>IF(Hypothèses!$D$26*$D$4&gt;0,AC69/(Hypothèses!$D$26*$D$4),0)</f>
        <v/>
      </c>
      <c r="AD73" s="15">
        <f>IF(Hypothèses!$D$26*$D$4&gt;0,AD69/(Hypothèses!$D$26*$D$4),0)</f>
        <v/>
      </c>
      <c r="AE73" s="15">
        <f>IF(Hypothèses!$D$26*$D$4&gt;0,AE69/(Hypothèses!$D$26*$D$4),0)</f>
        <v/>
      </c>
      <c r="AF73" s="15">
        <f>IF(Hypothèses!$D$26*$D$4&gt;0,AF69/(Hypothèses!$D$26*$D$4),0)</f>
        <v/>
      </c>
      <c r="AG73" s="15">
        <f>IF(Hypothèses!$D$26*$D$4&gt;0,AG69/(Hypothèses!$D$26*$D$4),0)</f>
        <v/>
      </c>
      <c r="AH73" s="15">
        <f>IF(Hypothèses!$D$26*$D$4&gt;0,AH69/(Hypothèses!$D$26*$D$4),0)</f>
        <v/>
      </c>
      <c r="AI73" s="15">
        <f>IF(Hypothèses!$D$26*$D$4&gt;0,AI69/(Hypothèses!$D$26*$D$4),0)</f>
        <v/>
      </c>
      <c r="AJ73" s="15">
        <f>IF(Hypothèses!$D$26*$D$4&gt;0,AJ69/(Hypothèses!$D$26*$D$4),0)</f>
        <v/>
      </c>
      <c r="AK73" s="15">
        <f>IF(Hypothèses!$D$26*$D$4&gt;0,AK69/(Hypothèses!$D$26*$D$4),0)</f>
        <v/>
      </c>
      <c r="AL73" s="15">
        <f>IF(Hypothèses!$D$26*$D$4&gt;0,AL69/(Hypothèses!$D$26*$D$4),0)</f>
        <v/>
      </c>
      <c r="AN73" s="15">
        <f>N73</f>
        <v/>
      </c>
      <c r="AO73" s="15">
        <f>Z73</f>
        <v/>
      </c>
      <c r="AP73" s="15">
        <f>AL73</f>
        <v/>
      </c>
    </row>
    <row r="74">
      <c r="A74" s="9" t="inlineStr">
        <is>
          <t>LTV / CAC</t>
        </is>
      </c>
      <c r="B74" s="4" t="inlineStr">
        <is>
          <t>x</t>
        </is>
      </c>
      <c r="C74" s="41">
        <f>IF(Hypothèses!$D$23*$E$4&gt;0,C73/(Hypothèses!$D$23*$E$4),0)</f>
        <v/>
      </c>
      <c r="D74" s="41">
        <f>IF(Hypothèses!$D$23*$E$4&gt;0,D73/(Hypothèses!$D$23*$E$4),0)</f>
        <v/>
      </c>
      <c r="E74" s="41">
        <f>IF(Hypothèses!$D$23*$E$4&gt;0,E73/(Hypothèses!$D$23*$E$4),0)</f>
        <v/>
      </c>
      <c r="F74" s="41">
        <f>IF(Hypothèses!$D$23*$E$4&gt;0,F73/(Hypothèses!$D$23*$E$4),0)</f>
        <v/>
      </c>
      <c r="G74" s="41">
        <f>IF(Hypothèses!$D$23*$E$4&gt;0,G73/(Hypothèses!$D$23*$E$4),0)</f>
        <v/>
      </c>
      <c r="H74" s="41">
        <f>IF(Hypothèses!$D$23*$E$4&gt;0,H73/(Hypothèses!$D$23*$E$4),0)</f>
        <v/>
      </c>
      <c r="I74" s="41">
        <f>IF(Hypothèses!$D$23*$E$4&gt;0,I73/(Hypothèses!$D$23*$E$4),0)</f>
        <v/>
      </c>
      <c r="J74" s="41">
        <f>IF(Hypothèses!$D$23*$E$4&gt;0,J73/(Hypothèses!$D$23*$E$4),0)</f>
        <v/>
      </c>
      <c r="K74" s="41">
        <f>IF(Hypothèses!$D$23*$E$4&gt;0,K73/(Hypothèses!$D$23*$E$4),0)</f>
        <v/>
      </c>
      <c r="L74" s="41">
        <f>IF(Hypothèses!$D$23*$E$4&gt;0,L73/(Hypothèses!$D$23*$E$4),0)</f>
        <v/>
      </c>
      <c r="M74" s="41">
        <f>IF(Hypothèses!$D$23*$E$4&gt;0,M73/(Hypothèses!$D$23*$E$4),0)</f>
        <v/>
      </c>
      <c r="N74" s="41">
        <f>IF(Hypothèses!$D$23*$E$4&gt;0,N73/(Hypothèses!$D$23*$E$4),0)</f>
        <v/>
      </c>
      <c r="O74" s="41">
        <f>IF(Hypothèses!$D$23*$E$4&gt;0,O73/(Hypothèses!$D$23*$E$4),0)</f>
        <v/>
      </c>
      <c r="P74" s="41">
        <f>IF(Hypothèses!$D$23*$E$4&gt;0,P73/(Hypothèses!$D$23*$E$4),0)</f>
        <v/>
      </c>
      <c r="Q74" s="41">
        <f>IF(Hypothèses!$D$23*$E$4&gt;0,Q73/(Hypothèses!$D$23*$E$4),0)</f>
        <v/>
      </c>
      <c r="R74" s="41">
        <f>IF(Hypothèses!$D$23*$E$4&gt;0,R73/(Hypothèses!$D$23*$E$4),0)</f>
        <v/>
      </c>
      <c r="S74" s="41">
        <f>IF(Hypothèses!$D$23*$E$4&gt;0,S73/(Hypothèses!$D$23*$E$4),0)</f>
        <v/>
      </c>
      <c r="T74" s="41">
        <f>IF(Hypothèses!$D$23*$E$4&gt;0,T73/(Hypothèses!$D$23*$E$4),0)</f>
        <v/>
      </c>
      <c r="U74" s="41">
        <f>IF(Hypothèses!$D$23*$E$4&gt;0,U73/(Hypothèses!$D$23*$E$4),0)</f>
        <v/>
      </c>
      <c r="V74" s="41">
        <f>IF(Hypothèses!$D$23*$E$4&gt;0,V73/(Hypothèses!$D$23*$E$4),0)</f>
        <v/>
      </c>
      <c r="W74" s="41">
        <f>IF(Hypothèses!$D$23*$E$4&gt;0,W73/(Hypothèses!$D$23*$E$4),0)</f>
        <v/>
      </c>
      <c r="X74" s="41">
        <f>IF(Hypothèses!$D$23*$E$4&gt;0,X73/(Hypothèses!$D$23*$E$4),0)</f>
        <v/>
      </c>
      <c r="Y74" s="41">
        <f>IF(Hypothèses!$D$23*$E$4&gt;0,Y73/(Hypothèses!$D$23*$E$4),0)</f>
        <v/>
      </c>
      <c r="Z74" s="41">
        <f>IF(Hypothèses!$D$23*$E$4&gt;0,Z73/(Hypothèses!$D$23*$E$4),0)</f>
        <v/>
      </c>
      <c r="AA74" s="41">
        <f>IF(Hypothèses!$D$23*$E$4&gt;0,AA73/(Hypothèses!$D$23*$E$4),0)</f>
        <v/>
      </c>
      <c r="AB74" s="41">
        <f>IF(Hypothèses!$D$23*$E$4&gt;0,AB73/(Hypothèses!$D$23*$E$4),0)</f>
        <v/>
      </c>
      <c r="AC74" s="41">
        <f>IF(Hypothèses!$D$23*$E$4&gt;0,AC73/(Hypothèses!$D$23*$E$4),0)</f>
        <v/>
      </c>
      <c r="AD74" s="41">
        <f>IF(Hypothèses!$D$23*$E$4&gt;0,AD73/(Hypothèses!$D$23*$E$4),0)</f>
        <v/>
      </c>
      <c r="AE74" s="41">
        <f>IF(Hypothèses!$D$23*$E$4&gt;0,AE73/(Hypothèses!$D$23*$E$4),0)</f>
        <v/>
      </c>
      <c r="AF74" s="41">
        <f>IF(Hypothèses!$D$23*$E$4&gt;0,AF73/(Hypothèses!$D$23*$E$4),0)</f>
        <v/>
      </c>
      <c r="AG74" s="41">
        <f>IF(Hypothèses!$D$23*$E$4&gt;0,AG73/(Hypothèses!$D$23*$E$4),0)</f>
        <v/>
      </c>
      <c r="AH74" s="41">
        <f>IF(Hypothèses!$D$23*$E$4&gt;0,AH73/(Hypothèses!$D$23*$E$4),0)</f>
        <v/>
      </c>
      <c r="AI74" s="41">
        <f>IF(Hypothèses!$D$23*$E$4&gt;0,AI73/(Hypothèses!$D$23*$E$4),0)</f>
        <v/>
      </c>
      <c r="AJ74" s="41">
        <f>IF(Hypothèses!$D$23*$E$4&gt;0,AJ73/(Hypothèses!$D$23*$E$4),0)</f>
        <v/>
      </c>
      <c r="AK74" s="41">
        <f>IF(Hypothèses!$D$23*$E$4&gt;0,AK73/(Hypothèses!$D$23*$E$4),0)</f>
        <v/>
      </c>
      <c r="AL74" s="41">
        <f>IF(Hypothèses!$D$23*$E$4&gt;0,AL73/(Hypothèses!$D$23*$E$4),0)</f>
        <v/>
      </c>
      <c r="AN74" s="41">
        <f>N74</f>
        <v/>
      </c>
      <c r="AO74" s="41">
        <f>Z74</f>
        <v/>
      </c>
      <c r="AP74" s="41">
        <f>AL74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E4DDD2"/>
    <outlinePr summaryBelow="1" summaryRight="1"/>
    <pageSetUpPr/>
  </sheetPr>
  <dimension ref="A1:AP7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40" max="40"/>
    <col width="13" customWidth="1" min="41" max="41"/>
    <col width="13" customWidth="1" min="42" max="42"/>
  </cols>
  <sheetData>
    <row r="1">
      <c r="A1" s="1" t="inlineStr">
        <is>
          <t>Sensibilité S09 : Lancement +3 mois (copie du Central)</t>
        </is>
      </c>
    </row>
    <row r="2">
      <c r="A2" s="4" t="inlineStr">
        <is>
          <t>Flux en € HT sauf mention TTC. Formules vivantes ; ne saisir que dans l'onglet Hypothèses et la ligne de chocs ci-dessous.</t>
        </is>
      </c>
    </row>
    <row r="3">
      <c r="A3" s="2" t="inlineStr">
        <is>
          <t>Chocs de sensibilité (1 = aucun ; retard en mois)</t>
        </is>
      </c>
      <c r="C3" s="33" t="inlineStr">
        <is>
          <t>Prix ×</t>
        </is>
      </c>
      <c r="D3" s="33" t="inlineStr">
        <is>
          <t>Churn ×</t>
        </is>
      </c>
      <c r="E3" s="33" t="inlineStr">
        <is>
          <t>CAC ×</t>
        </is>
      </c>
      <c r="F3" s="33" t="inlineStr">
        <is>
          <t>Coût IA ×</t>
        </is>
      </c>
      <c r="G3" s="33" t="inlineStr">
        <is>
          <t>Coûts fixes ×</t>
        </is>
      </c>
      <c r="H3" s="33" t="inlineStr">
        <is>
          <t>Retard lancement (mois)</t>
        </is>
      </c>
    </row>
    <row r="4">
      <c r="C4" s="34" t="n">
        <v>1</v>
      </c>
      <c r="D4" s="34" t="n">
        <v>1</v>
      </c>
      <c r="E4" s="34" t="n">
        <v>1</v>
      </c>
      <c r="F4" s="34" t="n">
        <v>1</v>
      </c>
      <c r="G4" s="34" t="n">
        <v>1</v>
      </c>
      <c r="H4" s="35" t="n">
        <v>3</v>
      </c>
    </row>
    <row r="5">
      <c r="A5" s="2" t="inlineStr">
        <is>
          <t>Mois de lancement effectif</t>
        </is>
      </c>
      <c r="B5" s="22">
        <f>Hypothèses!$D$10+$H$4</f>
        <v/>
      </c>
    </row>
    <row r="6">
      <c r="A6" s="28" t="inlineStr">
        <is>
          <t>Ligne</t>
        </is>
      </c>
      <c r="B6" s="28" t="inlineStr">
        <is>
          <t>Unité</t>
        </is>
      </c>
      <c r="C6" s="36" t="inlineStr">
        <is>
          <t>M1</t>
        </is>
      </c>
      <c r="D6" s="36" t="inlineStr">
        <is>
          <t>M2</t>
        </is>
      </c>
      <c r="E6" s="36" t="inlineStr">
        <is>
          <t>M3</t>
        </is>
      </c>
      <c r="F6" s="36" t="inlineStr">
        <is>
          <t>M4</t>
        </is>
      </c>
      <c r="G6" s="36" t="inlineStr">
        <is>
          <t>M5</t>
        </is>
      </c>
      <c r="H6" s="36" t="inlineStr">
        <is>
          <t>M6</t>
        </is>
      </c>
      <c r="I6" s="36" t="inlineStr">
        <is>
          <t>M7</t>
        </is>
      </c>
      <c r="J6" s="36" t="inlineStr">
        <is>
          <t>M8</t>
        </is>
      </c>
      <c r="K6" s="36" t="inlineStr">
        <is>
          <t>M9</t>
        </is>
      </c>
      <c r="L6" s="36" t="inlineStr">
        <is>
          <t>M10</t>
        </is>
      </c>
      <c r="M6" s="36" t="inlineStr">
        <is>
          <t>M11</t>
        </is>
      </c>
      <c r="N6" s="36" t="inlineStr">
        <is>
          <t>M12</t>
        </is>
      </c>
      <c r="O6" s="36" t="inlineStr">
        <is>
          <t>M13</t>
        </is>
      </c>
      <c r="P6" s="36" t="inlineStr">
        <is>
          <t>M14</t>
        </is>
      </c>
      <c r="Q6" s="36" t="inlineStr">
        <is>
          <t>M15</t>
        </is>
      </c>
      <c r="R6" s="36" t="inlineStr">
        <is>
          <t>M16</t>
        </is>
      </c>
      <c r="S6" s="36" t="inlineStr">
        <is>
          <t>M17</t>
        </is>
      </c>
      <c r="T6" s="36" t="inlineStr">
        <is>
          <t>M18</t>
        </is>
      </c>
      <c r="U6" s="36" t="inlineStr">
        <is>
          <t>M19</t>
        </is>
      </c>
      <c r="V6" s="36" t="inlineStr">
        <is>
          <t>M20</t>
        </is>
      </c>
      <c r="W6" s="36" t="inlineStr">
        <is>
          <t>M21</t>
        </is>
      </c>
      <c r="X6" s="36" t="inlineStr">
        <is>
          <t>M22</t>
        </is>
      </c>
      <c r="Y6" s="36" t="inlineStr">
        <is>
          <t>M23</t>
        </is>
      </c>
      <c r="Z6" s="36" t="inlineStr">
        <is>
          <t>M24</t>
        </is>
      </c>
      <c r="AA6" s="36" t="inlineStr">
        <is>
          <t>M25</t>
        </is>
      </c>
      <c r="AB6" s="36" t="inlineStr">
        <is>
          <t>M26</t>
        </is>
      </c>
      <c r="AC6" s="36" t="inlineStr">
        <is>
          <t>M27</t>
        </is>
      </c>
      <c r="AD6" s="36" t="inlineStr">
        <is>
          <t>M28</t>
        </is>
      </c>
      <c r="AE6" s="36" t="inlineStr">
        <is>
          <t>M29</t>
        </is>
      </c>
      <c r="AF6" s="36" t="inlineStr">
        <is>
          <t>M30</t>
        </is>
      </c>
      <c r="AG6" s="36" t="inlineStr">
        <is>
          <t>M31</t>
        </is>
      </c>
      <c r="AH6" s="36" t="inlineStr">
        <is>
          <t>M32</t>
        </is>
      </c>
      <c r="AI6" s="36" t="inlineStr">
        <is>
          <t>M33</t>
        </is>
      </c>
      <c r="AJ6" s="36" t="inlineStr">
        <is>
          <t>M34</t>
        </is>
      </c>
      <c r="AK6" s="36" t="inlineStr">
        <is>
          <t>M35</t>
        </is>
      </c>
      <c r="AL6" s="36" t="inlineStr">
        <is>
          <t>M36</t>
        </is>
      </c>
      <c r="AN6" s="37" t="inlineStr">
        <is>
          <t>Année 1</t>
        </is>
      </c>
      <c r="AO6" s="37" t="inlineStr">
        <is>
          <t>Année 2</t>
        </is>
      </c>
      <c r="AP6" s="37" t="inlineStr">
        <is>
          <t>Année 3</t>
        </is>
      </c>
    </row>
    <row r="7">
      <c r="A7" s="9" t="inlineStr">
        <is>
          <t>Mois</t>
        </is>
      </c>
      <c r="B7" s="4" t="inlineStr">
        <is>
          <t>n°</t>
        </is>
      </c>
      <c r="C7" s="13" t="n">
        <v>1</v>
      </c>
      <c r="D7" s="13" t="n">
        <v>2</v>
      </c>
      <c r="E7" s="13" t="n">
        <v>3</v>
      </c>
      <c r="F7" s="13" t="n">
        <v>4</v>
      </c>
      <c r="G7" s="13" t="n">
        <v>5</v>
      </c>
      <c r="H7" s="13" t="n">
        <v>6</v>
      </c>
      <c r="I7" s="13" t="n">
        <v>7</v>
      </c>
      <c r="J7" s="13" t="n">
        <v>8</v>
      </c>
      <c r="K7" s="13" t="n">
        <v>9</v>
      </c>
      <c r="L7" s="13" t="n">
        <v>10</v>
      </c>
      <c r="M7" s="13" t="n">
        <v>11</v>
      </c>
      <c r="N7" s="13" t="n">
        <v>12</v>
      </c>
      <c r="O7" s="13" t="n">
        <v>13</v>
      </c>
      <c r="P7" s="13" t="n">
        <v>14</v>
      </c>
      <c r="Q7" s="13" t="n">
        <v>15</v>
      </c>
      <c r="R7" s="13" t="n">
        <v>16</v>
      </c>
      <c r="S7" s="13" t="n">
        <v>17</v>
      </c>
      <c r="T7" s="13" t="n">
        <v>18</v>
      </c>
      <c r="U7" s="13" t="n">
        <v>19</v>
      </c>
      <c r="V7" s="13" t="n">
        <v>20</v>
      </c>
      <c r="W7" s="13" t="n">
        <v>21</v>
      </c>
      <c r="X7" s="13" t="n">
        <v>22</v>
      </c>
      <c r="Y7" s="13" t="n">
        <v>23</v>
      </c>
      <c r="Z7" s="13" t="n">
        <v>24</v>
      </c>
      <c r="AA7" s="13" t="n">
        <v>25</v>
      </c>
      <c r="AB7" s="13" t="n">
        <v>26</v>
      </c>
      <c r="AC7" s="13" t="n">
        <v>27</v>
      </c>
      <c r="AD7" s="13" t="n">
        <v>28</v>
      </c>
      <c r="AE7" s="13" t="n">
        <v>29</v>
      </c>
      <c r="AF7" s="13" t="n">
        <v>30</v>
      </c>
      <c r="AG7" s="13" t="n">
        <v>31</v>
      </c>
      <c r="AH7" s="13" t="n">
        <v>32</v>
      </c>
      <c r="AI7" s="13" t="n">
        <v>33</v>
      </c>
      <c r="AJ7" s="13" t="n">
        <v>34</v>
      </c>
      <c r="AK7" s="13" t="n">
        <v>35</v>
      </c>
      <c r="AL7" s="13" t="n">
        <v>36</v>
      </c>
    </row>
    <row r="8">
      <c r="A8" s="9" t="inlineStr">
        <is>
          <t>Date</t>
        </is>
      </c>
      <c r="B8" s="4" t="inlineStr"/>
      <c r="C8" s="11">
        <f>EDATE(Hypothèses!$D$7,C7-1)</f>
        <v/>
      </c>
      <c r="D8" s="11">
        <f>EDATE(Hypothèses!$D$7,D7-1)</f>
        <v/>
      </c>
      <c r="E8" s="11">
        <f>EDATE(Hypothèses!$D$7,E7-1)</f>
        <v/>
      </c>
      <c r="F8" s="11">
        <f>EDATE(Hypothèses!$D$7,F7-1)</f>
        <v/>
      </c>
      <c r="G8" s="11">
        <f>EDATE(Hypothèses!$D$7,G7-1)</f>
        <v/>
      </c>
      <c r="H8" s="11">
        <f>EDATE(Hypothèses!$D$7,H7-1)</f>
        <v/>
      </c>
      <c r="I8" s="11">
        <f>EDATE(Hypothèses!$D$7,I7-1)</f>
        <v/>
      </c>
      <c r="J8" s="11">
        <f>EDATE(Hypothèses!$D$7,J7-1)</f>
        <v/>
      </c>
      <c r="K8" s="11">
        <f>EDATE(Hypothèses!$D$7,K7-1)</f>
        <v/>
      </c>
      <c r="L8" s="11">
        <f>EDATE(Hypothèses!$D$7,L7-1)</f>
        <v/>
      </c>
      <c r="M8" s="11">
        <f>EDATE(Hypothèses!$D$7,M7-1)</f>
        <v/>
      </c>
      <c r="N8" s="11">
        <f>EDATE(Hypothèses!$D$7,N7-1)</f>
        <v/>
      </c>
      <c r="O8" s="11">
        <f>EDATE(Hypothèses!$D$7,O7-1)</f>
        <v/>
      </c>
      <c r="P8" s="11">
        <f>EDATE(Hypothèses!$D$7,P7-1)</f>
        <v/>
      </c>
      <c r="Q8" s="11">
        <f>EDATE(Hypothèses!$D$7,Q7-1)</f>
        <v/>
      </c>
      <c r="R8" s="11">
        <f>EDATE(Hypothèses!$D$7,R7-1)</f>
        <v/>
      </c>
      <c r="S8" s="11">
        <f>EDATE(Hypothèses!$D$7,S7-1)</f>
        <v/>
      </c>
      <c r="T8" s="11">
        <f>EDATE(Hypothèses!$D$7,T7-1)</f>
        <v/>
      </c>
      <c r="U8" s="11">
        <f>EDATE(Hypothèses!$D$7,U7-1)</f>
        <v/>
      </c>
      <c r="V8" s="11">
        <f>EDATE(Hypothèses!$D$7,V7-1)</f>
        <v/>
      </c>
      <c r="W8" s="11">
        <f>EDATE(Hypothèses!$D$7,W7-1)</f>
        <v/>
      </c>
      <c r="X8" s="11">
        <f>EDATE(Hypothèses!$D$7,X7-1)</f>
        <v/>
      </c>
      <c r="Y8" s="11">
        <f>EDATE(Hypothèses!$D$7,Y7-1)</f>
        <v/>
      </c>
      <c r="Z8" s="11">
        <f>EDATE(Hypothèses!$D$7,Z7-1)</f>
        <v/>
      </c>
      <c r="AA8" s="11">
        <f>EDATE(Hypothèses!$D$7,AA7-1)</f>
        <v/>
      </c>
      <c r="AB8" s="11">
        <f>EDATE(Hypothèses!$D$7,AB7-1)</f>
        <v/>
      </c>
      <c r="AC8" s="11">
        <f>EDATE(Hypothèses!$D$7,AC7-1)</f>
        <v/>
      </c>
      <c r="AD8" s="11">
        <f>EDATE(Hypothèses!$D$7,AD7-1)</f>
        <v/>
      </c>
      <c r="AE8" s="11">
        <f>EDATE(Hypothèses!$D$7,AE7-1)</f>
        <v/>
      </c>
      <c r="AF8" s="11">
        <f>EDATE(Hypothèses!$D$7,AF7-1)</f>
        <v/>
      </c>
      <c r="AG8" s="11">
        <f>EDATE(Hypothèses!$D$7,AG7-1)</f>
        <v/>
      </c>
      <c r="AH8" s="11">
        <f>EDATE(Hypothèses!$D$7,AH7-1)</f>
        <v/>
      </c>
      <c r="AI8" s="11">
        <f>EDATE(Hypothèses!$D$7,AI7-1)</f>
        <v/>
      </c>
      <c r="AJ8" s="11">
        <f>EDATE(Hypothèses!$D$7,AJ7-1)</f>
        <v/>
      </c>
      <c r="AK8" s="11">
        <f>EDATE(Hypothèses!$D$7,AK7-1)</f>
        <v/>
      </c>
      <c r="AL8" s="11">
        <f>EDATE(Hypothèses!$D$7,AL7-1)</f>
        <v/>
      </c>
    </row>
    <row r="9">
      <c r="A9" s="9" t="inlineStr">
        <is>
          <t>Lancé ? (1 = oui)</t>
        </is>
      </c>
      <c r="B9" s="4" t="inlineStr">
        <is>
          <t>0/1</t>
        </is>
      </c>
      <c r="C9" s="13">
        <f>IF(C7&gt;=$B$5,1,0)</f>
        <v/>
      </c>
      <c r="D9" s="13">
        <f>IF(D7&gt;=$B$5,1,0)</f>
        <v/>
      </c>
      <c r="E9" s="13">
        <f>IF(E7&gt;=$B$5,1,0)</f>
        <v/>
      </c>
      <c r="F9" s="13">
        <f>IF(F7&gt;=$B$5,1,0)</f>
        <v/>
      </c>
      <c r="G9" s="13">
        <f>IF(G7&gt;=$B$5,1,0)</f>
        <v/>
      </c>
      <c r="H9" s="13">
        <f>IF(H7&gt;=$B$5,1,0)</f>
        <v/>
      </c>
      <c r="I9" s="13">
        <f>IF(I7&gt;=$B$5,1,0)</f>
        <v/>
      </c>
      <c r="J9" s="13">
        <f>IF(J7&gt;=$B$5,1,0)</f>
        <v/>
      </c>
      <c r="K9" s="13">
        <f>IF(K7&gt;=$B$5,1,0)</f>
        <v/>
      </c>
      <c r="L9" s="13">
        <f>IF(L7&gt;=$B$5,1,0)</f>
        <v/>
      </c>
      <c r="M9" s="13">
        <f>IF(M7&gt;=$B$5,1,0)</f>
        <v/>
      </c>
      <c r="N9" s="13">
        <f>IF(N7&gt;=$B$5,1,0)</f>
        <v/>
      </c>
      <c r="O9" s="13">
        <f>IF(O7&gt;=$B$5,1,0)</f>
        <v/>
      </c>
      <c r="P9" s="13">
        <f>IF(P7&gt;=$B$5,1,0)</f>
        <v/>
      </c>
      <c r="Q9" s="13">
        <f>IF(Q7&gt;=$B$5,1,0)</f>
        <v/>
      </c>
      <c r="R9" s="13">
        <f>IF(R7&gt;=$B$5,1,0)</f>
        <v/>
      </c>
      <c r="S9" s="13">
        <f>IF(S7&gt;=$B$5,1,0)</f>
        <v/>
      </c>
      <c r="T9" s="13">
        <f>IF(T7&gt;=$B$5,1,0)</f>
        <v/>
      </c>
      <c r="U9" s="13">
        <f>IF(U7&gt;=$B$5,1,0)</f>
        <v/>
      </c>
      <c r="V9" s="13">
        <f>IF(V7&gt;=$B$5,1,0)</f>
        <v/>
      </c>
      <c r="W9" s="13">
        <f>IF(W7&gt;=$B$5,1,0)</f>
        <v/>
      </c>
      <c r="X9" s="13">
        <f>IF(X7&gt;=$B$5,1,0)</f>
        <v/>
      </c>
      <c r="Y9" s="13">
        <f>IF(Y7&gt;=$B$5,1,0)</f>
        <v/>
      </c>
      <c r="Z9" s="13">
        <f>IF(Z7&gt;=$B$5,1,0)</f>
        <v/>
      </c>
      <c r="AA9" s="13">
        <f>IF(AA7&gt;=$B$5,1,0)</f>
        <v/>
      </c>
      <c r="AB9" s="13">
        <f>IF(AB7&gt;=$B$5,1,0)</f>
        <v/>
      </c>
      <c r="AC9" s="13">
        <f>IF(AC7&gt;=$B$5,1,0)</f>
        <v/>
      </c>
      <c r="AD9" s="13">
        <f>IF(AD7&gt;=$B$5,1,0)</f>
        <v/>
      </c>
      <c r="AE9" s="13">
        <f>IF(AE7&gt;=$B$5,1,0)</f>
        <v/>
      </c>
      <c r="AF9" s="13">
        <f>IF(AF7&gt;=$B$5,1,0)</f>
        <v/>
      </c>
      <c r="AG9" s="13">
        <f>IF(AG7&gt;=$B$5,1,0)</f>
        <v/>
      </c>
      <c r="AH9" s="13">
        <f>IF(AH7&gt;=$B$5,1,0)</f>
        <v/>
      </c>
      <c r="AI9" s="13">
        <f>IF(AI7&gt;=$B$5,1,0)</f>
        <v/>
      </c>
      <c r="AJ9" s="13">
        <f>IF(AJ7&gt;=$B$5,1,0)</f>
        <v/>
      </c>
      <c r="AK9" s="13">
        <f>IF(AK7&gt;=$B$5,1,0)</f>
        <v/>
      </c>
      <c r="AL9" s="13">
        <f>IF(AL7&gt;=$B$5,1,0)</f>
        <v/>
      </c>
    </row>
    <row r="10">
      <c r="A10" s="9" t="inlineStr">
        <is>
          <t>Pilote en cours ? (1 = oui)</t>
        </is>
      </c>
      <c r="B10" s="4" t="inlineStr">
        <is>
          <t>0/1</t>
        </is>
      </c>
      <c r="C10" s="13">
        <f>IF(AND(C7&gt;=Hypothèses!$D$8,C7&lt;$B$5),1,0)</f>
        <v/>
      </c>
      <c r="D10" s="13">
        <f>IF(AND(D7&gt;=Hypothèses!$D$8,D7&lt;$B$5),1,0)</f>
        <v/>
      </c>
      <c r="E10" s="13">
        <f>IF(AND(E7&gt;=Hypothèses!$D$8,E7&lt;$B$5),1,0)</f>
        <v/>
      </c>
      <c r="F10" s="13">
        <f>IF(AND(F7&gt;=Hypothèses!$D$8,F7&lt;$B$5),1,0)</f>
        <v/>
      </c>
      <c r="G10" s="13">
        <f>IF(AND(G7&gt;=Hypothèses!$D$8,G7&lt;$B$5),1,0)</f>
        <v/>
      </c>
      <c r="H10" s="13">
        <f>IF(AND(H7&gt;=Hypothèses!$D$8,H7&lt;$B$5),1,0)</f>
        <v/>
      </c>
      <c r="I10" s="13">
        <f>IF(AND(I7&gt;=Hypothèses!$D$8,I7&lt;$B$5),1,0)</f>
        <v/>
      </c>
      <c r="J10" s="13">
        <f>IF(AND(J7&gt;=Hypothèses!$D$8,J7&lt;$B$5),1,0)</f>
        <v/>
      </c>
      <c r="K10" s="13">
        <f>IF(AND(K7&gt;=Hypothèses!$D$8,K7&lt;$B$5),1,0)</f>
        <v/>
      </c>
      <c r="L10" s="13">
        <f>IF(AND(L7&gt;=Hypothèses!$D$8,L7&lt;$B$5),1,0)</f>
        <v/>
      </c>
      <c r="M10" s="13">
        <f>IF(AND(M7&gt;=Hypothèses!$D$8,M7&lt;$B$5),1,0)</f>
        <v/>
      </c>
      <c r="N10" s="13">
        <f>IF(AND(N7&gt;=Hypothèses!$D$8,N7&lt;$B$5),1,0)</f>
        <v/>
      </c>
      <c r="O10" s="13">
        <f>IF(AND(O7&gt;=Hypothèses!$D$8,O7&lt;$B$5),1,0)</f>
        <v/>
      </c>
      <c r="P10" s="13">
        <f>IF(AND(P7&gt;=Hypothèses!$D$8,P7&lt;$B$5),1,0)</f>
        <v/>
      </c>
      <c r="Q10" s="13">
        <f>IF(AND(Q7&gt;=Hypothèses!$D$8,Q7&lt;$B$5),1,0)</f>
        <v/>
      </c>
      <c r="R10" s="13">
        <f>IF(AND(R7&gt;=Hypothèses!$D$8,R7&lt;$B$5),1,0)</f>
        <v/>
      </c>
      <c r="S10" s="13">
        <f>IF(AND(S7&gt;=Hypothèses!$D$8,S7&lt;$B$5),1,0)</f>
        <v/>
      </c>
      <c r="T10" s="13">
        <f>IF(AND(T7&gt;=Hypothèses!$D$8,T7&lt;$B$5),1,0)</f>
        <v/>
      </c>
      <c r="U10" s="13">
        <f>IF(AND(U7&gt;=Hypothèses!$D$8,U7&lt;$B$5),1,0)</f>
        <v/>
      </c>
      <c r="V10" s="13">
        <f>IF(AND(V7&gt;=Hypothèses!$D$8,V7&lt;$B$5),1,0)</f>
        <v/>
      </c>
      <c r="W10" s="13">
        <f>IF(AND(W7&gt;=Hypothèses!$D$8,W7&lt;$B$5),1,0)</f>
        <v/>
      </c>
      <c r="X10" s="13">
        <f>IF(AND(X7&gt;=Hypothèses!$D$8,X7&lt;$B$5),1,0)</f>
        <v/>
      </c>
      <c r="Y10" s="13">
        <f>IF(AND(Y7&gt;=Hypothèses!$D$8,Y7&lt;$B$5),1,0)</f>
        <v/>
      </c>
      <c r="Z10" s="13">
        <f>IF(AND(Z7&gt;=Hypothèses!$D$8,Z7&lt;$B$5),1,0)</f>
        <v/>
      </c>
      <c r="AA10" s="13">
        <f>IF(AND(AA7&gt;=Hypothèses!$D$8,AA7&lt;$B$5),1,0)</f>
        <v/>
      </c>
      <c r="AB10" s="13">
        <f>IF(AND(AB7&gt;=Hypothèses!$D$8,AB7&lt;$B$5),1,0)</f>
        <v/>
      </c>
      <c r="AC10" s="13">
        <f>IF(AND(AC7&gt;=Hypothèses!$D$8,AC7&lt;$B$5),1,0)</f>
        <v/>
      </c>
      <c r="AD10" s="13">
        <f>IF(AND(AD7&gt;=Hypothèses!$D$8,AD7&lt;$B$5),1,0)</f>
        <v/>
      </c>
      <c r="AE10" s="13">
        <f>IF(AND(AE7&gt;=Hypothèses!$D$8,AE7&lt;$B$5),1,0)</f>
        <v/>
      </c>
      <c r="AF10" s="13">
        <f>IF(AND(AF7&gt;=Hypothèses!$D$8,AF7&lt;$B$5),1,0)</f>
        <v/>
      </c>
      <c r="AG10" s="13">
        <f>IF(AND(AG7&gt;=Hypothèses!$D$8,AG7&lt;$B$5),1,0)</f>
        <v/>
      </c>
      <c r="AH10" s="13">
        <f>IF(AND(AH7&gt;=Hypothèses!$D$8,AH7&lt;$B$5),1,0)</f>
        <v/>
      </c>
      <c r="AI10" s="13">
        <f>IF(AND(AI7&gt;=Hypothèses!$D$8,AI7&lt;$B$5),1,0)</f>
        <v/>
      </c>
      <c r="AJ10" s="13">
        <f>IF(AND(AJ7&gt;=Hypothèses!$D$8,AJ7&lt;$B$5),1,0)</f>
        <v/>
      </c>
      <c r="AK10" s="13">
        <f>IF(AND(AK7&gt;=Hypothèses!$D$8,AK7&lt;$B$5),1,0)</f>
        <v/>
      </c>
      <c r="AL10" s="13">
        <f>IF(AND(AL7&gt;=Hypothèses!$D$8,AL7&lt;$B$5),1,0)</f>
        <v/>
      </c>
    </row>
    <row r="11">
      <c r="A11" s="9" t="inlineStr">
        <is>
          <t>Budget d'acquisition du mois</t>
        </is>
      </c>
      <c r="B11" s="4" t="inlineStr">
        <is>
          <t>€ HT</t>
        </is>
      </c>
      <c r="C11" s="15">
        <f>IF(C9=1,IF(C7&lt;=12,Hypothèses!$D$20,IF(C7&lt;=24,Hypothèses!$D$21,Hypothèses!$D$22)),0)</f>
        <v/>
      </c>
      <c r="D11" s="15">
        <f>IF(D9=1,IF(D7&lt;=12,Hypothèses!$D$20,IF(D7&lt;=24,Hypothèses!$D$21,Hypothèses!$D$22)),0)</f>
        <v/>
      </c>
      <c r="E11" s="15">
        <f>IF(E9=1,IF(E7&lt;=12,Hypothèses!$D$20,IF(E7&lt;=24,Hypothèses!$D$21,Hypothèses!$D$22)),0)</f>
        <v/>
      </c>
      <c r="F11" s="15">
        <f>IF(F9=1,IF(F7&lt;=12,Hypothèses!$D$20,IF(F7&lt;=24,Hypothèses!$D$21,Hypothèses!$D$22)),0)</f>
        <v/>
      </c>
      <c r="G11" s="15">
        <f>IF(G9=1,IF(G7&lt;=12,Hypothèses!$D$20,IF(G7&lt;=24,Hypothèses!$D$21,Hypothèses!$D$22)),0)</f>
        <v/>
      </c>
      <c r="H11" s="15">
        <f>IF(H9=1,IF(H7&lt;=12,Hypothèses!$D$20,IF(H7&lt;=24,Hypothèses!$D$21,Hypothèses!$D$22)),0)</f>
        <v/>
      </c>
      <c r="I11" s="15">
        <f>IF(I9=1,IF(I7&lt;=12,Hypothèses!$D$20,IF(I7&lt;=24,Hypothèses!$D$21,Hypothèses!$D$22)),0)</f>
        <v/>
      </c>
      <c r="J11" s="15">
        <f>IF(J9=1,IF(J7&lt;=12,Hypothèses!$D$20,IF(J7&lt;=24,Hypothèses!$D$21,Hypothèses!$D$22)),0)</f>
        <v/>
      </c>
      <c r="K11" s="15">
        <f>IF(K9=1,IF(K7&lt;=12,Hypothèses!$D$20,IF(K7&lt;=24,Hypothèses!$D$21,Hypothèses!$D$22)),0)</f>
        <v/>
      </c>
      <c r="L11" s="15">
        <f>IF(L9=1,IF(L7&lt;=12,Hypothèses!$D$20,IF(L7&lt;=24,Hypothèses!$D$21,Hypothèses!$D$22)),0)</f>
        <v/>
      </c>
      <c r="M11" s="15">
        <f>IF(M9=1,IF(M7&lt;=12,Hypothèses!$D$20,IF(M7&lt;=24,Hypothèses!$D$21,Hypothèses!$D$22)),0)</f>
        <v/>
      </c>
      <c r="N11" s="15">
        <f>IF(N9=1,IF(N7&lt;=12,Hypothèses!$D$20,IF(N7&lt;=24,Hypothèses!$D$21,Hypothèses!$D$22)),0)</f>
        <v/>
      </c>
      <c r="O11" s="15">
        <f>IF(O9=1,IF(O7&lt;=12,Hypothèses!$D$20,IF(O7&lt;=24,Hypothèses!$D$21,Hypothèses!$D$22)),0)</f>
        <v/>
      </c>
      <c r="P11" s="15">
        <f>IF(P9=1,IF(P7&lt;=12,Hypothèses!$D$20,IF(P7&lt;=24,Hypothèses!$D$21,Hypothèses!$D$22)),0)</f>
        <v/>
      </c>
      <c r="Q11" s="15">
        <f>IF(Q9=1,IF(Q7&lt;=12,Hypothèses!$D$20,IF(Q7&lt;=24,Hypothèses!$D$21,Hypothèses!$D$22)),0)</f>
        <v/>
      </c>
      <c r="R11" s="15">
        <f>IF(R9=1,IF(R7&lt;=12,Hypothèses!$D$20,IF(R7&lt;=24,Hypothèses!$D$21,Hypothèses!$D$22)),0)</f>
        <v/>
      </c>
      <c r="S11" s="15">
        <f>IF(S9=1,IF(S7&lt;=12,Hypothèses!$D$20,IF(S7&lt;=24,Hypothèses!$D$21,Hypothèses!$D$22)),0)</f>
        <v/>
      </c>
      <c r="T11" s="15">
        <f>IF(T9=1,IF(T7&lt;=12,Hypothèses!$D$20,IF(T7&lt;=24,Hypothèses!$D$21,Hypothèses!$D$22)),0)</f>
        <v/>
      </c>
      <c r="U11" s="15">
        <f>IF(U9=1,IF(U7&lt;=12,Hypothèses!$D$20,IF(U7&lt;=24,Hypothèses!$D$21,Hypothèses!$D$22)),0)</f>
        <v/>
      </c>
      <c r="V11" s="15">
        <f>IF(V9=1,IF(V7&lt;=12,Hypothèses!$D$20,IF(V7&lt;=24,Hypothèses!$D$21,Hypothèses!$D$22)),0)</f>
        <v/>
      </c>
      <c r="W11" s="15">
        <f>IF(W9=1,IF(W7&lt;=12,Hypothèses!$D$20,IF(W7&lt;=24,Hypothèses!$D$21,Hypothèses!$D$22)),0)</f>
        <v/>
      </c>
      <c r="X11" s="15">
        <f>IF(X9=1,IF(X7&lt;=12,Hypothèses!$D$20,IF(X7&lt;=24,Hypothèses!$D$21,Hypothèses!$D$22)),0)</f>
        <v/>
      </c>
      <c r="Y11" s="15">
        <f>IF(Y9=1,IF(Y7&lt;=12,Hypothèses!$D$20,IF(Y7&lt;=24,Hypothèses!$D$21,Hypothèses!$D$22)),0)</f>
        <v/>
      </c>
      <c r="Z11" s="15">
        <f>IF(Z9=1,IF(Z7&lt;=12,Hypothèses!$D$20,IF(Z7&lt;=24,Hypothèses!$D$21,Hypothèses!$D$22)),0)</f>
        <v/>
      </c>
      <c r="AA11" s="15">
        <f>IF(AA9=1,IF(AA7&lt;=12,Hypothèses!$D$20,IF(AA7&lt;=24,Hypothèses!$D$21,Hypothèses!$D$22)),0)</f>
        <v/>
      </c>
      <c r="AB11" s="15">
        <f>IF(AB9=1,IF(AB7&lt;=12,Hypothèses!$D$20,IF(AB7&lt;=24,Hypothèses!$D$21,Hypothèses!$D$22)),0)</f>
        <v/>
      </c>
      <c r="AC11" s="15">
        <f>IF(AC9=1,IF(AC7&lt;=12,Hypothèses!$D$20,IF(AC7&lt;=24,Hypothèses!$D$21,Hypothèses!$D$22)),0)</f>
        <v/>
      </c>
      <c r="AD11" s="15">
        <f>IF(AD9=1,IF(AD7&lt;=12,Hypothèses!$D$20,IF(AD7&lt;=24,Hypothèses!$D$21,Hypothèses!$D$22)),0)</f>
        <v/>
      </c>
      <c r="AE11" s="15">
        <f>IF(AE9=1,IF(AE7&lt;=12,Hypothèses!$D$20,IF(AE7&lt;=24,Hypothèses!$D$21,Hypothèses!$D$22)),0)</f>
        <v/>
      </c>
      <c r="AF11" s="15">
        <f>IF(AF9=1,IF(AF7&lt;=12,Hypothèses!$D$20,IF(AF7&lt;=24,Hypothèses!$D$21,Hypothèses!$D$22)),0)</f>
        <v/>
      </c>
      <c r="AG11" s="15">
        <f>IF(AG9=1,IF(AG7&lt;=12,Hypothèses!$D$20,IF(AG7&lt;=24,Hypothèses!$D$21,Hypothèses!$D$22)),0)</f>
        <v/>
      </c>
      <c r="AH11" s="15">
        <f>IF(AH9=1,IF(AH7&lt;=12,Hypothèses!$D$20,IF(AH7&lt;=24,Hypothèses!$D$21,Hypothèses!$D$22)),0)</f>
        <v/>
      </c>
      <c r="AI11" s="15">
        <f>IF(AI9=1,IF(AI7&lt;=12,Hypothèses!$D$20,IF(AI7&lt;=24,Hypothèses!$D$21,Hypothèses!$D$22)),0)</f>
        <v/>
      </c>
      <c r="AJ11" s="15">
        <f>IF(AJ9=1,IF(AJ7&lt;=12,Hypothèses!$D$20,IF(AJ7&lt;=24,Hypothèses!$D$21,Hypothèses!$D$22)),0)</f>
        <v/>
      </c>
      <c r="AK11" s="15">
        <f>IF(AK9=1,IF(AK7&lt;=12,Hypothèses!$D$20,IF(AK7&lt;=24,Hypothèses!$D$21,Hypothèses!$D$22)),0)</f>
        <v/>
      </c>
      <c r="AL11" s="15">
        <f>IF(AL9=1,IF(AL7&lt;=12,Hypothèses!$D$20,IF(AL7&lt;=24,Hypothèses!$D$21,Hypothèses!$D$22)),0)</f>
        <v/>
      </c>
      <c r="AN11" s="15">
        <f>SUM(C11:N11)</f>
        <v/>
      </c>
      <c r="AO11" s="15">
        <f>SUM(O11:Z11)</f>
        <v/>
      </c>
      <c r="AP11" s="15">
        <f>SUM(AA11:AL11)</f>
        <v/>
      </c>
    </row>
    <row r="12">
      <c r="A12" s="8" t="inlineStr">
        <is>
          <t>Abonnés</t>
        </is>
      </c>
    </row>
    <row r="13">
      <c r="A13" s="9" t="inlineStr">
        <is>
          <t>Abonnés en début de mois</t>
        </is>
      </c>
      <c r="B13" s="4" t="inlineStr">
        <is>
          <t>abonnés</t>
        </is>
      </c>
      <c r="C13" s="38">
        <f>0</f>
        <v/>
      </c>
      <c r="D13" s="38">
        <f>C18</f>
        <v/>
      </c>
      <c r="E13" s="38">
        <f>D18</f>
        <v/>
      </c>
      <c r="F13" s="38">
        <f>E18</f>
        <v/>
      </c>
      <c r="G13" s="38">
        <f>F18</f>
        <v/>
      </c>
      <c r="H13" s="38">
        <f>G18</f>
        <v/>
      </c>
      <c r="I13" s="38">
        <f>H18</f>
        <v/>
      </c>
      <c r="J13" s="38">
        <f>I18</f>
        <v/>
      </c>
      <c r="K13" s="38">
        <f>J18</f>
        <v/>
      </c>
      <c r="L13" s="38">
        <f>K18</f>
        <v/>
      </c>
      <c r="M13" s="38">
        <f>L18</f>
        <v/>
      </c>
      <c r="N13" s="38">
        <f>M18</f>
        <v/>
      </c>
      <c r="O13" s="38">
        <f>N18</f>
        <v/>
      </c>
      <c r="P13" s="38">
        <f>O18</f>
        <v/>
      </c>
      <c r="Q13" s="38">
        <f>P18</f>
        <v/>
      </c>
      <c r="R13" s="38">
        <f>Q18</f>
        <v/>
      </c>
      <c r="S13" s="38">
        <f>R18</f>
        <v/>
      </c>
      <c r="T13" s="38">
        <f>S18</f>
        <v/>
      </c>
      <c r="U13" s="38">
        <f>T18</f>
        <v/>
      </c>
      <c r="V13" s="38">
        <f>U18</f>
        <v/>
      </c>
      <c r="W13" s="38">
        <f>V18</f>
        <v/>
      </c>
      <c r="X13" s="38">
        <f>W18</f>
        <v/>
      </c>
      <c r="Y13" s="38">
        <f>X18</f>
        <v/>
      </c>
      <c r="Z13" s="38">
        <f>Y18</f>
        <v/>
      </c>
      <c r="AA13" s="38">
        <f>Z18</f>
        <v/>
      </c>
      <c r="AB13" s="38">
        <f>AA18</f>
        <v/>
      </c>
      <c r="AC13" s="38">
        <f>AB18</f>
        <v/>
      </c>
      <c r="AD13" s="38">
        <f>AC18</f>
        <v/>
      </c>
      <c r="AE13" s="38">
        <f>AD18</f>
        <v/>
      </c>
      <c r="AF13" s="38">
        <f>AE18</f>
        <v/>
      </c>
      <c r="AG13" s="38">
        <f>AF18</f>
        <v/>
      </c>
      <c r="AH13" s="38">
        <f>AG18</f>
        <v/>
      </c>
      <c r="AI13" s="38">
        <f>AH18</f>
        <v/>
      </c>
      <c r="AJ13" s="38">
        <f>AI18</f>
        <v/>
      </c>
      <c r="AK13" s="38">
        <f>AJ18</f>
        <v/>
      </c>
      <c r="AL13" s="38">
        <f>AK18</f>
        <v/>
      </c>
    </row>
    <row r="14">
      <c r="A14" s="9" t="inlineStr">
        <is>
          <t>Nouveaux abonnés par acquisition payante</t>
        </is>
      </c>
      <c r="B14" s="4" t="inlineStr">
        <is>
          <t>abonnés</t>
        </is>
      </c>
      <c r="C14" s="38">
        <f>C11/(Hypothèses!$D$23*$E$4)</f>
        <v/>
      </c>
      <c r="D14" s="38">
        <f>D11/(Hypothèses!$D$23*$E$4)</f>
        <v/>
      </c>
      <c r="E14" s="38">
        <f>E11/(Hypothèses!$D$23*$E$4)</f>
        <v/>
      </c>
      <c r="F14" s="38">
        <f>F11/(Hypothèses!$D$23*$E$4)</f>
        <v/>
      </c>
      <c r="G14" s="38">
        <f>G11/(Hypothèses!$D$23*$E$4)</f>
        <v/>
      </c>
      <c r="H14" s="38">
        <f>H11/(Hypothèses!$D$23*$E$4)</f>
        <v/>
      </c>
      <c r="I14" s="38">
        <f>I11/(Hypothèses!$D$23*$E$4)</f>
        <v/>
      </c>
      <c r="J14" s="38">
        <f>J11/(Hypothèses!$D$23*$E$4)</f>
        <v/>
      </c>
      <c r="K14" s="38">
        <f>K11/(Hypothèses!$D$23*$E$4)</f>
        <v/>
      </c>
      <c r="L14" s="38">
        <f>L11/(Hypothèses!$D$23*$E$4)</f>
        <v/>
      </c>
      <c r="M14" s="38">
        <f>M11/(Hypothèses!$D$23*$E$4)</f>
        <v/>
      </c>
      <c r="N14" s="38">
        <f>N11/(Hypothèses!$D$23*$E$4)</f>
        <v/>
      </c>
      <c r="O14" s="38">
        <f>O11/(Hypothèses!$D$23*$E$4)</f>
        <v/>
      </c>
      <c r="P14" s="38">
        <f>P11/(Hypothèses!$D$23*$E$4)</f>
        <v/>
      </c>
      <c r="Q14" s="38">
        <f>Q11/(Hypothèses!$D$23*$E$4)</f>
        <v/>
      </c>
      <c r="R14" s="38">
        <f>R11/(Hypothèses!$D$23*$E$4)</f>
        <v/>
      </c>
      <c r="S14" s="38">
        <f>S11/(Hypothèses!$D$23*$E$4)</f>
        <v/>
      </c>
      <c r="T14" s="38">
        <f>T11/(Hypothèses!$D$23*$E$4)</f>
        <v/>
      </c>
      <c r="U14" s="38">
        <f>U11/(Hypothèses!$D$23*$E$4)</f>
        <v/>
      </c>
      <c r="V14" s="38">
        <f>V11/(Hypothèses!$D$23*$E$4)</f>
        <v/>
      </c>
      <c r="W14" s="38">
        <f>W11/(Hypothèses!$D$23*$E$4)</f>
        <v/>
      </c>
      <c r="X14" s="38">
        <f>X11/(Hypothèses!$D$23*$E$4)</f>
        <v/>
      </c>
      <c r="Y14" s="38">
        <f>Y11/(Hypothèses!$D$23*$E$4)</f>
        <v/>
      </c>
      <c r="Z14" s="38">
        <f>Z11/(Hypothèses!$D$23*$E$4)</f>
        <v/>
      </c>
      <c r="AA14" s="38">
        <f>AA11/(Hypothèses!$D$23*$E$4)</f>
        <v/>
      </c>
      <c r="AB14" s="38">
        <f>AB11/(Hypothèses!$D$23*$E$4)</f>
        <v/>
      </c>
      <c r="AC14" s="38">
        <f>AC11/(Hypothèses!$D$23*$E$4)</f>
        <v/>
      </c>
      <c r="AD14" s="38">
        <f>AD11/(Hypothèses!$D$23*$E$4)</f>
        <v/>
      </c>
      <c r="AE14" s="38">
        <f>AE11/(Hypothèses!$D$23*$E$4)</f>
        <v/>
      </c>
      <c r="AF14" s="38">
        <f>AF11/(Hypothèses!$D$23*$E$4)</f>
        <v/>
      </c>
      <c r="AG14" s="38">
        <f>AG11/(Hypothèses!$D$23*$E$4)</f>
        <v/>
      </c>
      <c r="AH14" s="38">
        <f>AH11/(Hypothèses!$D$23*$E$4)</f>
        <v/>
      </c>
      <c r="AI14" s="38">
        <f>AI11/(Hypothèses!$D$23*$E$4)</f>
        <v/>
      </c>
      <c r="AJ14" s="38">
        <f>AJ11/(Hypothèses!$D$23*$E$4)</f>
        <v/>
      </c>
      <c r="AK14" s="38">
        <f>AK11/(Hypothèses!$D$23*$E$4)</f>
        <v/>
      </c>
      <c r="AL14" s="38">
        <f>AL11/(Hypothèses!$D$23*$E$4)</f>
        <v/>
      </c>
      <c r="AN14" s="38">
        <f>SUM(C14:N14)</f>
        <v/>
      </c>
      <c r="AO14" s="38">
        <f>SUM(O14:Z14)</f>
        <v/>
      </c>
      <c r="AP14" s="38">
        <f>SUM(AA14:AL14)</f>
        <v/>
      </c>
    </row>
    <row r="15">
      <c r="A15" s="9" t="inlineStr">
        <is>
          <t>Nouveaux abonnés pilote</t>
        </is>
      </c>
      <c r="B15" s="4" t="inlineStr">
        <is>
          <t>abonnés</t>
        </is>
      </c>
      <c r="C15" s="38">
        <f>IF(C7=Hypothèses!$D$8,Hypothèses!$D$9,0)</f>
        <v/>
      </c>
      <c r="D15" s="38">
        <f>IF(D7=Hypothèses!$D$8,Hypothèses!$D$9,0)</f>
        <v/>
      </c>
      <c r="E15" s="38">
        <f>IF(E7=Hypothèses!$D$8,Hypothèses!$D$9,0)</f>
        <v/>
      </c>
      <c r="F15" s="38">
        <f>IF(F7=Hypothèses!$D$8,Hypothèses!$D$9,0)</f>
        <v/>
      </c>
      <c r="G15" s="38">
        <f>IF(G7=Hypothèses!$D$8,Hypothèses!$D$9,0)</f>
        <v/>
      </c>
      <c r="H15" s="38">
        <f>IF(H7=Hypothèses!$D$8,Hypothèses!$D$9,0)</f>
        <v/>
      </c>
      <c r="I15" s="38">
        <f>IF(I7=Hypothèses!$D$8,Hypothèses!$D$9,0)</f>
        <v/>
      </c>
      <c r="J15" s="38">
        <f>IF(J7=Hypothèses!$D$8,Hypothèses!$D$9,0)</f>
        <v/>
      </c>
      <c r="K15" s="38">
        <f>IF(K7=Hypothèses!$D$8,Hypothèses!$D$9,0)</f>
        <v/>
      </c>
      <c r="L15" s="38">
        <f>IF(L7=Hypothèses!$D$8,Hypothèses!$D$9,0)</f>
        <v/>
      </c>
      <c r="M15" s="38">
        <f>IF(M7=Hypothèses!$D$8,Hypothèses!$D$9,0)</f>
        <v/>
      </c>
      <c r="N15" s="38">
        <f>IF(N7=Hypothèses!$D$8,Hypothèses!$D$9,0)</f>
        <v/>
      </c>
      <c r="O15" s="38">
        <f>IF(O7=Hypothèses!$D$8,Hypothèses!$D$9,0)</f>
        <v/>
      </c>
      <c r="P15" s="38">
        <f>IF(P7=Hypothèses!$D$8,Hypothèses!$D$9,0)</f>
        <v/>
      </c>
      <c r="Q15" s="38">
        <f>IF(Q7=Hypothèses!$D$8,Hypothèses!$D$9,0)</f>
        <v/>
      </c>
      <c r="R15" s="38">
        <f>IF(R7=Hypothèses!$D$8,Hypothèses!$D$9,0)</f>
        <v/>
      </c>
      <c r="S15" s="38">
        <f>IF(S7=Hypothèses!$D$8,Hypothèses!$D$9,0)</f>
        <v/>
      </c>
      <c r="T15" s="38">
        <f>IF(T7=Hypothèses!$D$8,Hypothèses!$D$9,0)</f>
        <v/>
      </c>
      <c r="U15" s="38">
        <f>IF(U7=Hypothèses!$D$8,Hypothèses!$D$9,0)</f>
        <v/>
      </c>
      <c r="V15" s="38">
        <f>IF(V7=Hypothèses!$D$8,Hypothèses!$D$9,0)</f>
        <v/>
      </c>
      <c r="W15" s="38">
        <f>IF(W7=Hypothèses!$D$8,Hypothèses!$D$9,0)</f>
        <v/>
      </c>
      <c r="X15" s="38">
        <f>IF(X7=Hypothèses!$D$8,Hypothèses!$D$9,0)</f>
        <v/>
      </c>
      <c r="Y15" s="38">
        <f>IF(Y7=Hypothèses!$D$8,Hypothèses!$D$9,0)</f>
        <v/>
      </c>
      <c r="Z15" s="38">
        <f>IF(Z7=Hypothèses!$D$8,Hypothèses!$D$9,0)</f>
        <v/>
      </c>
      <c r="AA15" s="38">
        <f>IF(AA7=Hypothèses!$D$8,Hypothèses!$D$9,0)</f>
        <v/>
      </c>
      <c r="AB15" s="38">
        <f>IF(AB7=Hypothèses!$D$8,Hypothèses!$D$9,0)</f>
        <v/>
      </c>
      <c r="AC15" s="38">
        <f>IF(AC7=Hypothèses!$D$8,Hypothèses!$D$9,0)</f>
        <v/>
      </c>
      <c r="AD15" s="38">
        <f>IF(AD7=Hypothèses!$D$8,Hypothèses!$D$9,0)</f>
        <v/>
      </c>
      <c r="AE15" s="38">
        <f>IF(AE7=Hypothèses!$D$8,Hypothèses!$D$9,0)</f>
        <v/>
      </c>
      <c r="AF15" s="38">
        <f>IF(AF7=Hypothèses!$D$8,Hypothèses!$D$9,0)</f>
        <v/>
      </c>
      <c r="AG15" s="38">
        <f>IF(AG7=Hypothèses!$D$8,Hypothèses!$D$9,0)</f>
        <v/>
      </c>
      <c r="AH15" s="38">
        <f>IF(AH7=Hypothèses!$D$8,Hypothèses!$D$9,0)</f>
        <v/>
      </c>
      <c r="AI15" s="38">
        <f>IF(AI7=Hypothèses!$D$8,Hypothèses!$D$9,0)</f>
        <v/>
      </c>
      <c r="AJ15" s="38">
        <f>IF(AJ7=Hypothèses!$D$8,Hypothèses!$D$9,0)</f>
        <v/>
      </c>
      <c r="AK15" s="38">
        <f>IF(AK7=Hypothèses!$D$8,Hypothèses!$D$9,0)</f>
        <v/>
      </c>
      <c r="AL15" s="38">
        <f>IF(AL7=Hypothèses!$D$8,Hypothèses!$D$9,0)</f>
        <v/>
      </c>
      <c r="AN15" s="38">
        <f>SUM(C15:N15)</f>
        <v/>
      </c>
      <c r="AO15" s="38">
        <f>SUM(O15:Z15)</f>
        <v/>
      </c>
      <c r="AP15" s="38">
        <f>SUM(AA15:AL15)</f>
        <v/>
      </c>
    </row>
    <row r="16">
      <c r="A16" s="9" t="inlineStr">
        <is>
          <t>Nouveaux abonnés organiques (parrainage)</t>
        </is>
      </c>
      <c r="B16" s="4" t="inlineStr">
        <is>
          <t>abonnés</t>
        </is>
      </c>
      <c r="C16" s="38">
        <f>C9*C13*Hypothèses!$D$24</f>
        <v/>
      </c>
      <c r="D16" s="38">
        <f>D9*D13*Hypothèses!$D$24</f>
        <v/>
      </c>
      <c r="E16" s="38">
        <f>E9*E13*Hypothèses!$D$24</f>
        <v/>
      </c>
      <c r="F16" s="38">
        <f>F9*F13*Hypothèses!$D$24</f>
        <v/>
      </c>
      <c r="G16" s="38">
        <f>G9*G13*Hypothèses!$D$24</f>
        <v/>
      </c>
      <c r="H16" s="38">
        <f>H9*H13*Hypothèses!$D$24</f>
        <v/>
      </c>
      <c r="I16" s="38">
        <f>I9*I13*Hypothèses!$D$24</f>
        <v/>
      </c>
      <c r="J16" s="38">
        <f>J9*J13*Hypothèses!$D$24</f>
        <v/>
      </c>
      <c r="K16" s="38">
        <f>K9*K13*Hypothèses!$D$24</f>
        <v/>
      </c>
      <c r="L16" s="38">
        <f>L9*L13*Hypothèses!$D$24</f>
        <v/>
      </c>
      <c r="M16" s="38">
        <f>M9*M13*Hypothèses!$D$24</f>
        <v/>
      </c>
      <c r="N16" s="38">
        <f>N9*N13*Hypothèses!$D$24</f>
        <v/>
      </c>
      <c r="O16" s="38">
        <f>O9*O13*Hypothèses!$D$24</f>
        <v/>
      </c>
      <c r="P16" s="38">
        <f>P9*P13*Hypothèses!$D$24</f>
        <v/>
      </c>
      <c r="Q16" s="38">
        <f>Q9*Q13*Hypothèses!$D$24</f>
        <v/>
      </c>
      <c r="R16" s="38">
        <f>R9*R13*Hypothèses!$D$24</f>
        <v/>
      </c>
      <c r="S16" s="38">
        <f>S9*S13*Hypothèses!$D$24</f>
        <v/>
      </c>
      <c r="T16" s="38">
        <f>T9*T13*Hypothèses!$D$24</f>
        <v/>
      </c>
      <c r="U16" s="38">
        <f>U9*U13*Hypothèses!$D$24</f>
        <v/>
      </c>
      <c r="V16" s="38">
        <f>V9*V13*Hypothèses!$D$24</f>
        <v/>
      </c>
      <c r="W16" s="38">
        <f>W9*W13*Hypothèses!$D$24</f>
        <v/>
      </c>
      <c r="X16" s="38">
        <f>X9*X13*Hypothèses!$D$24</f>
        <v/>
      </c>
      <c r="Y16" s="38">
        <f>Y9*Y13*Hypothèses!$D$24</f>
        <v/>
      </c>
      <c r="Z16" s="38">
        <f>Z9*Z13*Hypothèses!$D$24</f>
        <v/>
      </c>
      <c r="AA16" s="38">
        <f>AA9*AA13*Hypothèses!$D$24</f>
        <v/>
      </c>
      <c r="AB16" s="38">
        <f>AB9*AB13*Hypothèses!$D$24</f>
        <v/>
      </c>
      <c r="AC16" s="38">
        <f>AC9*AC13*Hypothèses!$D$24</f>
        <v/>
      </c>
      <c r="AD16" s="38">
        <f>AD9*AD13*Hypothèses!$D$24</f>
        <v/>
      </c>
      <c r="AE16" s="38">
        <f>AE9*AE13*Hypothèses!$D$24</f>
        <v/>
      </c>
      <c r="AF16" s="38">
        <f>AF9*AF13*Hypothèses!$D$24</f>
        <v/>
      </c>
      <c r="AG16" s="38">
        <f>AG9*AG13*Hypothèses!$D$24</f>
        <v/>
      </c>
      <c r="AH16" s="38">
        <f>AH9*AH13*Hypothèses!$D$24</f>
        <v/>
      </c>
      <c r="AI16" s="38">
        <f>AI9*AI13*Hypothèses!$D$24</f>
        <v/>
      </c>
      <c r="AJ16" s="38">
        <f>AJ9*AJ13*Hypothèses!$D$24</f>
        <v/>
      </c>
      <c r="AK16" s="38">
        <f>AK9*AK13*Hypothèses!$D$24</f>
        <v/>
      </c>
      <c r="AL16" s="38">
        <f>AL9*AL13*Hypothèses!$D$24</f>
        <v/>
      </c>
      <c r="AN16" s="38">
        <f>SUM(C16:N16)</f>
        <v/>
      </c>
      <c r="AO16" s="38">
        <f>SUM(O16:Z16)</f>
        <v/>
      </c>
      <c r="AP16" s="38">
        <f>SUM(AA16:AL16)</f>
        <v/>
      </c>
    </row>
    <row r="17">
      <c r="A17" s="9" t="inlineStr">
        <is>
          <t>Résiliations</t>
        </is>
      </c>
      <c r="B17" s="4" t="inlineStr">
        <is>
          <t>abonnés</t>
        </is>
      </c>
      <c r="C17" s="38">
        <f>C13*Hypothèses!$D$26*$D$4</f>
        <v/>
      </c>
      <c r="D17" s="38">
        <f>D13*Hypothèses!$D$26*$D$4</f>
        <v/>
      </c>
      <c r="E17" s="38">
        <f>E13*Hypothèses!$D$26*$D$4</f>
        <v/>
      </c>
      <c r="F17" s="38">
        <f>F13*Hypothèses!$D$26*$D$4</f>
        <v/>
      </c>
      <c r="G17" s="38">
        <f>G13*Hypothèses!$D$26*$D$4</f>
        <v/>
      </c>
      <c r="H17" s="38">
        <f>H13*Hypothèses!$D$26*$D$4</f>
        <v/>
      </c>
      <c r="I17" s="38">
        <f>I13*Hypothèses!$D$26*$D$4</f>
        <v/>
      </c>
      <c r="J17" s="38">
        <f>J13*Hypothèses!$D$26*$D$4</f>
        <v/>
      </c>
      <c r="K17" s="38">
        <f>K13*Hypothèses!$D$26*$D$4</f>
        <v/>
      </c>
      <c r="L17" s="38">
        <f>L13*Hypothèses!$D$26*$D$4</f>
        <v/>
      </c>
      <c r="M17" s="38">
        <f>M13*Hypothèses!$D$26*$D$4</f>
        <v/>
      </c>
      <c r="N17" s="38">
        <f>N13*Hypothèses!$D$26*$D$4</f>
        <v/>
      </c>
      <c r="O17" s="38">
        <f>O13*Hypothèses!$D$26*$D$4</f>
        <v/>
      </c>
      <c r="P17" s="38">
        <f>P13*Hypothèses!$D$26*$D$4</f>
        <v/>
      </c>
      <c r="Q17" s="38">
        <f>Q13*Hypothèses!$D$26*$D$4</f>
        <v/>
      </c>
      <c r="R17" s="38">
        <f>R13*Hypothèses!$D$26*$D$4</f>
        <v/>
      </c>
      <c r="S17" s="38">
        <f>S13*Hypothèses!$D$26*$D$4</f>
        <v/>
      </c>
      <c r="T17" s="38">
        <f>T13*Hypothèses!$D$26*$D$4</f>
        <v/>
      </c>
      <c r="U17" s="38">
        <f>U13*Hypothèses!$D$26*$D$4</f>
        <v/>
      </c>
      <c r="V17" s="38">
        <f>V13*Hypothèses!$D$26*$D$4</f>
        <v/>
      </c>
      <c r="W17" s="38">
        <f>W13*Hypothèses!$D$26*$D$4</f>
        <v/>
      </c>
      <c r="X17" s="38">
        <f>X13*Hypothèses!$D$26*$D$4</f>
        <v/>
      </c>
      <c r="Y17" s="38">
        <f>Y13*Hypothèses!$D$26*$D$4</f>
        <v/>
      </c>
      <c r="Z17" s="38">
        <f>Z13*Hypothèses!$D$26*$D$4</f>
        <v/>
      </c>
      <c r="AA17" s="38">
        <f>AA13*Hypothèses!$D$26*$D$4</f>
        <v/>
      </c>
      <c r="AB17" s="38">
        <f>AB13*Hypothèses!$D$26*$D$4</f>
        <v/>
      </c>
      <c r="AC17" s="38">
        <f>AC13*Hypothèses!$D$26*$D$4</f>
        <v/>
      </c>
      <c r="AD17" s="38">
        <f>AD13*Hypothèses!$D$26*$D$4</f>
        <v/>
      </c>
      <c r="AE17" s="38">
        <f>AE13*Hypothèses!$D$26*$D$4</f>
        <v/>
      </c>
      <c r="AF17" s="38">
        <f>AF13*Hypothèses!$D$26*$D$4</f>
        <v/>
      </c>
      <c r="AG17" s="38">
        <f>AG13*Hypothèses!$D$26*$D$4</f>
        <v/>
      </c>
      <c r="AH17" s="38">
        <f>AH13*Hypothèses!$D$26*$D$4</f>
        <v/>
      </c>
      <c r="AI17" s="38">
        <f>AI13*Hypothèses!$D$26*$D$4</f>
        <v/>
      </c>
      <c r="AJ17" s="38">
        <f>AJ13*Hypothèses!$D$26*$D$4</f>
        <v/>
      </c>
      <c r="AK17" s="38">
        <f>AK13*Hypothèses!$D$26*$D$4</f>
        <v/>
      </c>
      <c r="AL17" s="38">
        <f>AL13*Hypothèses!$D$26*$D$4</f>
        <v/>
      </c>
      <c r="AN17" s="38">
        <f>SUM(C17:N17)</f>
        <v/>
      </c>
      <c r="AO17" s="38">
        <f>SUM(O17:Z17)</f>
        <v/>
      </c>
      <c r="AP17" s="38">
        <f>SUM(AA17:AL17)</f>
        <v/>
      </c>
    </row>
    <row r="18">
      <c r="A18" s="2" t="inlineStr">
        <is>
          <t>Abonnés en fin de mois</t>
        </is>
      </c>
      <c r="B18" s="4" t="inlineStr">
        <is>
          <t>abonnés</t>
        </is>
      </c>
      <c r="C18" s="39">
        <f>C13+C14+C15+C16-C17</f>
        <v/>
      </c>
      <c r="D18" s="39">
        <f>D13+D14+D15+D16-D17</f>
        <v/>
      </c>
      <c r="E18" s="39">
        <f>E13+E14+E15+E16-E17</f>
        <v/>
      </c>
      <c r="F18" s="39">
        <f>F13+F14+F15+F16-F17</f>
        <v/>
      </c>
      <c r="G18" s="39">
        <f>G13+G14+G15+G16-G17</f>
        <v/>
      </c>
      <c r="H18" s="39">
        <f>H13+H14+H15+H16-H17</f>
        <v/>
      </c>
      <c r="I18" s="39">
        <f>I13+I14+I15+I16-I17</f>
        <v/>
      </c>
      <c r="J18" s="39">
        <f>J13+J14+J15+J16-J17</f>
        <v/>
      </c>
      <c r="K18" s="39">
        <f>K13+K14+K15+K16-K17</f>
        <v/>
      </c>
      <c r="L18" s="39">
        <f>L13+L14+L15+L16-L17</f>
        <v/>
      </c>
      <c r="M18" s="39">
        <f>M13+M14+M15+M16-M17</f>
        <v/>
      </c>
      <c r="N18" s="39">
        <f>N13+N14+N15+N16-N17</f>
        <v/>
      </c>
      <c r="O18" s="39">
        <f>O13+O14+O15+O16-O17</f>
        <v/>
      </c>
      <c r="P18" s="39">
        <f>P13+P14+P15+P16-P17</f>
        <v/>
      </c>
      <c r="Q18" s="39">
        <f>Q13+Q14+Q15+Q16-Q17</f>
        <v/>
      </c>
      <c r="R18" s="39">
        <f>R13+R14+R15+R16-R17</f>
        <v/>
      </c>
      <c r="S18" s="39">
        <f>S13+S14+S15+S16-S17</f>
        <v/>
      </c>
      <c r="T18" s="39">
        <f>T13+T14+T15+T16-T17</f>
        <v/>
      </c>
      <c r="U18" s="39">
        <f>U13+U14+U15+U16-U17</f>
        <v/>
      </c>
      <c r="V18" s="39">
        <f>V13+V14+V15+V16-V17</f>
        <v/>
      </c>
      <c r="W18" s="39">
        <f>W13+W14+W15+W16-W17</f>
        <v/>
      </c>
      <c r="X18" s="39">
        <f>X13+X14+X15+X16-X17</f>
        <v/>
      </c>
      <c r="Y18" s="39">
        <f>Y13+Y14+Y15+Y16-Y17</f>
        <v/>
      </c>
      <c r="Z18" s="39">
        <f>Z13+Z14+Z15+Z16-Z17</f>
        <v/>
      </c>
      <c r="AA18" s="39">
        <f>AA13+AA14+AA15+AA16-AA17</f>
        <v/>
      </c>
      <c r="AB18" s="39">
        <f>AB13+AB14+AB15+AB16-AB17</f>
        <v/>
      </c>
      <c r="AC18" s="39">
        <f>AC13+AC14+AC15+AC16-AC17</f>
        <v/>
      </c>
      <c r="AD18" s="39">
        <f>AD13+AD14+AD15+AD16-AD17</f>
        <v/>
      </c>
      <c r="AE18" s="39">
        <f>AE13+AE14+AE15+AE16-AE17</f>
        <v/>
      </c>
      <c r="AF18" s="39">
        <f>AF13+AF14+AF15+AF16-AF17</f>
        <v/>
      </c>
      <c r="AG18" s="39">
        <f>AG13+AG14+AG15+AG16-AG17</f>
        <v/>
      </c>
      <c r="AH18" s="39">
        <f>AH13+AH14+AH15+AH16-AH17</f>
        <v/>
      </c>
      <c r="AI18" s="39">
        <f>AI13+AI14+AI15+AI16-AI17</f>
        <v/>
      </c>
      <c r="AJ18" s="39">
        <f>AJ13+AJ14+AJ15+AJ16-AJ17</f>
        <v/>
      </c>
      <c r="AK18" s="39">
        <f>AK13+AK14+AK15+AK16-AK17</f>
        <v/>
      </c>
      <c r="AL18" s="39">
        <f>AL13+AL14+AL15+AL16-AL17</f>
        <v/>
      </c>
      <c r="AN18" s="39">
        <f>N18</f>
        <v/>
      </c>
      <c r="AO18" s="39">
        <f>Z18</f>
        <v/>
      </c>
      <c r="AP18" s="39">
        <f>AL18</f>
        <v/>
      </c>
    </row>
    <row r="19">
      <c r="A19" s="9" t="inlineStr">
        <is>
          <t>dont Personal</t>
        </is>
      </c>
      <c r="B19" s="4" t="inlineStr">
        <is>
          <t>abonnés</t>
        </is>
      </c>
      <c r="C19" s="38">
        <f>C18*Hypothèses!$D$16</f>
        <v/>
      </c>
      <c r="D19" s="38">
        <f>D18*Hypothèses!$D$16</f>
        <v/>
      </c>
      <c r="E19" s="38">
        <f>E18*Hypothèses!$D$16</f>
        <v/>
      </c>
      <c r="F19" s="38">
        <f>F18*Hypothèses!$D$16</f>
        <v/>
      </c>
      <c r="G19" s="38">
        <f>G18*Hypothèses!$D$16</f>
        <v/>
      </c>
      <c r="H19" s="38">
        <f>H18*Hypothèses!$D$16</f>
        <v/>
      </c>
      <c r="I19" s="38">
        <f>I18*Hypothèses!$D$16</f>
        <v/>
      </c>
      <c r="J19" s="38">
        <f>J18*Hypothèses!$D$16</f>
        <v/>
      </c>
      <c r="K19" s="38">
        <f>K18*Hypothèses!$D$16</f>
        <v/>
      </c>
      <c r="L19" s="38">
        <f>L18*Hypothèses!$D$16</f>
        <v/>
      </c>
      <c r="M19" s="38">
        <f>M18*Hypothèses!$D$16</f>
        <v/>
      </c>
      <c r="N19" s="38">
        <f>N18*Hypothèses!$D$16</f>
        <v/>
      </c>
      <c r="O19" s="38">
        <f>O18*Hypothèses!$D$16</f>
        <v/>
      </c>
      <c r="P19" s="38">
        <f>P18*Hypothèses!$D$16</f>
        <v/>
      </c>
      <c r="Q19" s="38">
        <f>Q18*Hypothèses!$D$16</f>
        <v/>
      </c>
      <c r="R19" s="38">
        <f>R18*Hypothèses!$D$16</f>
        <v/>
      </c>
      <c r="S19" s="38">
        <f>S18*Hypothèses!$D$16</f>
        <v/>
      </c>
      <c r="T19" s="38">
        <f>T18*Hypothèses!$D$16</f>
        <v/>
      </c>
      <c r="U19" s="38">
        <f>U18*Hypothèses!$D$16</f>
        <v/>
      </c>
      <c r="V19" s="38">
        <f>V18*Hypothèses!$D$16</f>
        <v/>
      </c>
      <c r="W19" s="38">
        <f>W18*Hypothèses!$D$16</f>
        <v/>
      </c>
      <c r="X19" s="38">
        <f>X18*Hypothèses!$D$16</f>
        <v/>
      </c>
      <c r="Y19" s="38">
        <f>Y18*Hypothèses!$D$16</f>
        <v/>
      </c>
      <c r="Z19" s="38">
        <f>Z18*Hypothèses!$D$16</f>
        <v/>
      </c>
      <c r="AA19" s="38">
        <f>AA18*Hypothèses!$D$16</f>
        <v/>
      </c>
      <c r="AB19" s="38">
        <f>AB18*Hypothèses!$D$16</f>
        <v/>
      </c>
      <c r="AC19" s="38">
        <f>AC18*Hypothèses!$D$16</f>
        <v/>
      </c>
      <c r="AD19" s="38">
        <f>AD18*Hypothèses!$D$16</f>
        <v/>
      </c>
      <c r="AE19" s="38">
        <f>AE18*Hypothèses!$D$16</f>
        <v/>
      </c>
      <c r="AF19" s="38">
        <f>AF18*Hypothèses!$D$16</f>
        <v/>
      </c>
      <c r="AG19" s="38">
        <f>AG18*Hypothèses!$D$16</f>
        <v/>
      </c>
      <c r="AH19" s="38">
        <f>AH18*Hypothèses!$D$16</f>
        <v/>
      </c>
      <c r="AI19" s="38">
        <f>AI18*Hypothèses!$D$16</f>
        <v/>
      </c>
      <c r="AJ19" s="38">
        <f>AJ18*Hypothèses!$D$16</f>
        <v/>
      </c>
      <c r="AK19" s="38">
        <f>AK18*Hypothèses!$D$16</f>
        <v/>
      </c>
      <c r="AL19" s="38">
        <f>AL18*Hypothèses!$D$16</f>
        <v/>
      </c>
      <c r="AN19" s="38">
        <f>N19</f>
        <v/>
      </c>
      <c r="AO19" s="38">
        <f>Z19</f>
        <v/>
      </c>
      <c r="AP19" s="38">
        <f>AL19</f>
        <v/>
      </c>
    </row>
    <row r="20">
      <c r="A20" s="9" t="inlineStr">
        <is>
          <t>dont Premium</t>
        </is>
      </c>
      <c r="B20" s="4" t="inlineStr">
        <is>
          <t>abonnés</t>
        </is>
      </c>
      <c r="C20" s="38">
        <f>C18*Hypothèses!$D$17</f>
        <v/>
      </c>
      <c r="D20" s="38">
        <f>D18*Hypothèses!$D$17</f>
        <v/>
      </c>
      <c r="E20" s="38">
        <f>E18*Hypothèses!$D$17</f>
        <v/>
      </c>
      <c r="F20" s="38">
        <f>F18*Hypothèses!$D$17</f>
        <v/>
      </c>
      <c r="G20" s="38">
        <f>G18*Hypothèses!$D$17</f>
        <v/>
      </c>
      <c r="H20" s="38">
        <f>H18*Hypothèses!$D$17</f>
        <v/>
      </c>
      <c r="I20" s="38">
        <f>I18*Hypothèses!$D$17</f>
        <v/>
      </c>
      <c r="J20" s="38">
        <f>J18*Hypothèses!$D$17</f>
        <v/>
      </c>
      <c r="K20" s="38">
        <f>K18*Hypothèses!$D$17</f>
        <v/>
      </c>
      <c r="L20" s="38">
        <f>L18*Hypothèses!$D$17</f>
        <v/>
      </c>
      <c r="M20" s="38">
        <f>M18*Hypothèses!$D$17</f>
        <v/>
      </c>
      <c r="N20" s="38">
        <f>N18*Hypothèses!$D$17</f>
        <v/>
      </c>
      <c r="O20" s="38">
        <f>O18*Hypothèses!$D$17</f>
        <v/>
      </c>
      <c r="P20" s="38">
        <f>P18*Hypothèses!$D$17</f>
        <v/>
      </c>
      <c r="Q20" s="38">
        <f>Q18*Hypothèses!$D$17</f>
        <v/>
      </c>
      <c r="R20" s="38">
        <f>R18*Hypothèses!$D$17</f>
        <v/>
      </c>
      <c r="S20" s="38">
        <f>S18*Hypothèses!$D$17</f>
        <v/>
      </c>
      <c r="T20" s="38">
        <f>T18*Hypothèses!$D$17</f>
        <v/>
      </c>
      <c r="U20" s="38">
        <f>U18*Hypothèses!$D$17</f>
        <v/>
      </c>
      <c r="V20" s="38">
        <f>V18*Hypothèses!$D$17</f>
        <v/>
      </c>
      <c r="W20" s="38">
        <f>W18*Hypothèses!$D$17</f>
        <v/>
      </c>
      <c r="X20" s="38">
        <f>X18*Hypothèses!$D$17</f>
        <v/>
      </c>
      <c r="Y20" s="38">
        <f>Y18*Hypothèses!$D$17</f>
        <v/>
      </c>
      <c r="Z20" s="38">
        <f>Z18*Hypothèses!$D$17</f>
        <v/>
      </c>
      <c r="AA20" s="38">
        <f>AA18*Hypothèses!$D$17</f>
        <v/>
      </c>
      <c r="AB20" s="38">
        <f>AB18*Hypothèses!$D$17</f>
        <v/>
      </c>
      <c r="AC20" s="38">
        <f>AC18*Hypothèses!$D$17</f>
        <v/>
      </c>
      <c r="AD20" s="38">
        <f>AD18*Hypothèses!$D$17</f>
        <v/>
      </c>
      <c r="AE20" s="38">
        <f>AE18*Hypothèses!$D$17</f>
        <v/>
      </c>
      <c r="AF20" s="38">
        <f>AF18*Hypothèses!$D$17</f>
        <v/>
      </c>
      <c r="AG20" s="38">
        <f>AG18*Hypothèses!$D$17</f>
        <v/>
      </c>
      <c r="AH20" s="38">
        <f>AH18*Hypothèses!$D$17</f>
        <v/>
      </c>
      <c r="AI20" s="38">
        <f>AI18*Hypothèses!$D$17</f>
        <v/>
      </c>
      <c r="AJ20" s="38">
        <f>AJ18*Hypothèses!$D$17</f>
        <v/>
      </c>
      <c r="AK20" s="38">
        <f>AK18*Hypothèses!$D$17</f>
        <v/>
      </c>
      <c r="AL20" s="38">
        <f>AL18*Hypothèses!$D$17</f>
        <v/>
      </c>
      <c r="AN20" s="38">
        <f>N20</f>
        <v/>
      </c>
      <c r="AO20" s="38">
        <f>Z20</f>
        <v/>
      </c>
      <c r="AP20" s="38">
        <f>AL20</f>
        <v/>
      </c>
    </row>
    <row r="21">
      <c r="A21" s="9" t="inlineStr">
        <is>
          <t>dont Family</t>
        </is>
      </c>
      <c r="B21" s="4" t="inlineStr">
        <is>
          <t>abonnés</t>
        </is>
      </c>
      <c r="C21" s="38">
        <f>C18*Hypothèses!$D$18</f>
        <v/>
      </c>
      <c r="D21" s="38">
        <f>D18*Hypothèses!$D$18</f>
        <v/>
      </c>
      <c r="E21" s="38">
        <f>E18*Hypothèses!$D$18</f>
        <v/>
      </c>
      <c r="F21" s="38">
        <f>F18*Hypothèses!$D$18</f>
        <v/>
      </c>
      <c r="G21" s="38">
        <f>G18*Hypothèses!$D$18</f>
        <v/>
      </c>
      <c r="H21" s="38">
        <f>H18*Hypothèses!$D$18</f>
        <v/>
      </c>
      <c r="I21" s="38">
        <f>I18*Hypothèses!$D$18</f>
        <v/>
      </c>
      <c r="J21" s="38">
        <f>J18*Hypothèses!$D$18</f>
        <v/>
      </c>
      <c r="K21" s="38">
        <f>K18*Hypothèses!$D$18</f>
        <v/>
      </c>
      <c r="L21" s="38">
        <f>L18*Hypothèses!$D$18</f>
        <v/>
      </c>
      <c r="M21" s="38">
        <f>M18*Hypothèses!$D$18</f>
        <v/>
      </c>
      <c r="N21" s="38">
        <f>N18*Hypothèses!$D$18</f>
        <v/>
      </c>
      <c r="O21" s="38">
        <f>O18*Hypothèses!$D$18</f>
        <v/>
      </c>
      <c r="P21" s="38">
        <f>P18*Hypothèses!$D$18</f>
        <v/>
      </c>
      <c r="Q21" s="38">
        <f>Q18*Hypothèses!$D$18</f>
        <v/>
      </c>
      <c r="R21" s="38">
        <f>R18*Hypothèses!$D$18</f>
        <v/>
      </c>
      <c r="S21" s="38">
        <f>S18*Hypothèses!$D$18</f>
        <v/>
      </c>
      <c r="T21" s="38">
        <f>T18*Hypothèses!$D$18</f>
        <v/>
      </c>
      <c r="U21" s="38">
        <f>U18*Hypothèses!$D$18</f>
        <v/>
      </c>
      <c r="V21" s="38">
        <f>V18*Hypothèses!$D$18</f>
        <v/>
      </c>
      <c r="W21" s="38">
        <f>W18*Hypothèses!$D$18</f>
        <v/>
      </c>
      <c r="X21" s="38">
        <f>X18*Hypothèses!$D$18</f>
        <v/>
      </c>
      <c r="Y21" s="38">
        <f>Y18*Hypothèses!$D$18</f>
        <v/>
      </c>
      <c r="Z21" s="38">
        <f>Z18*Hypothèses!$D$18</f>
        <v/>
      </c>
      <c r="AA21" s="38">
        <f>AA18*Hypothèses!$D$18</f>
        <v/>
      </c>
      <c r="AB21" s="38">
        <f>AB18*Hypothèses!$D$18</f>
        <v/>
      </c>
      <c r="AC21" s="38">
        <f>AC18*Hypothèses!$D$18</f>
        <v/>
      </c>
      <c r="AD21" s="38">
        <f>AD18*Hypothèses!$D$18</f>
        <v/>
      </c>
      <c r="AE21" s="38">
        <f>AE18*Hypothèses!$D$18</f>
        <v/>
      </c>
      <c r="AF21" s="38">
        <f>AF18*Hypothèses!$D$18</f>
        <v/>
      </c>
      <c r="AG21" s="38">
        <f>AG18*Hypothèses!$D$18</f>
        <v/>
      </c>
      <c r="AH21" s="38">
        <f>AH18*Hypothèses!$D$18</f>
        <v/>
      </c>
      <c r="AI21" s="38">
        <f>AI18*Hypothèses!$D$18</f>
        <v/>
      </c>
      <c r="AJ21" s="38">
        <f>AJ18*Hypothèses!$D$18</f>
        <v/>
      </c>
      <c r="AK21" s="38">
        <f>AK18*Hypothèses!$D$18</f>
        <v/>
      </c>
      <c r="AL21" s="38">
        <f>AL18*Hypothèses!$D$18</f>
        <v/>
      </c>
      <c r="AN21" s="38">
        <f>N21</f>
        <v/>
      </c>
      <c r="AO21" s="38">
        <f>Z21</f>
        <v/>
      </c>
      <c r="AP21" s="38">
        <f>AL21</f>
        <v/>
      </c>
    </row>
    <row r="22">
      <c r="A22" s="8" t="inlineStr">
        <is>
          <t>Revenus</t>
        </is>
      </c>
    </row>
    <row r="23">
      <c r="A23" s="9" t="inlineStr">
        <is>
          <t>Facturation Personal TTC</t>
        </is>
      </c>
      <c r="B23" s="4" t="inlineStr">
        <is>
          <t>€ TTC</t>
        </is>
      </c>
      <c r="C23" s="15">
        <f>C19*Hypothèses!$D$12*$C$4</f>
        <v/>
      </c>
      <c r="D23" s="15">
        <f>D19*Hypothèses!$D$12*$C$4</f>
        <v/>
      </c>
      <c r="E23" s="15">
        <f>E19*Hypothèses!$D$12*$C$4</f>
        <v/>
      </c>
      <c r="F23" s="15">
        <f>F19*Hypothèses!$D$12*$C$4</f>
        <v/>
      </c>
      <c r="G23" s="15">
        <f>G19*Hypothèses!$D$12*$C$4</f>
        <v/>
      </c>
      <c r="H23" s="15">
        <f>H19*Hypothèses!$D$12*$C$4</f>
        <v/>
      </c>
      <c r="I23" s="15">
        <f>I19*Hypothèses!$D$12*$C$4</f>
        <v/>
      </c>
      <c r="J23" s="15">
        <f>J19*Hypothèses!$D$12*$C$4</f>
        <v/>
      </c>
      <c r="K23" s="15">
        <f>K19*Hypothèses!$D$12*$C$4</f>
        <v/>
      </c>
      <c r="L23" s="15">
        <f>L19*Hypothèses!$D$12*$C$4</f>
        <v/>
      </c>
      <c r="M23" s="15">
        <f>M19*Hypothèses!$D$12*$C$4</f>
        <v/>
      </c>
      <c r="N23" s="15">
        <f>N19*Hypothèses!$D$12*$C$4</f>
        <v/>
      </c>
      <c r="O23" s="15">
        <f>O19*Hypothèses!$D$12*$C$4</f>
        <v/>
      </c>
      <c r="P23" s="15">
        <f>P19*Hypothèses!$D$12*$C$4</f>
        <v/>
      </c>
      <c r="Q23" s="15">
        <f>Q19*Hypothèses!$D$12*$C$4</f>
        <v/>
      </c>
      <c r="R23" s="15">
        <f>R19*Hypothèses!$D$12*$C$4</f>
        <v/>
      </c>
      <c r="S23" s="15">
        <f>S19*Hypothèses!$D$12*$C$4</f>
        <v/>
      </c>
      <c r="T23" s="15">
        <f>T19*Hypothèses!$D$12*$C$4</f>
        <v/>
      </c>
      <c r="U23" s="15">
        <f>U19*Hypothèses!$D$12*$C$4</f>
        <v/>
      </c>
      <c r="V23" s="15">
        <f>V19*Hypothèses!$D$12*$C$4</f>
        <v/>
      </c>
      <c r="W23" s="15">
        <f>W19*Hypothèses!$D$12*$C$4</f>
        <v/>
      </c>
      <c r="X23" s="15">
        <f>X19*Hypothèses!$D$12*$C$4</f>
        <v/>
      </c>
      <c r="Y23" s="15">
        <f>Y19*Hypothèses!$D$12*$C$4</f>
        <v/>
      </c>
      <c r="Z23" s="15">
        <f>Z19*Hypothèses!$D$12*$C$4</f>
        <v/>
      </c>
      <c r="AA23" s="15">
        <f>AA19*Hypothèses!$D$12*$C$4</f>
        <v/>
      </c>
      <c r="AB23" s="15">
        <f>AB19*Hypothèses!$D$12*$C$4</f>
        <v/>
      </c>
      <c r="AC23" s="15">
        <f>AC19*Hypothèses!$D$12*$C$4</f>
        <v/>
      </c>
      <c r="AD23" s="15">
        <f>AD19*Hypothèses!$D$12*$C$4</f>
        <v/>
      </c>
      <c r="AE23" s="15">
        <f>AE19*Hypothèses!$D$12*$C$4</f>
        <v/>
      </c>
      <c r="AF23" s="15">
        <f>AF19*Hypothèses!$D$12*$C$4</f>
        <v/>
      </c>
      <c r="AG23" s="15">
        <f>AG19*Hypothèses!$D$12*$C$4</f>
        <v/>
      </c>
      <c r="AH23" s="15">
        <f>AH19*Hypothèses!$D$12*$C$4</f>
        <v/>
      </c>
      <c r="AI23" s="15">
        <f>AI19*Hypothèses!$D$12*$C$4</f>
        <v/>
      </c>
      <c r="AJ23" s="15">
        <f>AJ19*Hypothèses!$D$12*$C$4</f>
        <v/>
      </c>
      <c r="AK23" s="15">
        <f>AK19*Hypothèses!$D$12*$C$4</f>
        <v/>
      </c>
      <c r="AL23" s="15">
        <f>AL19*Hypothèses!$D$12*$C$4</f>
        <v/>
      </c>
      <c r="AN23" s="15">
        <f>SUM(C23:N23)</f>
        <v/>
      </c>
      <c r="AO23" s="15">
        <f>SUM(O23:Z23)</f>
        <v/>
      </c>
      <c r="AP23" s="15">
        <f>SUM(AA23:AL23)</f>
        <v/>
      </c>
    </row>
    <row r="24">
      <c r="A24" s="9" t="inlineStr">
        <is>
          <t>Facturation Premium TTC</t>
        </is>
      </c>
      <c r="B24" s="4" t="inlineStr">
        <is>
          <t>€ TTC</t>
        </is>
      </c>
      <c r="C24" s="15">
        <f>C20*Hypothèses!$D$13*$C$4</f>
        <v/>
      </c>
      <c r="D24" s="15">
        <f>D20*Hypothèses!$D$13*$C$4</f>
        <v/>
      </c>
      <c r="E24" s="15">
        <f>E20*Hypothèses!$D$13*$C$4</f>
        <v/>
      </c>
      <c r="F24" s="15">
        <f>F20*Hypothèses!$D$13*$C$4</f>
        <v/>
      </c>
      <c r="G24" s="15">
        <f>G20*Hypothèses!$D$13*$C$4</f>
        <v/>
      </c>
      <c r="H24" s="15">
        <f>H20*Hypothèses!$D$13*$C$4</f>
        <v/>
      </c>
      <c r="I24" s="15">
        <f>I20*Hypothèses!$D$13*$C$4</f>
        <v/>
      </c>
      <c r="J24" s="15">
        <f>J20*Hypothèses!$D$13*$C$4</f>
        <v/>
      </c>
      <c r="K24" s="15">
        <f>K20*Hypothèses!$D$13*$C$4</f>
        <v/>
      </c>
      <c r="L24" s="15">
        <f>L20*Hypothèses!$D$13*$C$4</f>
        <v/>
      </c>
      <c r="M24" s="15">
        <f>M20*Hypothèses!$D$13*$C$4</f>
        <v/>
      </c>
      <c r="N24" s="15">
        <f>N20*Hypothèses!$D$13*$C$4</f>
        <v/>
      </c>
      <c r="O24" s="15">
        <f>O20*Hypothèses!$D$13*$C$4</f>
        <v/>
      </c>
      <c r="P24" s="15">
        <f>P20*Hypothèses!$D$13*$C$4</f>
        <v/>
      </c>
      <c r="Q24" s="15">
        <f>Q20*Hypothèses!$D$13*$C$4</f>
        <v/>
      </c>
      <c r="R24" s="15">
        <f>R20*Hypothèses!$D$13*$C$4</f>
        <v/>
      </c>
      <c r="S24" s="15">
        <f>S20*Hypothèses!$D$13*$C$4</f>
        <v/>
      </c>
      <c r="T24" s="15">
        <f>T20*Hypothèses!$D$13*$C$4</f>
        <v/>
      </c>
      <c r="U24" s="15">
        <f>U20*Hypothèses!$D$13*$C$4</f>
        <v/>
      </c>
      <c r="V24" s="15">
        <f>V20*Hypothèses!$D$13*$C$4</f>
        <v/>
      </c>
      <c r="W24" s="15">
        <f>W20*Hypothèses!$D$13*$C$4</f>
        <v/>
      </c>
      <c r="X24" s="15">
        <f>X20*Hypothèses!$D$13*$C$4</f>
        <v/>
      </c>
      <c r="Y24" s="15">
        <f>Y20*Hypothèses!$D$13*$C$4</f>
        <v/>
      </c>
      <c r="Z24" s="15">
        <f>Z20*Hypothèses!$D$13*$C$4</f>
        <v/>
      </c>
      <c r="AA24" s="15">
        <f>AA20*Hypothèses!$D$13*$C$4</f>
        <v/>
      </c>
      <c r="AB24" s="15">
        <f>AB20*Hypothèses!$D$13*$C$4</f>
        <v/>
      </c>
      <c r="AC24" s="15">
        <f>AC20*Hypothèses!$D$13*$C$4</f>
        <v/>
      </c>
      <c r="AD24" s="15">
        <f>AD20*Hypothèses!$D$13*$C$4</f>
        <v/>
      </c>
      <c r="AE24" s="15">
        <f>AE20*Hypothèses!$D$13*$C$4</f>
        <v/>
      </c>
      <c r="AF24" s="15">
        <f>AF20*Hypothèses!$D$13*$C$4</f>
        <v/>
      </c>
      <c r="AG24" s="15">
        <f>AG20*Hypothèses!$D$13*$C$4</f>
        <v/>
      </c>
      <c r="AH24" s="15">
        <f>AH20*Hypothèses!$D$13*$C$4</f>
        <v/>
      </c>
      <c r="AI24" s="15">
        <f>AI20*Hypothèses!$D$13*$C$4</f>
        <v/>
      </c>
      <c r="AJ24" s="15">
        <f>AJ20*Hypothèses!$D$13*$C$4</f>
        <v/>
      </c>
      <c r="AK24" s="15">
        <f>AK20*Hypothèses!$D$13*$C$4</f>
        <v/>
      </c>
      <c r="AL24" s="15">
        <f>AL20*Hypothèses!$D$13*$C$4</f>
        <v/>
      </c>
      <c r="AN24" s="15">
        <f>SUM(C24:N24)</f>
        <v/>
      </c>
      <c r="AO24" s="15">
        <f>SUM(O24:Z24)</f>
        <v/>
      </c>
      <c r="AP24" s="15">
        <f>SUM(AA24:AL24)</f>
        <v/>
      </c>
    </row>
    <row r="25">
      <c r="A25" s="9" t="inlineStr">
        <is>
          <t>Facturation Family TTC</t>
        </is>
      </c>
      <c r="B25" s="4" t="inlineStr">
        <is>
          <t>€ TTC</t>
        </is>
      </c>
      <c r="C25" s="15">
        <f>C21*Hypothèses!$D$14*$C$4</f>
        <v/>
      </c>
      <c r="D25" s="15">
        <f>D21*Hypothèses!$D$14*$C$4</f>
        <v/>
      </c>
      <c r="E25" s="15">
        <f>E21*Hypothèses!$D$14*$C$4</f>
        <v/>
      </c>
      <c r="F25" s="15">
        <f>F21*Hypothèses!$D$14*$C$4</f>
        <v/>
      </c>
      <c r="G25" s="15">
        <f>G21*Hypothèses!$D$14*$C$4</f>
        <v/>
      </c>
      <c r="H25" s="15">
        <f>H21*Hypothèses!$D$14*$C$4</f>
        <v/>
      </c>
      <c r="I25" s="15">
        <f>I21*Hypothèses!$D$14*$C$4</f>
        <v/>
      </c>
      <c r="J25" s="15">
        <f>J21*Hypothèses!$D$14*$C$4</f>
        <v/>
      </c>
      <c r="K25" s="15">
        <f>K21*Hypothèses!$D$14*$C$4</f>
        <v/>
      </c>
      <c r="L25" s="15">
        <f>L21*Hypothèses!$D$14*$C$4</f>
        <v/>
      </c>
      <c r="M25" s="15">
        <f>M21*Hypothèses!$D$14*$C$4</f>
        <v/>
      </c>
      <c r="N25" s="15">
        <f>N21*Hypothèses!$D$14*$C$4</f>
        <v/>
      </c>
      <c r="O25" s="15">
        <f>O21*Hypothèses!$D$14*$C$4</f>
        <v/>
      </c>
      <c r="P25" s="15">
        <f>P21*Hypothèses!$D$14*$C$4</f>
        <v/>
      </c>
      <c r="Q25" s="15">
        <f>Q21*Hypothèses!$D$14*$C$4</f>
        <v/>
      </c>
      <c r="R25" s="15">
        <f>R21*Hypothèses!$D$14*$C$4</f>
        <v/>
      </c>
      <c r="S25" s="15">
        <f>S21*Hypothèses!$D$14*$C$4</f>
        <v/>
      </c>
      <c r="T25" s="15">
        <f>T21*Hypothèses!$D$14*$C$4</f>
        <v/>
      </c>
      <c r="U25" s="15">
        <f>U21*Hypothèses!$D$14*$C$4</f>
        <v/>
      </c>
      <c r="V25" s="15">
        <f>V21*Hypothèses!$D$14*$C$4</f>
        <v/>
      </c>
      <c r="W25" s="15">
        <f>W21*Hypothèses!$D$14*$C$4</f>
        <v/>
      </c>
      <c r="X25" s="15">
        <f>X21*Hypothèses!$D$14*$C$4</f>
        <v/>
      </c>
      <c r="Y25" s="15">
        <f>Y21*Hypothèses!$D$14*$C$4</f>
        <v/>
      </c>
      <c r="Z25" s="15">
        <f>Z21*Hypothèses!$D$14*$C$4</f>
        <v/>
      </c>
      <c r="AA25" s="15">
        <f>AA21*Hypothèses!$D$14*$C$4</f>
        <v/>
      </c>
      <c r="AB25" s="15">
        <f>AB21*Hypothèses!$D$14*$C$4</f>
        <v/>
      </c>
      <c r="AC25" s="15">
        <f>AC21*Hypothèses!$D$14*$C$4</f>
        <v/>
      </c>
      <c r="AD25" s="15">
        <f>AD21*Hypothèses!$D$14*$C$4</f>
        <v/>
      </c>
      <c r="AE25" s="15">
        <f>AE21*Hypothèses!$D$14*$C$4</f>
        <v/>
      </c>
      <c r="AF25" s="15">
        <f>AF21*Hypothèses!$D$14*$C$4</f>
        <v/>
      </c>
      <c r="AG25" s="15">
        <f>AG21*Hypothèses!$D$14*$C$4</f>
        <v/>
      </c>
      <c r="AH25" s="15">
        <f>AH21*Hypothèses!$D$14*$C$4</f>
        <v/>
      </c>
      <c r="AI25" s="15">
        <f>AI21*Hypothèses!$D$14*$C$4</f>
        <v/>
      </c>
      <c r="AJ25" s="15">
        <f>AJ21*Hypothèses!$D$14*$C$4</f>
        <v/>
      </c>
      <c r="AK25" s="15">
        <f>AK21*Hypothèses!$D$14*$C$4</f>
        <v/>
      </c>
      <c r="AL25" s="15">
        <f>AL21*Hypothèses!$D$14*$C$4</f>
        <v/>
      </c>
      <c r="AN25" s="15">
        <f>SUM(C25:N25)</f>
        <v/>
      </c>
      <c r="AO25" s="15">
        <f>SUM(O25:Z25)</f>
        <v/>
      </c>
      <c r="AP25" s="15">
        <f>SUM(AA25:AL25)</f>
        <v/>
      </c>
    </row>
    <row r="26">
      <c r="A26" s="2" t="inlineStr">
        <is>
          <t>Facturation totale TTC (MRR TTC)</t>
        </is>
      </c>
      <c r="B26" s="4" t="inlineStr">
        <is>
          <t>€ TTC</t>
        </is>
      </c>
      <c r="C26" s="40">
        <f>C23+C24+C25</f>
        <v/>
      </c>
      <c r="D26" s="40">
        <f>D23+D24+D25</f>
        <v/>
      </c>
      <c r="E26" s="40">
        <f>E23+E24+E25</f>
        <v/>
      </c>
      <c r="F26" s="40">
        <f>F23+F24+F25</f>
        <v/>
      </c>
      <c r="G26" s="40">
        <f>G23+G24+G25</f>
        <v/>
      </c>
      <c r="H26" s="40">
        <f>H23+H24+H25</f>
        <v/>
      </c>
      <c r="I26" s="40">
        <f>I23+I24+I25</f>
        <v/>
      </c>
      <c r="J26" s="40">
        <f>J23+J24+J25</f>
        <v/>
      </c>
      <c r="K26" s="40">
        <f>K23+K24+K25</f>
        <v/>
      </c>
      <c r="L26" s="40">
        <f>L23+L24+L25</f>
        <v/>
      </c>
      <c r="M26" s="40">
        <f>M23+M24+M25</f>
        <v/>
      </c>
      <c r="N26" s="40">
        <f>N23+N24+N25</f>
        <v/>
      </c>
      <c r="O26" s="40">
        <f>O23+O24+O25</f>
        <v/>
      </c>
      <c r="P26" s="40">
        <f>P23+P24+P25</f>
        <v/>
      </c>
      <c r="Q26" s="40">
        <f>Q23+Q24+Q25</f>
        <v/>
      </c>
      <c r="R26" s="40">
        <f>R23+R24+R25</f>
        <v/>
      </c>
      <c r="S26" s="40">
        <f>S23+S24+S25</f>
        <v/>
      </c>
      <c r="T26" s="40">
        <f>T23+T24+T25</f>
        <v/>
      </c>
      <c r="U26" s="40">
        <f>U23+U24+U25</f>
        <v/>
      </c>
      <c r="V26" s="40">
        <f>V23+V24+V25</f>
        <v/>
      </c>
      <c r="W26" s="40">
        <f>W23+W24+W25</f>
        <v/>
      </c>
      <c r="X26" s="40">
        <f>X23+X24+X25</f>
        <v/>
      </c>
      <c r="Y26" s="40">
        <f>Y23+Y24+Y25</f>
        <v/>
      </c>
      <c r="Z26" s="40">
        <f>Z23+Z24+Z25</f>
        <v/>
      </c>
      <c r="AA26" s="40">
        <f>AA23+AA24+AA25</f>
        <v/>
      </c>
      <c r="AB26" s="40">
        <f>AB23+AB24+AB25</f>
        <v/>
      </c>
      <c r="AC26" s="40">
        <f>AC23+AC24+AC25</f>
        <v/>
      </c>
      <c r="AD26" s="40">
        <f>AD23+AD24+AD25</f>
        <v/>
      </c>
      <c r="AE26" s="40">
        <f>AE23+AE24+AE25</f>
        <v/>
      </c>
      <c r="AF26" s="40">
        <f>AF23+AF24+AF25</f>
        <v/>
      </c>
      <c r="AG26" s="40">
        <f>AG23+AG24+AG25</f>
        <v/>
      </c>
      <c r="AH26" s="40">
        <f>AH23+AH24+AH25</f>
        <v/>
      </c>
      <c r="AI26" s="40">
        <f>AI23+AI24+AI25</f>
        <v/>
      </c>
      <c r="AJ26" s="40">
        <f>AJ23+AJ24+AJ25</f>
        <v/>
      </c>
      <c r="AK26" s="40">
        <f>AK23+AK24+AK25</f>
        <v/>
      </c>
      <c r="AL26" s="40">
        <f>AL23+AL24+AL25</f>
        <v/>
      </c>
      <c r="AN26" s="40">
        <f>SUM(C26:N26)</f>
        <v/>
      </c>
      <c r="AO26" s="40">
        <f>SUM(O26:Z26)</f>
        <v/>
      </c>
      <c r="AP26" s="40">
        <f>SUM(AA26:AL26)</f>
        <v/>
      </c>
    </row>
    <row r="27">
      <c r="A27" s="9" t="inlineStr">
        <is>
          <t>TVA collectée</t>
        </is>
      </c>
      <c r="B27" s="4" t="inlineStr">
        <is>
          <t>€</t>
        </is>
      </c>
      <c r="C27" s="15">
        <f>C26*Hypothèses!$D$15/(1+Hypothèses!$D$15)</f>
        <v/>
      </c>
      <c r="D27" s="15">
        <f>D26*Hypothèses!$D$15/(1+Hypothèses!$D$15)</f>
        <v/>
      </c>
      <c r="E27" s="15">
        <f>E26*Hypothèses!$D$15/(1+Hypothèses!$D$15)</f>
        <v/>
      </c>
      <c r="F27" s="15">
        <f>F26*Hypothèses!$D$15/(1+Hypothèses!$D$15)</f>
        <v/>
      </c>
      <c r="G27" s="15">
        <f>G26*Hypothèses!$D$15/(1+Hypothèses!$D$15)</f>
        <v/>
      </c>
      <c r="H27" s="15">
        <f>H26*Hypothèses!$D$15/(1+Hypothèses!$D$15)</f>
        <v/>
      </c>
      <c r="I27" s="15">
        <f>I26*Hypothèses!$D$15/(1+Hypothèses!$D$15)</f>
        <v/>
      </c>
      <c r="J27" s="15">
        <f>J26*Hypothèses!$D$15/(1+Hypothèses!$D$15)</f>
        <v/>
      </c>
      <c r="K27" s="15">
        <f>K26*Hypothèses!$D$15/(1+Hypothèses!$D$15)</f>
        <v/>
      </c>
      <c r="L27" s="15">
        <f>L26*Hypothèses!$D$15/(1+Hypothèses!$D$15)</f>
        <v/>
      </c>
      <c r="M27" s="15">
        <f>M26*Hypothèses!$D$15/(1+Hypothèses!$D$15)</f>
        <v/>
      </c>
      <c r="N27" s="15">
        <f>N26*Hypothèses!$D$15/(1+Hypothèses!$D$15)</f>
        <v/>
      </c>
      <c r="O27" s="15">
        <f>O26*Hypothèses!$D$15/(1+Hypothèses!$D$15)</f>
        <v/>
      </c>
      <c r="P27" s="15">
        <f>P26*Hypothèses!$D$15/(1+Hypothèses!$D$15)</f>
        <v/>
      </c>
      <c r="Q27" s="15">
        <f>Q26*Hypothèses!$D$15/(1+Hypothèses!$D$15)</f>
        <v/>
      </c>
      <c r="R27" s="15">
        <f>R26*Hypothèses!$D$15/(1+Hypothèses!$D$15)</f>
        <v/>
      </c>
      <c r="S27" s="15">
        <f>S26*Hypothèses!$D$15/(1+Hypothèses!$D$15)</f>
        <v/>
      </c>
      <c r="T27" s="15">
        <f>T26*Hypothèses!$D$15/(1+Hypothèses!$D$15)</f>
        <v/>
      </c>
      <c r="U27" s="15">
        <f>U26*Hypothèses!$D$15/(1+Hypothèses!$D$15)</f>
        <v/>
      </c>
      <c r="V27" s="15">
        <f>V26*Hypothèses!$D$15/(1+Hypothèses!$D$15)</f>
        <v/>
      </c>
      <c r="W27" s="15">
        <f>W26*Hypothèses!$D$15/(1+Hypothèses!$D$15)</f>
        <v/>
      </c>
      <c r="X27" s="15">
        <f>X26*Hypothèses!$D$15/(1+Hypothèses!$D$15)</f>
        <v/>
      </c>
      <c r="Y27" s="15">
        <f>Y26*Hypothèses!$D$15/(1+Hypothèses!$D$15)</f>
        <v/>
      </c>
      <c r="Z27" s="15">
        <f>Z26*Hypothèses!$D$15/(1+Hypothèses!$D$15)</f>
        <v/>
      </c>
      <c r="AA27" s="15">
        <f>AA26*Hypothèses!$D$15/(1+Hypothèses!$D$15)</f>
        <v/>
      </c>
      <c r="AB27" s="15">
        <f>AB26*Hypothèses!$D$15/(1+Hypothèses!$D$15)</f>
        <v/>
      </c>
      <c r="AC27" s="15">
        <f>AC26*Hypothèses!$D$15/(1+Hypothèses!$D$15)</f>
        <v/>
      </c>
      <c r="AD27" s="15">
        <f>AD26*Hypothèses!$D$15/(1+Hypothèses!$D$15)</f>
        <v/>
      </c>
      <c r="AE27" s="15">
        <f>AE26*Hypothèses!$D$15/(1+Hypothèses!$D$15)</f>
        <v/>
      </c>
      <c r="AF27" s="15">
        <f>AF26*Hypothèses!$D$15/(1+Hypothèses!$D$15)</f>
        <v/>
      </c>
      <c r="AG27" s="15">
        <f>AG26*Hypothèses!$D$15/(1+Hypothèses!$D$15)</f>
        <v/>
      </c>
      <c r="AH27" s="15">
        <f>AH26*Hypothèses!$D$15/(1+Hypothèses!$D$15)</f>
        <v/>
      </c>
      <c r="AI27" s="15">
        <f>AI26*Hypothèses!$D$15/(1+Hypothèses!$D$15)</f>
        <v/>
      </c>
      <c r="AJ27" s="15">
        <f>AJ26*Hypothèses!$D$15/(1+Hypothèses!$D$15)</f>
        <v/>
      </c>
      <c r="AK27" s="15">
        <f>AK26*Hypothèses!$D$15/(1+Hypothèses!$D$15)</f>
        <v/>
      </c>
      <c r="AL27" s="15">
        <f>AL26*Hypothèses!$D$15/(1+Hypothèses!$D$15)</f>
        <v/>
      </c>
      <c r="AN27" s="15">
        <f>SUM(C27:N27)</f>
        <v/>
      </c>
      <c r="AO27" s="15">
        <f>SUM(O27:Z27)</f>
        <v/>
      </c>
      <c r="AP27" s="15">
        <f>SUM(AA27:AL27)</f>
        <v/>
      </c>
    </row>
    <row r="28">
      <c r="A28" s="2" t="inlineStr">
        <is>
          <t>Chiffre d'affaires HT</t>
        </is>
      </c>
      <c r="B28" s="4" t="inlineStr">
        <is>
          <t>€ HT</t>
        </is>
      </c>
      <c r="C28" s="40">
        <f>C26-C27</f>
        <v/>
      </c>
      <c r="D28" s="40">
        <f>D26-D27</f>
        <v/>
      </c>
      <c r="E28" s="40">
        <f>E26-E27</f>
        <v/>
      </c>
      <c r="F28" s="40">
        <f>F26-F27</f>
        <v/>
      </c>
      <c r="G28" s="40">
        <f>G26-G27</f>
        <v/>
      </c>
      <c r="H28" s="40">
        <f>H26-H27</f>
        <v/>
      </c>
      <c r="I28" s="40">
        <f>I26-I27</f>
        <v/>
      </c>
      <c r="J28" s="40">
        <f>J26-J27</f>
        <v/>
      </c>
      <c r="K28" s="40">
        <f>K26-K27</f>
        <v/>
      </c>
      <c r="L28" s="40">
        <f>L26-L27</f>
        <v/>
      </c>
      <c r="M28" s="40">
        <f>M26-M27</f>
        <v/>
      </c>
      <c r="N28" s="40">
        <f>N26-N27</f>
        <v/>
      </c>
      <c r="O28" s="40">
        <f>O26-O27</f>
        <v/>
      </c>
      <c r="P28" s="40">
        <f>P26-P27</f>
        <v/>
      </c>
      <c r="Q28" s="40">
        <f>Q26-Q27</f>
        <v/>
      </c>
      <c r="R28" s="40">
        <f>R26-R27</f>
        <v/>
      </c>
      <c r="S28" s="40">
        <f>S26-S27</f>
        <v/>
      </c>
      <c r="T28" s="40">
        <f>T26-T27</f>
        <v/>
      </c>
      <c r="U28" s="40">
        <f>U26-U27</f>
        <v/>
      </c>
      <c r="V28" s="40">
        <f>V26-V27</f>
        <v/>
      </c>
      <c r="W28" s="40">
        <f>W26-W27</f>
        <v/>
      </c>
      <c r="X28" s="40">
        <f>X26-X27</f>
        <v/>
      </c>
      <c r="Y28" s="40">
        <f>Y26-Y27</f>
        <v/>
      </c>
      <c r="Z28" s="40">
        <f>Z26-Z27</f>
        <v/>
      </c>
      <c r="AA28" s="40">
        <f>AA26-AA27</f>
        <v/>
      </c>
      <c r="AB28" s="40">
        <f>AB26-AB27</f>
        <v/>
      </c>
      <c r="AC28" s="40">
        <f>AC26-AC27</f>
        <v/>
      </c>
      <c r="AD28" s="40">
        <f>AD26-AD27</f>
        <v/>
      </c>
      <c r="AE28" s="40">
        <f>AE26-AE27</f>
        <v/>
      </c>
      <c r="AF28" s="40">
        <f>AF26-AF27</f>
        <v/>
      </c>
      <c r="AG28" s="40">
        <f>AG26-AG27</f>
        <v/>
      </c>
      <c r="AH28" s="40">
        <f>AH26-AH27</f>
        <v/>
      </c>
      <c r="AI28" s="40">
        <f>AI26-AI27</f>
        <v/>
      </c>
      <c r="AJ28" s="40">
        <f>AJ26-AJ27</f>
        <v/>
      </c>
      <c r="AK28" s="40">
        <f>AK26-AK27</f>
        <v/>
      </c>
      <c r="AL28" s="40">
        <f>AL26-AL27</f>
        <v/>
      </c>
      <c r="AN28" s="40">
        <f>SUM(C28:N28)</f>
        <v/>
      </c>
      <c r="AO28" s="40">
        <f>SUM(O28:Z28)</f>
        <v/>
      </c>
      <c r="AP28" s="40">
        <f>SUM(AA28:AL28)</f>
        <v/>
      </c>
    </row>
    <row r="29">
      <c r="A29" s="9" t="inlineStr">
        <is>
          <t>Impayés (TTC)</t>
        </is>
      </c>
      <c r="B29" s="4" t="inlineStr">
        <is>
          <t>€ TTC</t>
        </is>
      </c>
      <c r="C29" s="15">
        <f>C26*Hypothèses!$D$27</f>
        <v/>
      </c>
      <c r="D29" s="15">
        <f>D26*Hypothèses!$D$27</f>
        <v/>
      </c>
      <c r="E29" s="15">
        <f>E26*Hypothèses!$D$27</f>
        <v/>
      </c>
      <c r="F29" s="15">
        <f>F26*Hypothèses!$D$27</f>
        <v/>
      </c>
      <c r="G29" s="15">
        <f>G26*Hypothèses!$D$27</f>
        <v/>
      </c>
      <c r="H29" s="15">
        <f>H26*Hypothèses!$D$27</f>
        <v/>
      </c>
      <c r="I29" s="15">
        <f>I26*Hypothèses!$D$27</f>
        <v/>
      </c>
      <c r="J29" s="15">
        <f>J26*Hypothèses!$D$27</f>
        <v/>
      </c>
      <c r="K29" s="15">
        <f>K26*Hypothèses!$D$27</f>
        <v/>
      </c>
      <c r="L29" s="15">
        <f>L26*Hypothèses!$D$27</f>
        <v/>
      </c>
      <c r="M29" s="15">
        <f>M26*Hypothèses!$D$27</f>
        <v/>
      </c>
      <c r="N29" s="15">
        <f>N26*Hypothèses!$D$27</f>
        <v/>
      </c>
      <c r="O29" s="15">
        <f>O26*Hypothèses!$D$27</f>
        <v/>
      </c>
      <c r="P29" s="15">
        <f>P26*Hypothèses!$D$27</f>
        <v/>
      </c>
      <c r="Q29" s="15">
        <f>Q26*Hypothèses!$D$27</f>
        <v/>
      </c>
      <c r="R29" s="15">
        <f>R26*Hypothèses!$D$27</f>
        <v/>
      </c>
      <c r="S29" s="15">
        <f>S26*Hypothèses!$D$27</f>
        <v/>
      </c>
      <c r="T29" s="15">
        <f>T26*Hypothèses!$D$27</f>
        <v/>
      </c>
      <c r="U29" s="15">
        <f>U26*Hypothèses!$D$27</f>
        <v/>
      </c>
      <c r="V29" s="15">
        <f>V26*Hypothèses!$D$27</f>
        <v/>
      </c>
      <c r="W29" s="15">
        <f>W26*Hypothèses!$D$27</f>
        <v/>
      </c>
      <c r="X29" s="15">
        <f>X26*Hypothèses!$D$27</f>
        <v/>
      </c>
      <c r="Y29" s="15">
        <f>Y26*Hypothèses!$D$27</f>
        <v/>
      </c>
      <c r="Z29" s="15">
        <f>Z26*Hypothèses!$D$27</f>
        <v/>
      </c>
      <c r="AA29" s="15">
        <f>AA26*Hypothèses!$D$27</f>
        <v/>
      </c>
      <c r="AB29" s="15">
        <f>AB26*Hypothèses!$D$27</f>
        <v/>
      </c>
      <c r="AC29" s="15">
        <f>AC26*Hypothèses!$D$27</f>
        <v/>
      </c>
      <c r="AD29" s="15">
        <f>AD26*Hypothèses!$D$27</f>
        <v/>
      </c>
      <c r="AE29" s="15">
        <f>AE26*Hypothèses!$D$27</f>
        <v/>
      </c>
      <c r="AF29" s="15">
        <f>AF26*Hypothèses!$D$27</f>
        <v/>
      </c>
      <c r="AG29" s="15">
        <f>AG26*Hypothèses!$D$27</f>
        <v/>
      </c>
      <c r="AH29" s="15">
        <f>AH26*Hypothèses!$D$27</f>
        <v/>
      </c>
      <c r="AI29" s="15">
        <f>AI26*Hypothèses!$D$27</f>
        <v/>
      </c>
      <c r="AJ29" s="15">
        <f>AJ26*Hypothèses!$D$27</f>
        <v/>
      </c>
      <c r="AK29" s="15">
        <f>AK26*Hypothèses!$D$27</f>
        <v/>
      </c>
      <c r="AL29" s="15">
        <f>AL26*Hypothèses!$D$27</f>
        <v/>
      </c>
      <c r="AN29" s="15">
        <f>SUM(C29:N29)</f>
        <v/>
      </c>
      <c r="AO29" s="15">
        <f>SUM(O29:Z29)</f>
        <v/>
      </c>
      <c r="AP29" s="15">
        <f>SUM(AA29:AL29)</f>
        <v/>
      </c>
    </row>
    <row r="30">
      <c r="A30" s="9" t="inlineStr">
        <is>
          <t>Frais de paiement</t>
        </is>
      </c>
      <c r="B30" s="4" t="inlineStr">
        <is>
          <t>€</t>
        </is>
      </c>
      <c r="C30" s="15">
        <f>(C26-C29)*Hypothèses!$D$28+C18*Hypothèses!$D$29</f>
        <v/>
      </c>
      <c r="D30" s="15">
        <f>(D26-D29)*Hypothèses!$D$28+D18*Hypothèses!$D$29</f>
        <v/>
      </c>
      <c r="E30" s="15">
        <f>(E26-E29)*Hypothèses!$D$28+E18*Hypothèses!$D$29</f>
        <v/>
      </c>
      <c r="F30" s="15">
        <f>(F26-F29)*Hypothèses!$D$28+F18*Hypothèses!$D$29</f>
        <v/>
      </c>
      <c r="G30" s="15">
        <f>(G26-G29)*Hypothèses!$D$28+G18*Hypothèses!$D$29</f>
        <v/>
      </c>
      <c r="H30" s="15">
        <f>(H26-H29)*Hypothèses!$D$28+H18*Hypothèses!$D$29</f>
        <v/>
      </c>
      <c r="I30" s="15">
        <f>(I26-I29)*Hypothèses!$D$28+I18*Hypothèses!$D$29</f>
        <v/>
      </c>
      <c r="J30" s="15">
        <f>(J26-J29)*Hypothèses!$D$28+J18*Hypothèses!$D$29</f>
        <v/>
      </c>
      <c r="K30" s="15">
        <f>(K26-K29)*Hypothèses!$D$28+K18*Hypothèses!$D$29</f>
        <v/>
      </c>
      <c r="L30" s="15">
        <f>(L26-L29)*Hypothèses!$D$28+L18*Hypothèses!$D$29</f>
        <v/>
      </c>
      <c r="M30" s="15">
        <f>(M26-M29)*Hypothèses!$D$28+M18*Hypothèses!$D$29</f>
        <v/>
      </c>
      <c r="N30" s="15">
        <f>(N26-N29)*Hypothèses!$D$28+N18*Hypothèses!$D$29</f>
        <v/>
      </c>
      <c r="O30" s="15">
        <f>(O26-O29)*Hypothèses!$D$28+O18*Hypothèses!$D$29</f>
        <v/>
      </c>
      <c r="P30" s="15">
        <f>(P26-P29)*Hypothèses!$D$28+P18*Hypothèses!$D$29</f>
        <v/>
      </c>
      <c r="Q30" s="15">
        <f>(Q26-Q29)*Hypothèses!$D$28+Q18*Hypothèses!$D$29</f>
        <v/>
      </c>
      <c r="R30" s="15">
        <f>(R26-R29)*Hypothèses!$D$28+R18*Hypothèses!$D$29</f>
        <v/>
      </c>
      <c r="S30" s="15">
        <f>(S26-S29)*Hypothèses!$D$28+S18*Hypothèses!$D$29</f>
        <v/>
      </c>
      <c r="T30" s="15">
        <f>(T26-T29)*Hypothèses!$D$28+T18*Hypothèses!$D$29</f>
        <v/>
      </c>
      <c r="U30" s="15">
        <f>(U26-U29)*Hypothèses!$D$28+U18*Hypothèses!$D$29</f>
        <v/>
      </c>
      <c r="V30" s="15">
        <f>(V26-V29)*Hypothèses!$D$28+V18*Hypothèses!$D$29</f>
        <v/>
      </c>
      <c r="W30" s="15">
        <f>(W26-W29)*Hypothèses!$D$28+W18*Hypothèses!$D$29</f>
        <v/>
      </c>
      <c r="X30" s="15">
        <f>(X26-X29)*Hypothèses!$D$28+X18*Hypothèses!$D$29</f>
        <v/>
      </c>
      <c r="Y30" s="15">
        <f>(Y26-Y29)*Hypothèses!$D$28+Y18*Hypothèses!$D$29</f>
        <v/>
      </c>
      <c r="Z30" s="15">
        <f>(Z26-Z29)*Hypothèses!$D$28+Z18*Hypothèses!$D$29</f>
        <v/>
      </c>
      <c r="AA30" s="15">
        <f>(AA26-AA29)*Hypothèses!$D$28+AA18*Hypothèses!$D$29</f>
        <v/>
      </c>
      <c r="AB30" s="15">
        <f>(AB26-AB29)*Hypothèses!$D$28+AB18*Hypothèses!$D$29</f>
        <v/>
      </c>
      <c r="AC30" s="15">
        <f>(AC26-AC29)*Hypothèses!$D$28+AC18*Hypothèses!$D$29</f>
        <v/>
      </c>
      <c r="AD30" s="15">
        <f>(AD26-AD29)*Hypothèses!$D$28+AD18*Hypothèses!$D$29</f>
        <v/>
      </c>
      <c r="AE30" s="15">
        <f>(AE26-AE29)*Hypothèses!$D$28+AE18*Hypothèses!$D$29</f>
        <v/>
      </c>
      <c r="AF30" s="15">
        <f>(AF26-AF29)*Hypothèses!$D$28+AF18*Hypothèses!$D$29</f>
        <v/>
      </c>
      <c r="AG30" s="15">
        <f>(AG26-AG29)*Hypothèses!$D$28+AG18*Hypothèses!$D$29</f>
        <v/>
      </c>
      <c r="AH30" s="15">
        <f>(AH26-AH29)*Hypothèses!$D$28+AH18*Hypothèses!$D$29</f>
        <v/>
      </c>
      <c r="AI30" s="15">
        <f>(AI26-AI29)*Hypothèses!$D$28+AI18*Hypothèses!$D$29</f>
        <v/>
      </c>
      <c r="AJ30" s="15">
        <f>(AJ26-AJ29)*Hypothèses!$D$28+AJ18*Hypothèses!$D$29</f>
        <v/>
      </c>
      <c r="AK30" s="15">
        <f>(AK26-AK29)*Hypothèses!$D$28+AK18*Hypothèses!$D$29</f>
        <v/>
      </c>
      <c r="AL30" s="15">
        <f>(AL26-AL29)*Hypothèses!$D$28+AL18*Hypothèses!$D$29</f>
        <v/>
      </c>
      <c r="AN30" s="15">
        <f>SUM(C30:N30)</f>
        <v/>
      </c>
      <c r="AO30" s="15">
        <f>SUM(O30:Z30)</f>
        <v/>
      </c>
      <c r="AP30" s="15">
        <f>SUM(AA30:AL30)</f>
        <v/>
      </c>
    </row>
    <row r="31">
      <c r="A31" s="2" t="inlineStr">
        <is>
          <t>Encaissements nets TTC</t>
        </is>
      </c>
      <c r="B31" s="4" t="inlineStr">
        <is>
          <t>€ TTC</t>
        </is>
      </c>
      <c r="C31" s="40">
        <f>C26-C29-C30</f>
        <v/>
      </c>
      <c r="D31" s="40">
        <f>D26-D29-D30</f>
        <v/>
      </c>
      <c r="E31" s="40">
        <f>E26-E29-E30</f>
        <v/>
      </c>
      <c r="F31" s="40">
        <f>F26-F29-F30</f>
        <v/>
      </c>
      <c r="G31" s="40">
        <f>G26-G29-G30</f>
        <v/>
      </c>
      <c r="H31" s="40">
        <f>H26-H29-H30</f>
        <v/>
      </c>
      <c r="I31" s="40">
        <f>I26-I29-I30</f>
        <v/>
      </c>
      <c r="J31" s="40">
        <f>J26-J29-J30</f>
        <v/>
      </c>
      <c r="K31" s="40">
        <f>K26-K29-K30</f>
        <v/>
      </c>
      <c r="L31" s="40">
        <f>L26-L29-L30</f>
        <v/>
      </c>
      <c r="M31" s="40">
        <f>M26-M29-M30</f>
        <v/>
      </c>
      <c r="N31" s="40">
        <f>N26-N29-N30</f>
        <v/>
      </c>
      <c r="O31" s="40">
        <f>O26-O29-O30</f>
        <v/>
      </c>
      <c r="P31" s="40">
        <f>P26-P29-P30</f>
        <v/>
      </c>
      <c r="Q31" s="40">
        <f>Q26-Q29-Q30</f>
        <v/>
      </c>
      <c r="R31" s="40">
        <f>R26-R29-R30</f>
        <v/>
      </c>
      <c r="S31" s="40">
        <f>S26-S29-S30</f>
        <v/>
      </c>
      <c r="T31" s="40">
        <f>T26-T29-T30</f>
        <v/>
      </c>
      <c r="U31" s="40">
        <f>U26-U29-U30</f>
        <v/>
      </c>
      <c r="V31" s="40">
        <f>V26-V29-V30</f>
        <v/>
      </c>
      <c r="W31" s="40">
        <f>W26-W29-W30</f>
        <v/>
      </c>
      <c r="X31" s="40">
        <f>X26-X29-X30</f>
        <v/>
      </c>
      <c r="Y31" s="40">
        <f>Y26-Y29-Y30</f>
        <v/>
      </c>
      <c r="Z31" s="40">
        <f>Z26-Z29-Z30</f>
        <v/>
      </c>
      <c r="AA31" s="40">
        <f>AA26-AA29-AA30</f>
        <v/>
      </c>
      <c r="AB31" s="40">
        <f>AB26-AB29-AB30</f>
        <v/>
      </c>
      <c r="AC31" s="40">
        <f>AC26-AC29-AC30</f>
        <v/>
      </c>
      <c r="AD31" s="40">
        <f>AD26-AD29-AD30</f>
        <v/>
      </c>
      <c r="AE31" s="40">
        <f>AE26-AE29-AE30</f>
        <v/>
      </c>
      <c r="AF31" s="40">
        <f>AF26-AF29-AF30</f>
        <v/>
      </c>
      <c r="AG31" s="40">
        <f>AG26-AG29-AG30</f>
        <v/>
      </c>
      <c r="AH31" s="40">
        <f>AH26-AH29-AH30</f>
        <v/>
      </c>
      <c r="AI31" s="40">
        <f>AI26-AI29-AI30</f>
        <v/>
      </c>
      <c r="AJ31" s="40">
        <f>AJ26-AJ29-AJ30</f>
        <v/>
      </c>
      <c r="AK31" s="40">
        <f>AK26-AK29-AK30</f>
        <v/>
      </c>
      <c r="AL31" s="40">
        <f>AL26-AL29-AL30</f>
        <v/>
      </c>
      <c r="AN31" s="40">
        <f>SUM(C31:N31)</f>
        <v/>
      </c>
      <c r="AO31" s="40">
        <f>SUM(O31:Z31)</f>
        <v/>
      </c>
      <c r="AP31" s="40">
        <f>SUM(AA31:AL31)</f>
        <v/>
      </c>
    </row>
    <row r="32">
      <c r="A32" s="8" t="inlineStr">
        <is>
          <t>Coûts variables</t>
        </is>
      </c>
    </row>
    <row r="33">
      <c r="A33" s="9" t="inlineStr">
        <is>
          <t>Coût IA et outils (missions × coût par mission)</t>
        </is>
      </c>
      <c r="B33" s="4" t="inlineStr">
        <is>
          <t>€ HT</t>
        </is>
      </c>
      <c r="C33" s="15">
        <f>(C19*Hypothèses!$D$31+C20*Hypothèses!$D$32+C21*Hypothèses!$D$33)*Hypothèses!$D$34*$F$4</f>
        <v/>
      </c>
      <c r="D33" s="15">
        <f>(D19*Hypothèses!$D$31+D20*Hypothèses!$D$32+D21*Hypothèses!$D$33)*Hypothèses!$D$34*$F$4</f>
        <v/>
      </c>
      <c r="E33" s="15">
        <f>(E19*Hypothèses!$D$31+E20*Hypothèses!$D$32+E21*Hypothèses!$D$33)*Hypothèses!$D$34*$F$4</f>
        <v/>
      </c>
      <c r="F33" s="15">
        <f>(F19*Hypothèses!$D$31+F20*Hypothèses!$D$32+F21*Hypothèses!$D$33)*Hypothèses!$D$34*$F$4</f>
        <v/>
      </c>
      <c r="G33" s="15">
        <f>(G19*Hypothèses!$D$31+G20*Hypothèses!$D$32+G21*Hypothèses!$D$33)*Hypothèses!$D$34*$F$4</f>
        <v/>
      </c>
      <c r="H33" s="15">
        <f>(H19*Hypothèses!$D$31+H20*Hypothèses!$D$32+H21*Hypothèses!$D$33)*Hypothèses!$D$34*$F$4</f>
        <v/>
      </c>
      <c r="I33" s="15">
        <f>(I19*Hypothèses!$D$31+I20*Hypothèses!$D$32+I21*Hypothèses!$D$33)*Hypothèses!$D$34*$F$4</f>
        <v/>
      </c>
      <c r="J33" s="15">
        <f>(J19*Hypothèses!$D$31+J20*Hypothèses!$D$32+J21*Hypothèses!$D$33)*Hypothèses!$D$34*$F$4</f>
        <v/>
      </c>
      <c r="K33" s="15">
        <f>(K19*Hypothèses!$D$31+K20*Hypothèses!$D$32+K21*Hypothèses!$D$33)*Hypothèses!$D$34*$F$4</f>
        <v/>
      </c>
      <c r="L33" s="15">
        <f>(L19*Hypothèses!$D$31+L20*Hypothèses!$D$32+L21*Hypothèses!$D$33)*Hypothèses!$D$34*$F$4</f>
        <v/>
      </c>
      <c r="M33" s="15">
        <f>(M19*Hypothèses!$D$31+M20*Hypothèses!$D$32+M21*Hypothèses!$D$33)*Hypothèses!$D$34*$F$4</f>
        <v/>
      </c>
      <c r="N33" s="15">
        <f>(N19*Hypothèses!$D$31+N20*Hypothèses!$D$32+N21*Hypothèses!$D$33)*Hypothèses!$D$34*$F$4</f>
        <v/>
      </c>
      <c r="O33" s="15">
        <f>(O19*Hypothèses!$D$31+O20*Hypothèses!$D$32+O21*Hypothèses!$D$33)*Hypothèses!$D$34*$F$4</f>
        <v/>
      </c>
      <c r="P33" s="15">
        <f>(P19*Hypothèses!$D$31+P20*Hypothèses!$D$32+P21*Hypothèses!$D$33)*Hypothèses!$D$34*$F$4</f>
        <v/>
      </c>
      <c r="Q33" s="15">
        <f>(Q19*Hypothèses!$D$31+Q20*Hypothèses!$D$32+Q21*Hypothèses!$D$33)*Hypothèses!$D$34*$F$4</f>
        <v/>
      </c>
      <c r="R33" s="15">
        <f>(R19*Hypothèses!$D$31+R20*Hypothèses!$D$32+R21*Hypothèses!$D$33)*Hypothèses!$D$34*$F$4</f>
        <v/>
      </c>
      <c r="S33" s="15">
        <f>(S19*Hypothèses!$D$31+S20*Hypothèses!$D$32+S21*Hypothèses!$D$33)*Hypothèses!$D$34*$F$4</f>
        <v/>
      </c>
      <c r="T33" s="15">
        <f>(T19*Hypothèses!$D$31+T20*Hypothèses!$D$32+T21*Hypothèses!$D$33)*Hypothèses!$D$34*$F$4</f>
        <v/>
      </c>
      <c r="U33" s="15">
        <f>(U19*Hypothèses!$D$31+U20*Hypothèses!$D$32+U21*Hypothèses!$D$33)*Hypothèses!$D$34*$F$4</f>
        <v/>
      </c>
      <c r="V33" s="15">
        <f>(V19*Hypothèses!$D$31+V20*Hypothèses!$D$32+V21*Hypothèses!$D$33)*Hypothèses!$D$34*$F$4</f>
        <v/>
      </c>
      <c r="W33" s="15">
        <f>(W19*Hypothèses!$D$31+W20*Hypothèses!$D$32+W21*Hypothèses!$D$33)*Hypothèses!$D$34*$F$4</f>
        <v/>
      </c>
      <c r="X33" s="15">
        <f>(X19*Hypothèses!$D$31+X20*Hypothèses!$D$32+X21*Hypothèses!$D$33)*Hypothèses!$D$34*$F$4</f>
        <v/>
      </c>
      <c r="Y33" s="15">
        <f>(Y19*Hypothèses!$D$31+Y20*Hypothèses!$D$32+Y21*Hypothèses!$D$33)*Hypothèses!$D$34*$F$4</f>
        <v/>
      </c>
      <c r="Z33" s="15">
        <f>(Z19*Hypothèses!$D$31+Z20*Hypothèses!$D$32+Z21*Hypothèses!$D$33)*Hypothèses!$D$34*$F$4</f>
        <v/>
      </c>
      <c r="AA33" s="15">
        <f>(AA19*Hypothèses!$D$31+AA20*Hypothèses!$D$32+AA21*Hypothèses!$D$33)*Hypothèses!$D$34*$F$4</f>
        <v/>
      </c>
      <c r="AB33" s="15">
        <f>(AB19*Hypothèses!$D$31+AB20*Hypothèses!$D$32+AB21*Hypothèses!$D$33)*Hypothèses!$D$34*$F$4</f>
        <v/>
      </c>
      <c r="AC33" s="15">
        <f>(AC19*Hypothèses!$D$31+AC20*Hypothèses!$D$32+AC21*Hypothèses!$D$33)*Hypothèses!$D$34*$F$4</f>
        <v/>
      </c>
      <c r="AD33" s="15">
        <f>(AD19*Hypothèses!$D$31+AD20*Hypothèses!$D$32+AD21*Hypothèses!$D$33)*Hypothèses!$D$34*$F$4</f>
        <v/>
      </c>
      <c r="AE33" s="15">
        <f>(AE19*Hypothèses!$D$31+AE20*Hypothèses!$D$32+AE21*Hypothèses!$D$33)*Hypothèses!$D$34*$F$4</f>
        <v/>
      </c>
      <c r="AF33" s="15">
        <f>(AF19*Hypothèses!$D$31+AF20*Hypothèses!$D$32+AF21*Hypothèses!$D$33)*Hypothèses!$D$34*$F$4</f>
        <v/>
      </c>
      <c r="AG33" s="15">
        <f>(AG19*Hypothèses!$D$31+AG20*Hypothèses!$D$32+AG21*Hypothèses!$D$33)*Hypothèses!$D$34*$F$4</f>
        <v/>
      </c>
      <c r="AH33" s="15">
        <f>(AH19*Hypothèses!$D$31+AH20*Hypothèses!$D$32+AH21*Hypothèses!$D$33)*Hypothèses!$D$34*$F$4</f>
        <v/>
      </c>
      <c r="AI33" s="15">
        <f>(AI19*Hypothèses!$D$31+AI20*Hypothèses!$D$32+AI21*Hypothèses!$D$33)*Hypothèses!$D$34*$F$4</f>
        <v/>
      </c>
      <c r="AJ33" s="15">
        <f>(AJ19*Hypothèses!$D$31+AJ20*Hypothèses!$D$32+AJ21*Hypothèses!$D$33)*Hypothèses!$D$34*$F$4</f>
        <v/>
      </c>
      <c r="AK33" s="15">
        <f>(AK19*Hypothèses!$D$31+AK20*Hypothèses!$D$32+AK21*Hypothèses!$D$33)*Hypothèses!$D$34*$F$4</f>
        <v/>
      </c>
      <c r="AL33" s="15">
        <f>(AL19*Hypothèses!$D$31+AL20*Hypothèses!$D$32+AL21*Hypothèses!$D$33)*Hypothèses!$D$34*$F$4</f>
        <v/>
      </c>
      <c r="AN33" s="15">
        <f>SUM(C33:N33)</f>
        <v/>
      </c>
      <c r="AO33" s="15">
        <f>SUM(O33:Z33)</f>
        <v/>
      </c>
      <c r="AP33" s="15">
        <f>SUM(AA33:AL33)</f>
        <v/>
      </c>
    </row>
    <row r="34">
      <c r="A34" s="9" t="inlineStr">
        <is>
          <t>Hébergement, stockage, connecteurs</t>
        </is>
      </c>
      <c r="B34" s="4" t="inlineStr">
        <is>
          <t>€ HT</t>
        </is>
      </c>
      <c r="C34" s="15">
        <f>C18*Hypothèses!$D$35</f>
        <v/>
      </c>
      <c r="D34" s="15">
        <f>D18*Hypothèses!$D$35</f>
        <v/>
      </c>
      <c r="E34" s="15">
        <f>E18*Hypothèses!$D$35</f>
        <v/>
      </c>
      <c r="F34" s="15">
        <f>F18*Hypothèses!$D$35</f>
        <v/>
      </c>
      <c r="G34" s="15">
        <f>G18*Hypothèses!$D$35</f>
        <v/>
      </c>
      <c r="H34" s="15">
        <f>H18*Hypothèses!$D$35</f>
        <v/>
      </c>
      <c r="I34" s="15">
        <f>I18*Hypothèses!$D$35</f>
        <v/>
      </c>
      <c r="J34" s="15">
        <f>J18*Hypothèses!$D$35</f>
        <v/>
      </c>
      <c r="K34" s="15">
        <f>K18*Hypothèses!$D$35</f>
        <v/>
      </c>
      <c r="L34" s="15">
        <f>L18*Hypothèses!$D$35</f>
        <v/>
      </c>
      <c r="M34" s="15">
        <f>M18*Hypothèses!$D$35</f>
        <v/>
      </c>
      <c r="N34" s="15">
        <f>N18*Hypothèses!$D$35</f>
        <v/>
      </c>
      <c r="O34" s="15">
        <f>O18*Hypothèses!$D$35</f>
        <v/>
      </c>
      <c r="P34" s="15">
        <f>P18*Hypothèses!$D$35</f>
        <v/>
      </c>
      <c r="Q34" s="15">
        <f>Q18*Hypothèses!$D$35</f>
        <v/>
      </c>
      <c r="R34" s="15">
        <f>R18*Hypothèses!$D$35</f>
        <v/>
      </c>
      <c r="S34" s="15">
        <f>S18*Hypothèses!$D$35</f>
        <v/>
      </c>
      <c r="T34" s="15">
        <f>T18*Hypothèses!$D$35</f>
        <v/>
      </c>
      <c r="U34" s="15">
        <f>U18*Hypothèses!$D$35</f>
        <v/>
      </c>
      <c r="V34" s="15">
        <f>V18*Hypothèses!$D$35</f>
        <v/>
      </c>
      <c r="W34" s="15">
        <f>W18*Hypothèses!$D$35</f>
        <v/>
      </c>
      <c r="X34" s="15">
        <f>X18*Hypothèses!$D$35</f>
        <v/>
      </c>
      <c r="Y34" s="15">
        <f>Y18*Hypothèses!$D$35</f>
        <v/>
      </c>
      <c r="Z34" s="15">
        <f>Z18*Hypothèses!$D$35</f>
        <v/>
      </c>
      <c r="AA34" s="15">
        <f>AA18*Hypothèses!$D$35</f>
        <v/>
      </c>
      <c r="AB34" s="15">
        <f>AB18*Hypothèses!$D$35</f>
        <v/>
      </c>
      <c r="AC34" s="15">
        <f>AC18*Hypothèses!$D$35</f>
        <v/>
      </c>
      <c r="AD34" s="15">
        <f>AD18*Hypothèses!$D$35</f>
        <v/>
      </c>
      <c r="AE34" s="15">
        <f>AE18*Hypothèses!$D$35</f>
        <v/>
      </c>
      <c r="AF34" s="15">
        <f>AF18*Hypothèses!$D$35</f>
        <v/>
      </c>
      <c r="AG34" s="15">
        <f>AG18*Hypothèses!$D$35</f>
        <v/>
      </c>
      <c r="AH34" s="15">
        <f>AH18*Hypothèses!$D$35</f>
        <v/>
      </c>
      <c r="AI34" s="15">
        <f>AI18*Hypothèses!$D$35</f>
        <v/>
      </c>
      <c r="AJ34" s="15">
        <f>AJ18*Hypothèses!$D$35</f>
        <v/>
      </c>
      <c r="AK34" s="15">
        <f>AK18*Hypothèses!$D$35</f>
        <v/>
      </c>
      <c r="AL34" s="15">
        <f>AL18*Hypothèses!$D$35</f>
        <v/>
      </c>
      <c r="AN34" s="15">
        <f>SUM(C34:N34)</f>
        <v/>
      </c>
      <c r="AO34" s="15">
        <f>SUM(O34:Z34)</f>
        <v/>
      </c>
      <c r="AP34" s="15">
        <f>SUM(AA34:AL34)</f>
        <v/>
      </c>
    </row>
    <row r="35">
      <c r="A35" s="9" t="inlineStr">
        <is>
          <t>Support humain</t>
        </is>
      </c>
      <c r="B35" s="4" t="inlineStr">
        <is>
          <t>€ HT</t>
        </is>
      </c>
      <c r="C35" s="15">
        <f>C18*Hypothèses!$D$36</f>
        <v/>
      </c>
      <c r="D35" s="15">
        <f>D18*Hypothèses!$D$36</f>
        <v/>
      </c>
      <c r="E35" s="15">
        <f>E18*Hypothèses!$D$36</f>
        <v/>
      </c>
      <c r="F35" s="15">
        <f>F18*Hypothèses!$D$36</f>
        <v/>
      </c>
      <c r="G35" s="15">
        <f>G18*Hypothèses!$D$36</f>
        <v/>
      </c>
      <c r="H35" s="15">
        <f>H18*Hypothèses!$D$36</f>
        <v/>
      </c>
      <c r="I35" s="15">
        <f>I18*Hypothèses!$D$36</f>
        <v/>
      </c>
      <c r="J35" s="15">
        <f>J18*Hypothèses!$D$36</f>
        <v/>
      </c>
      <c r="K35" s="15">
        <f>K18*Hypothèses!$D$36</f>
        <v/>
      </c>
      <c r="L35" s="15">
        <f>L18*Hypothèses!$D$36</f>
        <v/>
      </c>
      <c r="M35" s="15">
        <f>M18*Hypothèses!$D$36</f>
        <v/>
      </c>
      <c r="N35" s="15">
        <f>N18*Hypothèses!$D$36</f>
        <v/>
      </c>
      <c r="O35" s="15">
        <f>O18*Hypothèses!$D$36</f>
        <v/>
      </c>
      <c r="P35" s="15">
        <f>P18*Hypothèses!$D$36</f>
        <v/>
      </c>
      <c r="Q35" s="15">
        <f>Q18*Hypothèses!$D$36</f>
        <v/>
      </c>
      <c r="R35" s="15">
        <f>R18*Hypothèses!$D$36</f>
        <v/>
      </c>
      <c r="S35" s="15">
        <f>S18*Hypothèses!$D$36</f>
        <v/>
      </c>
      <c r="T35" s="15">
        <f>T18*Hypothèses!$D$36</f>
        <v/>
      </c>
      <c r="U35" s="15">
        <f>U18*Hypothèses!$D$36</f>
        <v/>
      </c>
      <c r="V35" s="15">
        <f>V18*Hypothèses!$D$36</f>
        <v/>
      </c>
      <c r="W35" s="15">
        <f>W18*Hypothèses!$D$36</f>
        <v/>
      </c>
      <c r="X35" s="15">
        <f>X18*Hypothèses!$D$36</f>
        <v/>
      </c>
      <c r="Y35" s="15">
        <f>Y18*Hypothèses!$D$36</f>
        <v/>
      </c>
      <c r="Z35" s="15">
        <f>Z18*Hypothèses!$D$36</f>
        <v/>
      </c>
      <c r="AA35" s="15">
        <f>AA18*Hypothèses!$D$36</f>
        <v/>
      </c>
      <c r="AB35" s="15">
        <f>AB18*Hypothèses!$D$36</f>
        <v/>
      </c>
      <c r="AC35" s="15">
        <f>AC18*Hypothèses!$D$36</f>
        <v/>
      </c>
      <c r="AD35" s="15">
        <f>AD18*Hypothèses!$D$36</f>
        <v/>
      </c>
      <c r="AE35" s="15">
        <f>AE18*Hypothèses!$D$36</f>
        <v/>
      </c>
      <c r="AF35" s="15">
        <f>AF18*Hypothèses!$D$36</f>
        <v/>
      </c>
      <c r="AG35" s="15">
        <f>AG18*Hypothèses!$D$36</f>
        <v/>
      </c>
      <c r="AH35" s="15">
        <f>AH18*Hypothèses!$D$36</f>
        <v/>
      </c>
      <c r="AI35" s="15">
        <f>AI18*Hypothèses!$D$36</f>
        <v/>
      </c>
      <c r="AJ35" s="15">
        <f>AJ18*Hypothèses!$D$36</f>
        <v/>
      </c>
      <c r="AK35" s="15">
        <f>AK18*Hypothèses!$D$36</f>
        <v/>
      </c>
      <c r="AL35" s="15">
        <f>AL18*Hypothèses!$D$36</f>
        <v/>
      </c>
      <c r="AN35" s="15">
        <f>SUM(C35:N35)</f>
        <v/>
      </c>
      <c r="AO35" s="15">
        <f>SUM(O35:Z35)</f>
        <v/>
      </c>
      <c r="AP35" s="15">
        <f>SUM(AA35:AL35)</f>
        <v/>
      </c>
    </row>
    <row r="36">
      <c r="A36" s="2" t="inlineStr">
        <is>
          <t>Total coûts variables</t>
        </is>
      </c>
      <c r="B36" s="4" t="inlineStr">
        <is>
          <t>€ HT</t>
        </is>
      </c>
      <c r="C36" s="40">
        <f>C33+C34+C35</f>
        <v/>
      </c>
      <c r="D36" s="40">
        <f>D33+D34+D35</f>
        <v/>
      </c>
      <c r="E36" s="40">
        <f>E33+E34+E35</f>
        <v/>
      </c>
      <c r="F36" s="40">
        <f>F33+F34+F35</f>
        <v/>
      </c>
      <c r="G36" s="40">
        <f>G33+G34+G35</f>
        <v/>
      </c>
      <c r="H36" s="40">
        <f>H33+H34+H35</f>
        <v/>
      </c>
      <c r="I36" s="40">
        <f>I33+I34+I35</f>
        <v/>
      </c>
      <c r="J36" s="40">
        <f>J33+J34+J35</f>
        <v/>
      </c>
      <c r="K36" s="40">
        <f>K33+K34+K35</f>
        <v/>
      </c>
      <c r="L36" s="40">
        <f>L33+L34+L35</f>
        <v/>
      </c>
      <c r="M36" s="40">
        <f>M33+M34+M35</f>
        <v/>
      </c>
      <c r="N36" s="40">
        <f>N33+N34+N35</f>
        <v/>
      </c>
      <c r="O36" s="40">
        <f>O33+O34+O35</f>
        <v/>
      </c>
      <c r="P36" s="40">
        <f>P33+P34+P35</f>
        <v/>
      </c>
      <c r="Q36" s="40">
        <f>Q33+Q34+Q35</f>
        <v/>
      </c>
      <c r="R36" s="40">
        <f>R33+R34+R35</f>
        <v/>
      </c>
      <c r="S36" s="40">
        <f>S33+S34+S35</f>
        <v/>
      </c>
      <c r="T36" s="40">
        <f>T33+T34+T35</f>
        <v/>
      </c>
      <c r="U36" s="40">
        <f>U33+U34+U35</f>
        <v/>
      </c>
      <c r="V36" s="40">
        <f>V33+V34+V35</f>
        <v/>
      </c>
      <c r="W36" s="40">
        <f>W33+W34+W35</f>
        <v/>
      </c>
      <c r="X36" s="40">
        <f>X33+X34+X35</f>
        <v/>
      </c>
      <c r="Y36" s="40">
        <f>Y33+Y34+Y35</f>
        <v/>
      </c>
      <c r="Z36" s="40">
        <f>Z33+Z34+Z35</f>
        <v/>
      </c>
      <c r="AA36" s="40">
        <f>AA33+AA34+AA35</f>
        <v/>
      </c>
      <c r="AB36" s="40">
        <f>AB33+AB34+AB35</f>
        <v/>
      </c>
      <c r="AC36" s="40">
        <f>AC33+AC34+AC35</f>
        <v/>
      </c>
      <c r="AD36" s="40">
        <f>AD33+AD34+AD35</f>
        <v/>
      </c>
      <c r="AE36" s="40">
        <f>AE33+AE34+AE35</f>
        <v/>
      </c>
      <c r="AF36" s="40">
        <f>AF33+AF34+AF35</f>
        <v/>
      </c>
      <c r="AG36" s="40">
        <f>AG33+AG34+AG35</f>
        <v/>
      </c>
      <c r="AH36" s="40">
        <f>AH33+AH34+AH35</f>
        <v/>
      </c>
      <c r="AI36" s="40">
        <f>AI33+AI34+AI35</f>
        <v/>
      </c>
      <c r="AJ36" s="40">
        <f>AJ33+AJ34+AJ35</f>
        <v/>
      </c>
      <c r="AK36" s="40">
        <f>AK33+AK34+AK35</f>
        <v/>
      </c>
      <c r="AL36" s="40">
        <f>AL33+AL34+AL35</f>
        <v/>
      </c>
      <c r="AN36" s="40">
        <f>SUM(C36:N36)</f>
        <v/>
      </c>
      <c r="AO36" s="40">
        <f>SUM(O36:Z36)</f>
        <v/>
      </c>
      <c r="AP36" s="40">
        <f>SUM(AA36:AL36)</f>
        <v/>
      </c>
    </row>
    <row r="37">
      <c r="A37" s="2" t="inlineStr">
        <is>
          <t>Marge sur coûts variables (CA HT − variables − frais − impayés HT)</t>
        </is>
      </c>
      <c r="B37" s="4" t="inlineStr">
        <is>
          <t>€ HT</t>
        </is>
      </c>
      <c r="C37" s="40">
        <f>C28-C36-C30-C29/(1+Hypothèses!$D$15)</f>
        <v/>
      </c>
      <c r="D37" s="40">
        <f>D28-D36-D30-D29/(1+Hypothèses!$D$15)</f>
        <v/>
      </c>
      <c r="E37" s="40">
        <f>E28-E36-E30-E29/(1+Hypothèses!$D$15)</f>
        <v/>
      </c>
      <c r="F37" s="40">
        <f>F28-F36-F30-F29/(1+Hypothèses!$D$15)</f>
        <v/>
      </c>
      <c r="G37" s="40">
        <f>G28-G36-G30-G29/(1+Hypothèses!$D$15)</f>
        <v/>
      </c>
      <c r="H37" s="40">
        <f>H28-H36-H30-H29/(1+Hypothèses!$D$15)</f>
        <v/>
      </c>
      <c r="I37" s="40">
        <f>I28-I36-I30-I29/(1+Hypothèses!$D$15)</f>
        <v/>
      </c>
      <c r="J37" s="40">
        <f>J28-J36-J30-J29/(1+Hypothèses!$D$15)</f>
        <v/>
      </c>
      <c r="K37" s="40">
        <f>K28-K36-K30-K29/(1+Hypothèses!$D$15)</f>
        <v/>
      </c>
      <c r="L37" s="40">
        <f>L28-L36-L30-L29/(1+Hypothèses!$D$15)</f>
        <v/>
      </c>
      <c r="M37" s="40">
        <f>M28-M36-M30-M29/(1+Hypothèses!$D$15)</f>
        <v/>
      </c>
      <c r="N37" s="40">
        <f>N28-N36-N30-N29/(1+Hypothèses!$D$15)</f>
        <v/>
      </c>
      <c r="O37" s="40">
        <f>O28-O36-O30-O29/(1+Hypothèses!$D$15)</f>
        <v/>
      </c>
      <c r="P37" s="40">
        <f>P28-P36-P30-P29/(1+Hypothèses!$D$15)</f>
        <v/>
      </c>
      <c r="Q37" s="40">
        <f>Q28-Q36-Q30-Q29/(1+Hypothèses!$D$15)</f>
        <v/>
      </c>
      <c r="R37" s="40">
        <f>R28-R36-R30-R29/(1+Hypothèses!$D$15)</f>
        <v/>
      </c>
      <c r="S37" s="40">
        <f>S28-S36-S30-S29/(1+Hypothèses!$D$15)</f>
        <v/>
      </c>
      <c r="T37" s="40">
        <f>T28-T36-T30-T29/(1+Hypothèses!$D$15)</f>
        <v/>
      </c>
      <c r="U37" s="40">
        <f>U28-U36-U30-U29/(1+Hypothèses!$D$15)</f>
        <v/>
      </c>
      <c r="V37" s="40">
        <f>V28-V36-V30-V29/(1+Hypothèses!$D$15)</f>
        <v/>
      </c>
      <c r="W37" s="40">
        <f>W28-W36-W30-W29/(1+Hypothèses!$D$15)</f>
        <v/>
      </c>
      <c r="X37" s="40">
        <f>X28-X36-X30-X29/(1+Hypothèses!$D$15)</f>
        <v/>
      </c>
      <c r="Y37" s="40">
        <f>Y28-Y36-Y30-Y29/(1+Hypothèses!$D$15)</f>
        <v/>
      </c>
      <c r="Z37" s="40">
        <f>Z28-Z36-Z30-Z29/(1+Hypothèses!$D$15)</f>
        <v/>
      </c>
      <c r="AA37" s="40">
        <f>AA28-AA36-AA30-AA29/(1+Hypothèses!$D$15)</f>
        <v/>
      </c>
      <c r="AB37" s="40">
        <f>AB28-AB36-AB30-AB29/(1+Hypothèses!$D$15)</f>
        <v/>
      </c>
      <c r="AC37" s="40">
        <f>AC28-AC36-AC30-AC29/(1+Hypothèses!$D$15)</f>
        <v/>
      </c>
      <c r="AD37" s="40">
        <f>AD28-AD36-AD30-AD29/(1+Hypothèses!$D$15)</f>
        <v/>
      </c>
      <c r="AE37" s="40">
        <f>AE28-AE36-AE30-AE29/(1+Hypothèses!$D$15)</f>
        <v/>
      </c>
      <c r="AF37" s="40">
        <f>AF28-AF36-AF30-AF29/(1+Hypothèses!$D$15)</f>
        <v/>
      </c>
      <c r="AG37" s="40">
        <f>AG28-AG36-AG30-AG29/(1+Hypothèses!$D$15)</f>
        <v/>
      </c>
      <c r="AH37" s="40">
        <f>AH28-AH36-AH30-AH29/(1+Hypothèses!$D$15)</f>
        <v/>
      </c>
      <c r="AI37" s="40">
        <f>AI28-AI36-AI30-AI29/(1+Hypothèses!$D$15)</f>
        <v/>
      </c>
      <c r="AJ37" s="40">
        <f>AJ28-AJ36-AJ30-AJ29/(1+Hypothèses!$D$15)</f>
        <v/>
      </c>
      <c r="AK37" s="40">
        <f>AK28-AK36-AK30-AK29/(1+Hypothèses!$D$15)</f>
        <v/>
      </c>
      <c r="AL37" s="40">
        <f>AL28-AL36-AL30-AL29/(1+Hypothèses!$D$15)</f>
        <v/>
      </c>
      <c r="AN37" s="40">
        <f>SUM(C37:N37)</f>
        <v/>
      </c>
      <c r="AO37" s="40">
        <f>SUM(O37:Z37)</f>
        <v/>
      </c>
      <c r="AP37" s="40">
        <f>SUM(AA37:AL37)</f>
        <v/>
      </c>
    </row>
    <row r="38">
      <c r="A38" s="8" t="inlineStr">
        <is>
          <t>Acquisition et coûts fixes</t>
        </is>
      </c>
    </row>
    <row r="39">
      <c r="A39" s="9" t="inlineStr">
        <is>
          <t>Dépenses d'acquisition</t>
        </is>
      </c>
      <c r="B39" s="4" t="inlineStr">
        <is>
          <t>€ HT</t>
        </is>
      </c>
      <c r="C39" s="15">
        <f>C11</f>
        <v/>
      </c>
      <c r="D39" s="15">
        <f>D11</f>
        <v/>
      </c>
      <c r="E39" s="15">
        <f>E11</f>
        <v/>
      </c>
      <c r="F39" s="15">
        <f>F11</f>
        <v/>
      </c>
      <c r="G39" s="15">
        <f>G11</f>
        <v/>
      </c>
      <c r="H39" s="15">
        <f>H11</f>
        <v/>
      </c>
      <c r="I39" s="15">
        <f>I11</f>
        <v/>
      </c>
      <c r="J39" s="15">
        <f>J11</f>
        <v/>
      </c>
      <c r="K39" s="15">
        <f>K11</f>
        <v/>
      </c>
      <c r="L39" s="15">
        <f>L11</f>
        <v/>
      </c>
      <c r="M39" s="15">
        <f>M11</f>
        <v/>
      </c>
      <c r="N39" s="15">
        <f>N11</f>
        <v/>
      </c>
      <c r="O39" s="15">
        <f>O11</f>
        <v/>
      </c>
      <c r="P39" s="15">
        <f>P11</f>
        <v/>
      </c>
      <c r="Q39" s="15">
        <f>Q11</f>
        <v/>
      </c>
      <c r="R39" s="15">
        <f>R11</f>
        <v/>
      </c>
      <c r="S39" s="15">
        <f>S11</f>
        <v/>
      </c>
      <c r="T39" s="15">
        <f>T11</f>
        <v/>
      </c>
      <c r="U39" s="15">
        <f>U11</f>
        <v/>
      </c>
      <c r="V39" s="15">
        <f>V11</f>
        <v/>
      </c>
      <c r="W39" s="15">
        <f>W11</f>
        <v/>
      </c>
      <c r="X39" s="15">
        <f>X11</f>
        <v/>
      </c>
      <c r="Y39" s="15">
        <f>Y11</f>
        <v/>
      </c>
      <c r="Z39" s="15">
        <f>Z11</f>
        <v/>
      </c>
      <c r="AA39" s="15">
        <f>AA11</f>
        <v/>
      </c>
      <c r="AB39" s="15">
        <f>AB11</f>
        <v/>
      </c>
      <c r="AC39" s="15">
        <f>AC11</f>
        <v/>
      </c>
      <c r="AD39" s="15">
        <f>AD11</f>
        <v/>
      </c>
      <c r="AE39" s="15">
        <f>AE11</f>
        <v/>
      </c>
      <c r="AF39" s="15">
        <f>AF11</f>
        <v/>
      </c>
      <c r="AG39" s="15">
        <f>AG11</f>
        <v/>
      </c>
      <c r="AH39" s="15">
        <f>AH11</f>
        <v/>
      </c>
      <c r="AI39" s="15">
        <f>AI11</f>
        <v/>
      </c>
      <c r="AJ39" s="15">
        <f>AJ11</f>
        <v/>
      </c>
      <c r="AK39" s="15">
        <f>AK11</f>
        <v/>
      </c>
      <c r="AL39" s="15">
        <f>AL11</f>
        <v/>
      </c>
      <c r="AN39" s="15">
        <f>SUM(C39:N39)</f>
        <v/>
      </c>
      <c r="AO39" s="15">
        <f>SUM(O39:Z39)</f>
        <v/>
      </c>
      <c r="AP39" s="15">
        <f>SUM(AA39:AL39)</f>
        <v/>
      </c>
    </row>
    <row r="40">
      <c r="A40" s="9" t="inlineStr">
        <is>
          <t>Rémunération des fondateurs</t>
        </is>
      </c>
      <c r="B40" s="4" t="inlineStr">
        <is>
          <t>€ HT</t>
        </is>
      </c>
      <c r="C40" s="15">
        <f>IF(C7&gt;=Hypothèses!$D$39,Hypothèses!$D$38*Hypothèses!$D$40,0)*$G$4</f>
        <v/>
      </c>
      <c r="D40" s="15">
        <f>IF(D7&gt;=Hypothèses!$D$39,Hypothèses!$D$38*Hypothèses!$D$40,0)*$G$4</f>
        <v/>
      </c>
      <c r="E40" s="15">
        <f>IF(E7&gt;=Hypothèses!$D$39,Hypothèses!$D$38*Hypothèses!$D$40,0)*$G$4</f>
        <v/>
      </c>
      <c r="F40" s="15">
        <f>IF(F7&gt;=Hypothèses!$D$39,Hypothèses!$D$38*Hypothèses!$D$40,0)*$G$4</f>
        <v/>
      </c>
      <c r="G40" s="15">
        <f>IF(G7&gt;=Hypothèses!$D$39,Hypothèses!$D$38*Hypothèses!$D$40,0)*$G$4</f>
        <v/>
      </c>
      <c r="H40" s="15">
        <f>IF(H7&gt;=Hypothèses!$D$39,Hypothèses!$D$38*Hypothèses!$D$40,0)*$G$4</f>
        <v/>
      </c>
      <c r="I40" s="15">
        <f>IF(I7&gt;=Hypothèses!$D$39,Hypothèses!$D$38*Hypothèses!$D$40,0)*$G$4</f>
        <v/>
      </c>
      <c r="J40" s="15">
        <f>IF(J7&gt;=Hypothèses!$D$39,Hypothèses!$D$38*Hypothèses!$D$40,0)*$G$4</f>
        <v/>
      </c>
      <c r="K40" s="15">
        <f>IF(K7&gt;=Hypothèses!$D$39,Hypothèses!$D$38*Hypothèses!$D$40,0)*$G$4</f>
        <v/>
      </c>
      <c r="L40" s="15">
        <f>IF(L7&gt;=Hypothèses!$D$39,Hypothèses!$D$38*Hypothèses!$D$40,0)*$G$4</f>
        <v/>
      </c>
      <c r="M40" s="15">
        <f>IF(M7&gt;=Hypothèses!$D$39,Hypothèses!$D$38*Hypothèses!$D$40,0)*$G$4</f>
        <v/>
      </c>
      <c r="N40" s="15">
        <f>IF(N7&gt;=Hypothèses!$D$39,Hypothèses!$D$38*Hypothèses!$D$40,0)*$G$4</f>
        <v/>
      </c>
      <c r="O40" s="15">
        <f>IF(O7&gt;=Hypothèses!$D$39,Hypothèses!$D$38*Hypothèses!$D$40,0)*$G$4</f>
        <v/>
      </c>
      <c r="P40" s="15">
        <f>IF(P7&gt;=Hypothèses!$D$39,Hypothèses!$D$38*Hypothèses!$D$40,0)*$G$4</f>
        <v/>
      </c>
      <c r="Q40" s="15">
        <f>IF(Q7&gt;=Hypothèses!$D$39,Hypothèses!$D$38*Hypothèses!$D$40,0)*$G$4</f>
        <v/>
      </c>
      <c r="R40" s="15">
        <f>IF(R7&gt;=Hypothèses!$D$39,Hypothèses!$D$38*Hypothèses!$D$40,0)*$G$4</f>
        <v/>
      </c>
      <c r="S40" s="15">
        <f>IF(S7&gt;=Hypothèses!$D$39,Hypothèses!$D$38*Hypothèses!$D$40,0)*$G$4</f>
        <v/>
      </c>
      <c r="T40" s="15">
        <f>IF(T7&gt;=Hypothèses!$D$39,Hypothèses!$D$38*Hypothèses!$D$40,0)*$G$4</f>
        <v/>
      </c>
      <c r="U40" s="15">
        <f>IF(U7&gt;=Hypothèses!$D$39,Hypothèses!$D$38*Hypothèses!$D$40,0)*$G$4</f>
        <v/>
      </c>
      <c r="V40" s="15">
        <f>IF(V7&gt;=Hypothèses!$D$39,Hypothèses!$D$38*Hypothèses!$D$40,0)*$G$4</f>
        <v/>
      </c>
      <c r="W40" s="15">
        <f>IF(W7&gt;=Hypothèses!$D$39,Hypothèses!$D$38*Hypothèses!$D$40,0)*$G$4</f>
        <v/>
      </c>
      <c r="X40" s="15">
        <f>IF(X7&gt;=Hypothèses!$D$39,Hypothèses!$D$38*Hypothèses!$D$40,0)*$G$4</f>
        <v/>
      </c>
      <c r="Y40" s="15">
        <f>IF(Y7&gt;=Hypothèses!$D$39,Hypothèses!$D$38*Hypothèses!$D$40,0)*$G$4</f>
        <v/>
      </c>
      <c r="Z40" s="15">
        <f>IF(Z7&gt;=Hypothèses!$D$39,Hypothèses!$D$38*Hypothèses!$D$40,0)*$G$4</f>
        <v/>
      </c>
      <c r="AA40" s="15">
        <f>IF(AA7&gt;=Hypothèses!$D$39,Hypothèses!$D$38*Hypothèses!$D$40,0)*$G$4</f>
        <v/>
      </c>
      <c r="AB40" s="15">
        <f>IF(AB7&gt;=Hypothèses!$D$39,Hypothèses!$D$38*Hypothèses!$D$40,0)*$G$4</f>
        <v/>
      </c>
      <c r="AC40" s="15">
        <f>IF(AC7&gt;=Hypothèses!$D$39,Hypothèses!$D$38*Hypothèses!$D$40,0)*$G$4</f>
        <v/>
      </c>
      <c r="AD40" s="15">
        <f>IF(AD7&gt;=Hypothèses!$D$39,Hypothèses!$D$38*Hypothèses!$D$40,0)*$G$4</f>
        <v/>
      </c>
      <c r="AE40" s="15">
        <f>IF(AE7&gt;=Hypothèses!$D$39,Hypothèses!$D$38*Hypothèses!$D$40,0)*$G$4</f>
        <v/>
      </c>
      <c r="AF40" s="15">
        <f>IF(AF7&gt;=Hypothèses!$D$39,Hypothèses!$D$38*Hypothèses!$D$40,0)*$G$4</f>
        <v/>
      </c>
      <c r="AG40" s="15">
        <f>IF(AG7&gt;=Hypothèses!$D$39,Hypothèses!$D$38*Hypothèses!$D$40,0)*$G$4</f>
        <v/>
      </c>
      <c r="AH40" s="15">
        <f>IF(AH7&gt;=Hypothèses!$D$39,Hypothèses!$D$38*Hypothèses!$D$40,0)*$G$4</f>
        <v/>
      </c>
      <c r="AI40" s="15">
        <f>IF(AI7&gt;=Hypothèses!$D$39,Hypothèses!$D$38*Hypothèses!$D$40,0)*$G$4</f>
        <v/>
      </c>
      <c r="AJ40" s="15">
        <f>IF(AJ7&gt;=Hypothèses!$D$39,Hypothèses!$D$38*Hypothèses!$D$40,0)*$G$4</f>
        <v/>
      </c>
      <c r="AK40" s="15">
        <f>IF(AK7&gt;=Hypothèses!$D$39,Hypothèses!$D$38*Hypothèses!$D$40,0)*$G$4</f>
        <v/>
      </c>
      <c r="AL40" s="15">
        <f>IF(AL7&gt;=Hypothèses!$D$39,Hypothèses!$D$38*Hypothèses!$D$40,0)*$G$4</f>
        <v/>
      </c>
      <c r="AN40" s="15">
        <f>SUM(C40:N40)</f>
        <v/>
      </c>
      <c r="AO40" s="15">
        <f>SUM(O40:Z40)</f>
        <v/>
      </c>
      <c r="AP40" s="15">
        <f>SUM(AA40:AL40)</f>
        <v/>
      </c>
    </row>
    <row r="41">
      <c r="A41" s="9" t="inlineStr">
        <is>
          <t>Salarié 1 (growth / customer success)</t>
        </is>
      </c>
      <c r="B41" s="4" t="inlineStr">
        <is>
          <t>€ HT</t>
        </is>
      </c>
      <c r="C41" s="15">
        <f>IF(C7&gt;=Hypothèses!$D$41,Hypothèses!$D$42,0)*$G$4</f>
        <v/>
      </c>
      <c r="D41" s="15">
        <f>IF(D7&gt;=Hypothèses!$D$41,Hypothèses!$D$42,0)*$G$4</f>
        <v/>
      </c>
      <c r="E41" s="15">
        <f>IF(E7&gt;=Hypothèses!$D$41,Hypothèses!$D$42,0)*$G$4</f>
        <v/>
      </c>
      <c r="F41" s="15">
        <f>IF(F7&gt;=Hypothèses!$D$41,Hypothèses!$D$42,0)*$G$4</f>
        <v/>
      </c>
      <c r="G41" s="15">
        <f>IF(G7&gt;=Hypothèses!$D$41,Hypothèses!$D$42,0)*$G$4</f>
        <v/>
      </c>
      <c r="H41" s="15">
        <f>IF(H7&gt;=Hypothèses!$D$41,Hypothèses!$D$42,0)*$G$4</f>
        <v/>
      </c>
      <c r="I41" s="15">
        <f>IF(I7&gt;=Hypothèses!$D$41,Hypothèses!$D$42,0)*$G$4</f>
        <v/>
      </c>
      <c r="J41" s="15">
        <f>IF(J7&gt;=Hypothèses!$D$41,Hypothèses!$D$42,0)*$G$4</f>
        <v/>
      </c>
      <c r="K41" s="15">
        <f>IF(K7&gt;=Hypothèses!$D$41,Hypothèses!$D$42,0)*$G$4</f>
        <v/>
      </c>
      <c r="L41" s="15">
        <f>IF(L7&gt;=Hypothèses!$D$41,Hypothèses!$D$42,0)*$G$4</f>
        <v/>
      </c>
      <c r="M41" s="15">
        <f>IF(M7&gt;=Hypothèses!$D$41,Hypothèses!$D$42,0)*$G$4</f>
        <v/>
      </c>
      <c r="N41" s="15">
        <f>IF(N7&gt;=Hypothèses!$D$41,Hypothèses!$D$42,0)*$G$4</f>
        <v/>
      </c>
      <c r="O41" s="15">
        <f>IF(O7&gt;=Hypothèses!$D$41,Hypothèses!$D$42,0)*$G$4</f>
        <v/>
      </c>
      <c r="P41" s="15">
        <f>IF(P7&gt;=Hypothèses!$D$41,Hypothèses!$D$42,0)*$G$4</f>
        <v/>
      </c>
      <c r="Q41" s="15">
        <f>IF(Q7&gt;=Hypothèses!$D$41,Hypothèses!$D$42,0)*$G$4</f>
        <v/>
      </c>
      <c r="R41" s="15">
        <f>IF(R7&gt;=Hypothèses!$D$41,Hypothèses!$D$42,0)*$G$4</f>
        <v/>
      </c>
      <c r="S41" s="15">
        <f>IF(S7&gt;=Hypothèses!$D$41,Hypothèses!$D$42,0)*$G$4</f>
        <v/>
      </c>
      <c r="T41" s="15">
        <f>IF(T7&gt;=Hypothèses!$D$41,Hypothèses!$D$42,0)*$G$4</f>
        <v/>
      </c>
      <c r="U41" s="15">
        <f>IF(U7&gt;=Hypothèses!$D$41,Hypothèses!$D$42,0)*$G$4</f>
        <v/>
      </c>
      <c r="V41" s="15">
        <f>IF(V7&gt;=Hypothèses!$D$41,Hypothèses!$D$42,0)*$G$4</f>
        <v/>
      </c>
      <c r="W41" s="15">
        <f>IF(W7&gt;=Hypothèses!$D$41,Hypothèses!$D$42,0)*$G$4</f>
        <v/>
      </c>
      <c r="X41" s="15">
        <f>IF(X7&gt;=Hypothèses!$D$41,Hypothèses!$D$42,0)*$G$4</f>
        <v/>
      </c>
      <c r="Y41" s="15">
        <f>IF(Y7&gt;=Hypothèses!$D$41,Hypothèses!$D$42,0)*$G$4</f>
        <v/>
      </c>
      <c r="Z41" s="15">
        <f>IF(Z7&gt;=Hypothèses!$D$41,Hypothèses!$D$42,0)*$G$4</f>
        <v/>
      </c>
      <c r="AA41" s="15">
        <f>IF(AA7&gt;=Hypothèses!$D$41,Hypothèses!$D$42,0)*$G$4</f>
        <v/>
      </c>
      <c r="AB41" s="15">
        <f>IF(AB7&gt;=Hypothèses!$D$41,Hypothèses!$D$42,0)*$G$4</f>
        <v/>
      </c>
      <c r="AC41" s="15">
        <f>IF(AC7&gt;=Hypothèses!$D$41,Hypothèses!$D$42,0)*$G$4</f>
        <v/>
      </c>
      <c r="AD41" s="15">
        <f>IF(AD7&gt;=Hypothèses!$D$41,Hypothèses!$D$42,0)*$G$4</f>
        <v/>
      </c>
      <c r="AE41" s="15">
        <f>IF(AE7&gt;=Hypothèses!$D$41,Hypothèses!$D$42,0)*$G$4</f>
        <v/>
      </c>
      <c r="AF41" s="15">
        <f>IF(AF7&gt;=Hypothèses!$D$41,Hypothèses!$D$42,0)*$G$4</f>
        <v/>
      </c>
      <c r="AG41" s="15">
        <f>IF(AG7&gt;=Hypothèses!$D$41,Hypothèses!$D$42,0)*$G$4</f>
        <v/>
      </c>
      <c r="AH41" s="15">
        <f>IF(AH7&gt;=Hypothèses!$D$41,Hypothèses!$D$42,0)*$G$4</f>
        <v/>
      </c>
      <c r="AI41" s="15">
        <f>IF(AI7&gt;=Hypothèses!$D$41,Hypothèses!$D$42,0)*$G$4</f>
        <v/>
      </c>
      <c r="AJ41" s="15">
        <f>IF(AJ7&gt;=Hypothèses!$D$41,Hypothèses!$D$42,0)*$G$4</f>
        <v/>
      </c>
      <c r="AK41" s="15">
        <f>IF(AK7&gt;=Hypothèses!$D$41,Hypothèses!$D$42,0)*$G$4</f>
        <v/>
      </c>
      <c r="AL41" s="15">
        <f>IF(AL7&gt;=Hypothèses!$D$41,Hypothèses!$D$42,0)*$G$4</f>
        <v/>
      </c>
      <c r="AN41" s="15">
        <f>SUM(C41:N41)</f>
        <v/>
      </c>
      <c r="AO41" s="15">
        <f>SUM(O41:Z41)</f>
        <v/>
      </c>
      <c r="AP41" s="15">
        <f>SUM(AA41:AL41)</f>
        <v/>
      </c>
    </row>
    <row r="42">
      <c r="A42" s="9" t="inlineStr">
        <is>
          <t>Salarié 2 (ingénieur)</t>
        </is>
      </c>
      <c r="B42" s="4" t="inlineStr">
        <is>
          <t>€ HT</t>
        </is>
      </c>
      <c r="C42" s="15">
        <f>IF(C7&gt;=Hypothèses!$D$43,Hypothèses!$D$44,0)*$G$4</f>
        <v/>
      </c>
      <c r="D42" s="15">
        <f>IF(D7&gt;=Hypothèses!$D$43,Hypothèses!$D$44,0)*$G$4</f>
        <v/>
      </c>
      <c r="E42" s="15">
        <f>IF(E7&gt;=Hypothèses!$D$43,Hypothèses!$D$44,0)*$G$4</f>
        <v/>
      </c>
      <c r="F42" s="15">
        <f>IF(F7&gt;=Hypothèses!$D$43,Hypothèses!$D$44,0)*$G$4</f>
        <v/>
      </c>
      <c r="G42" s="15">
        <f>IF(G7&gt;=Hypothèses!$D$43,Hypothèses!$D$44,0)*$G$4</f>
        <v/>
      </c>
      <c r="H42" s="15">
        <f>IF(H7&gt;=Hypothèses!$D$43,Hypothèses!$D$44,0)*$G$4</f>
        <v/>
      </c>
      <c r="I42" s="15">
        <f>IF(I7&gt;=Hypothèses!$D$43,Hypothèses!$D$44,0)*$G$4</f>
        <v/>
      </c>
      <c r="J42" s="15">
        <f>IF(J7&gt;=Hypothèses!$D$43,Hypothèses!$D$44,0)*$G$4</f>
        <v/>
      </c>
      <c r="K42" s="15">
        <f>IF(K7&gt;=Hypothèses!$D$43,Hypothèses!$D$44,0)*$G$4</f>
        <v/>
      </c>
      <c r="L42" s="15">
        <f>IF(L7&gt;=Hypothèses!$D$43,Hypothèses!$D$44,0)*$G$4</f>
        <v/>
      </c>
      <c r="M42" s="15">
        <f>IF(M7&gt;=Hypothèses!$D$43,Hypothèses!$D$44,0)*$G$4</f>
        <v/>
      </c>
      <c r="N42" s="15">
        <f>IF(N7&gt;=Hypothèses!$D$43,Hypothèses!$D$44,0)*$G$4</f>
        <v/>
      </c>
      <c r="O42" s="15">
        <f>IF(O7&gt;=Hypothèses!$D$43,Hypothèses!$D$44,0)*$G$4</f>
        <v/>
      </c>
      <c r="P42" s="15">
        <f>IF(P7&gt;=Hypothèses!$D$43,Hypothèses!$D$44,0)*$G$4</f>
        <v/>
      </c>
      <c r="Q42" s="15">
        <f>IF(Q7&gt;=Hypothèses!$D$43,Hypothèses!$D$44,0)*$G$4</f>
        <v/>
      </c>
      <c r="R42" s="15">
        <f>IF(R7&gt;=Hypothèses!$D$43,Hypothèses!$D$44,0)*$G$4</f>
        <v/>
      </c>
      <c r="S42" s="15">
        <f>IF(S7&gt;=Hypothèses!$D$43,Hypothèses!$D$44,0)*$G$4</f>
        <v/>
      </c>
      <c r="T42" s="15">
        <f>IF(T7&gt;=Hypothèses!$D$43,Hypothèses!$D$44,0)*$G$4</f>
        <v/>
      </c>
      <c r="U42" s="15">
        <f>IF(U7&gt;=Hypothèses!$D$43,Hypothèses!$D$44,0)*$G$4</f>
        <v/>
      </c>
      <c r="V42" s="15">
        <f>IF(V7&gt;=Hypothèses!$D$43,Hypothèses!$D$44,0)*$G$4</f>
        <v/>
      </c>
      <c r="W42" s="15">
        <f>IF(W7&gt;=Hypothèses!$D$43,Hypothèses!$D$44,0)*$G$4</f>
        <v/>
      </c>
      <c r="X42" s="15">
        <f>IF(X7&gt;=Hypothèses!$D$43,Hypothèses!$D$44,0)*$G$4</f>
        <v/>
      </c>
      <c r="Y42" s="15">
        <f>IF(Y7&gt;=Hypothèses!$D$43,Hypothèses!$D$44,0)*$G$4</f>
        <v/>
      </c>
      <c r="Z42" s="15">
        <f>IF(Z7&gt;=Hypothèses!$D$43,Hypothèses!$D$44,0)*$G$4</f>
        <v/>
      </c>
      <c r="AA42" s="15">
        <f>IF(AA7&gt;=Hypothèses!$D$43,Hypothèses!$D$44,0)*$G$4</f>
        <v/>
      </c>
      <c r="AB42" s="15">
        <f>IF(AB7&gt;=Hypothèses!$D$43,Hypothèses!$D$44,0)*$G$4</f>
        <v/>
      </c>
      <c r="AC42" s="15">
        <f>IF(AC7&gt;=Hypothèses!$D$43,Hypothèses!$D$44,0)*$G$4</f>
        <v/>
      </c>
      <c r="AD42" s="15">
        <f>IF(AD7&gt;=Hypothèses!$D$43,Hypothèses!$D$44,0)*$G$4</f>
        <v/>
      </c>
      <c r="AE42" s="15">
        <f>IF(AE7&gt;=Hypothèses!$D$43,Hypothèses!$D$44,0)*$G$4</f>
        <v/>
      </c>
      <c r="AF42" s="15">
        <f>IF(AF7&gt;=Hypothèses!$D$43,Hypothèses!$D$44,0)*$G$4</f>
        <v/>
      </c>
      <c r="AG42" s="15">
        <f>IF(AG7&gt;=Hypothèses!$D$43,Hypothèses!$D$44,0)*$G$4</f>
        <v/>
      </c>
      <c r="AH42" s="15">
        <f>IF(AH7&gt;=Hypothèses!$D$43,Hypothèses!$D$44,0)*$G$4</f>
        <v/>
      </c>
      <c r="AI42" s="15">
        <f>IF(AI7&gt;=Hypothèses!$D$43,Hypothèses!$D$44,0)*$G$4</f>
        <v/>
      </c>
      <c r="AJ42" s="15">
        <f>IF(AJ7&gt;=Hypothèses!$D$43,Hypothèses!$D$44,0)*$G$4</f>
        <v/>
      </c>
      <c r="AK42" s="15">
        <f>IF(AK7&gt;=Hypothèses!$D$43,Hypothèses!$D$44,0)*$G$4</f>
        <v/>
      </c>
      <c r="AL42" s="15">
        <f>IF(AL7&gt;=Hypothèses!$D$43,Hypothèses!$D$44,0)*$G$4</f>
        <v/>
      </c>
      <c r="AN42" s="15">
        <f>SUM(C42:N42)</f>
        <v/>
      </c>
      <c r="AO42" s="15">
        <f>SUM(O42:Z42)</f>
        <v/>
      </c>
      <c r="AP42" s="15">
        <f>SUM(AA42:AL42)</f>
        <v/>
      </c>
    </row>
    <row r="43">
      <c r="A43" s="9" t="inlineStr">
        <is>
          <t>Développement MVP externe (étalé jusqu'au lancement)</t>
        </is>
      </c>
      <c r="B43" s="4" t="inlineStr">
        <is>
          <t>€ HT</t>
        </is>
      </c>
      <c r="C43" s="15">
        <f>IF(C7&lt;$B$5,Hypothèses!$D$45/MAX(1,$B$5-1),0)</f>
        <v/>
      </c>
      <c r="D43" s="15">
        <f>IF(D7&lt;$B$5,Hypothèses!$D$45/MAX(1,$B$5-1),0)</f>
        <v/>
      </c>
      <c r="E43" s="15">
        <f>IF(E7&lt;$B$5,Hypothèses!$D$45/MAX(1,$B$5-1),0)</f>
        <v/>
      </c>
      <c r="F43" s="15">
        <f>IF(F7&lt;$B$5,Hypothèses!$D$45/MAX(1,$B$5-1),0)</f>
        <v/>
      </c>
      <c r="G43" s="15">
        <f>IF(G7&lt;$B$5,Hypothèses!$D$45/MAX(1,$B$5-1),0)</f>
        <v/>
      </c>
      <c r="H43" s="15">
        <f>IF(H7&lt;$B$5,Hypothèses!$D$45/MAX(1,$B$5-1),0)</f>
        <v/>
      </c>
      <c r="I43" s="15">
        <f>IF(I7&lt;$B$5,Hypothèses!$D$45/MAX(1,$B$5-1),0)</f>
        <v/>
      </c>
      <c r="J43" s="15">
        <f>IF(J7&lt;$B$5,Hypothèses!$D$45/MAX(1,$B$5-1),0)</f>
        <v/>
      </c>
      <c r="K43" s="15">
        <f>IF(K7&lt;$B$5,Hypothèses!$D$45/MAX(1,$B$5-1),0)</f>
        <v/>
      </c>
      <c r="L43" s="15">
        <f>IF(L7&lt;$B$5,Hypothèses!$D$45/MAX(1,$B$5-1),0)</f>
        <v/>
      </c>
      <c r="M43" s="15">
        <f>IF(M7&lt;$B$5,Hypothèses!$D$45/MAX(1,$B$5-1),0)</f>
        <v/>
      </c>
      <c r="N43" s="15">
        <f>IF(N7&lt;$B$5,Hypothèses!$D$45/MAX(1,$B$5-1),0)</f>
        <v/>
      </c>
      <c r="O43" s="15">
        <f>IF(O7&lt;$B$5,Hypothèses!$D$45/MAX(1,$B$5-1),0)</f>
        <v/>
      </c>
      <c r="P43" s="15">
        <f>IF(P7&lt;$B$5,Hypothèses!$D$45/MAX(1,$B$5-1),0)</f>
        <v/>
      </c>
      <c r="Q43" s="15">
        <f>IF(Q7&lt;$B$5,Hypothèses!$D$45/MAX(1,$B$5-1),0)</f>
        <v/>
      </c>
      <c r="R43" s="15">
        <f>IF(R7&lt;$B$5,Hypothèses!$D$45/MAX(1,$B$5-1),0)</f>
        <v/>
      </c>
      <c r="S43" s="15">
        <f>IF(S7&lt;$B$5,Hypothèses!$D$45/MAX(1,$B$5-1),0)</f>
        <v/>
      </c>
      <c r="T43" s="15">
        <f>IF(T7&lt;$B$5,Hypothèses!$D$45/MAX(1,$B$5-1),0)</f>
        <v/>
      </c>
      <c r="U43" s="15">
        <f>IF(U7&lt;$B$5,Hypothèses!$D$45/MAX(1,$B$5-1),0)</f>
        <v/>
      </c>
      <c r="V43" s="15">
        <f>IF(V7&lt;$B$5,Hypothèses!$D$45/MAX(1,$B$5-1),0)</f>
        <v/>
      </c>
      <c r="W43" s="15">
        <f>IF(W7&lt;$B$5,Hypothèses!$D$45/MAX(1,$B$5-1),0)</f>
        <v/>
      </c>
      <c r="X43" s="15">
        <f>IF(X7&lt;$B$5,Hypothèses!$D$45/MAX(1,$B$5-1),0)</f>
        <v/>
      </c>
      <c r="Y43" s="15">
        <f>IF(Y7&lt;$B$5,Hypothèses!$D$45/MAX(1,$B$5-1),0)</f>
        <v/>
      </c>
      <c r="Z43" s="15">
        <f>IF(Z7&lt;$B$5,Hypothèses!$D$45/MAX(1,$B$5-1),0)</f>
        <v/>
      </c>
      <c r="AA43" s="15">
        <f>IF(AA7&lt;$B$5,Hypothèses!$D$45/MAX(1,$B$5-1),0)</f>
        <v/>
      </c>
      <c r="AB43" s="15">
        <f>IF(AB7&lt;$B$5,Hypothèses!$D$45/MAX(1,$B$5-1),0)</f>
        <v/>
      </c>
      <c r="AC43" s="15">
        <f>IF(AC7&lt;$B$5,Hypothèses!$D$45/MAX(1,$B$5-1),0)</f>
        <v/>
      </c>
      <c r="AD43" s="15">
        <f>IF(AD7&lt;$B$5,Hypothèses!$D$45/MAX(1,$B$5-1),0)</f>
        <v/>
      </c>
      <c r="AE43" s="15">
        <f>IF(AE7&lt;$B$5,Hypothèses!$D$45/MAX(1,$B$5-1),0)</f>
        <v/>
      </c>
      <c r="AF43" s="15">
        <f>IF(AF7&lt;$B$5,Hypothèses!$D$45/MAX(1,$B$5-1),0)</f>
        <v/>
      </c>
      <c r="AG43" s="15">
        <f>IF(AG7&lt;$B$5,Hypothèses!$D$45/MAX(1,$B$5-1),0)</f>
        <v/>
      </c>
      <c r="AH43" s="15">
        <f>IF(AH7&lt;$B$5,Hypothèses!$D$45/MAX(1,$B$5-1),0)</f>
        <v/>
      </c>
      <c r="AI43" s="15">
        <f>IF(AI7&lt;$B$5,Hypothèses!$D$45/MAX(1,$B$5-1),0)</f>
        <v/>
      </c>
      <c r="AJ43" s="15">
        <f>IF(AJ7&lt;$B$5,Hypothèses!$D$45/MAX(1,$B$5-1),0)</f>
        <v/>
      </c>
      <c r="AK43" s="15">
        <f>IF(AK7&lt;$B$5,Hypothèses!$D$45/MAX(1,$B$5-1),0)</f>
        <v/>
      </c>
      <c r="AL43" s="15">
        <f>IF(AL7&lt;$B$5,Hypothèses!$D$45/MAX(1,$B$5-1),0)</f>
        <v/>
      </c>
      <c r="AN43" s="15">
        <f>SUM(C43:N43)</f>
        <v/>
      </c>
      <c r="AO43" s="15">
        <f>SUM(O43:Z43)</f>
        <v/>
      </c>
      <c r="AP43" s="15">
        <f>SUM(AA43:AL43)</f>
        <v/>
      </c>
    </row>
    <row r="44">
      <c r="A44" s="9" t="inlineStr">
        <is>
          <t>Outils et SaaS</t>
        </is>
      </c>
      <c r="B44" s="4" t="inlineStr">
        <is>
          <t>€ HT</t>
        </is>
      </c>
      <c r="C44" s="15">
        <f>Hypothèses!$D$46*$G$4</f>
        <v/>
      </c>
      <c r="D44" s="15">
        <f>Hypothèses!$D$46*$G$4</f>
        <v/>
      </c>
      <c r="E44" s="15">
        <f>Hypothèses!$D$46*$G$4</f>
        <v/>
      </c>
      <c r="F44" s="15">
        <f>Hypothèses!$D$46*$G$4</f>
        <v/>
      </c>
      <c r="G44" s="15">
        <f>Hypothèses!$D$46*$G$4</f>
        <v/>
      </c>
      <c r="H44" s="15">
        <f>Hypothèses!$D$46*$G$4</f>
        <v/>
      </c>
      <c r="I44" s="15">
        <f>Hypothèses!$D$46*$G$4</f>
        <v/>
      </c>
      <c r="J44" s="15">
        <f>Hypothèses!$D$46*$G$4</f>
        <v/>
      </c>
      <c r="K44" s="15">
        <f>Hypothèses!$D$46*$G$4</f>
        <v/>
      </c>
      <c r="L44" s="15">
        <f>Hypothèses!$D$46*$G$4</f>
        <v/>
      </c>
      <c r="M44" s="15">
        <f>Hypothèses!$D$46*$G$4</f>
        <v/>
      </c>
      <c r="N44" s="15">
        <f>Hypothèses!$D$46*$G$4</f>
        <v/>
      </c>
      <c r="O44" s="15">
        <f>Hypothèses!$D$46*$G$4</f>
        <v/>
      </c>
      <c r="P44" s="15">
        <f>Hypothèses!$D$46*$G$4</f>
        <v/>
      </c>
      <c r="Q44" s="15">
        <f>Hypothèses!$D$46*$G$4</f>
        <v/>
      </c>
      <c r="R44" s="15">
        <f>Hypothèses!$D$46*$G$4</f>
        <v/>
      </c>
      <c r="S44" s="15">
        <f>Hypothèses!$D$46*$G$4</f>
        <v/>
      </c>
      <c r="T44" s="15">
        <f>Hypothèses!$D$46*$G$4</f>
        <v/>
      </c>
      <c r="U44" s="15">
        <f>Hypothèses!$D$46*$G$4</f>
        <v/>
      </c>
      <c r="V44" s="15">
        <f>Hypothèses!$D$46*$G$4</f>
        <v/>
      </c>
      <c r="W44" s="15">
        <f>Hypothèses!$D$46*$G$4</f>
        <v/>
      </c>
      <c r="X44" s="15">
        <f>Hypothèses!$D$46*$G$4</f>
        <v/>
      </c>
      <c r="Y44" s="15">
        <f>Hypothèses!$D$46*$G$4</f>
        <v/>
      </c>
      <c r="Z44" s="15">
        <f>Hypothèses!$D$46*$G$4</f>
        <v/>
      </c>
      <c r="AA44" s="15">
        <f>Hypothèses!$D$46*$G$4</f>
        <v/>
      </c>
      <c r="AB44" s="15">
        <f>Hypothèses!$D$46*$G$4</f>
        <v/>
      </c>
      <c r="AC44" s="15">
        <f>Hypothèses!$D$46*$G$4</f>
        <v/>
      </c>
      <c r="AD44" s="15">
        <f>Hypothèses!$D$46*$G$4</f>
        <v/>
      </c>
      <c r="AE44" s="15">
        <f>Hypothèses!$D$46*$G$4</f>
        <v/>
      </c>
      <c r="AF44" s="15">
        <f>Hypothèses!$D$46*$G$4</f>
        <v/>
      </c>
      <c r="AG44" s="15">
        <f>Hypothèses!$D$46*$G$4</f>
        <v/>
      </c>
      <c r="AH44" s="15">
        <f>Hypothèses!$D$46*$G$4</f>
        <v/>
      </c>
      <c r="AI44" s="15">
        <f>Hypothèses!$D$46*$G$4</f>
        <v/>
      </c>
      <c r="AJ44" s="15">
        <f>Hypothèses!$D$46*$G$4</f>
        <v/>
      </c>
      <c r="AK44" s="15">
        <f>Hypothèses!$D$46*$G$4</f>
        <v/>
      </c>
      <c r="AL44" s="15">
        <f>Hypothèses!$D$46*$G$4</f>
        <v/>
      </c>
      <c r="AN44" s="15">
        <f>SUM(C44:N44)</f>
        <v/>
      </c>
      <c r="AO44" s="15">
        <f>SUM(O44:Z44)</f>
        <v/>
      </c>
      <c r="AP44" s="15">
        <f>SUM(AA44:AL44)</f>
        <v/>
      </c>
    </row>
    <row r="45">
      <c r="A45" s="9" t="inlineStr">
        <is>
          <t>Juridique et comptabilité</t>
        </is>
      </c>
      <c r="B45" s="4" t="inlineStr">
        <is>
          <t>€ HT</t>
        </is>
      </c>
      <c r="C45" s="15">
        <f>Hypothèses!$D$47*$G$4</f>
        <v/>
      </c>
      <c r="D45" s="15">
        <f>Hypothèses!$D$47*$G$4</f>
        <v/>
      </c>
      <c r="E45" s="15">
        <f>Hypothèses!$D$47*$G$4</f>
        <v/>
      </c>
      <c r="F45" s="15">
        <f>Hypothèses!$D$47*$G$4</f>
        <v/>
      </c>
      <c r="G45" s="15">
        <f>Hypothèses!$D$47*$G$4</f>
        <v/>
      </c>
      <c r="H45" s="15">
        <f>Hypothèses!$D$47*$G$4</f>
        <v/>
      </c>
      <c r="I45" s="15">
        <f>Hypothèses!$D$47*$G$4</f>
        <v/>
      </c>
      <c r="J45" s="15">
        <f>Hypothèses!$D$47*$G$4</f>
        <v/>
      </c>
      <c r="K45" s="15">
        <f>Hypothèses!$D$47*$G$4</f>
        <v/>
      </c>
      <c r="L45" s="15">
        <f>Hypothèses!$D$47*$G$4</f>
        <v/>
      </c>
      <c r="M45" s="15">
        <f>Hypothèses!$D$47*$G$4</f>
        <v/>
      </c>
      <c r="N45" s="15">
        <f>Hypothèses!$D$47*$G$4</f>
        <v/>
      </c>
      <c r="O45" s="15">
        <f>Hypothèses!$D$47*$G$4</f>
        <v/>
      </c>
      <c r="P45" s="15">
        <f>Hypothèses!$D$47*$G$4</f>
        <v/>
      </c>
      <c r="Q45" s="15">
        <f>Hypothèses!$D$47*$G$4</f>
        <v/>
      </c>
      <c r="R45" s="15">
        <f>Hypothèses!$D$47*$G$4</f>
        <v/>
      </c>
      <c r="S45" s="15">
        <f>Hypothèses!$D$47*$G$4</f>
        <v/>
      </c>
      <c r="T45" s="15">
        <f>Hypothèses!$D$47*$G$4</f>
        <v/>
      </c>
      <c r="U45" s="15">
        <f>Hypothèses!$D$47*$G$4</f>
        <v/>
      </c>
      <c r="V45" s="15">
        <f>Hypothèses!$D$47*$G$4</f>
        <v/>
      </c>
      <c r="W45" s="15">
        <f>Hypothèses!$D$47*$G$4</f>
        <v/>
      </c>
      <c r="X45" s="15">
        <f>Hypothèses!$D$47*$G$4</f>
        <v/>
      </c>
      <c r="Y45" s="15">
        <f>Hypothèses!$D$47*$G$4</f>
        <v/>
      </c>
      <c r="Z45" s="15">
        <f>Hypothèses!$D$47*$G$4</f>
        <v/>
      </c>
      <c r="AA45" s="15">
        <f>Hypothèses!$D$47*$G$4</f>
        <v/>
      </c>
      <c r="AB45" s="15">
        <f>Hypothèses!$D$47*$G$4</f>
        <v/>
      </c>
      <c r="AC45" s="15">
        <f>Hypothèses!$D$47*$G$4</f>
        <v/>
      </c>
      <c r="AD45" s="15">
        <f>Hypothèses!$D$47*$G$4</f>
        <v/>
      </c>
      <c r="AE45" s="15">
        <f>Hypothèses!$D$47*$G$4</f>
        <v/>
      </c>
      <c r="AF45" s="15">
        <f>Hypothèses!$D$47*$G$4</f>
        <v/>
      </c>
      <c r="AG45" s="15">
        <f>Hypothèses!$D$47*$G$4</f>
        <v/>
      </c>
      <c r="AH45" s="15">
        <f>Hypothèses!$D$47*$G$4</f>
        <v/>
      </c>
      <c r="AI45" s="15">
        <f>Hypothèses!$D$47*$G$4</f>
        <v/>
      </c>
      <c r="AJ45" s="15">
        <f>Hypothèses!$D$47*$G$4</f>
        <v/>
      </c>
      <c r="AK45" s="15">
        <f>Hypothèses!$D$47*$G$4</f>
        <v/>
      </c>
      <c r="AL45" s="15">
        <f>Hypothèses!$D$47*$G$4</f>
        <v/>
      </c>
      <c r="AN45" s="15">
        <f>SUM(C45:N45)</f>
        <v/>
      </c>
      <c r="AO45" s="15">
        <f>SUM(O45:Z45)</f>
        <v/>
      </c>
      <c r="AP45" s="15">
        <f>SUM(AA45:AL45)</f>
        <v/>
      </c>
    </row>
    <row r="46">
      <c r="A46" s="9" t="inlineStr">
        <is>
          <t>Assurance RC pro</t>
        </is>
      </c>
      <c r="B46" s="4" t="inlineStr">
        <is>
          <t>€</t>
        </is>
      </c>
      <c r="C46" s="15">
        <f>C9*Hypothèses!$D$48*$G$4</f>
        <v/>
      </c>
      <c r="D46" s="15">
        <f>D9*Hypothèses!$D$48*$G$4</f>
        <v/>
      </c>
      <c r="E46" s="15">
        <f>E9*Hypothèses!$D$48*$G$4</f>
        <v/>
      </c>
      <c r="F46" s="15">
        <f>F9*Hypothèses!$D$48*$G$4</f>
        <v/>
      </c>
      <c r="G46" s="15">
        <f>G9*Hypothèses!$D$48*$G$4</f>
        <v/>
      </c>
      <c r="H46" s="15">
        <f>H9*Hypothèses!$D$48*$G$4</f>
        <v/>
      </c>
      <c r="I46" s="15">
        <f>I9*Hypothèses!$D$48*$G$4</f>
        <v/>
      </c>
      <c r="J46" s="15">
        <f>J9*Hypothèses!$D$48*$G$4</f>
        <v/>
      </c>
      <c r="K46" s="15">
        <f>K9*Hypothèses!$D$48*$G$4</f>
        <v/>
      </c>
      <c r="L46" s="15">
        <f>L9*Hypothèses!$D$48*$G$4</f>
        <v/>
      </c>
      <c r="M46" s="15">
        <f>M9*Hypothèses!$D$48*$G$4</f>
        <v/>
      </c>
      <c r="N46" s="15">
        <f>N9*Hypothèses!$D$48*$G$4</f>
        <v/>
      </c>
      <c r="O46" s="15">
        <f>O9*Hypothèses!$D$48*$G$4</f>
        <v/>
      </c>
      <c r="P46" s="15">
        <f>P9*Hypothèses!$D$48*$G$4</f>
        <v/>
      </c>
      <c r="Q46" s="15">
        <f>Q9*Hypothèses!$D$48*$G$4</f>
        <v/>
      </c>
      <c r="R46" s="15">
        <f>R9*Hypothèses!$D$48*$G$4</f>
        <v/>
      </c>
      <c r="S46" s="15">
        <f>S9*Hypothèses!$D$48*$G$4</f>
        <v/>
      </c>
      <c r="T46" s="15">
        <f>T9*Hypothèses!$D$48*$G$4</f>
        <v/>
      </c>
      <c r="U46" s="15">
        <f>U9*Hypothèses!$D$48*$G$4</f>
        <v/>
      </c>
      <c r="V46" s="15">
        <f>V9*Hypothèses!$D$48*$G$4</f>
        <v/>
      </c>
      <c r="W46" s="15">
        <f>W9*Hypothèses!$D$48*$G$4</f>
        <v/>
      </c>
      <c r="X46" s="15">
        <f>X9*Hypothèses!$D$48*$G$4</f>
        <v/>
      </c>
      <c r="Y46" s="15">
        <f>Y9*Hypothèses!$D$48*$G$4</f>
        <v/>
      </c>
      <c r="Z46" s="15">
        <f>Z9*Hypothèses!$D$48*$G$4</f>
        <v/>
      </c>
      <c r="AA46" s="15">
        <f>AA9*Hypothèses!$D$48*$G$4</f>
        <v/>
      </c>
      <c r="AB46" s="15">
        <f>AB9*Hypothèses!$D$48*$G$4</f>
        <v/>
      </c>
      <c r="AC46" s="15">
        <f>AC9*Hypothèses!$D$48*$G$4</f>
        <v/>
      </c>
      <c r="AD46" s="15">
        <f>AD9*Hypothèses!$D$48*$G$4</f>
        <v/>
      </c>
      <c r="AE46" s="15">
        <f>AE9*Hypothèses!$D$48*$G$4</f>
        <v/>
      </c>
      <c r="AF46" s="15">
        <f>AF9*Hypothèses!$D$48*$G$4</f>
        <v/>
      </c>
      <c r="AG46" s="15">
        <f>AG9*Hypothèses!$D$48*$G$4</f>
        <v/>
      </c>
      <c r="AH46" s="15">
        <f>AH9*Hypothèses!$D$48*$G$4</f>
        <v/>
      </c>
      <c r="AI46" s="15">
        <f>AI9*Hypothèses!$D$48*$G$4</f>
        <v/>
      </c>
      <c r="AJ46" s="15">
        <f>AJ9*Hypothèses!$D$48*$G$4</f>
        <v/>
      </c>
      <c r="AK46" s="15">
        <f>AK9*Hypothèses!$D$48*$G$4</f>
        <v/>
      </c>
      <c r="AL46" s="15">
        <f>AL9*Hypothèses!$D$48*$G$4</f>
        <v/>
      </c>
      <c r="AN46" s="15">
        <f>SUM(C46:N46)</f>
        <v/>
      </c>
      <c r="AO46" s="15">
        <f>SUM(O46:Z46)</f>
        <v/>
      </c>
      <c r="AP46" s="15">
        <f>SUM(AA46:AL46)</f>
        <v/>
      </c>
    </row>
    <row r="47">
      <c r="A47" s="9" t="inlineStr">
        <is>
          <t>Marketing fixe</t>
        </is>
      </c>
      <c r="B47" s="4" t="inlineStr">
        <is>
          <t>€ HT</t>
        </is>
      </c>
      <c r="C47" s="15">
        <f>C9*Hypothèses!$D$49*$G$4</f>
        <v/>
      </c>
      <c r="D47" s="15">
        <f>D9*Hypothèses!$D$49*$G$4</f>
        <v/>
      </c>
      <c r="E47" s="15">
        <f>E9*Hypothèses!$D$49*$G$4</f>
        <v/>
      </c>
      <c r="F47" s="15">
        <f>F9*Hypothèses!$D$49*$G$4</f>
        <v/>
      </c>
      <c r="G47" s="15">
        <f>G9*Hypothèses!$D$49*$G$4</f>
        <v/>
      </c>
      <c r="H47" s="15">
        <f>H9*Hypothèses!$D$49*$G$4</f>
        <v/>
      </c>
      <c r="I47" s="15">
        <f>I9*Hypothèses!$D$49*$G$4</f>
        <v/>
      </c>
      <c r="J47" s="15">
        <f>J9*Hypothèses!$D$49*$G$4</f>
        <v/>
      </c>
      <c r="K47" s="15">
        <f>K9*Hypothèses!$D$49*$G$4</f>
        <v/>
      </c>
      <c r="L47" s="15">
        <f>L9*Hypothèses!$D$49*$G$4</f>
        <v/>
      </c>
      <c r="M47" s="15">
        <f>M9*Hypothèses!$D$49*$G$4</f>
        <v/>
      </c>
      <c r="N47" s="15">
        <f>N9*Hypothèses!$D$49*$G$4</f>
        <v/>
      </c>
      <c r="O47" s="15">
        <f>O9*Hypothèses!$D$49*$G$4</f>
        <v/>
      </c>
      <c r="P47" s="15">
        <f>P9*Hypothèses!$D$49*$G$4</f>
        <v/>
      </c>
      <c r="Q47" s="15">
        <f>Q9*Hypothèses!$D$49*$G$4</f>
        <v/>
      </c>
      <c r="R47" s="15">
        <f>R9*Hypothèses!$D$49*$G$4</f>
        <v/>
      </c>
      <c r="S47" s="15">
        <f>S9*Hypothèses!$D$49*$G$4</f>
        <v/>
      </c>
      <c r="T47" s="15">
        <f>T9*Hypothèses!$D$49*$G$4</f>
        <v/>
      </c>
      <c r="U47" s="15">
        <f>U9*Hypothèses!$D$49*$G$4</f>
        <v/>
      </c>
      <c r="V47" s="15">
        <f>V9*Hypothèses!$D$49*$G$4</f>
        <v/>
      </c>
      <c r="W47" s="15">
        <f>W9*Hypothèses!$D$49*$G$4</f>
        <v/>
      </c>
      <c r="X47" s="15">
        <f>X9*Hypothèses!$D$49*$G$4</f>
        <v/>
      </c>
      <c r="Y47" s="15">
        <f>Y9*Hypothèses!$D$49*$G$4</f>
        <v/>
      </c>
      <c r="Z47" s="15">
        <f>Z9*Hypothèses!$D$49*$G$4</f>
        <v/>
      </c>
      <c r="AA47" s="15">
        <f>AA9*Hypothèses!$D$49*$G$4</f>
        <v/>
      </c>
      <c r="AB47" s="15">
        <f>AB9*Hypothèses!$D$49*$G$4</f>
        <v/>
      </c>
      <c r="AC47" s="15">
        <f>AC9*Hypothèses!$D$49*$G$4</f>
        <v/>
      </c>
      <c r="AD47" s="15">
        <f>AD9*Hypothèses!$D$49*$G$4</f>
        <v/>
      </c>
      <c r="AE47" s="15">
        <f>AE9*Hypothèses!$D$49*$G$4</f>
        <v/>
      </c>
      <c r="AF47" s="15">
        <f>AF9*Hypothèses!$D$49*$G$4</f>
        <v/>
      </c>
      <c r="AG47" s="15">
        <f>AG9*Hypothèses!$D$49*$G$4</f>
        <v/>
      </c>
      <c r="AH47" s="15">
        <f>AH9*Hypothèses!$D$49*$G$4</f>
        <v/>
      </c>
      <c r="AI47" s="15">
        <f>AI9*Hypothèses!$D$49*$G$4</f>
        <v/>
      </c>
      <c r="AJ47" s="15">
        <f>AJ9*Hypothèses!$D$49*$G$4</f>
        <v/>
      </c>
      <c r="AK47" s="15">
        <f>AK9*Hypothèses!$D$49*$G$4</f>
        <v/>
      </c>
      <c r="AL47" s="15">
        <f>AL9*Hypothèses!$D$49*$G$4</f>
        <v/>
      </c>
      <c r="AN47" s="15">
        <f>SUM(C47:N47)</f>
        <v/>
      </c>
      <c r="AO47" s="15">
        <f>SUM(O47:Z47)</f>
        <v/>
      </c>
      <c r="AP47" s="15">
        <f>SUM(AA47:AL47)</f>
        <v/>
      </c>
    </row>
    <row r="48">
      <c r="A48" s="9" t="inlineStr">
        <is>
          <t>Frais généraux</t>
        </is>
      </c>
      <c r="B48" s="4" t="inlineStr">
        <is>
          <t>€ HT</t>
        </is>
      </c>
      <c r="C48" s="15">
        <f>Hypothèses!$D$50*$G$4</f>
        <v/>
      </c>
      <c r="D48" s="15">
        <f>Hypothèses!$D$50*$G$4</f>
        <v/>
      </c>
      <c r="E48" s="15">
        <f>Hypothèses!$D$50*$G$4</f>
        <v/>
      </c>
      <c r="F48" s="15">
        <f>Hypothèses!$D$50*$G$4</f>
        <v/>
      </c>
      <c r="G48" s="15">
        <f>Hypothèses!$D$50*$G$4</f>
        <v/>
      </c>
      <c r="H48" s="15">
        <f>Hypothèses!$D$50*$G$4</f>
        <v/>
      </c>
      <c r="I48" s="15">
        <f>Hypothèses!$D$50*$G$4</f>
        <v/>
      </c>
      <c r="J48" s="15">
        <f>Hypothèses!$D$50*$G$4</f>
        <v/>
      </c>
      <c r="K48" s="15">
        <f>Hypothèses!$D$50*$G$4</f>
        <v/>
      </c>
      <c r="L48" s="15">
        <f>Hypothèses!$D$50*$G$4</f>
        <v/>
      </c>
      <c r="M48" s="15">
        <f>Hypothèses!$D$50*$G$4</f>
        <v/>
      </c>
      <c r="N48" s="15">
        <f>Hypothèses!$D$50*$G$4</f>
        <v/>
      </c>
      <c r="O48" s="15">
        <f>Hypothèses!$D$50*$G$4</f>
        <v/>
      </c>
      <c r="P48" s="15">
        <f>Hypothèses!$D$50*$G$4</f>
        <v/>
      </c>
      <c r="Q48" s="15">
        <f>Hypothèses!$D$50*$G$4</f>
        <v/>
      </c>
      <c r="R48" s="15">
        <f>Hypothèses!$D$50*$G$4</f>
        <v/>
      </c>
      <c r="S48" s="15">
        <f>Hypothèses!$D$50*$G$4</f>
        <v/>
      </c>
      <c r="T48" s="15">
        <f>Hypothèses!$D$50*$G$4</f>
        <v/>
      </c>
      <c r="U48" s="15">
        <f>Hypothèses!$D$50*$G$4</f>
        <v/>
      </c>
      <c r="V48" s="15">
        <f>Hypothèses!$D$50*$G$4</f>
        <v/>
      </c>
      <c r="W48" s="15">
        <f>Hypothèses!$D$50*$G$4</f>
        <v/>
      </c>
      <c r="X48" s="15">
        <f>Hypothèses!$D$50*$G$4</f>
        <v/>
      </c>
      <c r="Y48" s="15">
        <f>Hypothèses!$D$50*$G$4</f>
        <v/>
      </c>
      <c r="Z48" s="15">
        <f>Hypothèses!$D$50*$G$4</f>
        <v/>
      </c>
      <c r="AA48" s="15">
        <f>Hypothèses!$D$50*$G$4</f>
        <v/>
      </c>
      <c r="AB48" s="15">
        <f>Hypothèses!$D$50*$G$4</f>
        <v/>
      </c>
      <c r="AC48" s="15">
        <f>Hypothèses!$D$50*$G$4</f>
        <v/>
      </c>
      <c r="AD48" s="15">
        <f>Hypothèses!$D$50*$G$4</f>
        <v/>
      </c>
      <c r="AE48" s="15">
        <f>Hypothèses!$D$50*$G$4</f>
        <v/>
      </c>
      <c r="AF48" s="15">
        <f>Hypothèses!$D$50*$G$4</f>
        <v/>
      </c>
      <c r="AG48" s="15">
        <f>Hypothèses!$D$50*$G$4</f>
        <v/>
      </c>
      <c r="AH48" s="15">
        <f>Hypothèses!$D$50*$G$4</f>
        <v/>
      </c>
      <c r="AI48" s="15">
        <f>Hypothèses!$D$50*$G$4</f>
        <v/>
      </c>
      <c r="AJ48" s="15">
        <f>Hypothèses!$D$50*$G$4</f>
        <v/>
      </c>
      <c r="AK48" s="15">
        <f>Hypothèses!$D$50*$G$4</f>
        <v/>
      </c>
      <c r="AL48" s="15">
        <f>Hypothèses!$D$50*$G$4</f>
        <v/>
      </c>
      <c r="AN48" s="15">
        <f>SUM(C48:N48)</f>
        <v/>
      </c>
      <c r="AO48" s="15">
        <f>SUM(O48:Z48)</f>
        <v/>
      </c>
      <c r="AP48" s="15">
        <f>SUM(AA48:AL48)</f>
        <v/>
      </c>
    </row>
    <row r="49">
      <c r="A49" s="9" t="inlineStr">
        <is>
          <t>Audit de sécurité (annuel, à partir du lancement)</t>
        </is>
      </c>
      <c r="B49" s="4" t="inlineStr">
        <is>
          <t>€ HT</t>
        </is>
      </c>
      <c r="C49" s="15">
        <f>IF(AND(C9=1,MOD(C7-$B$5,12)=0),Hypothèses!$D$51,0)*$G$4</f>
        <v/>
      </c>
      <c r="D49" s="15">
        <f>IF(AND(D9=1,MOD(D7-$B$5,12)=0),Hypothèses!$D$51,0)*$G$4</f>
        <v/>
      </c>
      <c r="E49" s="15">
        <f>IF(AND(E9=1,MOD(E7-$B$5,12)=0),Hypothèses!$D$51,0)*$G$4</f>
        <v/>
      </c>
      <c r="F49" s="15">
        <f>IF(AND(F9=1,MOD(F7-$B$5,12)=0),Hypothèses!$D$51,0)*$G$4</f>
        <v/>
      </c>
      <c r="G49" s="15">
        <f>IF(AND(G9=1,MOD(G7-$B$5,12)=0),Hypothèses!$D$51,0)*$G$4</f>
        <v/>
      </c>
      <c r="H49" s="15">
        <f>IF(AND(H9=1,MOD(H7-$B$5,12)=0),Hypothèses!$D$51,0)*$G$4</f>
        <v/>
      </c>
      <c r="I49" s="15">
        <f>IF(AND(I9=1,MOD(I7-$B$5,12)=0),Hypothèses!$D$51,0)*$G$4</f>
        <v/>
      </c>
      <c r="J49" s="15">
        <f>IF(AND(J9=1,MOD(J7-$B$5,12)=0),Hypothèses!$D$51,0)*$G$4</f>
        <v/>
      </c>
      <c r="K49" s="15">
        <f>IF(AND(K9=1,MOD(K7-$B$5,12)=0),Hypothèses!$D$51,0)*$G$4</f>
        <v/>
      </c>
      <c r="L49" s="15">
        <f>IF(AND(L9=1,MOD(L7-$B$5,12)=0),Hypothèses!$D$51,0)*$G$4</f>
        <v/>
      </c>
      <c r="M49" s="15">
        <f>IF(AND(M9=1,MOD(M7-$B$5,12)=0),Hypothèses!$D$51,0)*$G$4</f>
        <v/>
      </c>
      <c r="N49" s="15">
        <f>IF(AND(N9=1,MOD(N7-$B$5,12)=0),Hypothèses!$D$51,0)*$G$4</f>
        <v/>
      </c>
      <c r="O49" s="15">
        <f>IF(AND(O9=1,MOD(O7-$B$5,12)=0),Hypothèses!$D$51,0)*$G$4</f>
        <v/>
      </c>
      <c r="P49" s="15">
        <f>IF(AND(P9=1,MOD(P7-$B$5,12)=0),Hypothèses!$D$51,0)*$G$4</f>
        <v/>
      </c>
      <c r="Q49" s="15">
        <f>IF(AND(Q9=1,MOD(Q7-$B$5,12)=0),Hypothèses!$D$51,0)*$G$4</f>
        <v/>
      </c>
      <c r="R49" s="15">
        <f>IF(AND(R9=1,MOD(R7-$B$5,12)=0),Hypothèses!$D$51,0)*$G$4</f>
        <v/>
      </c>
      <c r="S49" s="15">
        <f>IF(AND(S9=1,MOD(S7-$B$5,12)=0),Hypothèses!$D$51,0)*$G$4</f>
        <v/>
      </c>
      <c r="T49" s="15">
        <f>IF(AND(T9=1,MOD(T7-$B$5,12)=0),Hypothèses!$D$51,0)*$G$4</f>
        <v/>
      </c>
      <c r="U49" s="15">
        <f>IF(AND(U9=1,MOD(U7-$B$5,12)=0),Hypothèses!$D$51,0)*$G$4</f>
        <v/>
      </c>
      <c r="V49" s="15">
        <f>IF(AND(V9=1,MOD(V7-$B$5,12)=0),Hypothèses!$D$51,0)*$G$4</f>
        <v/>
      </c>
      <c r="W49" s="15">
        <f>IF(AND(W9=1,MOD(W7-$B$5,12)=0),Hypothèses!$D$51,0)*$G$4</f>
        <v/>
      </c>
      <c r="X49" s="15">
        <f>IF(AND(X9=1,MOD(X7-$B$5,12)=0),Hypothèses!$D$51,0)*$G$4</f>
        <v/>
      </c>
      <c r="Y49" s="15">
        <f>IF(AND(Y9=1,MOD(Y7-$B$5,12)=0),Hypothèses!$D$51,0)*$G$4</f>
        <v/>
      </c>
      <c r="Z49" s="15">
        <f>IF(AND(Z9=1,MOD(Z7-$B$5,12)=0),Hypothèses!$D$51,0)*$G$4</f>
        <v/>
      </c>
      <c r="AA49" s="15">
        <f>IF(AND(AA9=1,MOD(AA7-$B$5,12)=0),Hypothèses!$D$51,0)*$G$4</f>
        <v/>
      </c>
      <c r="AB49" s="15">
        <f>IF(AND(AB9=1,MOD(AB7-$B$5,12)=0),Hypothèses!$D$51,0)*$G$4</f>
        <v/>
      </c>
      <c r="AC49" s="15">
        <f>IF(AND(AC9=1,MOD(AC7-$B$5,12)=0),Hypothèses!$D$51,0)*$G$4</f>
        <v/>
      </c>
      <c r="AD49" s="15">
        <f>IF(AND(AD9=1,MOD(AD7-$B$5,12)=0),Hypothèses!$D$51,0)*$G$4</f>
        <v/>
      </c>
      <c r="AE49" s="15">
        <f>IF(AND(AE9=1,MOD(AE7-$B$5,12)=0),Hypothèses!$D$51,0)*$G$4</f>
        <v/>
      </c>
      <c r="AF49" s="15">
        <f>IF(AND(AF9=1,MOD(AF7-$B$5,12)=0),Hypothèses!$D$51,0)*$G$4</f>
        <v/>
      </c>
      <c r="AG49" s="15">
        <f>IF(AND(AG9=1,MOD(AG7-$B$5,12)=0),Hypothèses!$D$51,0)*$G$4</f>
        <v/>
      </c>
      <c r="AH49" s="15">
        <f>IF(AND(AH9=1,MOD(AH7-$B$5,12)=0),Hypothèses!$D$51,0)*$G$4</f>
        <v/>
      </c>
      <c r="AI49" s="15">
        <f>IF(AND(AI9=1,MOD(AI7-$B$5,12)=0),Hypothèses!$D$51,0)*$G$4</f>
        <v/>
      </c>
      <c r="AJ49" s="15">
        <f>IF(AND(AJ9=1,MOD(AJ7-$B$5,12)=0),Hypothèses!$D$51,0)*$G$4</f>
        <v/>
      </c>
      <c r="AK49" s="15">
        <f>IF(AND(AK9=1,MOD(AK7-$B$5,12)=0),Hypothèses!$D$51,0)*$G$4</f>
        <v/>
      </c>
      <c r="AL49" s="15">
        <f>IF(AND(AL9=1,MOD(AL7-$B$5,12)=0),Hypothèses!$D$51,0)*$G$4</f>
        <v/>
      </c>
      <c r="AN49" s="15">
        <f>SUM(C49:N49)</f>
        <v/>
      </c>
      <c r="AO49" s="15">
        <f>SUM(O49:Z49)</f>
        <v/>
      </c>
      <c r="AP49" s="15">
        <f>SUM(AA49:AL49)</f>
        <v/>
      </c>
    </row>
    <row r="50">
      <c r="A50" s="9" t="inlineStr">
        <is>
          <t>Frais de constitution</t>
        </is>
      </c>
      <c r="B50" s="4" t="inlineStr">
        <is>
          <t>€ HT</t>
        </is>
      </c>
      <c r="C50" s="15">
        <f>IF(C7=2,Hypothèses!$D$52,0)</f>
        <v/>
      </c>
      <c r="D50" s="15">
        <f>IF(D7=2,Hypothèses!$D$52,0)</f>
        <v/>
      </c>
      <c r="E50" s="15">
        <f>IF(E7=2,Hypothèses!$D$52,0)</f>
        <v/>
      </c>
      <c r="F50" s="15">
        <f>IF(F7=2,Hypothèses!$D$52,0)</f>
        <v/>
      </c>
      <c r="G50" s="15">
        <f>IF(G7=2,Hypothèses!$D$52,0)</f>
        <v/>
      </c>
      <c r="H50" s="15">
        <f>IF(H7=2,Hypothèses!$D$52,0)</f>
        <v/>
      </c>
      <c r="I50" s="15">
        <f>IF(I7=2,Hypothèses!$D$52,0)</f>
        <v/>
      </c>
      <c r="J50" s="15">
        <f>IF(J7=2,Hypothèses!$D$52,0)</f>
        <v/>
      </c>
      <c r="K50" s="15">
        <f>IF(K7=2,Hypothèses!$D$52,0)</f>
        <v/>
      </c>
      <c r="L50" s="15">
        <f>IF(L7=2,Hypothèses!$D$52,0)</f>
        <v/>
      </c>
      <c r="M50" s="15">
        <f>IF(M7=2,Hypothèses!$D$52,0)</f>
        <v/>
      </c>
      <c r="N50" s="15">
        <f>IF(N7=2,Hypothèses!$D$52,0)</f>
        <v/>
      </c>
      <c r="O50" s="15">
        <f>IF(O7=2,Hypothèses!$D$52,0)</f>
        <v/>
      </c>
      <c r="P50" s="15">
        <f>IF(P7=2,Hypothèses!$D$52,0)</f>
        <v/>
      </c>
      <c r="Q50" s="15">
        <f>IF(Q7=2,Hypothèses!$D$52,0)</f>
        <v/>
      </c>
      <c r="R50" s="15">
        <f>IF(R7=2,Hypothèses!$D$52,0)</f>
        <v/>
      </c>
      <c r="S50" s="15">
        <f>IF(S7=2,Hypothèses!$D$52,0)</f>
        <v/>
      </c>
      <c r="T50" s="15">
        <f>IF(T7=2,Hypothèses!$D$52,0)</f>
        <v/>
      </c>
      <c r="U50" s="15">
        <f>IF(U7=2,Hypothèses!$D$52,0)</f>
        <v/>
      </c>
      <c r="V50" s="15">
        <f>IF(V7=2,Hypothèses!$D$52,0)</f>
        <v/>
      </c>
      <c r="W50" s="15">
        <f>IF(W7=2,Hypothèses!$D$52,0)</f>
        <v/>
      </c>
      <c r="X50" s="15">
        <f>IF(X7=2,Hypothèses!$D$52,0)</f>
        <v/>
      </c>
      <c r="Y50" s="15">
        <f>IF(Y7=2,Hypothèses!$D$52,0)</f>
        <v/>
      </c>
      <c r="Z50" s="15">
        <f>IF(Z7=2,Hypothèses!$D$52,0)</f>
        <v/>
      </c>
      <c r="AA50" s="15">
        <f>IF(AA7=2,Hypothèses!$D$52,0)</f>
        <v/>
      </c>
      <c r="AB50" s="15">
        <f>IF(AB7=2,Hypothèses!$D$52,0)</f>
        <v/>
      </c>
      <c r="AC50" s="15">
        <f>IF(AC7=2,Hypothèses!$D$52,0)</f>
        <v/>
      </c>
      <c r="AD50" s="15">
        <f>IF(AD7=2,Hypothèses!$D$52,0)</f>
        <v/>
      </c>
      <c r="AE50" s="15">
        <f>IF(AE7=2,Hypothèses!$D$52,0)</f>
        <v/>
      </c>
      <c r="AF50" s="15">
        <f>IF(AF7=2,Hypothèses!$D$52,0)</f>
        <v/>
      </c>
      <c r="AG50" s="15">
        <f>IF(AG7=2,Hypothèses!$D$52,0)</f>
        <v/>
      </c>
      <c r="AH50" s="15">
        <f>IF(AH7=2,Hypothèses!$D$52,0)</f>
        <v/>
      </c>
      <c r="AI50" s="15">
        <f>IF(AI7=2,Hypothèses!$D$52,0)</f>
        <v/>
      </c>
      <c r="AJ50" s="15">
        <f>IF(AJ7=2,Hypothèses!$D$52,0)</f>
        <v/>
      </c>
      <c r="AK50" s="15">
        <f>IF(AK7=2,Hypothèses!$D$52,0)</f>
        <v/>
      </c>
      <c r="AL50" s="15">
        <f>IF(AL7=2,Hypothèses!$D$52,0)</f>
        <v/>
      </c>
      <c r="AN50" s="15">
        <f>SUM(C50:N50)</f>
        <v/>
      </c>
      <c r="AO50" s="15">
        <f>SUM(O50:Z50)</f>
        <v/>
      </c>
      <c r="AP50" s="15">
        <f>SUM(AA50:AL50)</f>
        <v/>
      </c>
    </row>
    <row r="51">
      <c r="A51" s="2" t="inlineStr">
        <is>
          <t>Total coûts fixes</t>
        </is>
      </c>
      <c r="B51" s="4" t="inlineStr">
        <is>
          <t>€ HT</t>
        </is>
      </c>
      <c r="C51" s="40">
        <f>SUM(C40:C50)</f>
        <v/>
      </c>
      <c r="D51" s="40">
        <f>SUM(D40:D50)</f>
        <v/>
      </c>
      <c r="E51" s="40">
        <f>SUM(E40:E50)</f>
        <v/>
      </c>
      <c r="F51" s="40">
        <f>SUM(F40:F50)</f>
        <v/>
      </c>
      <c r="G51" s="40">
        <f>SUM(G40:G50)</f>
        <v/>
      </c>
      <c r="H51" s="40">
        <f>SUM(H40:H50)</f>
        <v/>
      </c>
      <c r="I51" s="40">
        <f>SUM(I40:I50)</f>
        <v/>
      </c>
      <c r="J51" s="40">
        <f>SUM(J40:J50)</f>
        <v/>
      </c>
      <c r="K51" s="40">
        <f>SUM(K40:K50)</f>
        <v/>
      </c>
      <c r="L51" s="40">
        <f>SUM(L40:L50)</f>
        <v/>
      </c>
      <c r="M51" s="40">
        <f>SUM(M40:M50)</f>
        <v/>
      </c>
      <c r="N51" s="40">
        <f>SUM(N40:N50)</f>
        <v/>
      </c>
      <c r="O51" s="40">
        <f>SUM(O40:O50)</f>
        <v/>
      </c>
      <c r="P51" s="40">
        <f>SUM(P40:P50)</f>
        <v/>
      </c>
      <c r="Q51" s="40">
        <f>SUM(Q40:Q50)</f>
        <v/>
      </c>
      <c r="R51" s="40">
        <f>SUM(R40:R50)</f>
        <v/>
      </c>
      <c r="S51" s="40">
        <f>SUM(S40:S50)</f>
        <v/>
      </c>
      <c r="T51" s="40">
        <f>SUM(T40:T50)</f>
        <v/>
      </c>
      <c r="U51" s="40">
        <f>SUM(U40:U50)</f>
        <v/>
      </c>
      <c r="V51" s="40">
        <f>SUM(V40:V50)</f>
        <v/>
      </c>
      <c r="W51" s="40">
        <f>SUM(W40:W50)</f>
        <v/>
      </c>
      <c r="X51" s="40">
        <f>SUM(X40:X50)</f>
        <v/>
      </c>
      <c r="Y51" s="40">
        <f>SUM(Y40:Y50)</f>
        <v/>
      </c>
      <c r="Z51" s="40">
        <f>SUM(Z40:Z50)</f>
        <v/>
      </c>
      <c r="AA51" s="40">
        <f>SUM(AA40:AA50)</f>
        <v/>
      </c>
      <c r="AB51" s="40">
        <f>SUM(AB40:AB50)</f>
        <v/>
      </c>
      <c r="AC51" s="40">
        <f>SUM(AC40:AC50)</f>
        <v/>
      </c>
      <c r="AD51" s="40">
        <f>SUM(AD40:AD50)</f>
        <v/>
      </c>
      <c r="AE51" s="40">
        <f>SUM(AE40:AE50)</f>
        <v/>
      </c>
      <c r="AF51" s="40">
        <f>SUM(AF40:AF50)</f>
        <v/>
      </c>
      <c r="AG51" s="40">
        <f>SUM(AG40:AG50)</f>
        <v/>
      </c>
      <c r="AH51" s="40">
        <f>SUM(AH40:AH50)</f>
        <v/>
      </c>
      <c r="AI51" s="40">
        <f>SUM(AI40:AI50)</f>
        <v/>
      </c>
      <c r="AJ51" s="40">
        <f>SUM(AJ40:AJ50)</f>
        <v/>
      </c>
      <c r="AK51" s="40">
        <f>SUM(AK40:AK50)</f>
        <v/>
      </c>
      <c r="AL51" s="40">
        <f>SUM(AL40:AL50)</f>
        <v/>
      </c>
      <c r="AN51" s="40">
        <f>SUM(C51:N51)</f>
        <v/>
      </c>
      <c r="AO51" s="40">
        <f>SUM(O51:Z51)</f>
        <v/>
      </c>
      <c r="AP51" s="40">
        <f>SUM(AA51:AL51)</f>
        <v/>
      </c>
    </row>
    <row r="52">
      <c r="A52" s="2" t="inlineStr">
        <is>
          <t>EBITDA (marge variable − acquisition − fixes)</t>
        </is>
      </c>
      <c r="B52" s="4" t="inlineStr">
        <is>
          <t>€ HT</t>
        </is>
      </c>
      <c r="C52" s="40">
        <f>C37-C39-C51</f>
        <v/>
      </c>
      <c r="D52" s="40">
        <f>D37-D39-D51</f>
        <v/>
      </c>
      <c r="E52" s="40">
        <f>E37-E39-E51</f>
        <v/>
      </c>
      <c r="F52" s="40">
        <f>F37-F39-F51</f>
        <v/>
      </c>
      <c r="G52" s="40">
        <f>G37-G39-G51</f>
        <v/>
      </c>
      <c r="H52" s="40">
        <f>H37-H39-H51</f>
        <v/>
      </c>
      <c r="I52" s="40">
        <f>I37-I39-I51</f>
        <v/>
      </c>
      <c r="J52" s="40">
        <f>J37-J39-J51</f>
        <v/>
      </c>
      <c r="K52" s="40">
        <f>K37-K39-K51</f>
        <v/>
      </c>
      <c r="L52" s="40">
        <f>L37-L39-L51</f>
        <v/>
      </c>
      <c r="M52" s="40">
        <f>M37-M39-M51</f>
        <v/>
      </c>
      <c r="N52" s="40">
        <f>N37-N39-N51</f>
        <v/>
      </c>
      <c r="O52" s="40">
        <f>O37-O39-O51</f>
        <v/>
      </c>
      <c r="P52" s="40">
        <f>P37-P39-P51</f>
        <v/>
      </c>
      <c r="Q52" s="40">
        <f>Q37-Q39-Q51</f>
        <v/>
      </c>
      <c r="R52" s="40">
        <f>R37-R39-R51</f>
        <v/>
      </c>
      <c r="S52" s="40">
        <f>S37-S39-S51</f>
        <v/>
      </c>
      <c r="T52" s="40">
        <f>T37-T39-T51</f>
        <v/>
      </c>
      <c r="U52" s="40">
        <f>U37-U39-U51</f>
        <v/>
      </c>
      <c r="V52" s="40">
        <f>V37-V39-V51</f>
        <v/>
      </c>
      <c r="W52" s="40">
        <f>W37-W39-W51</f>
        <v/>
      </c>
      <c r="X52" s="40">
        <f>X37-X39-X51</f>
        <v/>
      </c>
      <c r="Y52" s="40">
        <f>Y37-Y39-Y51</f>
        <v/>
      </c>
      <c r="Z52" s="40">
        <f>Z37-Z39-Z51</f>
        <v/>
      </c>
      <c r="AA52" s="40">
        <f>AA37-AA39-AA51</f>
        <v/>
      </c>
      <c r="AB52" s="40">
        <f>AB37-AB39-AB51</f>
        <v/>
      </c>
      <c r="AC52" s="40">
        <f>AC37-AC39-AC51</f>
        <v/>
      </c>
      <c r="AD52" s="40">
        <f>AD37-AD39-AD51</f>
        <v/>
      </c>
      <c r="AE52" s="40">
        <f>AE37-AE39-AE51</f>
        <v/>
      </c>
      <c r="AF52" s="40">
        <f>AF37-AF39-AF51</f>
        <v/>
      </c>
      <c r="AG52" s="40">
        <f>AG37-AG39-AG51</f>
        <v/>
      </c>
      <c r="AH52" s="40">
        <f>AH37-AH39-AH51</f>
        <v/>
      </c>
      <c r="AI52" s="40">
        <f>AI37-AI39-AI51</f>
        <v/>
      </c>
      <c r="AJ52" s="40">
        <f>AJ37-AJ39-AJ51</f>
        <v/>
      </c>
      <c r="AK52" s="40">
        <f>AK37-AK39-AK51</f>
        <v/>
      </c>
      <c r="AL52" s="40">
        <f>AL37-AL39-AL51</f>
        <v/>
      </c>
      <c r="AN52" s="40">
        <f>SUM(C52:N52)</f>
        <v/>
      </c>
      <c r="AO52" s="40">
        <f>SUM(O52:Z52)</f>
        <v/>
      </c>
      <c r="AP52" s="40">
        <f>SUM(AA52:AL52)</f>
        <v/>
      </c>
    </row>
    <row r="53">
      <c r="A53" s="9" t="inlineStr">
        <is>
          <t>EBITDA positif ? (1 = oui)</t>
        </is>
      </c>
      <c r="B53" s="4" t="inlineStr">
        <is>
          <t>0/1</t>
        </is>
      </c>
      <c r="C53" s="13">
        <f>IF(C52&gt;0,1,0)</f>
        <v/>
      </c>
      <c r="D53" s="13">
        <f>IF(D52&gt;0,1,0)</f>
        <v/>
      </c>
      <c r="E53" s="13">
        <f>IF(E52&gt;0,1,0)</f>
        <v/>
      </c>
      <c r="F53" s="13">
        <f>IF(F52&gt;0,1,0)</f>
        <v/>
      </c>
      <c r="G53" s="13">
        <f>IF(G52&gt;0,1,0)</f>
        <v/>
      </c>
      <c r="H53" s="13">
        <f>IF(H52&gt;0,1,0)</f>
        <v/>
      </c>
      <c r="I53" s="13">
        <f>IF(I52&gt;0,1,0)</f>
        <v/>
      </c>
      <c r="J53" s="13">
        <f>IF(J52&gt;0,1,0)</f>
        <v/>
      </c>
      <c r="K53" s="13">
        <f>IF(K52&gt;0,1,0)</f>
        <v/>
      </c>
      <c r="L53" s="13">
        <f>IF(L52&gt;0,1,0)</f>
        <v/>
      </c>
      <c r="M53" s="13">
        <f>IF(M52&gt;0,1,0)</f>
        <v/>
      </c>
      <c r="N53" s="13">
        <f>IF(N52&gt;0,1,0)</f>
        <v/>
      </c>
      <c r="O53" s="13">
        <f>IF(O52&gt;0,1,0)</f>
        <v/>
      </c>
      <c r="P53" s="13">
        <f>IF(P52&gt;0,1,0)</f>
        <v/>
      </c>
      <c r="Q53" s="13">
        <f>IF(Q52&gt;0,1,0)</f>
        <v/>
      </c>
      <c r="R53" s="13">
        <f>IF(R52&gt;0,1,0)</f>
        <v/>
      </c>
      <c r="S53" s="13">
        <f>IF(S52&gt;0,1,0)</f>
        <v/>
      </c>
      <c r="T53" s="13">
        <f>IF(T52&gt;0,1,0)</f>
        <v/>
      </c>
      <c r="U53" s="13">
        <f>IF(U52&gt;0,1,0)</f>
        <v/>
      </c>
      <c r="V53" s="13">
        <f>IF(V52&gt;0,1,0)</f>
        <v/>
      </c>
      <c r="W53" s="13">
        <f>IF(W52&gt;0,1,0)</f>
        <v/>
      </c>
      <c r="X53" s="13">
        <f>IF(X52&gt;0,1,0)</f>
        <v/>
      </c>
      <c r="Y53" s="13">
        <f>IF(Y52&gt;0,1,0)</f>
        <v/>
      </c>
      <c r="Z53" s="13">
        <f>IF(Z52&gt;0,1,0)</f>
        <v/>
      </c>
      <c r="AA53" s="13">
        <f>IF(AA52&gt;0,1,0)</f>
        <v/>
      </c>
      <c r="AB53" s="13">
        <f>IF(AB52&gt;0,1,0)</f>
        <v/>
      </c>
      <c r="AC53" s="13">
        <f>IF(AC52&gt;0,1,0)</f>
        <v/>
      </c>
      <c r="AD53" s="13">
        <f>IF(AD52&gt;0,1,0)</f>
        <v/>
      </c>
      <c r="AE53" s="13">
        <f>IF(AE52&gt;0,1,0)</f>
        <v/>
      </c>
      <c r="AF53" s="13">
        <f>IF(AF52&gt;0,1,0)</f>
        <v/>
      </c>
      <c r="AG53" s="13">
        <f>IF(AG52&gt;0,1,0)</f>
        <v/>
      </c>
      <c r="AH53" s="13">
        <f>IF(AH52&gt;0,1,0)</f>
        <v/>
      </c>
      <c r="AI53" s="13">
        <f>IF(AI52&gt;0,1,0)</f>
        <v/>
      </c>
      <c r="AJ53" s="13">
        <f>IF(AJ52&gt;0,1,0)</f>
        <v/>
      </c>
      <c r="AK53" s="13">
        <f>IF(AK52&gt;0,1,0)</f>
        <v/>
      </c>
      <c r="AL53" s="13">
        <f>IF(AL52&gt;0,1,0)</f>
        <v/>
      </c>
    </row>
    <row r="54">
      <c r="A54" s="8" t="inlineStr">
        <is>
          <t>Trésorerie</t>
        </is>
      </c>
    </row>
    <row r="55">
      <c r="A55" s="9" t="inlineStr">
        <is>
          <t>TVA collectée reversée (mois suivant)</t>
        </is>
      </c>
      <c r="B55" s="4" t="inlineStr">
        <is>
          <t>€</t>
        </is>
      </c>
      <c r="C55" s="15">
        <f>0</f>
        <v/>
      </c>
      <c r="D55" s="15">
        <f>C27</f>
        <v/>
      </c>
      <c r="E55" s="15">
        <f>D27</f>
        <v/>
      </c>
      <c r="F55" s="15">
        <f>E27</f>
        <v/>
      </c>
      <c r="G55" s="15">
        <f>F27</f>
        <v/>
      </c>
      <c r="H55" s="15">
        <f>G27</f>
        <v/>
      </c>
      <c r="I55" s="15">
        <f>H27</f>
        <v/>
      </c>
      <c r="J55" s="15">
        <f>I27</f>
        <v/>
      </c>
      <c r="K55" s="15">
        <f>J27</f>
        <v/>
      </c>
      <c r="L55" s="15">
        <f>K27</f>
        <v/>
      </c>
      <c r="M55" s="15">
        <f>L27</f>
        <v/>
      </c>
      <c r="N55" s="15">
        <f>M27</f>
        <v/>
      </c>
      <c r="O55" s="15">
        <f>N27</f>
        <v/>
      </c>
      <c r="P55" s="15">
        <f>O27</f>
        <v/>
      </c>
      <c r="Q55" s="15">
        <f>P27</f>
        <v/>
      </c>
      <c r="R55" s="15">
        <f>Q27</f>
        <v/>
      </c>
      <c r="S55" s="15">
        <f>R27</f>
        <v/>
      </c>
      <c r="T55" s="15">
        <f>S27</f>
        <v/>
      </c>
      <c r="U55" s="15">
        <f>T27</f>
        <v/>
      </c>
      <c r="V55" s="15">
        <f>U27</f>
        <v/>
      </c>
      <c r="W55" s="15">
        <f>V27</f>
        <v/>
      </c>
      <c r="X55" s="15">
        <f>W27</f>
        <v/>
      </c>
      <c r="Y55" s="15">
        <f>X27</f>
        <v/>
      </c>
      <c r="Z55" s="15">
        <f>Y27</f>
        <v/>
      </c>
      <c r="AA55" s="15">
        <f>Z27</f>
        <v/>
      </c>
      <c r="AB55" s="15">
        <f>AA27</f>
        <v/>
      </c>
      <c r="AC55" s="15">
        <f>AB27</f>
        <v/>
      </c>
      <c r="AD55" s="15">
        <f>AC27</f>
        <v/>
      </c>
      <c r="AE55" s="15">
        <f>AD27</f>
        <v/>
      </c>
      <c r="AF55" s="15">
        <f>AE27</f>
        <v/>
      </c>
      <c r="AG55" s="15">
        <f>AF27</f>
        <v/>
      </c>
      <c r="AH55" s="15">
        <f>AG27</f>
        <v/>
      </c>
      <c r="AI55" s="15">
        <f>AH27</f>
        <v/>
      </c>
      <c r="AJ55" s="15">
        <f>AI27</f>
        <v/>
      </c>
      <c r="AK55" s="15">
        <f>AJ27</f>
        <v/>
      </c>
      <c r="AL55" s="15">
        <f>AK27</f>
        <v/>
      </c>
      <c r="AN55" s="15">
        <f>SUM(C55:N55)</f>
        <v/>
      </c>
      <c r="AO55" s="15">
        <f>SUM(O55:Z55)</f>
        <v/>
      </c>
      <c r="AP55" s="15">
        <f>SUM(AA55:AL55)</f>
        <v/>
      </c>
    </row>
    <row r="56">
      <c r="A56" s="9" t="inlineStr">
        <is>
          <t>TVA déductible récupérée (mois suivant, coûts externes)</t>
        </is>
      </c>
      <c r="B56" s="4" t="inlineStr">
        <is>
          <t>€</t>
        </is>
      </c>
      <c r="C56" s="15">
        <f>0</f>
        <v/>
      </c>
      <c r="D56" s="15">
        <f>(C36+C39+C43+C44+C45+C47+C48+C49+C50)*Hypothèses!$D$15</f>
        <v/>
      </c>
      <c r="E56" s="15">
        <f>(D36+D39+D43+D44+D45+D47+D48+D49+D50)*Hypothèses!$D$15</f>
        <v/>
      </c>
      <c r="F56" s="15">
        <f>(E36+E39+E43+E44+E45+E47+E48+E49+E50)*Hypothèses!$D$15</f>
        <v/>
      </c>
      <c r="G56" s="15">
        <f>(F36+F39+F43+F44+F45+F47+F48+F49+F50)*Hypothèses!$D$15</f>
        <v/>
      </c>
      <c r="H56" s="15">
        <f>(G36+G39+G43+G44+G45+G47+G48+G49+G50)*Hypothèses!$D$15</f>
        <v/>
      </c>
      <c r="I56" s="15">
        <f>(H36+H39+H43+H44+H45+H47+H48+H49+H50)*Hypothèses!$D$15</f>
        <v/>
      </c>
      <c r="J56" s="15">
        <f>(I36+I39+I43+I44+I45+I47+I48+I49+I50)*Hypothèses!$D$15</f>
        <v/>
      </c>
      <c r="K56" s="15">
        <f>(J36+J39+J43+J44+J45+J47+J48+J49+J50)*Hypothèses!$D$15</f>
        <v/>
      </c>
      <c r="L56" s="15">
        <f>(K36+K39+K43+K44+K45+K47+K48+K49+K50)*Hypothèses!$D$15</f>
        <v/>
      </c>
      <c r="M56" s="15">
        <f>(L36+L39+L43+L44+L45+L47+L48+L49+L50)*Hypothèses!$D$15</f>
        <v/>
      </c>
      <c r="N56" s="15">
        <f>(M36+M39+M43+M44+M45+M47+M48+M49+M50)*Hypothèses!$D$15</f>
        <v/>
      </c>
      <c r="O56" s="15">
        <f>(N36+N39+N43+N44+N45+N47+N48+N49+N50)*Hypothèses!$D$15</f>
        <v/>
      </c>
      <c r="P56" s="15">
        <f>(O36+O39+O43+O44+O45+O47+O48+O49+O50)*Hypothèses!$D$15</f>
        <v/>
      </c>
      <c r="Q56" s="15">
        <f>(P36+P39+P43+P44+P45+P47+P48+P49+P50)*Hypothèses!$D$15</f>
        <v/>
      </c>
      <c r="R56" s="15">
        <f>(Q36+Q39+Q43+Q44+Q45+Q47+Q48+Q49+Q50)*Hypothèses!$D$15</f>
        <v/>
      </c>
      <c r="S56" s="15">
        <f>(R36+R39+R43+R44+R45+R47+R48+R49+R50)*Hypothèses!$D$15</f>
        <v/>
      </c>
      <c r="T56" s="15">
        <f>(S36+S39+S43+S44+S45+S47+S48+S49+S50)*Hypothèses!$D$15</f>
        <v/>
      </c>
      <c r="U56" s="15">
        <f>(T36+T39+T43+T44+T45+T47+T48+T49+T50)*Hypothèses!$D$15</f>
        <v/>
      </c>
      <c r="V56" s="15">
        <f>(U36+U39+U43+U44+U45+U47+U48+U49+U50)*Hypothèses!$D$15</f>
        <v/>
      </c>
      <c r="W56" s="15">
        <f>(V36+V39+V43+V44+V45+V47+V48+V49+V50)*Hypothèses!$D$15</f>
        <v/>
      </c>
      <c r="X56" s="15">
        <f>(W36+W39+W43+W44+W45+W47+W48+W49+W50)*Hypothèses!$D$15</f>
        <v/>
      </c>
      <c r="Y56" s="15">
        <f>(X36+X39+X43+X44+X45+X47+X48+X49+X50)*Hypothèses!$D$15</f>
        <v/>
      </c>
      <c r="Z56" s="15">
        <f>(Y36+Y39+Y43+Y44+Y45+Y47+Y48+Y49+Y50)*Hypothèses!$D$15</f>
        <v/>
      </c>
      <c r="AA56" s="15">
        <f>(Z36+Z39+Z43+Z44+Z45+Z47+Z48+Z49+Z50)*Hypothèses!$D$15</f>
        <v/>
      </c>
      <c r="AB56" s="15">
        <f>(AA36+AA39+AA43+AA44+AA45+AA47+AA48+AA49+AA50)*Hypothèses!$D$15</f>
        <v/>
      </c>
      <c r="AC56" s="15">
        <f>(AB36+AB39+AB43+AB44+AB45+AB47+AB48+AB49+AB50)*Hypothèses!$D$15</f>
        <v/>
      </c>
      <c r="AD56" s="15">
        <f>(AC36+AC39+AC43+AC44+AC45+AC47+AC48+AC49+AC50)*Hypothèses!$D$15</f>
        <v/>
      </c>
      <c r="AE56" s="15">
        <f>(AD36+AD39+AD43+AD44+AD45+AD47+AD48+AD49+AD50)*Hypothèses!$D$15</f>
        <v/>
      </c>
      <c r="AF56" s="15">
        <f>(AE36+AE39+AE43+AE44+AE45+AE47+AE48+AE49+AE50)*Hypothèses!$D$15</f>
        <v/>
      </c>
      <c r="AG56" s="15">
        <f>(AF36+AF39+AF43+AF44+AF45+AF47+AF48+AF49+AF50)*Hypothèses!$D$15</f>
        <v/>
      </c>
      <c r="AH56" s="15">
        <f>(AG36+AG39+AG43+AG44+AG45+AG47+AG48+AG49+AG50)*Hypothèses!$D$15</f>
        <v/>
      </c>
      <c r="AI56" s="15">
        <f>(AH36+AH39+AH43+AH44+AH45+AH47+AH48+AH49+AH50)*Hypothèses!$D$15</f>
        <v/>
      </c>
      <c r="AJ56" s="15">
        <f>(AI36+AI39+AI43+AI44+AI45+AI47+AI48+AI49+AI50)*Hypothèses!$D$15</f>
        <v/>
      </c>
      <c r="AK56" s="15">
        <f>(AJ36+AJ39+AJ43+AJ44+AJ45+AJ47+AJ48+AJ49+AJ50)*Hypothèses!$D$15</f>
        <v/>
      </c>
      <c r="AL56" s="15">
        <f>(AK36+AK39+AK43+AK44+AK45+AK47+AK48+AK49+AK50)*Hypothèses!$D$15</f>
        <v/>
      </c>
      <c r="AN56" s="15">
        <f>SUM(C56:N56)</f>
        <v/>
      </c>
      <c r="AO56" s="15">
        <f>SUM(O56:Z56)</f>
        <v/>
      </c>
      <c r="AP56" s="15">
        <f>SUM(AA56:AL56)</f>
        <v/>
      </c>
    </row>
    <row r="57">
      <c r="A57" s="9" t="inlineStr">
        <is>
          <t>Financement reçu</t>
        </is>
      </c>
      <c r="B57" s="4" t="inlineStr">
        <is>
          <t>€</t>
        </is>
      </c>
      <c r="C57" s="15">
        <f>Hypothèses!$D$56*(IF(C7=Hypothèses!$D$57,Hypothèses!$D$58,0)+IF(C7=Hypothèses!$D$59,Hypothèses!$D$60,0)+IF(C7=Hypothèses!$D$61,Hypothèses!$D$62,0))</f>
        <v/>
      </c>
      <c r="D57" s="15">
        <f>Hypothèses!$D$56*(IF(D7=Hypothèses!$D$57,Hypothèses!$D$58,0)+IF(D7=Hypothèses!$D$59,Hypothèses!$D$60,0)+IF(D7=Hypothèses!$D$61,Hypothèses!$D$62,0))</f>
        <v/>
      </c>
      <c r="E57" s="15">
        <f>Hypothèses!$D$56*(IF(E7=Hypothèses!$D$57,Hypothèses!$D$58,0)+IF(E7=Hypothèses!$D$59,Hypothèses!$D$60,0)+IF(E7=Hypothèses!$D$61,Hypothèses!$D$62,0))</f>
        <v/>
      </c>
      <c r="F57" s="15">
        <f>Hypothèses!$D$56*(IF(F7=Hypothèses!$D$57,Hypothèses!$D$58,0)+IF(F7=Hypothèses!$D$59,Hypothèses!$D$60,0)+IF(F7=Hypothèses!$D$61,Hypothèses!$D$62,0))</f>
        <v/>
      </c>
      <c r="G57" s="15">
        <f>Hypothèses!$D$56*(IF(G7=Hypothèses!$D$57,Hypothèses!$D$58,0)+IF(G7=Hypothèses!$D$59,Hypothèses!$D$60,0)+IF(G7=Hypothèses!$D$61,Hypothèses!$D$62,0))</f>
        <v/>
      </c>
      <c r="H57" s="15">
        <f>Hypothèses!$D$56*(IF(H7=Hypothèses!$D$57,Hypothèses!$D$58,0)+IF(H7=Hypothèses!$D$59,Hypothèses!$D$60,0)+IF(H7=Hypothèses!$D$61,Hypothèses!$D$62,0))</f>
        <v/>
      </c>
      <c r="I57" s="15">
        <f>Hypothèses!$D$56*(IF(I7=Hypothèses!$D$57,Hypothèses!$D$58,0)+IF(I7=Hypothèses!$D$59,Hypothèses!$D$60,0)+IF(I7=Hypothèses!$D$61,Hypothèses!$D$62,0))</f>
        <v/>
      </c>
      <c r="J57" s="15">
        <f>Hypothèses!$D$56*(IF(J7=Hypothèses!$D$57,Hypothèses!$D$58,0)+IF(J7=Hypothèses!$D$59,Hypothèses!$D$60,0)+IF(J7=Hypothèses!$D$61,Hypothèses!$D$62,0))</f>
        <v/>
      </c>
      <c r="K57" s="15">
        <f>Hypothèses!$D$56*(IF(K7=Hypothèses!$D$57,Hypothèses!$D$58,0)+IF(K7=Hypothèses!$D$59,Hypothèses!$D$60,0)+IF(K7=Hypothèses!$D$61,Hypothèses!$D$62,0))</f>
        <v/>
      </c>
      <c r="L57" s="15">
        <f>Hypothèses!$D$56*(IF(L7=Hypothèses!$D$57,Hypothèses!$D$58,0)+IF(L7=Hypothèses!$D$59,Hypothèses!$D$60,0)+IF(L7=Hypothèses!$D$61,Hypothèses!$D$62,0))</f>
        <v/>
      </c>
      <c r="M57" s="15">
        <f>Hypothèses!$D$56*(IF(M7=Hypothèses!$D$57,Hypothèses!$D$58,0)+IF(M7=Hypothèses!$D$59,Hypothèses!$D$60,0)+IF(M7=Hypothèses!$D$61,Hypothèses!$D$62,0))</f>
        <v/>
      </c>
      <c r="N57" s="15">
        <f>Hypothèses!$D$56*(IF(N7=Hypothèses!$D$57,Hypothèses!$D$58,0)+IF(N7=Hypothèses!$D$59,Hypothèses!$D$60,0)+IF(N7=Hypothèses!$D$61,Hypothèses!$D$62,0))</f>
        <v/>
      </c>
      <c r="O57" s="15">
        <f>Hypothèses!$D$56*(IF(O7=Hypothèses!$D$57,Hypothèses!$D$58,0)+IF(O7=Hypothèses!$D$59,Hypothèses!$D$60,0)+IF(O7=Hypothèses!$D$61,Hypothèses!$D$62,0))</f>
        <v/>
      </c>
      <c r="P57" s="15">
        <f>Hypothèses!$D$56*(IF(P7=Hypothèses!$D$57,Hypothèses!$D$58,0)+IF(P7=Hypothèses!$D$59,Hypothèses!$D$60,0)+IF(P7=Hypothèses!$D$61,Hypothèses!$D$62,0))</f>
        <v/>
      </c>
      <c r="Q57" s="15">
        <f>Hypothèses!$D$56*(IF(Q7=Hypothèses!$D$57,Hypothèses!$D$58,0)+IF(Q7=Hypothèses!$D$59,Hypothèses!$D$60,0)+IF(Q7=Hypothèses!$D$61,Hypothèses!$D$62,0))</f>
        <v/>
      </c>
      <c r="R57" s="15">
        <f>Hypothèses!$D$56*(IF(R7=Hypothèses!$D$57,Hypothèses!$D$58,0)+IF(R7=Hypothèses!$D$59,Hypothèses!$D$60,0)+IF(R7=Hypothèses!$D$61,Hypothèses!$D$62,0))</f>
        <v/>
      </c>
      <c r="S57" s="15">
        <f>Hypothèses!$D$56*(IF(S7=Hypothèses!$D$57,Hypothèses!$D$58,0)+IF(S7=Hypothèses!$D$59,Hypothèses!$D$60,0)+IF(S7=Hypothèses!$D$61,Hypothèses!$D$62,0))</f>
        <v/>
      </c>
      <c r="T57" s="15">
        <f>Hypothèses!$D$56*(IF(T7=Hypothèses!$D$57,Hypothèses!$D$58,0)+IF(T7=Hypothèses!$D$59,Hypothèses!$D$60,0)+IF(T7=Hypothèses!$D$61,Hypothèses!$D$62,0))</f>
        <v/>
      </c>
      <c r="U57" s="15">
        <f>Hypothèses!$D$56*(IF(U7=Hypothèses!$D$57,Hypothèses!$D$58,0)+IF(U7=Hypothèses!$D$59,Hypothèses!$D$60,0)+IF(U7=Hypothèses!$D$61,Hypothèses!$D$62,0))</f>
        <v/>
      </c>
      <c r="V57" s="15">
        <f>Hypothèses!$D$56*(IF(V7=Hypothèses!$D$57,Hypothèses!$D$58,0)+IF(V7=Hypothèses!$D$59,Hypothèses!$D$60,0)+IF(V7=Hypothèses!$D$61,Hypothèses!$D$62,0))</f>
        <v/>
      </c>
      <c r="W57" s="15">
        <f>Hypothèses!$D$56*(IF(W7=Hypothèses!$D$57,Hypothèses!$D$58,0)+IF(W7=Hypothèses!$D$59,Hypothèses!$D$60,0)+IF(W7=Hypothèses!$D$61,Hypothèses!$D$62,0))</f>
        <v/>
      </c>
      <c r="X57" s="15">
        <f>Hypothèses!$D$56*(IF(X7=Hypothèses!$D$57,Hypothèses!$D$58,0)+IF(X7=Hypothèses!$D$59,Hypothèses!$D$60,0)+IF(X7=Hypothèses!$D$61,Hypothèses!$D$62,0))</f>
        <v/>
      </c>
      <c r="Y57" s="15">
        <f>Hypothèses!$D$56*(IF(Y7=Hypothèses!$D$57,Hypothèses!$D$58,0)+IF(Y7=Hypothèses!$D$59,Hypothèses!$D$60,0)+IF(Y7=Hypothèses!$D$61,Hypothèses!$D$62,0))</f>
        <v/>
      </c>
      <c r="Z57" s="15">
        <f>Hypothèses!$D$56*(IF(Z7=Hypothèses!$D$57,Hypothèses!$D$58,0)+IF(Z7=Hypothèses!$D$59,Hypothèses!$D$60,0)+IF(Z7=Hypothèses!$D$61,Hypothèses!$D$62,0))</f>
        <v/>
      </c>
      <c r="AA57" s="15">
        <f>Hypothèses!$D$56*(IF(AA7=Hypothèses!$D$57,Hypothèses!$D$58,0)+IF(AA7=Hypothèses!$D$59,Hypothèses!$D$60,0)+IF(AA7=Hypothèses!$D$61,Hypothèses!$D$62,0))</f>
        <v/>
      </c>
      <c r="AB57" s="15">
        <f>Hypothèses!$D$56*(IF(AB7=Hypothèses!$D$57,Hypothèses!$D$58,0)+IF(AB7=Hypothèses!$D$59,Hypothèses!$D$60,0)+IF(AB7=Hypothèses!$D$61,Hypothèses!$D$62,0))</f>
        <v/>
      </c>
      <c r="AC57" s="15">
        <f>Hypothèses!$D$56*(IF(AC7=Hypothèses!$D$57,Hypothèses!$D$58,0)+IF(AC7=Hypothèses!$D$59,Hypothèses!$D$60,0)+IF(AC7=Hypothèses!$D$61,Hypothèses!$D$62,0))</f>
        <v/>
      </c>
      <c r="AD57" s="15">
        <f>Hypothèses!$D$56*(IF(AD7=Hypothèses!$D$57,Hypothèses!$D$58,0)+IF(AD7=Hypothèses!$D$59,Hypothèses!$D$60,0)+IF(AD7=Hypothèses!$D$61,Hypothèses!$D$62,0))</f>
        <v/>
      </c>
      <c r="AE57" s="15">
        <f>Hypothèses!$D$56*(IF(AE7=Hypothèses!$D$57,Hypothèses!$D$58,0)+IF(AE7=Hypothèses!$D$59,Hypothèses!$D$60,0)+IF(AE7=Hypothèses!$D$61,Hypothèses!$D$62,0))</f>
        <v/>
      </c>
      <c r="AF57" s="15">
        <f>Hypothèses!$D$56*(IF(AF7=Hypothèses!$D$57,Hypothèses!$D$58,0)+IF(AF7=Hypothèses!$D$59,Hypothèses!$D$60,0)+IF(AF7=Hypothèses!$D$61,Hypothèses!$D$62,0))</f>
        <v/>
      </c>
      <c r="AG57" s="15">
        <f>Hypothèses!$D$56*(IF(AG7=Hypothèses!$D$57,Hypothèses!$D$58,0)+IF(AG7=Hypothèses!$D$59,Hypothèses!$D$60,0)+IF(AG7=Hypothèses!$D$61,Hypothèses!$D$62,0))</f>
        <v/>
      </c>
      <c r="AH57" s="15">
        <f>Hypothèses!$D$56*(IF(AH7=Hypothèses!$D$57,Hypothèses!$D$58,0)+IF(AH7=Hypothèses!$D$59,Hypothèses!$D$60,0)+IF(AH7=Hypothèses!$D$61,Hypothèses!$D$62,0))</f>
        <v/>
      </c>
      <c r="AI57" s="15">
        <f>Hypothèses!$D$56*(IF(AI7=Hypothèses!$D$57,Hypothèses!$D$58,0)+IF(AI7=Hypothèses!$D$59,Hypothèses!$D$60,0)+IF(AI7=Hypothèses!$D$61,Hypothèses!$D$62,0))</f>
        <v/>
      </c>
      <c r="AJ57" s="15">
        <f>Hypothèses!$D$56*(IF(AJ7=Hypothèses!$D$57,Hypothèses!$D$58,0)+IF(AJ7=Hypothèses!$D$59,Hypothèses!$D$60,0)+IF(AJ7=Hypothèses!$D$61,Hypothèses!$D$62,0))</f>
        <v/>
      </c>
      <c r="AK57" s="15">
        <f>Hypothèses!$D$56*(IF(AK7=Hypothèses!$D$57,Hypothèses!$D$58,0)+IF(AK7=Hypothèses!$D$59,Hypothèses!$D$60,0)+IF(AK7=Hypothèses!$D$61,Hypothèses!$D$62,0))</f>
        <v/>
      </c>
      <c r="AL57" s="15">
        <f>Hypothèses!$D$56*(IF(AL7=Hypothèses!$D$57,Hypothèses!$D$58,0)+IF(AL7=Hypothèses!$D$59,Hypothèses!$D$60,0)+IF(AL7=Hypothèses!$D$61,Hypothèses!$D$62,0))</f>
        <v/>
      </c>
      <c r="AN57" s="15">
        <f>SUM(C57:N57)</f>
        <v/>
      </c>
      <c r="AO57" s="15">
        <f>SUM(O57:Z57)</f>
        <v/>
      </c>
      <c r="AP57" s="15">
        <f>SUM(AA57:AL57)</f>
        <v/>
      </c>
    </row>
    <row r="58">
      <c r="A58" s="9" t="inlineStr">
        <is>
          <t>Trésorerie d'ouverture</t>
        </is>
      </c>
      <c r="B58" s="4" t="inlineStr">
        <is>
          <t>€</t>
        </is>
      </c>
      <c r="C58" s="15">
        <f>Hypothèses!$D$54</f>
        <v/>
      </c>
      <c r="D58" s="15">
        <f>C60</f>
        <v/>
      </c>
      <c r="E58" s="15">
        <f>D60</f>
        <v/>
      </c>
      <c r="F58" s="15">
        <f>E60</f>
        <v/>
      </c>
      <c r="G58" s="15">
        <f>F60</f>
        <v/>
      </c>
      <c r="H58" s="15">
        <f>G60</f>
        <v/>
      </c>
      <c r="I58" s="15">
        <f>H60</f>
        <v/>
      </c>
      <c r="J58" s="15">
        <f>I60</f>
        <v/>
      </c>
      <c r="K58" s="15">
        <f>J60</f>
        <v/>
      </c>
      <c r="L58" s="15">
        <f>K60</f>
        <v/>
      </c>
      <c r="M58" s="15">
        <f>L60</f>
        <v/>
      </c>
      <c r="N58" s="15">
        <f>M60</f>
        <v/>
      </c>
      <c r="O58" s="15">
        <f>N60</f>
        <v/>
      </c>
      <c r="P58" s="15">
        <f>O60</f>
        <v/>
      </c>
      <c r="Q58" s="15">
        <f>P60</f>
        <v/>
      </c>
      <c r="R58" s="15">
        <f>Q60</f>
        <v/>
      </c>
      <c r="S58" s="15">
        <f>R60</f>
        <v/>
      </c>
      <c r="T58" s="15">
        <f>S60</f>
        <v/>
      </c>
      <c r="U58" s="15">
        <f>T60</f>
        <v/>
      </c>
      <c r="V58" s="15">
        <f>U60</f>
        <v/>
      </c>
      <c r="W58" s="15">
        <f>V60</f>
        <v/>
      </c>
      <c r="X58" s="15">
        <f>W60</f>
        <v/>
      </c>
      <c r="Y58" s="15">
        <f>X60</f>
        <v/>
      </c>
      <c r="Z58" s="15">
        <f>Y60</f>
        <v/>
      </c>
      <c r="AA58" s="15">
        <f>Z60</f>
        <v/>
      </c>
      <c r="AB58" s="15">
        <f>AA60</f>
        <v/>
      </c>
      <c r="AC58" s="15">
        <f>AB60</f>
        <v/>
      </c>
      <c r="AD58" s="15">
        <f>AC60</f>
        <v/>
      </c>
      <c r="AE58" s="15">
        <f>AD60</f>
        <v/>
      </c>
      <c r="AF58" s="15">
        <f>AE60</f>
        <v/>
      </c>
      <c r="AG58" s="15">
        <f>AF60</f>
        <v/>
      </c>
      <c r="AH58" s="15">
        <f>AG60</f>
        <v/>
      </c>
      <c r="AI58" s="15">
        <f>AH60</f>
        <v/>
      </c>
      <c r="AJ58" s="15">
        <f>AI60</f>
        <v/>
      </c>
      <c r="AK58" s="15">
        <f>AJ60</f>
        <v/>
      </c>
      <c r="AL58" s="15">
        <f>AK60</f>
        <v/>
      </c>
    </row>
    <row r="59">
      <c r="A59" s="9" t="inlineStr">
        <is>
          <t>Flux de trésorerie du mois</t>
        </is>
      </c>
      <c r="B59" s="4" t="inlineStr">
        <is>
          <t>€</t>
        </is>
      </c>
      <c r="C59" s="15">
        <f>C31-C36-C39-C51-C55+C56+C57</f>
        <v/>
      </c>
      <c r="D59" s="15">
        <f>D31-D36-D39-D51-D55+D56+D57</f>
        <v/>
      </c>
      <c r="E59" s="15">
        <f>E31-E36-E39-E51-E55+E56+E57</f>
        <v/>
      </c>
      <c r="F59" s="15">
        <f>F31-F36-F39-F51-F55+F56+F57</f>
        <v/>
      </c>
      <c r="G59" s="15">
        <f>G31-G36-G39-G51-G55+G56+G57</f>
        <v/>
      </c>
      <c r="H59" s="15">
        <f>H31-H36-H39-H51-H55+H56+H57</f>
        <v/>
      </c>
      <c r="I59" s="15">
        <f>I31-I36-I39-I51-I55+I56+I57</f>
        <v/>
      </c>
      <c r="J59" s="15">
        <f>J31-J36-J39-J51-J55+J56+J57</f>
        <v/>
      </c>
      <c r="K59" s="15">
        <f>K31-K36-K39-K51-K55+K56+K57</f>
        <v/>
      </c>
      <c r="L59" s="15">
        <f>L31-L36-L39-L51-L55+L56+L57</f>
        <v/>
      </c>
      <c r="M59" s="15">
        <f>M31-M36-M39-M51-M55+M56+M57</f>
        <v/>
      </c>
      <c r="N59" s="15">
        <f>N31-N36-N39-N51-N55+N56+N57</f>
        <v/>
      </c>
      <c r="O59" s="15">
        <f>O31-O36-O39-O51-O55+O56+O57</f>
        <v/>
      </c>
      <c r="P59" s="15">
        <f>P31-P36-P39-P51-P55+P56+P57</f>
        <v/>
      </c>
      <c r="Q59" s="15">
        <f>Q31-Q36-Q39-Q51-Q55+Q56+Q57</f>
        <v/>
      </c>
      <c r="R59" s="15">
        <f>R31-R36-R39-R51-R55+R56+R57</f>
        <v/>
      </c>
      <c r="S59" s="15">
        <f>S31-S36-S39-S51-S55+S56+S57</f>
        <v/>
      </c>
      <c r="T59" s="15">
        <f>T31-T36-T39-T51-T55+T56+T57</f>
        <v/>
      </c>
      <c r="U59" s="15">
        <f>U31-U36-U39-U51-U55+U56+U57</f>
        <v/>
      </c>
      <c r="V59" s="15">
        <f>V31-V36-V39-V51-V55+V56+V57</f>
        <v/>
      </c>
      <c r="W59" s="15">
        <f>W31-W36-W39-W51-W55+W56+W57</f>
        <v/>
      </c>
      <c r="X59" s="15">
        <f>X31-X36-X39-X51-X55+X56+X57</f>
        <v/>
      </c>
      <c r="Y59" s="15">
        <f>Y31-Y36-Y39-Y51-Y55+Y56+Y57</f>
        <v/>
      </c>
      <c r="Z59" s="15">
        <f>Z31-Z36-Z39-Z51-Z55+Z56+Z57</f>
        <v/>
      </c>
      <c r="AA59" s="15">
        <f>AA31-AA36-AA39-AA51-AA55+AA56+AA57</f>
        <v/>
      </c>
      <c r="AB59" s="15">
        <f>AB31-AB36-AB39-AB51-AB55+AB56+AB57</f>
        <v/>
      </c>
      <c r="AC59" s="15">
        <f>AC31-AC36-AC39-AC51-AC55+AC56+AC57</f>
        <v/>
      </c>
      <c r="AD59" s="15">
        <f>AD31-AD36-AD39-AD51-AD55+AD56+AD57</f>
        <v/>
      </c>
      <c r="AE59" s="15">
        <f>AE31-AE36-AE39-AE51-AE55+AE56+AE57</f>
        <v/>
      </c>
      <c r="AF59" s="15">
        <f>AF31-AF36-AF39-AF51-AF55+AF56+AF57</f>
        <v/>
      </c>
      <c r="AG59" s="15">
        <f>AG31-AG36-AG39-AG51-AG55+AG56+AG57</f>
        <v/>
      </c>
      <c r="AH59" s="15">
        <f>AH31-AH36-AH39-AH51-AH55+AH56+AH57</f>
        <v/>
      </c>
      <c r="AI59" s="15">
        <f>AI31-AI36-AI39-AI51-AI55+AI56+AI57</f>
        <v/>
      </c>
      <c r="AJ59" s="15">
        <f>AJ31-AJ36-AJ39-AJ51-AJ55+AJ56+AJ57</f>
        <v/>
      </c>
      <c r="AK59" s="15">
        <f>AK31-AK36-AK39-AK51-AK55+AK56+AK57</f>
        <v/>
      </c>
      <c r="AL59" s="15">
        <f>AL31-AL36-AL39-AL51-AL55+AL56+AL57</f>
        <v/>
      </c>
      <c r="AN59" s="15">
        <f>SUM(C59:N59)</f>
        <v/>
      </c>
      <c r="AO59" s="15">
        <f>SUM(O59:Z59)</f>
        <v/>
      </c>
      <c r="AP59" s="15">
        <f>SUM(AA59:AL59)</f>
        <v/>
      </c>
    </row>
    <row r="60">
      <c r="A60" s="2" t="inlineStr">
        <is>
          <t>Trésorerie de clôture</t>
        </is>
      </c>
      <c r="B60" s="4" t="inlineStr">
        <is>
          <t>€</t>
        </is>
      </c>
      <c r="C60" s="40">
        <f>C58+C59</f>
        <v/>
      </c>
      <c r="D60" s="40">
        <f>D58+D59</f>
        <v/>
      </c>
      <c r="E60" s="40">
        <f>E58+E59</f>
        <v/>
      </c>
      <c r="F60" s="40">
        <f>F58+F59</f>
        <v/>
      </c>
      <c r="G60" s="40">
        <f>G58+G59</f>
        <v/>
      </c>
      <c r="H60" s="40">
        <f>H58+H59</f>
        <v/>
      </c>
      <c r="I60" s="40">
        <f>I58+I59</f>
        <v/>
      </c>
      <c r="J60" s="40">
        <f>J58+J59</f>
        <v/>
      </c>
      <c r="K60" s="40">
        <f>K58+K59</f>
        <v/>
      </c>
      <c r="L60" s="40">
        <f>L58+L59</f>
        <v/>
      </c>
      <c r="M60" s="40">
        <f>M58+M59</f>
        <v/>
      </c>
      <c r="N60" s="40">
        <f>N58+N59</f>
        <v/>
      </c>
      <c r="O60" s="40">
        <f>O58+O59</f>
        <v/>
      </c>
      <c r="P60" s="40">
        <f>P58+P59</f>
        <v/>
      </c>
      <c r="Q60" s="40">
        <f>Q58+Q59</f>
        <v/>
      </c>
      <c r="R60" s="40">
        <f>R58+R59</f>
        <v/>
      </c>
      <c r="S60" s="40">
        <f>S58+S59</f>
        <v/>
      </c>
      <c r="T60" s="40">
        <f>T58+T59</f>
        <v/>
      </c>
      <c r="U60" s="40">
        <f>U58+U59</f>
        <v/>
      </c>
      <c r="V60" s="40">
        <f>V58+V59</f>
        <v/>
      </c>
      <c r="W60" s="40">
        <f>W58+W59</f>
        <v/>
      </c>
      <c r="X60" s="40">
        <f>X58+X59</f>
        <v/>
      </c>
      <c r="Y60" s="40">
        <f>Y58+Y59</f>
        <v/>
      </c>
      <c r="Z60" s="40">
        <f>Z58+Z59</f>
        <v/>
      </c>
      <c r="AA60" s="40">
        <f>AA58+AA59</f>
        <v/>
      </c>
      <c r="AB60" s="40">
        <f>AB58+AB59</f>
        <v/>
      </c>
      <c r="AC60" s="40">
        <f>AC58+AC59</f>
        <v/>
      </c>
      <c r="AD60" s="40">
        <f>AD58+AD59</f>
        <v/>
      </c>
      <c r="AE60" s="40">
        <f>AE58+AE59</f>
        <v/>
      </c>
      <c r="AF60" s="40">
        <f>AF58+AF59</f>
        <v/>
      </c>
      <c r="AG60" s="40">
        <f>AG58+AG59</f>
        <v/>
      </c>
      <c r="AH60" s="40">
        <f>AH58+AH59</f>
        <v/>
      </c>
      <c r="AI60" s="40">
        <f>AI58+AI59</f>
        <v/>
      </c>
      <c r="AJ60" s="40">
        <f>AJ58+AJ59</f>
        <v/>
      </c>
      <c r="AK60" s="40">
        <f>AK58+AK59</f>
        <v/>
      </c>
      <c r="AL60" s="40">
        <f>AL58+AL59</f>
        <v/>
      </c>
      <c r="AN60" s="40">
        <f>N60</f>
        <v/>
      </c>
      <c r="AO60" s="40">
        <f>Z60</f>
        <v/>
      </c>
      <c r="AP60" s="40">
        <f>AL60</f>
        <v/>
      </c>
    </row>
    <row r="61">
      <c r="A61" s="9" t="inlineStr">
        <is>
          <t>Financement cumulé</t>
        </is>
      </c>
      <c r="B61" s="4" t="inlineStr">
        <is>
          <t>€</t>
        </is>
      </c>
      <c r="C61" s="15">
        <f>0+C57</f>
        <v/>
      </c>
      <c r="D61" s="15">
        <f>C61+D57</f>
        <v/>
      </c>
      <c r="E61" s="15">
        <f>D61+E57</f>
        <v/>
      </c>
      <c r="F61" s="15">
        <f>E61+F57</f>
        <v/>
      </c>
      <c r="G61" s="15">
        <f>F61+G57</f>
        <v/>
      </c>
      <c r="H61" s="15">
        <f>G61+H57</f>
        <v/>
      </c>
      <c r="I61" s="15">
        <f>H61+I57</f>
        <v/>
      </c>
      <c r="J61" s="15">
        <f>I61+J57</f>
        <v/>
      </c>
      <c r="K61" s="15">
        <f>J61+K57</f>
        <v/>
      </c>
      <c r="L61" s="15">
        <f>K61+L57</f>
        <v/>
      </c>
      <c r="M61" s="15">
        <f>L61+M57</f>
        <v/>
      </c>
      <c r="N61" s="15">
        <f>M61+N57</f>
        <v/>
      </c>
      <c r="O61" s="15">
        <f>N61+O57</f>
        <v/>
      </c>
      <c r="P61" s="15">
        <f>O61+P57</f>
        <v/>
      </c>
      <c r="Q61" s="15">
        <f>P61+Q57</f>
        <v/>
      </c>
      <c r="R61" s="15">
        <f>Q61+R57</f>
        <v/>
      </c>
      <c r="S61" s="15">
        <f>R61+S57</f>
        <v/>
      </c>
      <c r="T61" s="15">
        <f>S61+T57</f>
        <v/>
      </c>
      <c r="U61" s="15">
        <f>T61+U57</f>
        <v/>
      </c>
      <c r="V61" s="15">
        <f>U61+V57</f>
        <v/>
      </c>
      <c r="W61" s="15">
        <f>V61+W57</f>
        <v/>
      </c>
      <c r="X61" s="15">
        <f>W61+X57</f>
        <v/>
      </c>
      <c r="Y61" s="15">
        <f>X61+Y57</f>
        <v/>
      </c>
      <c r="Z61" s="15">
        <f>Y61+Z57</f>
        <v/>
      </c>
      <c r="AA61" s="15">
        <f>Z61+AA57</f>
        <v/>
      </c>
      <c r="AB61" s="15">
        <f>AA61+AB57</f>
        <v/>
      </c>
      <c r="AC61" s="15">
        <f>AB61+AC57</f>
        <v/>
      </c>
      <c r="AD61" s="15">
        <f>AC61+AD57</f>
        <v/>
      </c>
      <c r="AE61" s="15">
        <f>AD61+AE57</f>
        <v/>
      </c>
      <c r="AF61" s="15">
        <f>AE61+AF57</f>
        <v/>
      </c>
      <c r="AG61" s="15">
        <f>AF61+AG57</f>
        <v/>
      </c>
      <c r="AH61" s="15">
        <f>AG61+AH57</f>
        <v/>
      </c>
      <c r="AI61" s="15">
        <f>AH61+AI57</f>
        <v/>
      </c>
      <c r="AJ61" s="15">
        <f>AI61+AJ57</f>
        <v/>
      </c>
      <c r="AK61" s="15">
        <f>AJ61+AK57</f>
        <v/>
      </c>
      <c r="AL61" s="15">
        <f>AK61+AL57</f>
        <v/>
      </c>
      <c r="AN61" s="15">
        <f>N61</f>
        <v/>
      </c>
      <c r="AO61" s="15">
        <f>Z61</f>
        <v/>
      </c>
      <c r="AP61" s="15">
        <f>AL61</f>
        <v/>
      </c>
    </row>
    <row r="62">
      <c r="A62" s="2" t="inlineStr">
        <is>
          <t>Trésorerie cumulée hors financement</t>
        </is>
      </c>
      <c r="B62" s="4" t="inlineStr">
        <is>
          <t>€</t>
        </is>
      </c>
      <c r="C62" s="40">
        <f>C60-C61</f>
        <v/>
      </c>
      <c r="D62" s="40">
        <f>D60-D61</f>
        <v/>
      </c>
      <c r="E62" s="40">
        <f>E60-E61</f>
        <v/>
      </c>
      <c r="F62" s="40">
        <f>F60-F61</f>
        <v/>
      </c>
      <c r="G62" s="40">
        <f>G60-G61</f>
        <v/>
      </c>
      <c r="H62" s="40">
        <f>H60-H61</f>
        <v/>
      </c>
      <c r="I62" s="40">
        <f>I60-I61</f>
        <v/>
      </c>
      <c r="J62" s="40">
        <f>J60-J61</f>
        <v/>
      </c>
      <c r="K62" s="40">
        <f>K60-K61</f>
        <v/>
      </c>
      <c r="L62" s="40">
        <f>L60-L61</f>
        <v/>
      </c>
      <c r="M62" s="40">
        <f>M60-M61</f>
        <v/>
      </c>
      <c r="N62" s="40">
        <f>N60-N61</f>
        <v/>
      </c>
      <c r="O62" s="40">
        <f>O60-O61</f>
        <v/>
      </c>
      <c r="P62" s="40">
        <f>P60-P61</f>
        <v/>
      </c>
      <c r="Q62" s="40">
        <f>Q60-Q61</f>
        <v/>
      </c>
      <c r="R62" s="40">
        <f>R60-R61</f>
        <v/>
      </c>
      <c r="S62" s="40">
        <f>S60-S61</f>
        <v/>
      </c>
      <c r="T62" s="40">
        <f>T60-T61</f>
        <v/>
      </c>
      <c r="U62" s="40">
        <f>U60-U61</f>
        <v/>
      </c>
      <c r="V62" s="40">
        <f>V60-V61</f>
        <v/>
      </c>
      <c r="W62" s="40">
        <f>W60-W61</f>
        <v/>
      </c>
      <c r="X62" s="40">
        <f>X60-X61</f>
        <v/>
      </c>
      <c r="Y62" s="40">
        <f>Y60-Y61</f>
        <v/>
      </c>
      <c r="Z62" s="40">
        <f>Z60-Z61</f>
        <v/>
      </c>
      <c r="AA62" s="40">
        <f>AA60-AA61</f>
        <v/>
      </c>
      <c r="AB62" s="40">
        <f>AB60-AB61</f>
        <v/>
      </c>
      <c r="AC62" s="40">
        <f>AC60-AC61</f>
        <v/>
      </c>
      <c r="AD62" s="40">
        <f>AD60-AD61</f>
        <v/>
      </c>
      <c r="AE62" s="40">
        <f>AE60-AE61</f>
        <v/>
      </c>
      <c r="AF62" s="40">
        <f>AF60-AF61</f>
        <v/>
      </c>
      <c r="AG62" s="40">
        <f>AG60-AG61</f>
        <v/>
      </c>
      <c r="AH62" s="40">
        <f>AH60-AH61</f>
        <v/>
      </c>
      <c r="AI62" s="40">
        <f>AI60-AI61</f>
        <v/>
      </c>
      <c r="AJ62" s="40">
        <f>AJ60-AJ61</f>
        <v/>
      </c>
      <c r="AK62" s="40">
        <f>AK60-AK61</f>
        <v/>
      </c>
      <c r="AL62" s="40">
        <f>AL60-AL61</f>
        <v/>
      </c>
      <c r="AN62" s="40">
        <f>N62</f>
        <v/>
      </c>
      <c r="AO62" s="40">
        <f>Z62</f>
        <v/>
      </c>
      <c r="AP62" s="40">
        <f>AL62</f>
        <v/>
      </c>
    </row>
    <row r="63">
      <c r="A63" s="9" t="inlineStr">
        <is>
          <t>Point bas glissant hors financement</t>
        </is>
      </c>
      <c r="B63" s="4" t="inlineStr">
        <is>
          <t>€</t>
        </is>
      </c>
      <c r="C63" s="15">
        <f>C62</f>
        <v/>
      </c>
      <c r="D63" s="15">
        <f>MIN(C63,D62)</f>
        <v/>
      </c>
      <c r="E63" s="15">
        <f>MIN(D63,E62)</f>
        <v/>
      </c>
      <c r="F63" s="15">
        <f>MIN(E63,F62)</f>
        <v/>
      </c>
      <c r="G63" s="15">
        <f>MIN(F63,G62)</f>
        <v/>
      </c>
      <c r="H63" s="15">
        <f>MIN(G63,H62)</f>
        <v/>
      </c>
      <c r="I63" s="15">
        <f>MIN(H63,I62)</f>
        <v/>
      </c>
      <c r="J63" s="15">
        <f>MIN(I63,J62)</f>
        <v/>
      </c>
      <c r="K63" s="15">
        <f>MIN(J63,K62)</f>
        <v/>
      </c>
      <c r="L63" s="15">
        <f>MIN(K63,L62)</f>
        <v/>
      </c>
      <c r="M63" s="15">
        <f>MIN(L63,M62)</f>
        <v/>
      </c>
      <c r="N63" s="15">
        <f>MIN(M63,N62)</f>
        <v/>
      </c>
      <c r="O63" s="15">
        <f>MIN(N63,O62)</f>
        <v/>
      </c>
      <c r="P63" s="15">
        <f>MIN(O63,P62)</f>
        <v/>
      </c>
      <c r="Q63" s="15">
        <f>MIN(P63,Q62)</f>
        <v/>
      </c>
      <c r="R63" s="15">
        <f>MIN(Q63,R62)</f>
        <v/>
      </c>
      <c r="S63" s="15">
        <f>MIN(R63,S62)</f>
        <v/>
      </c>
      <c r="T63" s="15">
        <f>MIN(S63,T62)</f>
        <v/>
      </c>
      <c r="U63" s="15">
        <f>MIN(T63,U62)</f>
        <v/>
      </c>
      <c r="V63" s="15">
        <f>MIN(U63,V62)</f>
        <v/>
      </c>
      <c r="W63" s="15">
        <f>MIN(V63,W62)</f>
        <v/>
      </c>
      <c r="X63" s="15">
        <f>MIN(W63,X62)</f>
        <v/>
      </c>
      <c r="Y63" s="15">
        <f>MIN(X63,Y62)</f>
        <v/>
      </c>
      <c r="Z63" s="15">
        <f>MIN(Y63,Z62)</f>
        <v/>
      </c>
      <c r="AA63" s="15">
        <f>MIN(Z63,AA62)</f>
        <v/>
      </c>
      <c r="AB63" s="15">
        <f>MIN(AA63,AB62)</f>
        <v/>
      </c>
      <c r="AC63" s="15">
        <f>MIN(AB63,AC62)</f>
        <v/>
      </c>
      <c r="AD63" s="15">
        <f>MIN(AC63,AD62)</f>
        <v/>
      </c>
      <c r="AE63" s="15">
        <f>MIN(AD63,AE62)</f>
        <v/>
      </c>
      <c r="AF63" s="15">
        <f>MIN(AE63,AF62)</f>
        <v/>
      </c>
      <c r="AG63" s="15">
        <f>MIN(AF63,AG62)</f>
        <v/>
      </c>
      <c r="AH63" s="15">
        <f>MIN(AG63,AH62)</f>
        <v/>
      </c>
      <c r="AI63" s="15">
        <f>MIN(AH63,AI62)</f>
        <v/>
      </c>
      <c r="AJ63" s="15">
        <f>MIN(AI63,AJ62)</f>
        <v/>
      </c>
      <c r="AK63" s="15">
        <f>MIN(AJ63,AK62)</f>
        <v/>
      </c>
      <c r="AL63" s="15">
        <f>MIN(AK63,AL62)</f>
        <v/>
      </c>
      <c r="AN63" s="15">
        <f>N63</f>
        <v/>
      </c>
      <c r="AO63" s="15">
        <f>Z63</f>
        <v/>
      </c>
      <c r="AP63" s="15">
        <f>AL63</f>
        <v/>
      </c>
    </row>
    <row r="64">
      <c r="A64" s="9" t="inlineStr">
        <is>
          <t>Trésorerie cumulée hors financement positive après lancement ? (1 = oui)</t>
        </is>
      </c>
      <c r="B64" s="4" t="inlineStr">
        <is>
          <t>0/1</t>
        </is>
      </c>
      <c r="C64" s="13">
        <f>IF(AND(C9=1,C62&gt;0),1,0)</f>
        <v/>
      </c>
      <c r="D64" s="13">
        <f>IF(AND(D9=1,D62&gt;0),1,0)</f>
        <v/>
      </c>
      <c r="E64" s="13">
        <f>IF(AND(E9=1,E62&gt;0),1,0)</f>
        <v/>
      </c>
      <c r="F64" s="13">
        <f>IF(AND(F9=1,F62&gt;0),1,0)</f>
        <v/>
      </c>
      <c r="G64" s="13">
        <f>IF(AND(G9=1,G62&gt;0),1,0)</f>
        <v/>
      </c>
      <c r="H64" s="13">
        <f>IF(AND(H9=1,H62&gt;0),1,0)</f>
        <v/>
      </c>
      <c r="I64" s="13">
        <f>IF(AND(I9=1,I62&gt;0),1,0)</f>
        <v/>
      </c>
      <c r="J64" s="13">
        <f>IF(AND(J9=1,J62&gt;0),1,0)</f>
        <v/>
      </c>
      <c r="K64" s="13">
        <f>IF(AND(K9=1,K62&gt;0),1,0)</f>
        <v/>
      </c>
      <c r="L64" s="13">
        <f>IF(AND(L9=1,L62&gt;0),1,0)</f>
        <v/>
      </c>
      <c r="M64" s="13">
        <f>IF(AND(M9=1,M62&gt;0),1,0)</f>
        <v/>
      </c>
      <c r="N64" s="13">
        <f>IF(AND(N9=1,N62&gt;0),1,0)</f>
        <v/>
      </c>
      <c r="O64" s="13">
        <f>IF(AND(O9=1,O62&gt;0),1,0)</f>
        <v/>
      </c>
      <c r="P64" s="13">
        <f>IF(AND(P9=1,P62&gt;0),1,0)</f>
        <v/>
      </c>
      <c r="Q64" s="13">
        <f>IF(AND(Q9=1,Q62&gt;0),1,0)</f>
        <v/>
      </c>
      <c r="R64" s="13">
        <f>IF(AND(R9=1,R62&gt;0),1,0)</f>
        <v/>
      </c>
      <c r="S64" s="13">
        <f>IF(AND(S9=1,S62&gt;0),1,0)</f>
        <v/>
      </c>
      <c r="T64" s="13">
        <f>IF(AND(T9=1,T62&gt;0),1,0)</f>
        <v/>
      </c>
      <c r="U64" s="13">
        <f>IF(AND(U9=1,U62&gt;0),1,0)</f>
        <v/>
      </c>
      <c r="V64" s="13">
        <f>IF(AND(V9=1,V62&gt;0),1,0)</f>
        <v/>
      </c>
      <c r="W64" s="13">
        <f>IF(AND(W9=1,W62&gt;0),1,0)</f>
        <v/>
      </c>
      <c r="X64" s="13">
        <f>IF(AND(X9=1,X62&gt;0),1,0)</f>
        <v/>
      </c>
      <c r="Y64" s="13">
        <f>IF(AND(Y9=1,Y62&gt;0),1,0)</f>
        <v/>
      </c>
      <c r="Z64" s="13">
        <f>IF(AND(Z9=1,Z62&gt;0),1,0)</f>
        <v/>
      </c>
      <c r="AA64" s="13">
        <f>IF(AND(AA9=1,AA62&gt;0),1,0)</f>
        <v/>
      </c>
      <c r="AB64" s="13">
        <f>IF(AND(AB9=1,AB62&gt;0),1,0)</f>
        <v/>
      </c>
      <c r="AC64" s="13">
        <f>IF(AND(AC9=1,AC62&gt;0),1,0)</f>
        <v/>
      </c>
      <c r="AD64" s="13">
        <f>IF(AND(AD9=1,AD62&gt;0),1,0)</f>
        <v/>
      </c>
      <c r="AE64" s="13">
        <f>IF(AND(AE9=1,AE62&gt;0),1,0)</f>
        <v/>
      </c>
      <c r="AF64" s="13">
        <f>IF(AND(AF9=1,AF62&gt;0),1,0)</f>
        <v/>
      </c>
      <c r="AG64" s="13">
        <f>IF(AND(AG9=1,AG62&gt;0),1,0)</f>
        <v/>
      </c>
      <c r="AH64" s="13">
        <f>IF(AND(AH9=1,AH62&gt;0),1,0)</f>
        <v/>
      </c>
      <c r="AI64" s="13">
        <f>IF(AND(AI9=1,AI62&gt;0),1,0)</f>
        <v/>
      </c>
      <c r="AJ64" s="13">
        <f>IF(AND(AJ9=1,AJ62&gt;0),1,0)</f>
        <v/>
      </c>
      <c r="AK64" s="13">
        <f>IF(AND(AK9=1,AK62&gt;0),1,0)</f>
        <v/>
      </c>
      <c r="AL64" s="13">
        <f>IF(AND(AL9=1,AL62&gt;0),1,0)</f>
        <v/>
      </c>
    </row>
    <row r="65">
      <c r="A65" s="8" t="inlineStr">
        <is>
          <t>Indicateurs</t>
        </is>
      </c>
    </row>
    <row r="66">
      <c r="A66" s="9" t="inlineStr">
        <is>
          <t>ARR HT instantané (CA HT × 12)</t>
        </is>
      </c>
      <c r="B66" s="4" t="inlineStr">
        <is>
          <t>€ HT</t>
        </is>
      </c>
      <c r="C66" s="15">
        <f>C28*12</f>
        <v/>
      </c>
      <c r="D66" s="15">
        <f>D28*12</f>
        <v/>
      </c>
      <c r="E66" s="15">
        <f>E28*12</f>
        <v/>
      </c>
      <c r="F66" s="15">
        <f>F28*12</f>
        <v/>
      </c>
      <c r="G66" s="15">
        <f>G28*12</f>
        <v/>
      </c>
      <c r="H66" s="15">
        <f>H28*12</f>
        <v/>
      </c>
      <c r="I66" s="15">
        <f>I28*12</f>
        <v/>
      </c>
      <c r="J66" s="15">
        <f>J28*12</f>
        <v/>
      </c>
      <c r="K66" s="15">
        <f>K28*12</f>
        <v/>
      </c>
      <c r="L66" s="15">
        <f>L28*12</f>
        <v/>
      </c>
      <c r="M66" s="15">
        <f>M28*12</f>
        <v/>
      </c>
      <c r="N66" s="15">
        <f>N28*12</f>
        <v/>
      </c>
      <c r="O66" s="15">
        <f>O28*12</f>
        <v/>
      </c>
      <c r="P66" s="15">
        <f>P28*12</f>
        <v/>
      </c>
      <c r="Q66" s="15">
        <f>Q28*12</f>
        <v/>
      </c>
      <c r="R66" s="15">
        <f>R28*12</f>
        <v/>
      </c>
      <c r="S66" s="15">
        <f>S28*12</f>
        <v/>
      </c>
      <c r="T66" s="15">
        <f>T28*12</f>
        <v/>
      </c>
      <c r="U66" s="15">
        <f>U28*12</f>
        <v/>
      </c>
      <c r="V66" s="15">
        <f>V28*12</f>
        <v/>
      </c>
      <c r="W66" s="15">
        <f>W28*12</f>
        <v/>
      </c>
      <c r="X66" s="15">
        <f>X28*12</f>
        <v/>
      </c>
      <c r="Y66" s="15">
        <f>Y28*12</f>
        <v/>
      </c>
      <c r="Z66" s="15">
        <f>Z28*12</f>
        <v/>
      </c>
      <c r="AA66" s="15">
        <f>AA28*12</f>
        <v/>
      </c>
      <c r="AB66" s="15">
        <f>AB28*12</f>
        <v/>
      </c>
      <c r="AC66" s="15">
        <f>AC28*12</f>
        <v/>
      </c>
      <c r="AD66" s="15">
        <f>AD28*12</f>
        <v/>
      </c>
      <c r="AE66" s="15">
        <f>AE28*12</f>
        <v/>
      </c>
      <c r="AF66" s="15">
        <f>AF28*12</f>
        <v/>
      </c>
      <c r="AG66" s="15">
        <f>AG28*12</f>
        <v/>
      </c>
      <c r="AH66" s="15">
        <f>AH28*12</f>
        <v/>
      </c>
      <c r="AI66" s="15">
        <f>AI28*12</f>
        <v/>
      </c>
      <c r="AJ66" s="15">
        <f>AJ28*12</f>
        <v/>
      </c>
      <c r="AK66" s="15">
        <f>AK28*12</f>
        <v/>
      </c>
      <c r="AL66" s="15">
        <f>AL28*12</f>
        <v/>
      </c>
      <c r="AN66" s="15">
        <f>N66</f>
        <v/>
      </c>
      <c r="AO66" s="15">
        <f>Z66</f>
        <v/>
      </c>
      <c r="AP66" s="15">
        <f>AL66</f>
        <v/>
      </c>
    </row>
    <row r="67">
      <c r="A67" s="9" t="inlineStr">
        <is>
          <t>ARPA HT (CA HT / abonnés)</t>
        </is>
      </c>
      <c r="B67" s="4" t="inlineStr">
        <is>
          <t>€ HT</t>
        </is>
      </c>
      <c r="C67" s="19">
        <f>IF(C18&gt;0,C28/C18,0)</f>
        <v/>
      </c>
      <c r="D67" s="19">
        <f>IF(D18&gt;0,D28/D18,0)</f>
        <v/>
      </c>
      <c r="E67" s="19">
        <f>IF(E18&gt;0,E28/E18,0)</f>
        <v/>
      </c>
      <c r="F67" s="19">
        <f>IF(F18&gt;0,F28/F18,0)</f>
        <v/>
      </c>
      <c r="G67" s="19">
        <f>IF(G18&gt;0,G28/G18,0)</f>
        <v/>
      </c>
      <c r="H67" s="19">
        <f>IF(H18&gt;0,H28/H18,0)</f>
        <v/>
      </c>
      <c r="I67" s="19">
        <f>IF(I18&gt;0,I28/I18,0)</f>
        <v/>
      </c>
      <c r="J67" s="19">
        <f>IF(J18&gt;0,J28/J18,0)</f>
        <v/>
      </c>
      <c r="K67" s="19">
        <f>IF(K18&gt;0,K28/K18,0)</f>
        <v/>
      </c>
      <c r="L67" s="19">
        <f>IF(L18&gt;0,L28/L18,0)</f>
        <v/>
      </c>
      <c r="M67" s="19">
        <f>IF(M18&gt;0,M28/M18,0)</f>
        <v/>
      </c>
      <c r="N67" s="19">
        <f>IF(N18&gt;0,N28/N18,0)</f>
        <v/>
      </c>
      <c r="O67" s="19">
        <f>IF(O18&gt;0,O28/O18,0)</f>
        <v/>
      </c>
      <c r="P67" s="19">
        <f>IF(P18&gt;0,P28/P18,0)</f>
        <v/>
      </c>
      <c r="Q67" s="19">
        <f>IF(Q18&gt;0,Q28/Q18,0)</f>
        <v/>
      </c>
      <c r="R67" s="19">
        <f>IF(R18&gt;0,R28/R18,0)</f>
        <v/>
      </c>
      <c r="S67" s="19">
        <f>IF(S18&gt;0,S28/S18,0)</f>
        <v/>
      </c>
      <c r="T67" s="19">
        <f>IF(T18&gt;0,T28/T18,0)</f>
        <v/>
      </c>
      <c r="U67" s="19">
        <f>IF(U18&gt;0,U28/U18,0)</f>
        <v/>
      </c>
      <c r="V67" s="19">
        <f>IF(V18&gt;0,V28/V18,0)</f>
        <v/>
      </c>
      <c r="W67" s="19">
        <f>IF(W18&gt;0,W28/W18,0)</f>
        <v/>
      </c>
      <c r="X67" s="19">
        <f>IF(X18&gt;0,X28/X18,0)</f>
        <v/>
      </c>
      <c r="Y67" s="19">
        <f>IF(Y18&gt;0,Y28/Y18,0)</f>
        <v/>
      </c>
      <c r="Z67" s="19">
        <f>IF(Z18&gt;0,Z28/Z18,0)</f>
        <v/>
      </c>
      <c r="AA67" s="19">
        <f>IF(AA18&gt;0,AA28/AA18,0)</f>
        <v/>
      </c>
      <c r="AB67" s="19">
        <f>IF(AB18&gt;0,AB28/AB18,0)</f>
        <v/>
      </c>
      <c r="AC67" s="19">
        <f>IF(AC18&gt;0,AC28/AC18,0)</f>
        <v/>
      </c>
      <c r="AD67" s="19">
        <f>IF(AD18&gt;0,AD28/AD18,0)</f>
        <v/>
      </c>
      <c r="AE67" s="19">
        <f>IF(AE18&gt;0,AE28/AE18,0)</f>
        <v/>
      </c>
      <c r="AF67" s="19">
        <f>IF(AF18&gt;0,AF28/AF18,0)</f>
        <v/>
      </c>
      <c r="AG67" s="19">
        <f>IF(AG18&gt;0,AG28/AG18,0)</f>
        <v/>
      </c>
      <c r="AH67" s="19">
        <f>IF(AH18&gt;0,AH28/AH18,0)</f>
        <v/>
      </c>
      <c r="AI67" s="19">
        <f>IF(AI18&gt;0,AI28/AI18,0)</f>
        <v/>
      </c>
      <c r="AJ67" s="19">
        <f>IF(AJ18&gt;0,AJ28/AJ18,0)</f>
        <v/>
      </c>
      <c r="AK67" s="19">
        <f>IF(AK18&gt;0,AK28/AK18,0)</f>
        <v/>
      </c>
      <c r="AL67" s="19">
        <f>IF(AL18&gt;0,AL28/AL18,0)</f>
        <v/>
      </c>
      <c r="AN67" s="19">
        <f>N67</f>
        <v/>
      </c>
      <c r="AO67" s="19">
        <f>Z67</f>
        <v/>
      </c>
      <c r="AP67" s="19">
        <f>AL67</f>
        <v/>
      </c>
    </row>
    <row r="68">
      <c r="A68" s="9" t="inlineStr">
        <is>
          <t>Coût variable par abonné</t>
        </is>
      </c>
      <c r="B68" s="4" t="inlineStr">
        <is>
          <t>€ HT</t>
        </is>
      </c>
      <c r="C68" s="19">
        <f>IF(C18&gt;0,C36/C18,0)</f>
        <v/>
      </c>
      <c r="D68" s="19">
        <f>IF(D18&gt;0,D36/D18,0)</f>
        <v/>
      </c>
      <c r="E68" s="19">
        <f>IF(E18&gt;0,E36/E18,0)</f>
        <v/>
      </c>
      <c r="F68" s="19">
        <f>IF(F18&gt;0,F36/F18,0)</f>
        <v/>
      </c>
      <c r="G68" s="19">
        <f>IF(G18&gt;0,G36/G18,0)</f>
        <v/>
      </c>
      <c r="H68" s="19">
        <f>IF(H18&gt;0,H36/H18,0)</f>
        <v/>
      </c>
      <c r="I68" s="19">
        <f>IF(I18&gt;0,I36/I18,0)</f>
        <v/>
      </c>
      <c r="J68" s="19">
        <f>IF(J18&gt;0,J36/J18,0)</f>
        <v/>
      </c>
      <c r="K68" s="19">
        <f>IF(K18&gt;0,K36/K18,0)</f>
        <v/>
      </c>
      <c r="L68" s="19">
        <f>IF(L18&gt;0,L36/L18,0)</f>
        <v/>
      </c>
      <c r="M68" s="19">
        <f>IF(M18&gt;0,M36/M18,0)</f>
        <v/>
      </c>
      <c r="N68" s="19">
        <f>IF(N18&gt;0,N36/N18,0)</f>
        <v/>
      </c>
      <c r="O68" s="19">
        <f>IF(O18&gt;0,O36/O18,0)</f>
        <v/>
      </c>
      <c r="P68" s="19">
        <f>IF(P18&gt;0,P36/P18,0)</f>
        <v/>
      </c>
      <c r="Q68" s="19">
        <f>IF(Q18&gt;0,Q36/Q18,0)</f>
        <v/>
      </c>
      <c r="R68" s="19">
        <f>IF(R18&gt;0,R36/R18,0)</f>
        <v/>
      </c>
      <c r="S68" s="19">
        <f>IF(S18&gt;0,S36/S18,0)</f>
        <v/>
      </c>
      <c r="T68" s="19">
        <f>IF(T18&gt;0,T36/T18,0)</f>
        <v/>
      </c>
      <c r="U68" s="19">
        <f>IF(U18&gt;0,U36/U18,0)</f>
        <v/>
      </c>
      <c r="V68" s="19">
        <f>IF(V18&gt;0,V36/V18,0)</f>
        <v/>
      </c>
      <c r="W68" s="19">
        <f>IF(W18&gt;0,W36/W18,0)</f>
        <v/>
      </c>
      <c r="X68" s="19">
        <f>IF(X18&gt;0,X36/X18,0)</f>
        <v/>
      </c>
      <c r="Y68" s="19">
        <f>IF(Y18&gt;0,Y36/Y18,0)</f>
        <v/>
      </c>
      <c r="Z68" s="19">
        <f>IF(Z18&gt;0,Z36/Z18,0)</f>
        <v/>
      </c>
      <c r="AA68" s="19">
        <f>IF(AA18&gt;0,AA36/AA18,0)</f>
        <v/>
      </c>
      <c r="AB68" s="19">
        <f>IF(AB18&gt;0,AB36/AB18,0)</f>
        <v/>
      </c>
      <c r="AC68" s="19">
        <f>IF(AC18&gt;0,AC36/AC18,0)</f>
        <v/>
      </c>
      <c r="AD68" s="19">
        <f>IF(AD18&gt;0,AD36/AD18,0)</f>
        <v/>
      </c>
      <c r="AE68" s="19">
        <f>IF(AE18&gt;0,AE36/AE18,0)</f>
        <v/>
      </c>
      <c r="AF68" s="19">
        <f>IF(AF18&gt;0,AF36/AF18,0)</f>
        <v/>
      </c>
      <c r="AG68" s="19">
        <f>IF(AG18&gt;0,AG36/AG18,0)</f>
        <v/>
      </c>
      <c r="AH68" s="19">
        <f>IF(AH18&gt;0,AH36/AH18,0)</f>
        <v/>
      </c>
      <c r="AI68" s="19">
        <f>IF(AI18&gt;0,AI36/AI18,0)</f>
        <v/>
      </c>
      <c r="AJ68" s="19">
        <f>IF(AJ18&gt;0,AJ36/AJ18,0)</f>
        <v/>
      </c>
      <c r="AK68" s="19">
        <f>IF(AK18&gt;0,AK36/AK18,0)</f>
        <v/>
      </c>
      <c r="AL68" s="19">
        <f>IF(AL18&gt;0,AL36/AL18,0)</f>
        <v/>
      </c>
      <c r="AN68" s="19">
        <f>N68</f>
        <v/>
      </c>
      <c r="AO68" s="19">
        <f>Z68</f>
        <v/>
      </c>
      <c r="AP68" s="19">
        <f>AL68</f>
        <v/>
      </c>
    </row>
    <row r="69">
      <c r="A69" s="9" t="inlineStr">
        <is>
          <t>Contribution par abonné</t>
        </is>
      </c>
      <c r="B69" s="4" t="inlineStr">
        <is>
          <t>€ HT</t>
        </is>
      </c>
      <c r="C69" s="19">
        <f>IF(C18&gt;0,C37/C18,0)</f>
        <v/>
      </c>
      <c r="D69" s="19">
        <f>IF(D18&gt;0,D37/D18,0)</f>
        <v/>
      </c>
      <c r="E69" s="19">
        <f>IF(E18&gt;0,E37/E18,0)</f>
        <v/>
      </c>
      <c r="F69" s="19">
        <f>IF(F18&gt;0,F37/F18,0)</f>
        <v/>
      </c>
      <c r="G69" s="19">
        <f>IF(G18&gt;0,G37/G18,0)</f>
        <v/>
      </c>
      <c r="H69" s="19">
        <f>IF(H18&gt;0,H37/H18,0)</f>
        <v/>
      </c>
      <c r="I69" s="19">
        <f>IF(I18&gt;0,I37/I18,0)</f>
        <v/>
      </c>
      <c r="J69" s="19">
        <f>IF(J18&gt;0,J37/J18,0)</f>
        <v/>
      </c>
      <c r="K69" s="19">
        <f>IF(K18&gt;0,K37/K18,0)</f>
        <v/>
      </c>
      <c r="L69" s="19">
        <f>IF(L18&gt;0,L37/L18,0)</f>
        <v/>
      </c>
      <c r="M69" s="19">
        <f>IF(M18&gt;0,M37/M18,0)</f>
        <v/>
      </c>
      <c r="N69" s="19">
        <f>IF(N18&gt;0,N37/N18,0)</f>
        <v/>
      </c>
      <c r="O69" s="19">
        <f>IF(O18&gt;0,O37/O18,0)</f>
        <v/>
      </c>
      <c r="P69" s="19">
        <f>IF(P18&gt;0,P37/P18,0)</f>
        <v/>
      </c>
      <c r="Q69" s="19">
        <f>IF(Q18&gt;0,Q37/Q18,0)</f>
        <v/>
      </c>
      <c r="R69" s="19">
        <f>IF(R18&gt;0,R37/R18,0)</f>
        <v/>
      </c>
      <c r="S69" s="19">
        <f>IF(S18&gt;0,S37/S18,0)</f>
        <v/>
      </c>
      <c r="T69" s="19">
        <f>IF(T18&gt;0,T37/T18,0)</f>
        <v/>
      </c>
      <c r="U69" s="19">
        <f>IF(U18&gt;0,U37/U18,0)</f>
        <v/>
      </c>
      <c r="V69" s="19">
        <f>IF(V18&gt;0,V37/V18,0)</f>
        <v/>
      </c>
      <c r="W69" s="19">
        <f>IF(W18&gt;0,W37/W18,0)</f>
        <v/>
      </c>
      <c r="X69" s="19">
        <f>IF(X18&gt;0,X37/X18,0)</f>
        <v/>
      </c>
      <c r="Y69" s="19">
        <f>IF(Y18&gt;0,Y37/Y18,0)</f>
        <v/>
      </c>
      <c r="Z69" s="19">
        <f>IF(Z18&gt;0,Z37/Z18,0)</f>
        <v/>
      </c>
      <c r="AA69" s="19">
        <f>IF(AA18&gt;0,AA37/AA18,0)</f>
        <v/>
      </c>
      <c r="AB69" s="19">
        <f>IF(AB18&gt;0,AB37/AB18,0)</f>
        <v/>
      </c>
      <c r="AC69" s="19">
        <f>IF(AC18&gt;0,AC37/AC18,0)</f>
        <v/>
      </c>
      <c r="AD69" s="19">
        <f>IF(AD18&gt;0,AD37/AD18,0)</f>
        <v/>
      </c>
      <c r="AE69" s="19">
        <f>IF(AE18&gt;0,AE37/AE18,0)</f>
        <v/>
      </c>
      <c r="AF69" s="19">
        <f>IF(AF18&gt;0,AF37/AF18,0)</f>
        <v/>
      </c>
      <c r="AG69" s="19">
        <f>IF(AG18&gt;0,AG37/AG18,0)</f>
        <v/>
      </c>
      <c r="AH69" s="19">
        <f>IF(AH18&gt;0,AH37/AH18,0)</f>
        <v/>
      </c>
      <c r="AI69" s="19">
        <f>IF(AI18&gt;0,AI37/AI18,0)</f>
        <v/>
      </c>
      <c r="AJ69" s="19">
        <f>IF(AJ18&gt;0,AJ37/AJ18,0)</f>
        <v/>
      </c>
      <c r="AK69" s="19">
        <f>IF(AK18&gt;0,AK37/AK18,0)</f>
        <v/>
      </c>
      <c r="AL69" s="19">
        <f>IF(AL18&gt;0,AL37/AL18,0)</f>
        <v/>
      </c>
      <c r="AN69" s="19">
        <f>N69</f>
        <v/>
      </c>
      <c r="AO69" s="19">
        <f>Z69</f>
        <v/>
      </c>
      <c r="AP69" s="19">
        <f>AL69</f>
        <v/>
      </c>
    </row>
    <row r="70">
      <c r="A70" s="9" t="inlineStr">
        <is>
          <t>Marge variable (% du CA HT)</t>
        </is>
      </c>
      <c r="B70" s="4" t="inlineStr">
        <is>
          <t>%</t>
        </is>
      </c>
      <c r="C70" s="17">
        <f>IF(C28&gt;0,C37/C28,0)</f>
        <v/>
      </c>
      <c r="D70" s="17">
        <f>IF(D28&gt;0,D37/D28,0)</f>
        <v/>
      </c>
      <c r="E70" s="17">
        <f>IF(E28&gt;0,E37/E28,0)</f>
        <v/>
      </c>
      <c r="F70" s="17">
        <f>IF(F28&gt;0,F37/F28,0)</f>
        <v/>
      </c>
      <c r="G70" s="17">
        <f>IF(G28&gt;0,G37/G28,0)</f>
        <v/>
      </c>
      <c r="H70" s="17">
        <f>IF(H28&gt;0,H37/H28,0)</f>
        <v/>
      </c>
      <c r="I70" s="17">
        <f>IF(I28&gt;0,I37/I28,0)</f>
        <v/>
      </c>
      <c r="J70" s="17">
        <f>IF(J28&gt;0,J37/J28,0)</f>
        <v/>
      </c>
      <c r="K70" s="17">
        <f>IF(K28&gt;0,K37/K28,0)</f>
        <v/>
      </c>
      <c r="L70" s="17">
        <f>IF(L28&gt;0,L37/L28,0)</f>
        <v/>
      </c>
      <c r="M70" s="17">
        <f>IF(M28&gt;0,M37/M28,0)</f>
        <v/>
      </c>
      <c r="N70" s="17">
        <f>IF(N28&gt;0,N37/N28,0)</f>
        <v/>
      </c>
      <c r="O70" s="17">
        <f>IF(O28&gt;0,O37/O28,0)</f>
        <v/>
      </c>
      <c r="P70" s="17">
        <f>IF(P28&gt;0,P37/P28,0)</f>
        <v/>
      </c>
      <c r="Q70" s="17">
        <f>IF(Q28&gt;0,Q37/Q28,0)</f>
        <v/>
      </c>
      <c r="R70" s="17">
        <f>IF(R28&gt;0,R37/R28,0)</f>
        <v/>
      </c>
      <c r="S70" s="17">
        <f>IF(S28&gt;0,S37/S28,0)</f>
        <v/>
      </c>
      <c r="T70" s="17">
        <f>IF(T28&gt;0,T37/T28,0)</f>
        <v/>
      </c>
      <c r="U70" s="17">
        <f>IF(U28&gt;0,U37/U28,0)</f>
        <v/>
      </c>
      <c r="V70" s="17">
        <f>IF(V28&gt;0,V37/V28,0)</f>
        <v/>
      </c>
      <c r="W70" s="17">
        <f>IF(W28&gt;0,W37/W28,0)</f>
        <v/>
      </c>
      <c r="X70" s="17">
        <f>IF(X28&gt;0,X37/X28,0)</f>
        <v/>
      </c>
      <c r="Y70" s="17">
        <f>IF(Y28&gt;0,Y37/Y28,0)</f>
        <v/>
      </c>
      <c r="Z70" s="17">
        <f>IF(Z28&gt;0,Z37/Z28,0)</f>
        <v/>
      </c>
      <c r="AA70" s="17">
        <f>IF(AA28&gt;0,AA37/AA28,0)</f>
        <v/>
      </c>
      <c r="AB70" s="17">
        <f>IF(AB28&gt;0,AB37/AB28,0)</f>
        <v/>
      </c>
      <c r="AC70" s="17">
        <f>IF(AC28&gt;0,AC37/AC28,0)</f>
        <v/>
      </c>
      <c r="AD70" s="17">
        <f>IF(AD28&gt;0,AD37/AD28,0)</f>
        <v/>
      </c>
      <c r="AE70" s="17">
        <f>IF(AE28&gt;0,AE37/AE28,0)</f>
        <v/>
      </c>
      <c r="AF70" s="17">
        <f>IF(AF28&gt;0,AF37/AF28,0)</f>
        <v/>
      </c>
      <c r="AG70" s="17">
        <f>IF(AG28&gt;0,AG37/AG28,0)</f>
        <v/>
      </c>
      <c r="AH70" s="17">
        <f>IF(AH28&gt;0,AH37/AH28,0)</f>
        <v/>
      </c>
      <c r="AI70" s="17">
        <f>IF(AI28&gt;0,AI37/AI28,0)</f>
        <v/>
      </c>
      <c r="AJ70" s="17">
        <f>IF(AJ28&gt;0,AJ37/AJ28,0)</f>
        <v/>
      </c>
      <c r="AK70" s="17">
        <f>IF(AK28&gt;0,AK37/AK28,0)</f>
        <v/>
      </c>
      <c r="AL70" s="17">
        <f>IF(AL28&gt;0,AL37/AL28,0)</f>
        <v/>
      </c>
      <c r="AN70" s="17">
        <f>N70</f>
        <v/>
      </c>
      <c r="AO70" s="17">
        <f>Z70</f>
        <v/>
      </c>
      <c r="AP70" s="17">
        <f>AL70</f>
        <v/>
      </c>
    </row>
    <row r="71">
      <c r="A71" s="9" t="inlineStr">
        <is>
          <t>CAC effectif</t>
        </is>
      </c>
      <c r="B71" s="4" t="inlineStr">
        <is>
          <t>€</t>
        </is>
      </c>
      <c r="C71" s="15">
        <f>IF(C14&gt;0,C39/C14,0)</f>
        <v/>
      </c>
      <c r="D71" s="15">
        <f>IF(D14&gt;0,D39/D14,0)</f>
        <v/>
      </c>
      <c r="E71" s="15">
        <f>IF(E14&gt;0,E39/E14,0)</f>
        <v/>
      </c>
      <c r="F71" s="15">
        <f>IF(F14&gt;0,F39/F14,0)</f>
        <v/>
      </c>
      <c r="G71" s="15">
        <f>IF(G14&gt;0,G39/G14,0)</f>
        <v/>
      </c>
      <c r="H71" s="15">
        <f>IF(H14&gt;0,H39/H14,0)</f>
        <v/>
      </c>
      <c r="I71" s="15">
        <f>IF(I14&gt;0,I39/I14,0)</f>
        <v/>
      </c>
      <c r="J71" s="15">
        <f>IF(J14&gt;0,J39/J14,0)</f>
        <v/>
      </c>
      <c r="K71" s="15">
        <f>IF(K14&gt;0,K39/K14,0)</f>
        <v/>
      </c>
      <c r="L71" s="15">
        <f>IF(L14&gt;0,L39/L14,0)</f>
        <v/>
      </c>
      <c r="M71" s="15">
        <f>IF(M14&gt;0,M39/M14,0)</f>
        <v/>
      </c>
      <c r="N71" s="15">
        <f>IF(N14&gt;0,N39/N14,0)</f>
        <v/>
      </c>
      <c r="O71" s="15">
        <f>IF(O14&gt;0,O39/O14,0)</f>
        <v/>
      </c>
      <c r="P71" s="15">
        <f>IF(P14&gt;0,P39/P14,0)</f>
        <v/>
      </c>
      <c r="Q71" s="15">
        <f>IF(Q14&gt;0,Q39/Q14,0)</f>
        <v/>
      </c>
      <c r="R71" s="15">
        <f>IF(R14&gt;0,R39/R14,0)</f>
        <v/>
      </c>
      <c r="S71" s="15">
        <f>IF(S14&gt;0,S39/S14,0)</f>
        <v/>
      </c>
      <c r="T71" s="15">
        <f>IF(T14&gt;0,T39/T14,0)</f>
        <v/>
      </c>
      <c r="U71" s="15">
        <f>IF(U14&gt;0,U39/U14,0)</f>
        <v/>
      </c>
      <c r="V71" s="15">
        <f>IF(V14&gt;0,V39/V14,0)</f>
        <v/>
      </c>
      <c r="W71" s="15">
        <f>IF(W14&gt;0,W39/W14,0)</f>
        <v/>
      </c>
      <c r="X71" s="15">
        <f>IF(X14&gt;0,X39/X14,0)</f>
        <v/>
      </c>
      <c r="Y71" s="15">
        <f>IF(Y14&gt;0,Y39/Y14,0)</f>
        <v/>
      </c>
      <c r="Z71" s="15">
        <f>IF(Z14&gt;0,Z39/Z14,0)</f>
        <v/>
      </c>
      <c r="AA71" s="15">
        <f>IF(AA14&gt;0,AA39/AA14,0)</f>
        <v/>
      </c>
      <c r="AB71" s="15">
        <f>IF(AB14&gt;0,AB39/AB14,0)</f>
        <v/>
      </c>
      <c r="AC71" s="15">
        <f>IF(AC14&gt;0,AC39/AC14,0)</f>
        <v/>
      </c>
      <c r="AD71" s="15">
        <f>IF(AD14&gt;0,AD39/AD14,0)</f>
        <v/>
      </c>
      <c r="AE71" s="15">
        <f>IF(AE14&gt;0,AE39/AE14,0)</f>
        <v/>
      </c>
      <c r="AF71" s="15">
        <f>IF(AF14&gt;0,AF39/AF14,0)</f>
        <v/>
      </c>
      <c r="AG71" s="15">
        <f>IF(AG14&gt;0,AG39/AG14,0)</f>
        <v/>
      </c>
      <c r="AH71" s="15">
        <f>IF(AH14&gt;0,AH39/AH14,0)</f>
        <v/>
      </c>
      <c r="AI71" s="15">
        <f>IF(AI14&gt;0,AI39/AI14,0)</f>
        <v/>
      </c>
      <c r="AJ71" s="15">
        <f>IF(AJ14&gt;0,AJ39/AJ14,0)</f>
        <v/>
      </c>
      <c r="AK71" s="15">
        <f>IF(AK14&gt;0,AK39/AK14,0)</f>
        <v/>
      </c>
      <c r="AL71" s="15">
        <f>IF(AL14&gt;0,AL39/AL14,0)</f>
        <v/>
      </c>
      <c r="AN71" s="15">
        <f>N71</f>
        <v/>
      </c>
      <c r="AO71" s="15">
        <f>Z71</f>
        <v/>
      </c>
      <c r="AP71" s="15">
        <f>AL71</f>
        <v/>
      </c>
    </row>
    <row r="72">
      <c r="A72" s="9" t="inlineStr">
        <is>
          <t>Payback du CAC (mois)</t>
        </is>
      </c>
      <c r="B72" s="4" t="inlineStr">
        <is>
          <t>mois</t>
        </is>
      </c>
      <c r="C72" s="38">
        <f>IF(C69&gt;0,Hypothèses!$D$23*$E$4/C69,0)</f>
        <v/>
      </c>
      <c r="D72" s="38">
        <f>IF(D69&gt;0,Hypothèses!$D$23*$E$4/D69,0)</f>
        <v/>
      </c>
      <c r="E72" s="38">
        <f>IF(E69&gt;0,Hypothèses!$D$23*$E$4/E69,0)</f>
        <v/>
      </c>
      <c r="F72" s="38">
        <f>IF(F69&gt;0,Hypothèses!$D$23*$E$4/F69,0)</f>
        <v/>
      </c>
      <c r="G72" s="38">
        <f>IF(G69&gt;0,Hypothèses!$D$23*$E$4/G69,0)</f>
        <v/>
      </c>
      <c r="H72" s="38">
        <f>IF(H69&gt;0,Hypothèses!$D$23*$E$4/H69,0)</f>
        <v/>
      </c>
      <c r="I72" s="38">
        <f>IF(I69&gt;0,Hypothèses!$D$23*$E$4/I69,0)</f>
        <v/>
      </c>
      <c r="J72" s="38">
        <f>IF(J69&gt;0,Hypothèses!$D$23*$E$4/J69,0)</f>
        <v/>
      </c>
      <c r="K72" s="38">
        <f>IF(K69&gt;0,Hypothèses!$D$23*$E$4/K69,0)</f>
        <v/>
      </c>
      <c r="L72" s="38">
        <f>IF(L69&gt;0,Hypothèses!$D$23*$E$4/L69,0)</f>
        <v/>
      </c>
      <c r="M72" s="38">
        <f>IF(M69&gt;0,Hypothèses!$D$23*$E$4/M69,0)</f>
        <v/>
      </c>
      <c r="N72" s="38">
        <f>IF(N69&gt;0,Hypothèses!$D$23*$E$4/N69,0)</f>
        <v/>
      </c>
      <c r="O72" s="38">
        <f>IF(O69&gt;0,Hypothèses!$D$23*$E$4/O69,0)</f>
        <v/>
      </c>
      <c r="P72" s="38">
        <f>IF(P69&gt;0,Hypothèses!$D$23*$E$4/P69,0)</f>
        <v/>
      </c>
      <c r="Q72" s="38">
        <f>IF(Q69&gt;0,Hypothèses!$D$23*$E$4/Q69,0)</f>
        <v/>
      </c>
      <c r="R72" s="38">
        <f>IF(R69&gt;0,Hypothèses!$D$23*$E$4/R69,0)</f>
        <v/>
      </c>
      <c r="S72" s="38">
        <f>IF(S69&gt;0,Hypothèses!$D$23*$E$4/S69,0)</f>
        <v/>
      </c>
      <c r="T72" s="38">
        <f>IF(T69&gt;0,Hypothèses!$D$23*$E$4/T69,0)</f>
        <v/>
      </c>
      <c r="U72" s="38">
        <f>IF(U69&gt;0,Hypothèses!$D$23*$E$4/U69,0)</f>
        <v/>
      </c>
      <c r="V72" s="38">
        <f>IF(V69&gt;0,Hypothèses!$D$23*$E$4/V69,0)</f>
        <v/>
      </c>
      <c r="W72" s="38">
        <f>IF(W69&gt;0,Hypothèses!$D$23*$E$4/W69,0)</f>
        <v/>
      </c>
      <c r="X72" s="38">
        <f>IF(X69&gt;0,Hypothèses!$D$23*$E$4/X69,0)</f>
        <v/>
      </c>
      <c r="Y72" s="38">
        <f>IF(Y69&gt;0,Hypothèses!$D$23*$E$4/Y69,0)</f>
        <v/>
      </c>
      <c r="Z72" s="38">
        <f>IF(Z69&gt;0,Hypothèses!$D$23*$E$4/Z69,0)</f>
        <v/>
      </c>
      <c r="AA72" s="38">
        <f>IF(AA69&gt;0,Hypothèses!$D$23*$E$4/AA69,0)</f>
        <v/>
      </c>
      <c r="AB72" s="38">
        <f>IF(AB69&gt;0,Hypothèses!$D$23*$E$4/AB69,0)</f>
        <v/>
      </c>
      <c r="AC72" s="38">
        <f>IF(AC69&gt;0,Hypothèses!$D$23*$E$4/AC69,0)</f>
        <v/>
      </c>
      <c r="AD72" s="38">
        <f>IF(AD69&gt;0,Hypothèses!$D$23*$E$4/AD69,0)</f>
        <v/>
      </c>
      <c r="AE72" s="38">
        <f>IF(AE69&gt;0,Hypothèses!$D$23*$E$4/AE69,0)</f>
        <v/>
      </c>
      <c r="AF72" s="38">
        <f>IF(AF69&gt;0,Hypothèses!$D$23*$E$4/AF69,0)</f>
        <v/>
      </c>
      <c r="AG72" s="38">
        <f>IF(AG69&gt;0,Hypothèses!$D$23*$E$4/AG69,0)</f>
        <v/>
      </c>
      <c r="AH72" s="38">
        <f>IF(AH69&gt;0,Hypothèses!$D$23*$E$4/AH69,0)</f>
        <v/>
      </c>
      <c r="AI72" s="38">
        <f>IF(AI69&gt;0,Hypothèses!$D$23*$E$4/AI69,0)</f>
        <v/>
      </c>
      <c r="AJ72" s="38">
        <f>IF(AJ69&gt;0,Hypothèses!$D$23*$E$4/AJ69,0)</f>
        <v/>
      </c>
      <c r="AK72" s="38">
        <f>IF(AK69&gt;0,Hypothèses!$D$23*$E$4/AK69,0)</f>
        <v/>
      </c>
      <c r="AL72" s="38">
        <f>IF(AL69&gt;0,Hypothèses!$D$23*$E$4/AL69,0)</f>
        <v/>
      </c>
      <c r="AN72" s="38">
        <f>N72</f>
        <v/>
      </c>
      <c r="AO72" s="38">
        <f>Z72</f>
        <v/>
      </c>
      <c r="AP72" s="38">
        <f>AL72</f>
        <v/>
      </c>
    </row>
    <row r="73">
      <c r="A73" s="9" t="inlineStr">
        <is>
          <t>LTV contributive simplifiée (contribution / churn)</t>
        </is>
      </c>
      <c r="B73" s="4" t="inlineStr">
        <is>
          <t>€ HT</t>
        </is>
      </c>
      <c r="C73" s="15">
        <f>IF(Hypothèses!$D$26*$D$4&gt;0,C69/(Hypothèses!$D$26*$D$4),0)</f>
        <v/>
      </c>
      <c r="D73" s="15">
        <f>IF(Hypothèses!$D$26*$D$4&gt;0,D69/(Hypothèses!$D$26*$D$4),0)</f>
        <v/>
      </c>
      <c r="E73" s="15">
        <f>IF(Hypothèses!$D$26*$D$4&gt;0,E69/(Hypothèses!$D$26*$D$4),0)</f>
        <v/>
      </c>
      <c r="F73" s="15">
        <f>IF(Hypothèses!$D$26*$D$4&gt;0,F69/(Hypothèses!$D$26*$D$4),0)</f>
        <v/>
      </c>
      <c r="G73" s="15">
        <f>IF(Hypothèses!$D$26*$D$4&gt;0,G69/(Hypothèses!$D$26*$D$4),0)</f>
        <v/>
      </c>
      <c r="H73" s="15">
        <f>IF(Hypothèses!$D$26*$D$4&gt;0,H69/(Hypothèses!$D$26*$D$4),0)</f>
        <v/>
      </c>
      <c r="I73" s="15">
        <f>IF(Hypothèses!$D$26*$D$4&gt;0,I69/(Hypothèses!$D$26*$D$4),0)</f>
        <v/>
      </c>
      <c r="J73" s="15">
        <f>IF(Hypothèses!$D$26*$D$4&gt;0,J69/(Hypothèses!$D$26*$D$4),0)</f>
        <v/>
      </c>
      <c r="K73" s="15">
        <f>IF(Hypothèses!$D$26*$D$4&gt;0,K69/(Hypothèses!$D$26*$D$4),0)</f>
        <v/>
      </c>
      <c r="L73" s="15">
        <f>IF(Hypothèses!$D$26*$D$4&gt;0,L69/(Hypothèses!$D$26*$D$4),0)</f>
        <v/>
      </c>
      <c r="M73" s="15">
        <f>IF(Hypothèses!$D$26*$D$4&gt;0,M69/(Hypothèses!$D$26*$D$4),0)</f>
        <v/>
      </c>
      <c r="N73" s="15">
        <f>IF(Hypothèses!$D$26*$D$4&gt;0,N69/(Hypothèses!$D$26*$D$4),0)</f>
        <v/>
      </c>
      <c r="O73" s="15">
        <f>IF(Hypothèses!$D$26*$D$4&gt;0,O69/(Hypothèses!$D$26*$D$4),0)</f>
        <v/>
      </c>
      <c r="P73" s="15">
        <f>IF(Hypothèses!$D$26*$D$4&gt;0,P69/(Hypothèses!$D$26*$D$4),0)</f>
        <v/>
      </c>
      <c r="Q73" s="15">
        <f>IF(Hypothèses!$D$26*$D$4&gt;0,Q69/(Hypothèses!$D$26*$D$4),0)</f>
        <v/>
      </c>
      <c r="R73" s="15">
        <f>IF(Hypothèses!$D$26*$D$4&gt;0,R69/(Hypothèses!$D$26*$D$4),0)</f>
        <v/>
      </c>
      <c r="S73" s="15">
        <f>IF(Hypothèses!$D$26*$D$4&gt;0,S69/(Hypothèses!$D$26*$D$4),0)</f>
        <v/>
      </c>
      <c r="T73" s="15">
        <f>IF(Hypothèses!$D$26*$D$4&gt;0,T69/(Hypothèses!$D$26*$D$4),0)</f>
        <v/>
      </c>
      <c r="U73" s="15">
        <f>IF(Hypothèses!$D$26*$D$4&gt;0,U69/(Hypothèses!$D$26*$D$4),0)</f>
        <v/>
      </c>
      <c r="V73" s="15">
        <f>IF(Hypothèses!$D$26*$D$4&gt;0,V69/(Hypothèses!$D$26*$D$4),0)</f>
        <v/>
      </c>
      <c r="W73" s="15">
        <f>IF(Hypothèses!$D$26*$D$4&gt;0,W69/(Hypothèses!$D$26*$D$4),0)</f>
        <v/>
      </c>
      <c r="X73" s="15">
        <f>IF(Hypothèses!$D$26*$D$4&gt;0,X69/(Hypothèses!$D$26*$D$4),0)</f>
        <v/>
      </c>
      <c r="Y73" s="15">
        <f>IF(Hypothèses!$D$26*$D$4&gt;0,Y69/(Hypothèses!$D$26*$D$4),0)</f>
        <v/>
      </c>
      <c r="Z73" s="15">
        <f>IF(Hypothèses!$D$26*$D$4&gt;0,Z69/(Hypothèses!$D$26*$D$4),0)</f>
        <v/>
      </c>
      <c r="AA73" s="15">
        <f>IF(Hypothèses!$D$26*$D$4&gt;0,AA69/(Hypothèses!$D$26*$D$4),0)</f>
        <v/>
      </c>
      <c r="AB73" s="15">
        <f>IF(Hypothèses!$D$26*$D$4&gt;0,AB69/(Hypothèses!$D$26*$D$4),0)</f>
        <v/>
      </c>
      <c r="AC73" s="15">
        <f>IF(Hypothèses!$D$26*$D$4&gt;0,AC69/(Hypothèses!$D$26*$D$4),0)</f>
        <v/>
      </c>
      <c r="AD73" s="15">
        <f>IF(Hypothèses!$D$26*$D$4&gt;0,AD69/(Hypothèses!$D$26*$D$4),0)</f>
        <v/>
      </c>
      <c r="AE73" s="15">
        <f>IF(Hypothèses!$D$26*$D$4&gt;0,AE69/(Hypothèses!$D$26*$D$4),0)</f>
        <v/>
      </c>
      <c r="AF73" s="15">
        <f>IF(Hypothèses!$D$26*$D$4&gt;0,AF69/(Hypothèses!$D$26*$D$4),0)</f>
        <v/>
      </c>
      <c r="AG73" s="15">
        <f>IF(Hypothèses!$D$26*$D$4&gt;0,AG69/(Hypothèses!$D$26*$D$4),0)</f>
        <v/>
      </c>
      <c r="AH73" s="15">
        <f>IF(Hypothèses!$D$26*$D$4&gt;0,AH69/(Hypothèses!$D$26*$D$4),0)</f>
        <v/>
      </c>
      <c r="AI73" s="15">
        <f>IF(Hypothèses!$D$26*$D$4&gt;0,AI69/(Hypothèses!$D$26*$D$4),0)</f>
        <v/>
      </c>
      <c r="AJ73" s="15">
        <f>IF(Hypothèses!$D$26*$D$4&gt;0,AJ69/(Hypothèses!$D$26*$D$4),0)</f>
        <v/>
      </c>
      <c r="AK73" s="15">
        <f>IF(Hypothèses!$D$26*$D$4&gt;0,AK69/(Hypothèses!$D$26*$D$4),0)</f>
        <v/>
      </c>
      <c r="AL73" s="15">
        <f>IF(Hypothèses!$D$26*$D$4&gt;0,AL69/(Hypothèses!$D$26*$D$4),0)</f>
        <v/>
      </c>
      <c r="AN73" s="15">
        <f>N73</f>
        <v/>
      </c>
      <c r="AO73" s="15">
        <f>Z73</f>
        <v/>
      </c>
      <c r="AP73" s="15">
        <f>AL73</f>
        <v/>
      </c>
    </row>
    <row r="74">
      <c r="A74" s="9" t="inlineStr">
        <is>
          <t>LTV / CAC</t>
        </is>
      </c>
      <c r="B74" s="4" t="inlineStr">
        <is>
          <t>x</t>
        </is>
      </c>
      <c r="C74" s="41">
        <f>IF(Hypothèses!$D$23*$E$4&gt;0,C73/(Hypothèses!$D$23*$E$4),0)</f>
        <v/>
      </c>
      <c r="D74" s="41">
        <f>IF(Hypothèses!$D$23*$E$4&gt;0,D73/(Hypothèses!$D$23*$E$4),0)</f>
        <v/>
      </c>
      <c r="E74" s="41">
        <f>IF(Hypothèses!$D$23*$E$4&gt;0,E73/(Hypothèses!$D$23*$E$4),0)</f>
        <v/>
      </c>
      <c r="F74" s="41">
        <f>IF(Hypothèses!$D$23*$E$4&gt;0,F73/(Hypothèses!$D$23*$E$4),0)</f>
        <v/>
      </c>
      <c r="G74" s="41">
        <f>IF(Hypothèses!$D$23*$E$4&gt;0,G73/(Hypothèses!$D$23*$E$4),0)</f>
        <v/>
      </c>
      <c r="H74" s="41">
        <f>IF(Hypothèses!$D$23*$E$4&gt;0,H73/(Hypothèses!$D$23*$E$4),0)</f>
        <v/>
      </c>
      <c r="I74" s="41">
        <f>IF(Hypothèses!$D$23*$E$4&gt;0,I73/(Hypothèses!$D$23*$E$4),0)</f>
        <v/>
      </c>
      <c r="J74" s="41">
        <f>IF(Hypothèses!$D$23*$E$4&gt;0,J73/(Hypothèses!$D$23*$E$4),0)</f>
        <v/>
      </c>
      <c r="K74" s="41">
        <f>IF(Hypothèses!$D$23*$E$4&gt;0,K73/(Hypothèses!$D$23*$E$4),0)</f>
        <v/>
      </c>
      <c r="L74" s="41">
        <f>IF(Hypothèses!$D$23*$E$4&gt;0,L73/(Hypothèses!$D$23*$E$4),0)</f>
        <v/>
      </c>
      <c r="M74" s="41">
        <f>IF(Hypothèses!$D$23*$E$4&gt;0,M73/(Hypothèses!$D$23*$E$4),0)</f>
        <v/>
      </c>
      <c r="N74" s="41">
        <f>IF(Hypothèses!$D$23*$E$4&gt;0,N73/(Hypothèses!$D$23*$E$4),0)</f>
        <v/>
      </c>
      <c r="O74" s="41">
        <f>IF(Hypothèses!$D$23*$E$4&gt;0,O73/(Hypothèses!$D$23*$E$4),0)</f>
        <v/>
      </c>
      <c r="P74" s="41">
        <f>IF(Hypothèses!$D$23*$E$4&gt;0,P73/(Hypothèses!$D$23*$E$4),0)</f>
        <v/>
      </c>
      <c r="Q74" s="41">
        <f>IF(Hypothèses!$D$23*$E$4&gt;0,Q73/(Hypothèses!$D$23*$E$4),0)</f>
        <v/>
      </c>
      <c r="R74" s="41">
        <f>IF(Hypothèses!$D$23*$E$4&gt;0,R73/(Hypothèses!$D$23*$E$4),0)</f>
        <v/>
      </c>
      <c r="S74" s="41">
        <f>IF(Hypothèses!$D$23*$E$4&gt;0,S73/(Hypothèses!$D$23*$E$4),0)</f>
        <v/>
      </c>
      <c r="T74" s="41">
        <f>IF(Hypothèses!$D$23*$E$4&gt;0,T73/(Hypothèses!$D$23*$E$4),0)</f>
        <v/>
      </c>
      <c r="U74" s="41">
        <f>IF(Hypothèses!$D$23*$E$4&gt;0,U73/(Hypothèses!$D$23*$E$4),0)</f>
        <v/>
      </c>
      <c r="V74" s="41">
        <f>IF(Hypothèses!$D$23*$E$4&gt;0,V73/(Hypothèses!$D$23*$E$4),0)</f>
        <v/>
      </c>
      <c r="W74" s="41">
        <f>IF(Hypothèses!$D$23*$E$4&gt;0,W73/(Hypothèses!$D$23*$E$4),0)</f>
        <v/>
      </c>
      <c r="X74" s="41">
        <f>IF(Hypothèses!$D$23*$E$4&gt;0,X73/(Hypothèses!$D$23*$E$4),0)</f>
        <v/>
      </c>
      <c r="Y74" s="41">
        <f>IF(Hypothèses!$D$23*$E$4&gt;0,Y73/(Hypothèses!$D$23*$E$4),0)</f>
        <v/>
      </c>
      <c r="Z74" s="41">
        <f>IF(Hypothèses!$D$23*$E$4&gt;0,Z73/(Hypothèses!$D$23*$E$4),0)</f>
        <v/>
      </c>
      <c r="AA74" s="41">
        <f>IF(Hypothèses!$D$23*$E$4&gt;0,AA73/(Hypothèses!$D$23*$E$4),0)</f>
        <v/>
      </c>
      <c r="AB74" s="41">
        <f>IF(Hypothèses!$D$23*$E$4&gt;0,AB73/(Hypothèses!$D$23*$E$4),0)</f>
        <v/>
      </c>
      <c r="AC74" s="41">
        <f>IF(Hypothèses!$D$23*$E$4&gt;0,AC73/(Hypothèses!$D$23*$E$4),0)</f>
        <v/>
      </c>
      <c r="AD74" s="41">
        <f>IF(Hypothèses!$D$23*$E$4&gt;0,AD73/(Hypothèses!$D$23*$E$4),0)</f>
        <v/>
      </c>
      <c r="AE74" s="41">
        <f>IF(Hypothèses!$D$23*$E$4&gt;0,AE73/(Hypothèses!$D$23*$E$4),0)</f>
        <v/>
      </c>
      <c r="AF74" s="41">
        <f>IF(Hypothèses!$D$23*$E$4&gt;0,AF73/(Hypothèses!$D$23*$E$4),0)</f>
        <v/>
      </c>
      <c r="AG74" s="41">
        <f>IF(Hypothèses!$D$23*$E$4&gt;0,AG73/(Hypothèses!$D$23*$E$4),0)</f>
        <v/>
      </c>
      <c r="AH74" s="41">
        <f>IF(Hypothèses!$D$23*$E$4&gt;0,AH73/(Hypothèses!$D$23*$E$4),0)</f>
        <v/>
      </c>
      <c r="AI74" s="41">
        <f>IF(Hypothèses!$D$23*$E$4&gt;0,AI73/(Hypothèses!$D$23*$E$4),0)</f>
        <v/>
      </c>
      <c r="AJ74" s="41">
        <f>IF(Hypothèses!$D$23*$E$4&gt;0,AJ73/(Hypothèses!$D$23*$E$4),0)</f>
        <v/>
      </c>
      <c r="AK74" s="41">
        <f>IF(Hypothèses!$D$23*$E$4&gt;0,AK73/(Hypothèses!$D$23*$E$4),0)</f>
        <v/>
      </c>
      <c r="AL74" s="41">
        <f>IF(Hypothèses!$D$23*$E$4&gt;0,AL73/(Hypothèses!$D$23*$E$4),0)</f>
        <v/>
      </c>
      <c r="AN74" s="41">
        <f>N74</f>
        <v/>
      </c>
      <c r="AO74" s="41">
        <f>Z74</f>
        <v/>
      </c>
      <c r="AP74" s="41">
        <f>AL74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4DDD2"/>
    <outlinePr summaryBelow="1" summaryRight="1"/>
    <pageSetUpPr/>
  </sheetPr>
  <dimension ref="A1:AP7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40" max="40"/>
    <col width="13" customWidth="1" min="41" max="41"/>
    <col width="13" customWidth="1" min="42" max="42"/>
  </cols>
  <sheetData>
    <row r="1">
      <c r="A1" s="1" t="inlineStr">
        <is>
          <t>Sensibilité S10 : Coûts fixes +30 % (copie du Central)</t>
        </is>
      </c>
    </row>
    <row r="2">
      <c r="A2" s="4" t="inlineStr">
        <is>
          <t>Flux en € HT sauf mention TTC. Formules vivantes ; ne saisir que dans l'onglet Hypothèses et la ligne de chocs ci-dessous.</t>
        </is>
      </c>
    </row>
    <row r="3">
      <c r="A3" s="2" t="inlineStr">
        <is>
          <t>Chocs de sensibilité (1 = aucun ; retard en mois)</t>
        </is>
      </c>
      <c r="C3" s="33" t="inlineStr">
        <is>
          <t>Prix ×</t>
        </is>
      </c>
      <c r="D3" s="33" t="inlineStr">
        <is>
          <t>Churn ×</t>
        </is>
      </c>
      <c r="E3" s="33" t="inlineStr">
        <is>
          <t>CAC ×</t>
        </is>
      </c>
      <c r="F3" s="33" t="inlineStr">
        <is>
          <t>Coût IA ×</t>
        </is>
      </c>
      <c r="G3" s="33" t="inlineStr">
        <is>
          <t>Coûts fixes ×</t>
        </is>
      </c>
      <c r="H3" s="33" t="inlineStr">
        <is>
          <t>Retard lancement (mois)</t>
        </is>
      </c>
    </row>
    <row r="4">
      <c r="C4" s="34" t="n">
        <v>1</v>
      </c>
      <c r="D4" s="34" t="n">
        <v>1</v>
      </c>
      <c r="E4" s="34" t="n">
        <v>1</v>
      </c>
      <c r="F4" s="34" t="n">
        <v>1</v>
      </c>
      <c r="G4" s="34" t="n">
        <v>1.3</v>
      </c>
      <c r="H4" s="35" t="n">
        <v>0</v>
      </c>
    </row>
    <row r="5">
      <c r="A5" s="2" t="inlineStr">
        <is>
          <t>Mois de lancement effectif</t>
        </is>
      </c>
      <c r="B5" s="22">
        <f>Hypothèses!$D$10+$H$4</f>
        <v/>
      </c>
    </row>
    <row r="6">
      <c r="A6" s="28" t="inlineStr">
        <is>
          <t>Ligne</t>
        </is>
      </c>
      <c r="B6" s="28" t="inlineStr">
        <is>
          <t>Unité</t>
        </is>
      </c>
      <c r="C6" s="36" t="inlineStr">
        <is>
          <t>M1</t>
        </is>
      </c>
      <c r="D6" s="36" t="inlineStr">
        <is>
          <t>M2</t>
        </is>
      </c>
      <c r="E6" s="36" t="inlineStr">
        <is>
          <t>M3</t>
        </is>
      </c>
      <c r="F6" s="36" t="inlineStr">
        <is>
          <t>M4</t>
        </is>
      </c>
      <c r="G6" s="36" t="inlineStr">
        <is>
          <t>M5</t>
        </is>
      </c>
      <c r="H6" s="36" t="inlineStr">
        <is>
          <t>M6</t>
        </is>
      </c>
      <c r="I6" s="36" t="inlineStr">
        <is>
          <t>M7</t>
        </is>
      </c>
      <c r="J6" s="36" t="inlineStr">
        <is>
          <t>M8</t>
        </is>
      </c>
      <c r="K6" s="36" t="inlineStr">
        <is>
          <t>M9</t>
        </is>
      </c>
      <c r="L6" s="36" t="inlineStr">
        <is>
          <t>M10</t>
        </is>
      </c>
      <c r="M6" s="36" t="inlineStr">
        <is>
          <t>M11</t>
        </is>
      </c>
      <c r="N6" s="36" t="inlineStr">
        <is>
          <t>M12</t>
        </is>
      </c>
      <c r="O6" s="36" t="inlineStr">
        <is>
          <t>M13</t>
        </is>
      </c>
      <c r="P6" s="36" t="inlineStr">
        <is>
          <t>M14</t>
        </is>
      </c>
      <c r="Q6" s="36" t="inlineStr">
        <is>
          <t>M15</t>
        </is>
      </c>
      <c r="R6" s="36" t="inlineStr">
        <is>
          <t>M16</t>
        </is>
      </c>
      <c r="S6" s="36" t="inlineStr">
        <is>
          <t>M17</t>
        </is>
      </c>
      <c r="T6" s="36" t="inlineStr">
        <is>
          <t>M18</t>
        </is>
      </c>
      <c r="U6" s="36" t="inlineStr">
        <is>
          <t>M19</t>
        </is>
      </c>
      <c r="V6" s="36" t="inlineStr">
        <is>
          <t>M20</t>
        </is>
      </c>
      <c r="W6" s="36" t="inlineStr">
        <is>
          <t>M21</t>
        </is>
      </c>
      <c r="X6" s="36" t="inlineStr">
        <is>
          <t>M22</t>
        </is>
      </c>
      <c r="Y6" s="36" t="inlineStr">
        <is>
          <t>M23</t>
        </is>
      </c>
      <c r="Z6" s="36" t="inlineStr">
        <is>
          <t>M24</t>
        </is>
      </c>
      <c r="AA6" s="36" t="inlineStr">
        <is>
          <t>M25</t>
        </is>
      </c>
      <c r="AB6" s="36" t="inlineStr">
        <is>
          <t>M26</t>
        </is>
      </c>
      <c r="AC6" s="36" t="inlineStr">
        <is>
          <t>M27</t>
        </is>
      </c>
      <c r="AD6" s="36" t="inlineStr">
        <is>
          <t>M28</t>
        </is>
      </c>
      <c r="AE6" s="36" t="inlineStr">
        <is>
          <t>M29</t>
        </is>
      </c>
      <c r="AF6" s="36" t="inlineStr">
        <is>
          <t>M30</t>
        </is>
      </c>
      <c r="AG6" s="36" t="inlineStr">
        <is>
          <t>M31</t>
        </is>
      </c>
      <c r="AH6" s="36" t="inlineStr">
        <is>
          <t>M32</t>
        </is>
      </c>
      <c r="AI6" s="36" t="inlineStr">
        <is>
          <t>M33</t>
        </is>
      </c>
      <c r="AJ6" s="36" t="inlineStr">
        <is>
          <t>M34</t>
        </is>
      </c>
      <c r="AK6" s="36" t="inlineStr">
        <is>
          <t>M35</t>
        </is>
      </c>
      <c r="AL6" s="36" t="inlineStr">
        <is>
          <t>M36</t>
        </is>
      </c>
      <c r="AN6" s="37" t="inlineStr">
        <is>
          <t>Année 1</t>
        </is>
      </c>
      <c r="AO6" s="37" t="inlineStr">
        <is>
          <t>Année 2</t>
        </is>
      </c>
      <c r="AP6" s="37" t="inlineStr">
        <is>
          <t>Année 3</t>
        </is>
      </c>
    </row>
    <row r="7">
      <c r="A7" s="9" t="inlineStr">
        <is>
          <t>Mois</t>
        </is>
      </c>
      <c r="B7" s="4" t="inlineStr">
        <is>
          <t>n°</t>
        </is>
      </c>
      <c r="C7" s="13" t="n">
        <v>1</v>
      </c>
      <c r="D7" s="13" t="n">
        <v>2</v>
      </c>
      <c r="E7" s="13" t="n">
        <v>3</v>
      </c>
      <c r="F7" s="13" t="n">
        <v>4</v>
      </c>
      <c r="G7" s="13" t="n">
        <v>5</v>
      </c>
      <c r="H7" s="13" t="n">
        <v>6</v>
      </c>
      <c r="I7" s="13" t="n">
        <v>7</v>
      </c>
      <c r="J7" s="13" t="n">
        <v>8</v>
      </c>
      <c r="K7" s="13" t="n">
        <v>9</v>
      </c>
      <c r="L7" s="13" t="n">
        <v>10</v>
      </c>
      <c r="M7" s="13" t="n">
        <v>11</v>
      </c>
      <c r="N7" s="13" t="n">
        <v>12</v>
      </c>
      <c r="O7" s="13" t="n">
        <v>13</v>
      </c>
      <c r="P7" s="13" t="n">
        <v>14</v>
      </c>
      <c r="Q7" s="13" t="n">
        <v>15</v>
      </c>
      <c r="R7" s="13" t="n">
        <v>16</v>
      </c>
      <c r="S7" s="13" t="n">
        <v>17</v>
      </c>
      <c r="T7" s="13" t="n">
        <v>18</v>
      </c>
      <c r="U7" s="13" t="n">
        <v>19</v>
      </c>
      <c r="V7" s="13" t="n">
        <v>20</v>
      </c>
      <c r="W7" s="13" t="n">
        <v>21</v>
      </c>
      <c r="X7" s="13" t="n">
        <v>22</v>
      </c>
      <c r="Y7" s="13" t="n">
        <v>23</v>
      </c>
      <c r="Z7" s="13" t="n">
        <v>24</v>
      </c>
      <c r="AA7" s="13" t="n">
        <v>25</v>
      </c>
      <c r="AB7" s="13" t="n">
        <v>26</v>
      </c>
      <c r="AC7" s="13" t="n">
        <v>27</v>
      </c>
      <c r="AD7" s="13" t="n">
        <v>28</v>
      </c>
      <c r="AE7" s="13" t="n">
        <v>29</v>
      </c>
      <c r="AF7" s="13" t="n">
        <v>30</v>
      </c>
      <c r="AG7" s="13" t="n">
        <v>31</v>
      </c>
      <c r="AH7" s="13" t="n">
        <v>32</v>
      </c>
      <c r="AI7" s="13" t="n">
        <v>33</v>
      </c>
      <c r="AJ7" s="13" t="n">
        <v>34</v>
      </c>
      <c r="AK7" s="13" t="n">
        <v>35</v>
      </c>
      <c r="AL7" s="13" t="n">
        <v>36</v>
      </c>
    </row>
    <row r="8">
      <c r="A8" s="9" t="inlineStr">
        <is>
          <t>Date</t>
        </is>
      </c>
      <c r="B8" s="4" t="inlineStr"/>
      <c r="C8" s="11">
        <f>EDATE(Hypothèses!$D$7,C7-1)</f>
        <v/>
      </c>
      <c r="D8" s="11">
        <f>EDATE(Hypothèses!$D$7,D7-1)</f>
        <v/>
      </c>
      <c r="E8" s="11">
        <f>EDATE(Hypothèses!$D$7,E7-1)</f>
        <v/>
      </c>
      <c r="F8" s="11">
        <f>EDATE(Hypothèses!$D$7,F7-1)</f>
        <v/>
      </c>
      <c r="G8" s="11">
        <f>EDATE(Hypothèses!$D$7,G7-1)</f>
        <v/>
      </c>
      <c r="H8" s="11">
        <f>EDATE(Hypothèses!$D$7,H7-1)</f>
        <v/>
      </c>
      <c r="I8" s="11">
        <f>EDATE(Hypothèses!$D$7,I7-1)</f>
        <v/>
      </c>
      <c r="J8" s="11">
        <f>EDATE(Hypothèses!$D$7,J7-1)</f>
        <v/>
      </c>
      <c r="K8" s="11">
        <f>EDATE(Hypothèses!$D$7,K7-1)</f>
        <v/>
      </c>
      <c r="L8" s="11">
        <f>EDATE(Hypothèses!$D$7,L7-1)</f>
        <v/>
      </c>
      <c r="M8" s="11">
        <f>EDATE(Hypothèses!$D$7,M7-1)</f>
        <v/>
      </c>
      <c r="N8" s="11">
        <f>EDATE(Hypothèses!$D$7,N7-1)</f>
        <v/>
      </c>
      <c r="O8" s="11">
        <f>EDATE(Hypothèses!$D$7,O7-1)</f>
        <v/>
      </c>
      <c r="P8" s="11">
        <f>EDATE(Hypothèses!$D$7,P7-1)</f>
        <v/>
      </c>
      <c r="Q8" s="11">
        <f>EDATE(Hypothèses!$D$7,Q7-1)</f>
        <v/>
      </c>
      <c r="R8" s="11">
        <f>EDATE(Hypothèses!$D$7,R7-1)</f>
        <v/>
      </c>
      <c r="S8" s="11">
        <f>EDATE(Hypothèses!$D$7,S7-1)</f>
        <v/>
      </c>
      <c r="T8" s="11">
        <f>EDATE(Hypothèses!$D$7,T7-1)</f>
        <v/>
      </c>
      <c r="U8" s="11">
        <f>EDATE(Hypothèses!$D$7,U7-1)</f>
        <v/>
      </c>
      <c r="V8" s="11">
        <f>EDATE(Hypothèses!$D$7,V7-1)</f>
        <v/>
      </c>
      <c r="W8" s="11">
        <f>EDATE(Hypothèses!$D$7,W7-1)</f>
        <v/>
      </c>
      <c r="X8" s="11">
        <f>EDATE(Hypothèses!$D$7,X7-1)</f>
        <v/>
      </c>
      <c r="Y8" s="11">
        <f>EDATE(Hypothèses!$D$7,Y7-1)</f>
        <v/>
      </c>
      <c r="Z8" s="11">
        <f>EDATE(Hypothèses!$D$7,Z7-1)</f>
        <v/>
      </c>
      <c r="AA8" s="11">
        <f>EDATE(Hypothèses!$D$7,AA7-1)</f>
        <v/>
      </c>
      <c r="AB8" s="11">
        <f>EDATE(Hypothèses!$D$7,AB7-1)</f>
        <v/>
      </c>
      <c r="AC8" s="11">
        <f>EDATE(Hypothèses!$D$7,AC7-1)</f>
        <v/>
      </c>
      <c r="AD8" s="11">
        <f>EDATE(Hypothèses!$D$7,AD7-1)</f>
        <v/>
      </c>
      <c r="AE8" s="11">
        <f>EDATE(Hypothèses!$D$7,AE7-1)</f>
        <v/>
      </c>
      <c r="AF8" s="11">
        <f>EDATE(Hypothèses!$D$7,AF7-1)</f>
        <v/>
      </c>
      <c r="AG8" s="11">
        <f>EDATE(Hypothèses!$D$7,AG7-1)</f>
        <v/>
      </c>
      <c r="AH8" s="11">
        <f>EDATE(Hypothèses!$D$7,AH7-1)</f>
        <v/>
      </c>
      <c r="AI8" s="11">
        <f>EDATE(Hypothèses!$D$7,AI7-1)</f>
        <v/>
      </c>
      <c r="AJ8" s="11">
        <f>EDATE(Hypothèses!$D$7,AJ7-1)</f>
        <v/>
      </c>
      <c r="AK8" s="11">
        <f>EDATE(Hypothèses!$D$7,AK7-1)</f>
        <v/>
      </c>
      <c r="AL8" s="11">
        <f>EDATE(Hypothèses!$D$7,AL7-1)</f>
        <v/>
      </c>
    </row>
    <row r="9">
      <c r="A9" s="9" t="inlineStr">
        <is>
          <t>Lancé ? (1 = oui)</t>
        </is>
      </c>
      <c r="B9" s="4" t="inlineStr">
        <is>
          <t>0/1</t>
        </is>
      </c>
      <c r="C9" s="13">
        <f>IF(C7&gt;=$B$5,1,0)</f>
        <v/>
      </c>
      <c r="D9" s="13">
        <f>IF(D7&gt;=$B$5,1,0)</f>
        <v/>
      </c>
      <c r="E9" s="13">
        <f>IF(E7&gt;=$B$5,1,0)</f>
        <v/>
      </c>
      <c r="F9" s="13">
        <f>IF(F7&gt;=$B$5,1,0)</f>
        <v/>
      </c>
      <c r="G9" s="13">
        <f>IF(G7&gt;=$B$5,1,0)</f>
        <v/>
      </c>
      <c r="H9" s="13">
        <f>IF(H7&gt;=$B$5,1,0)</f>
        <v/>
      </c>
      <c r="I9" s="13">
        <f>IF(I7&gt;=$B$5,1,0)</f>
        <v/>
      </c>
      <c r="J9" s="13">
        <f>IF(J7&gt;=$B$5,1,0)</f>
        <v/>
      </c>
      <c r="K9" s="13">
        <f>IF(K7&gt;=$B$5,1,0)</f>
        <v/>
      </c>
      <c r="L9" s="13">
        <f>IF(L7&gt;=$B$5,1,0)</f>
        <v/>
      </c>
      <c r="M9" s="13">
        <f>IF(M7&gt;=$B$5,1,0)</f>
        <v/>
      </c>
      <c r="N9" s="13">
        <f>IF(N7&gt;=$B$5,1,0)</f>
        <v/>
      </c>
      <c r="O9" s="13">
        <f>IF(O7&gt;=$B$5,1,0)</f>
        <v/>
      </c>
      <c r="P9" s="13">
        <f>IF(P7&gt;=$B$5,1,0)</f>
        <v/>
      </c>
      <c r="Q9" s="13">
        <f>IF(Q7&gt;=$B$5,1,0)</f>
        <v/>
      </c>
      <c r="R9" s="13">
        <f>IF(R7&gt;=$B$5,1,0)</f>
        <v/>
      </c>
      <c r="S9" s="13">
        <f>IF(S7&gt;=$B$5,1,0)</f>
        <v/>
      </c>
      <c r="T9" s="13">
        <f>IF(T7&gt;=$B$5,1,0)</f>
        <v/>
      </c>
      <c r="U9" s="13">
        <f>IF(U7&gt;=$B$5,1,0)</f>
        <v/>
      </c>
      <c r="V9" s="13">
        <f>IF(V7&gt;=$B$5,1,0)</f>
        <v/>
      </c>
      <c r="W9" s="13">
        <f>IF(W7&gt;=$B$5,1,0)</f>
        <v/>
      </c>
      <c r="X9" s="13">
        <f>IF(X7&gt;=$B$5,1,0)</f>
        <v/>
      </c>
      <c r="Y9" s="13">
        <f>IF(Y7&gt;=$B$5,1,0)</f>
        <v/>
      </c>
      <c r="Z9" s="13">
        <f>IF(Z7&gt;=$B$5,1,0)</f>
        <v/>
      </c>
      <c r="AA9" s="13">
        <f>IF(AA7&gt;=$B$5,1,0)</f>
        <v/>
      </c>
      <c r="AB9" s="13">
        <f>IF(AB7&gt;=$B$5,1,0)</f>
        <v/>
      </c>
      <c r="AC9" s="13">
        <f>IF(AC7&gt;=$B$5,1,0)</f>
        <v/>
      </c>
      <c r="AD9" s="13">
        <f>IF(AD7&gt;=$B$5,1,0)</f>
        <v/>
      </c>
      <c r="AE9" s="13">
        <f>IF(AE7&gt;=$B$5,1,0)</f>
        <v/>
      </c>
      <c r="AF9" s="13">
        <f>IF(AF7&gt;=$B$5,1,0)</f>
        <v/>
      </c>
      <c r="AG9" s="13">
        <f>IF(AG7&gt;=$B$5,1,0)</f>
        <v/>
      </c>
      <c r="AH9" s="13">
        <f>IF(AH7&gt;=$B$5,1,0)</f>
        <v/>
      </c>
      <c r="AI9" s="13">
        <f>IF(AI7&gt;=$B$5,1,0)</f>
        <v/>
      </c>
      <c r="AJ9" s="13">
        <f>IF(AJ7&gt;=$B$5,1,0)</f>
        <v/>
      </c>
      <c r="AK9" s="13">
        <f>IF(AK7&gt;=$B$5,1,0)</f>
        <v/>
      </c>
      <c r="AL9" s="13">
        <f>IF(AL7&gt;=$B$5,1,0)</f>
        <v/>
      </c>
    </row>
    <row r="10">
      <c r="A10" s="9" t="inlineStr">
        <is>
          <t>Pilote en cours ? (1 = oui)</t>
        </is>
      </c>
      <c r="B10" s="4" t="inlineStr">
        <is>
          <t>0/1</t>
        </is>
      </c>
      <c r="C10" s="13">
        <f>IF(AND(C7&gt;=Hypothèses!$D$8,C7&lt;$B$5),1,0)</f>
        <v/>
      </c>
      <c r="D10" s="13">
        <f>IF(AND(D7&gt;=Hypothèses!$D$8,D7&lt;$B$5),1,0)</f>
        <v/>
      </c>
      <c r="E10" s="13">
        <f>IF(AND(E7&gt;=Hypothèses!$D$8,E7&lt;$B$5),1,0)</f>
        <v/>
      </c>
      <c r="F10" s="13">
        <f>IF(AND(F7&gt;=Hypothèses!$D$8,F7&lt;$B$5),1,0)</f>
        <v/>
      </c>
      <c r="G10" s="13">
        <f>IF(AND(G7&gt;=Hypothèses!$D$8,G7&lt;$B$5),1,0)</f>
        <v/>
      </c>
      <c r="H10" s="13">
        <f>IF(AND(H7&gt;=Hypothèses!$D$8,H7&lt;$B$5),1,0)</f>
        <v/>
      </c>
      <c r="I10" s="13">
        <f>IF(AND(I7&gt;=Hypothèses!$D$8,I7&lt;$B$5),1,0)</f>
        <v/>
      </c>
      <c r="J10" s="13">
        <f>IF(AND(J7&gt;=Hypothèses!$D$8,J7&lt;$B$5),1,0)</f>
        <v/>
      </c>
      <c r="K10" s="13">
        <f>IF(AND(K7&gt;=Hypothèses!$D$8,K7&lt;$B$5),1,0)</f>
        <v/>
      </c>
      <c r="L10" s="13">
        <f>IF(AND(L7&gt;=Hypothèses!$D$8,L7&lt;$B$5),1,0)</f>
        <v/>
      </c>
      <c r="M10" s="13">
        <f>IF(AND(M7&gt;=Hypothèses!$D$8,M7&lt;$B$5),1,0)</f>
        <v/>
      </c>
      <c r="N10" s="13">
        <f>IF(AND(N7&gt;=Hypothèses!$D$8,N7&lt;$B$5),1,0)</f>
        <v/>
      </c>
      <c r="O10" s="13">
        <f>IF(AND(O7&gt;=Hypothèses!$D$8,O7&lt;$B$5),1,0)</f>
        <v/>
      </c>
      <c r="P10" s="13">
        <f>IF(AND(P7&gt;=Hypothèses!$D$8,P7&lt;$B$5),1,0)</f>
        <v/>
      </c>
      <c r="Q10" s="13">
        <f>IF(AND(Q7&gt;=Hypothèses!$D$8,Q7&lt;$B$5),1,0)</f>
        <v/>
      </c>
      <c r="R10" s="13">
        <f>IF(AND(R7&gt;=Hypothèses!$D$8,R7&lt;$B$5),1,0)</f>
        <v/>
      </c>
      <c r="S10" s="13">
        <f>IF(AND(S7&gt;=Hypothèses!$D$8,S7&lt;$B$5),1,0)</f>
        <v/>
      </c>
      <c r="T10" s="13">
        <f>IF(AND(T7&gt;=Hypothèses!$D$8,T7&lt;$B$5),1,0)</f>
        <v/>
      </c>
      <c r="U10" s="13">
        <f>IF(AND(U7&gt;=Hypothèses!$D$8,U7&lt;$B$5),1,0)</f>
        <v/>
      </c>
      <c r="V10" s="13">
        <f>IF(AND(V7&gt;=Hypothèses!$D$8,V7&lt;$B$5),1,0)</f>
        <v/>
      </c>
      <c r="W10" s="13">
        <f>IF(AND(W7&gt;=Hypothèses!$D$8,W7&lt;$B$5),1,0)</f>
        <v/>
      </c>
      <c r="X10" s="13">
        <f>IF(AND(X7&gt;=Hypothèses!$D$8,X7&lt;$B$5),1,0)</f>
        <v/>
      </c>
      <c r="Y10" s="13">
        <f>IF(AND(Y7&gt;=Hypothèses!$D$8,Y7&lt;$B$5),1,0)</f>
        <v/>
      </c>
      <c r="Z10" s="13">
        <f>IF(AND(Z7&gt;=Hypothèses!$D$8,Z7&lt;$B$5),1,0)</f>
        <v/>
      </c>
      <c r="AA10" s="13">
        <f>IF(AND(AA7&gt;=Hypothèses!$D$8,AA7&lt;$B$5),1,0)</f>
        <v/>
      </c>
      <c r="AB10" s="13">
        <f>IF(AND(AB7&gt;=Hypothèses!$D$8,AB7&lt;$B$5),1,0)</f>
        <v/>
      </c>
      <c r="AC10" s="13">
        <f>IF(AND(AC7&gt;=Hypothèses!$D$8,AC7&lt;$B$5),1,0)</f>
        <v/>
      </c>
      <c r="AD10" s="13">
        <f>IF(AND(AD7&gt;=Hypothèses!$D$8,AD7&lt;$B$5),1,0)</f>
        <v/>
      </c>
      <c r="AE10" s="13">
        <f>IF(AND(AE7&gt;=Hypothèses!$D$8,AE7&lt;$B$5),1,0)</f>
        <v/>
      </c>
      <c r="AF10" s="13">
        <f>IF(AND(AF7&gt;=Hypothèses!$D$8,AF7&lt;$B$5),1,0)</f>
        <v/>
      </c>
      <c r="AG10" s="13">
        <f>IF(AND(AG7&gt;=Hypothèses!$D$8,AG7&lt;$B$5),1,0)</f>
        <v/>
      </c>
      <c r="AH10" s="13">
        <f>IF(AND(AH7&gt;=Hypothèses!$D$8,AH7&lt;$B$5),1,0)</f>
        <v/>
      </c>
      <c r="AI10" s="13">
        <f>IF(AND(AI7&gt;=Hypothèses!$D$8,AI7&lt;$B$5),1,0)</f>
        <v/>
      </c>
      <c r="AJ10" s="13">
        <f>IF(AND(AJ7&gt;=Hypothèses!$D$8,AJ7&lt;$B$5),1,0)</f>
        <v/>
      </c>
      <c r="AK10" s="13">
        <f>IF(AND(AK7&gt;=Hypothèses!$D$8,AK7&lt;$B$5),1,0)</f>
        <v/>
      </c>
      <c r="AL10" s="13">
        <f>IF(AND(AL7&gt;=Hypothèses!$D$8,AL7&lt;$B$5),1,0)</f>
        <v/>
      </c>
    </row>
    <row r="11">
      <c r="A11" s="9" t="inlineStr">
        <is>
          <t>Budget d'acquisition du mois</t>
        </is>
      </c>
      <c r="B11" s="4" t="inlineStr">
        <is>
          <t>€ HT</t>
        </is>
      </c>
      <c r="C11" s="15">
        <f>IF(C9=1,IF(C7&lt;=12,Hypothèses!$D$20,IF(C7&lt;=24,Hypothèses!$D$21,Hypothèses!$D$22)),0)</f>
        <v/>
      </c>
      <c r="D11" s="15">
        <f>IF(D9=1,IF(D7&lt;=12,Hypothèses!$D$20,IF(D7&lt;=24,Hypothèses!$D$21,Hypothèses!$D$22)),0)</f>
        <v/>
      </c>
      <c r="E11" s="15">
        <f>IF(E9=1,IF(E7&lt;=12,Hypothèses!$D$20,IF(E7&lt;=24,Hypothèses!$D$21,Hypothèses!$D$22)),0)</f>
        <v/>
      </c>
      <c r="F11" s="15">
        <f>IF(F9=1,IF(F7&lt;=12,Hypothèses!$D$20,IF(F7&lt;=24,Hypothèses!$D$21,Hypothèses!$D$22)),0)</f>
        <v/>
      </c>
      <c r="G11" s="15">
        <f>IF(G9=1,IF(G7&lt;=12,Hypothèses!$D$20,IF(G7&lt;=24,Hypothèses!$D$21,Hypothèses!$D$22)),0)</f>
        <v/>
      </c>
      <c r="H11" s="15">
        <f>IF(H9=1,IF(H7&lt;=12,Hypothèses!$D$20,IF(H7&lt;=24,Hypothèses!$D$21,Hypothèses!$D$22)),0)</f>
        <v/>
      </c>
      <c r="I11" s="15">
        <f>IF(I9=1,IF(I7&lt;=12,Hypothèses!$D$20,IF(I7&lt;=24,Hypothèses!$D$21,Hypothèses!$D$22)),0)</f>
        <v/>
      </c>
      <c r="J11" s="15">
        <f>IF(J9=1,IF(J7&lt;=12,Hypothèses!$D$20,IF(J7&lt;=24,Hypothèses!$D$21,Hypothèses!$D$22)),0)</f>
        <v/>
      </c>
      <c r="K11" s="15">
        <f>IF(K9=1,IF(K7&lt;=12,Hypothèses!$D$20,IF(K7&lt;=24,Hypothèses!$D$21,Hypothèses!$D$22)),0)</f>
        <v/>
      </c>
      <c r="L11" s="15">
        <f>IF(L9=1,IF(L7&lt;=12,Hypothèses!$D$20,IF(L7&lt;=24,Hypothèses!$D$21,Hypothèses!$D$22)),0)</f>
        <v/>
      </c>
      <c r="M11" s="15">
        <f>IF(M9=1,IF(M7&lt;=12,Hypothèses!$D$20,IF(M7&lt;=24,Hypothèses!$D$21,Hypothèses!$D$22)),0)</f>
        <v/>
      </c>
      <c r="N11" s="15">
        <f>IF(N9=1,IF(N7&lt;=12,Hypothèses!$D$20,IF(N7&lt;=24,Hypothèses!$D$21,Hypothèses!$D$22)),0)</f>
        <v/>
      </c>
      <c r="O11" s="15">
        <f>IF(O9=1,IF(O7&lt;=12,Hypothèses!$D$20,IF(O7&lt;=24,Hypothèses!$D$21,Hypothèses!$D$22)),0)</f>
        <v/>
      </c>
      <c r="P11" s="15">
        <f>IF(P9=1,IF(P7&lt;=12,Hypothèses!$D$20,IF(P7&lt;=24,Hypothèses!$D$21,Hypothèses!$D$22)),0)</f>
        <v/>
      </c>
      <c r="Q11" s="15">
        <f>IF(Q9=1,IF(Q7&lt;=12,Hypothèses!$D$20,IF(Q7&lt;=24,Hypothèses!$D$21,Hypothèses!$D$22)),0)</f>
        <v/>
      </c>
      <c r="R11" s="15">
        <f>IF(R9=1,IF(R7&lt;=12,Hypothèses!$D$20,IF(R7&lt;=24,Hypothèses!$D$21,Hypothèses!$D$22)),0)</f>
        <v/>
      </c>
      <c r="S11" s="15">
        <f>IF(S9=1,IF(S7&lt;=12,Hypothèses!$D$20,IF(S7&lt;=24,Hypothèses!$D$21,Hypothèses!$D$22)),0)</f>
        <v/>
      </c>
      <c r="T11" s="15">
        <f>IF(T9=1,IF(T7&lt;=12,Hypothèses!$D$20,IF(T7&lt;=24,Hypothèses!$D$21,Hypothèses!$D$22)),0)</f>
        <v/>
      </c>
      <c r="U11" s="15">
        <f>IF(U9=1,IF(U7&lt;=12,Hypothèses!$D$20,IF(U7&lt;=24,Hypothèses!$D$21,Hypothèses!$D$22)),0)</f>
        <v/>
      </c>
      <c r="V11" s="15">
        <f>IF(V9=1,IF(V7&lt;=12,Hypothèses!$D$20,IF(V7&lt;=24,Hypothèses!$D$21,Hypothèses!$D$22)),0)</f>
        <v/>
      </c>
      <c r="W11" s="15">
        <f>IF(W9=1,IF(W7&lt;=12,Hypothèses!$D$20,IF(W7&lt;=24,Hypothèses!$D$21,Hypothèses!$D$22)),0)</f>
        <v/>
      </c>
      <c r="X11" s="15">
        <f>IF(X9=1,IF(X7&lt;=12,Hypothèses!$D$20,IF(X7&lt;=24,Hypothèses!$D$21,Hypothèses!$D$22)),0)</f>
        <v/>
      </c>
      <c r="Y11" s="15">
        <f>IF(Y9=1,IF(Y7&lt;=12,Hypothèses!$D$20,IF(Y7&lt;=24,Hypothèses!$D$21,Hypothèses!$D$22)),0)</f>
        <v/>
      </c>
      <c r="Z11" s="15">
        <f>IF(Z9=1,IF(Z7&lt;=12,Hypothèses!$D$20,IF(Z7&lt;=24,Hypothèses!$D$21,Hypothèses!$D$22)),0)</f>
        <v/>
      </c>
      <c r="AA11" s="15">
        <f>IF(AA9=1,IF(AA7&lt;=12,Hypothèses!$D$20,IF(AA7&lt;=24,Hypothèses!$D$21,Hypothèses!$D$22)),0)</f>
        <v/>
      </c>
      <c r="AB11" s="15">
        <f>IF(AB9=1,IF(AB7&lt;=12,Hypothèses!$D$20,IF(AB7&lt;=24,Hypothèses!$D$21,Hypothèses!$D$22)),0)</f>
        <v/>
      </c>
      <c r="AC11" s="15">
        <f>IF(AC9=1,IF(AC7&lt;=12,Hypothèses!$D$20,IF(AC7&lt;=24,Hypothèses!$D$21,Hypothèses!$D$22)),0)</f>
        <v/>
      </c>
      <c r="AD11" s="15">
        <f>IF(AD9=1,IF(AD7&lt;=12,Hypothèses!$D$20,IF(AD7&lt;=24,Hypothèses!$D$21,Hypothèses!$D$22)),0)</f>
        <v/>
      </c>
      <c r="AE11" s="15">
        <f>IF(AE9=1,IF(AE7&lt;=12,Hypothèses!$D$20,IF(AE7&lt;=24,Hypothèses!$D$21,Hypothèses!$D$22)),0)</f>
        <v/>
      </c>
      <c r="AF11" s="15">
        <f>IF(AF9=1,IF(AF7&lt;=12,Hypothèses!$D$20,IF(AF7&lt;=24,Hypothèses!$D$21,Hypothèses!$D$22)),0)</f>
        <v/>
      </c>
      <c r="AG11" s="15">
        <f>IF(AG9=1,IF(AG7&lt;=12,Hypothèses!$D$20,IF(AG7&lt;=24,Hypothèses!$D$21,Hypothèses!$D$22)),0)</f>
        <v/>
      </c>
      <c r="AH11" s="15">
        <f>IF(AH9=1,IF(AH7&lt;=12,Hypothèses!$D$20,IF(AH7&lt;=24,Hypothèses!$D$21,Hypothèses!$D$22)),0)</f>
        <v/>
      </c>
      <c r="AI11" s="15">
        <f>IF(AI9=1,IF(AI7&lt;=12,Hypothèses!$D$20,IF(AI7&lt;=24,Hypothèses!$D$21,Hypothèses!$D$22)),0)</f>
        <v/>
      </c>
      <c r="AJ11" s="15">
        <f>IF(AJ9=1,IF(AJ7&lt;=12,Hypothèses!$D$20,IF(AJ7&lt;=24,Hypothèses!$D$21,Hypothèses!$D$22)),0)</f>
        <v/>
      </c>
      <c r="AK11" s="15">
        <f>IF(AK9=1,IF(AK7&lt;=12,Hypothèses!$D$20,IF(AK7&lt;=24,Hypothèses!$D$21,Hypothèses!$D$22)),0)</f>
        <v/>
      </c>
      <c r="AL11" s="15">
        <f>IF(AL9=1,IF(AL7&lt;=12,Hypothèses!$D$20,IF(AL7&lt;=24,Hypothèses!$D$21,Hypothèses!$D$22)),0)</f>
        <v/>
      </c>
      <c r="AN11" s="15">
        <f>SUM(C11:N11)</f>
        <v/>
      </c>
      <c r="AO11" s="15">
        <f>SUM(O11:Z11)</f>
        <v/>
      </c>
      <c r="AP11" s="15">
        <f>SUM(AA11:AL11)</f>
        <v/>
      </c>
    </row>
    <row r="12">
      <c r="A12" s="8" t="inlineStr">
        <is>
          <t>Abonnés</t>
        </is>
      </c>
    </row>
    <row r="13">
      <c r="A13" s="9" t="inlineStr">
        <is>
          <t>Abonnés en début de mois</t>
        </is>
      </c>
      <c r="B13" s="4" t="inlineStr">
        <is>
          <t>abonnés</t>
        </is>
      </c>
      <c r="C13" s="38">
        <f>0</f>
        <v/>
      </c>
      <c r="D13" s="38">
        <f>C18</f>
        <v/>
      </c>
      <c r="E13" s="38">
        <f>D18</f>
        <v/>
      </c>
      <c r="F13" s="38">
        <f>E18</f>
        <v/>
      </c>
      <c r="G13" s="38">
        <f>F18</f>
        <v/>
      </c>
      <c r="H13" s="38">
        <f>G18</f>
        <v/>
      </c>
      <c r="I13" s="38">
        <f>H18</f>
        <v/>
      </c>
      <c r="J13" s="38">
        <f>I18</f>
        <v/>
      </c>
      <c r="K13" s="38">
        <f>J18</f>
        <v/>
      </c>
      <c r="L13" s="38">
        <f>K18</f>
        <v/>
      </c>
      <c r="M13" s="38">
        <f>L18</f>
        <v/>
      </c>
      <c r="N13" s="38">
        <f>M18</f>
        <v/>
      </c>
      <c r="O13" s="38">
        <f>N18</f>
        <v/>
      </c>
      <c r="P13" s="38">
        <f>O18</f>
        <v/>
      </c>
      <c r="Q13" s="38">
        <f>P18</f>
        <v/>
      </c>
      <c r="R13" s="38">
        <f>Q18</f>
        <v/>
      </c>
      <c r="S13" s="38">
        <f>R18</f>
        <v/>
      </c>
      <c r="T13" s="38">
        <f>S18</f>
        <v/>
      </c>
      <c r="U13" s="38">
        <f>T18</f>
        <v/>
      </c>
      <c r="V13" s="38">
        <f>U18</f>
        <v/>
      </c>
      <c r="W13" s="38">
        <f>V18</f>
        <v/>
      </c>
      <c r="X13" s="38">
        <f>W18</f>
        <v/>
      </c>
      <c r="Y13" s="38">
        <f>X18</f>
        <v/>
      </c>
      <c r="Z13" s="38">
        <f>Y18</f>
        <v/>
      </c>
      <c r="AA13" s="38">
        <f>Z18</f>
        <v/>
      </c>
      <c r="AB13" s="38">
        <f>AA18</f>
        <v/>
      </c>
      <c r="AC13" s="38">
        <f>AB18</f>
        <v/>
      </c>
      <c r="AD13" s="38">
        <f>AC18</f>
        <v/>
      </c>
      <c r="AE13" s="38">
        <f>AD18</f>
        <v/>
      </c>
      <c r="AF13" s="38">
        <f>AE18</f>
        <v/>
      </c>
      <c r="AG13" s="38">
        <f>AF18</f>
        <v/>
      </c>
      <c r="AH13" s="38">
        <f>AG18</f>
        <v/>
      </c>
      <c r="AI13" s="38">
        <f>AH18</f>
        <v/>
      </c>
      <c r="AJ13" s="38">
        <f>AI18</f>
        <v/>
      </c>
      <c r="AK13" s="38">
        <f>AJ18</f>
        <v/>
      </c>
      <c r="AL13" s="38">
        <f>AK18</f>
        <v/>
      </c>
    </row>
    <row r="14">
      <c r="A14" s="9" t="inlineStr">
        <is>
          <t>Nouveaux abonnés par acquisition payante</t>
        </is>
      </c>
      <c r="B14" s="4" t="inlineStr">
        <is>
          <t>abonnés</t>
        </is>
      </c>
      <c r="C14" s="38">
        <f>C11/(Hypothèses!$D$23*$E$4)</f>
        <v/>
      </c>
      <c r="D14" s="38">
        <f>D11/(Hypothèses!$D$23*$E$4)</f>
        <v/>
      </c>
      <c r="E14" s="38">
        <f>E11/(Hypothèses!$D$23*$E$4)</f>
        <v/>
      </c>
      <c r="F14" s="38">
        <f>F11/(Hypothèses!$D$23*$E$4)</f>
        <v/>
      </c>
      <c r="G14" s="38">
        <f>G11/(Hypothèses!$D$23*$E$4)</f>
        <v/>
      </c>
      <c r="H14" s="38">
        <f>H11/(Hypothèses!$D$23*$E$4)</f>
        <v/>
      </c>
      <c r="I14" s="38">
        <f>I11/(Hypothèses!$D$23*$E$4)</f>
        <v/>
      </c>
      <c r="J14" s="38">
        <f>J11/(Hypothèses!$D$23*$E$4)</f>
        <v/>
      </c>
      <c r="K14" s="38">
        <f>K11/(Hypothèses!$D$23*$E$4)</f>
        <v/>
      </c>
      <c r="L14" s="38">
        <f>L11/(Hypothèses!$D$23*$E$4)</f>
        <v/>
      </c>
      <c r="M14" s="38">
        <f>M11/(Hypothèses!$D$23*$E$4)</f>
        <v/>
      </c>
      <c r="N14" s="38">
        <f>N11/(Hypothèses!$D$23*$E$4)</f>
        <v/>
      </c>
      <c r="O14" s="38">
        <f>O11/(Hypothèses!$D$23*$E$4)</f>
        <v/>
      </c>
      <c r="P14" s="38">
        <f>P11/(Hypothèses!$D$23*$E$4)</f>
        <v/>
      </c>
      <c r="Q14" s="38">
        <f>Q11/(Hypothèses!$D$23*$E$4)</f>
        <v/>
      </c>
      <c r="R14" s="38">
        <f>R11/(Hypothèses!$D$23*$E$4)</f>
        <v/>
      </c>
      <c r="S14" s="38">
        <f>S11/(Hypothèses!$D$23*$E$4)</f>
        <v/>
      </c>
      <c r="T14" s="38">
        <f>T11/(Hypothèses!$D$23*$E$4)</f>
        <v/>
      </c>
      <c r="U14" s="38">
        <f>U11/(Hypothèses!$D$23*$E$4)</f>
        <v/>
      </c>
      <c r="V14" s="38">
        <f>V11/(Hypothèses!$D$23*$E$4)</f>
        <v/>
      </c>
      <c r="W14" s="38">
        <f>W11/(Hypothèses!$D$23*$E$4)</f>
        <v/>
      </c>
      <c r="X14" s="38">
        <f>X11/(Hypothèses!$D$23*$E$4)</f>
        <v/>
      </c>
      <c r="Y14" s="38">
        <f>Y11/(Hypothèses!$D$23*$E$4)</f>
        <v/>
      </c>
      <c r="Z14" s="38">
        <f>Z11/(Hypothèses!$D$23*$E$4)</f>
        <v/>
      </c>
      <c r="AA14" s="38">
        <f>AA11/(Hypothèses!$D$23*$E$4)</f>
        <v/>
      </c>
      <c r="AB14" s="38">
        <f>AB11/(Hypothèses!$D$23*$E$4)</f>
        <v/>
      </c>
      <c r="AC14" s="38">
        <f>AC11/(Hypothèses!$D$23*$E$4)</f>
        <v/>
      </c>
      <c r="AD14" s="38">
        <f>AD11/(Hypothèses!$D$23*$E$4)</f>
        <v/>
      </c>
      <c r="AE14" s="38">
        <f>AE11/(Hypothèses!$D$23*$E$4)</f>
        <v/>
      </c>
      <c r="AF14" s="38">
        <f>AF11/(Hypothèses!$D$23*$E$4)</f>
        <v/>
      </c>
      <c r="AG14" s="38">
        <f>AG11/(Hypothèses!$D$23*$E$4)</f>
        <v/>
      </c>
      <c r="AH14" s="38">
        <f>AH11/(Hypothèses!$D$23*$E$4)</f>
        <v/>
      </c>
      <c r="AI14" s="38">
        <f>AI11/(Hypothèses!$D$23*$E$4)</f>
        <v/>
      </c>
      <c r="AJ14" s="38">
        <f>AJ11/(Hypothèses!$D$23*$E$4)</f>
        <v/>
      </c>
      <c r="AK14" s="38">
        <f>AK11/(Hypothèses!$D$23*$E$4)</f>
        <v/>
      </c>
      <c r="AL14" s="38">
        <f>AL11/(Hypothèses!$D$23*$E$4)</f>
        <v/>
      </c>
      <c r="AN14" s="38">
        <f>SUM(C14:N14)</f>
        <v/>
      </c>
      <c r="AO14" s="38">
        <f>SUM(O14:Z14)</f>
        <v/>
      </c>
      <c r="AP14" s="38">
        <f>SUM(AA14:AL14)</f>
        <v/>
      </c>
    </row>
    <row r="15">
      <c r="A15" s="9" t="inlineStr">
        <is>
          <t>Nouveaux abonnés pilote</t>
        </is>
      </c>
      <c r="B15" s="4" t="inlineStr">
        <is>
          <t>abonnés</t>
        </is>
      </c>
      <c r="C15" s="38">
        <f>IF(C7=Hypothèses!$D$8,Hypothèses!$D$9,0)</f>
        <v/>
      </c>
      <c r="D15" s="38">
        <f>IF(D7=Hypothèses!$D$8,Hypothèses!$D$9,0)</f>
        <v/>
      </c>
      <c r="E15" s="38">
        <f>IF(E7=Hypothèses!$D$8,Hypothèses!$D$9,0)</f>
        <v/>
      </c>
      <c r="F15" s="38">
        <f>IF(F7=Hypothèses!$D$8,Hypothèses!$D$9,0)</f>
        <v/>
      </c>
      <c r="G15" s="38">
        <f>IF(G7=Hypothèses!$D$8,Hypothèses!$D$9,0)</f>
        <v/>
      </c>
      <c r="H15" s="38">
        <f>IF(H7=Hypothèses!$D$8,Hypothèses!$D$9,0)</f>
        <v/>
      </c>
      <c r="I15" s="38">
        <f>IF(I7=Hypothèses!$D$8,Hypothèses!$D$9,0)</f>
        <v/>
      </c>
      <c r="J15" s="38">
        <f>IF(J7=Hypothèses!$D$8,Hypothèses!$D$9,0)</f>
        <v/>
      </c>
      <c r="K15" s="38">
        <f>IF(K7=Hypothèses!$D$8,Hypothèses!$D$9,0)</f>
        <v/>
      </c>
      <c r="L15" s="38">
        <f>IF(L7=Hypothèses!$D$8,Hypothèses!$D$9,0)</f>
        <v/>
      </c>
      <c r="M15" s="38">
        <f>IF(M7=Hypothèses!$D$8,Hypothèses!$D$9,0)</f>
        <v/>
      </c>
      <c r="N15" s="38">
        <f>IF(N7=Hypothèses!$D$8,Hypothèses!$D$9,0)</f>
        <v/>
      </c>
      <c r="O15" s="38">
        <f>IF(O7=Hypothèses!$D$8,Hypothèses!$D$9,0)</f>
        <v/>
      </c>
      <c r="P15" s="38">
        <f>IF(P7=Hypothèses!$D$8,Hypothèses!$D$9,0)</f>
        <v/>
      </c>
      <c r="Q15" s="38">
        <f>IF(Q7=Hypothèses!$D$8,Hypothèses!$D$9,0)</f>
        <v/>
      </c>
      <c r="R15" s="38">
        <f>IF(R7=Hypothèses!$D$8,Hypothèses!$D$9,0)</f>
        <v/>
      </c>
      <c r="S15" s="38">
        <f>IF(S7=Hypothèses!$D$8,Hypothèses!$D$9,0)</f>
        <v/>
      </c>
      <c r="T15" s="38">
        <f>IF(T7=Hypothèses!$D$8,Hypothèses!$D$9,0)</f>
        <v/>
      </c>
      <c r="U15" s="38">
        <f>IF(U7=Hypothèses!$D$8,Hypothèses!$D$9,0)</f>
        <v/>
      </c>
      <c r="V15" s="38">
        <f>IF(V7=Hypothèses!$D$8,Hypothèses!$D$9,0)</f>
        <v/>
      </c>
      <c r="W15" s="38">
        <f>IF(W7=Hypothèses!$D$8,Hypothèses!$D$9,0)</f>
        <v/>
      </c>
      <c r="X15" s="38">
        <f>IF(X7=Hypothèses!$D$8,Hypothèses!$D$9,0)</f>
        <v/>
      </c>
      <c r="Y15" s="38">
        <f>IF(Y7=Hypothèses!$D$8,Hypothèses!$D$9,0)</f>
        <v/>
      </c>
      <c r="Z15" s="38">
        <f>IF(Z7=Hypothèses!$D$8,Hypothèses!$D$9,0)</f>
        <v/>
      </c>
      <c r="AA15" s="38">
        <f>IF(AA7=Hypothèses!$D$8,Hypothèses!$D$9,0)</f>
        <v/>
      </c>
      <c r="AB15" s="38">
        <f>IF(AB7=Hypothèses!$D$8,Hypothèses!$D$9,0)</f>
        <v/>
      </c>
      <c r="AC15" s="38">
        <f>IF(AC7=Hypothèses!$D$8,Hypothèses!$D$9,0)</f>
        <v/>
      </c>
      <c r="AD15" s="38">
        <f>IF(AD7=Hypothèses!$D$8,Hypothèses!$D$9,0)</f>
        <v/>
      </c>
      <c r="AE15" s="38">
        <f>IF(AE7=Hypothèses!$D$8,Hypothèses!$D$9,0)</f>
        <v/>
      </c>
      <c r="AF15" s="38">
        <f>IF(AF7=Hypothèses!$D$8,Hypothèses!$D$9,0)</f>
        <v/>
      </c>
      <c r="AG15" s="38">
        <f>IF(AG7=Hypothèses!$D$8,Hypothèses!$D$9,0)</f>
        <v/>
      </c>
      <c r="AH15" s="38">
        <f>IF(AH7=Hypothèses!$D$8,Hypothèses!$D$9,0)</f>
        <v/>
      </c>
      <c r="AI15" s="38">
        <f>IF(AI7=Hypothèses!$D$8,Hypothèses!$D$9,0)</f>
        <v/>
      </c>
      <c r="AJ15" s="38">
        <f>IF(AJ7=Hypothèses!$D$8,Hypothèses!$D$9,0)</f>
        <v/>
      </c>
      <c r="AK15" s="38">
        <f>IF(AK7=Hypothèses!$D$8,Hypothèses!$D$9,0)</f>
        <v/>
      </c>
      <c r="AL15" s="38">
        <f>IF(AL7=Hypothèses!$D$8,Hypothèses!$D$9,0)</f>
        <v/>
      </c>
      <c r="AN15" s="38">
        <f>SUM(C15:N15)</f>
        <v/>
      </c>
      <c r="AO15" s="38">
        <f>SUM(O15:Z15)</f>
        <v/>
      </c>
      <c r="AP15" s="38">
        <f>SUM(AA15:AL15)</f>
        <v/>
      </c>
    </row>
    <row r="16">
      <c r="A16" s="9" t="inlineStr">
        <is>
          <t>Nouveaux abonnés organiques (parrainage)</t>
        </is>
      </c>
      <c r="B16" s="4" t="inlineStr">
        <is>
          <t>abonnés</t>
        </is>
      </c>
      <c r="C16" s="38">
        <f>C9*C13*Hypothèses!$D$24</f>
        <v/>
      </c>
      <c r="D16" s="38">
        <f>D9*D13*Hypothèses!$D$24</f>
        <v/>
      </c>
      <c r="E16" s="38">
        <f>E9*E13*Hypothèses!$D$24</f>
        <v/>
      </c>
      <c r="F16" s="38">
        <f>F9*F13*Hypothèses!$D$24</f>
        <v/>
      </c>
      <c r="G16" s="38">
        <f>G9*G13*Hypothèses!$D$24</f>
        <v/>
      </c>
      <c r="H16" s="38">
        <f>H9*H13*Hypothèses!$D$24</f>
        <v/>
      </c>
      <c r="I16" s="38">
        <f>I9*I13*Hypothèses!$D$24</f>
        <v/>
      </c>
      <c r="J16" s="38">
        <f>J9*J13*Hypothèses!$D$24</f>
        <v/>
      </c>
      <c r="K16" s="38">
        <f>K9*K13*Hypothèses!$D$24</f>
        <v/>
      </c>
      <c r="L16" s="38">
        <f>L9*L13*Hypothèses!$D$24</f>
        <v/>
      </c>
      <c r="M16" s="38">
        <f>M9*M13*Hypothèses!$D$24</f>
        <v/>
      </c>
      <c r="N16" s="38">
        <f>N9*N13*Hypothèses!$D$24</f>
        <v/>
      </c>
      <c r="O16" s="38">
        <f>O9*O13*Hypothèses!$D$24</f>
        <v/>
      </c>
      <c r="P16" s="38">
        <f>P9*P13*Hypothèses!$D$24</f>
        <v/>
      </c>
      <c r="Q16" s="38">
        <f>Q9*Q13*Hypothèses!$D$24</f>
        <v/>
      </c>
      <c r="R16" s="38">
        <f>R9*R13*Hypothèses!$D$24</f>
        <v/>
      </c>
      <c r="S16" s="38">
        <f>S9*S13*Hypothèses!$D$24</f>
        <v/>
      </c>
      <c r="T16" s="38">
        <f>T9*T13*Hypothèses!$D$24</f>
        <v/>
      </c>
      <c r="U16" s="38">
        <f>U9*U13*Hypothèses!$D$24</f>
        <v/>
      </c>
      <c r="V16" s="38">
        <f>V9*V13*Hypothèses!$D$24</f>
        <v/>
      </c>
      <c r="W16" s="38">
        <f>W9*W13*Hypothèses!$D$24</f>
        <v/>
      </c>
      <c r="X16" s="38">
        <f>X9*X13*Hypothèses!$D$24</f>
        <v/>
      </c>
      <c r="Y16" s="38">
        <f>Y9*Y13*Hypothèses!$D$24</f>
        <v/>
      </c>
      <c r="Z16" s="38">
        <f>Z9*Z13*Hypothèses!$D$24</f>
        <v/>
      </c>
      <c r="AA16" s="38">
        <f>AA9*AA13*Hypothèses!$D$24</f>
        <v/>
      </c>
      <c r="AB16" s="38">
        <f>AB9*AB13*Hypothèses!$D$24</f>
        <v/>
      </c>
      <c r="AC16" s="38">
        <f>AC9*AC13*Hypothèses!$D$24</f>
        <v/>
      </c>
      <c r="AD16" s="38">
        <f>AD9*AD13*Hypothèses!$D$24</f>
        <v/>
      </c>
      <c r="AE16" s="38">
        <f>AE9*AE13*Hypothèses!$D$24</f>
        <v/>
      </c>
      <c r="AF16" s="38">
        <f>AF9*AF13*Hypothèses!$D$24</f>
        <v/>
      </c>
      <c r="AG16" s="38">
        <f>AG9*AG13*Hypothèses!$D$24</f>
        <v/>
      </c>
      <c r="AH16" s="38">
        <f>AH9*AH13*Hypothèses!$D$24</f>
        <v/>
      </c>
      <c r="AI16" s="38">
        <f>AI9*AI13*Hypothèses!$D$24</f>
        <v/>
      </c>
      <c r="AJ16" s="38">
        <f>AJ9*AJ13*Hypothèses!$D$24</f>
        <v/>
      </c>
      <c r="AK16" s="38">
        <f>AK9*AK13*Hypothèses!$D$24</f>
        <v/>
      </c>
      <c r="AL16" s="38">
        <f>AL9*AL13*Hypothèses!$D$24</f>
        <v/>
      </c>
      <c r="AN16" s="38">
        <f>SUM(C16:N16)</f>
        <v/>
      </c>
      <c r="AO16" s="38">
        <f>SUM(O16:Z16)</f>
        <v/>
      </c>
      <c r="AP16" s="38">
        <f>SUM(AA16:AL16)</f>
        <v/>
      </c>
    </row>
    <row r="17">
      <c r="A17" s="9" t="inlineStr">
        <is>
          <t>Résiliations</t>
        </is>
      </c>
      <c r="B17" s="4" t="inlineStr">
        <is>
          <t>abonnés</t>
        </is>
      </c>
      <c r="C17" s="38">
        <f>C13*Hypothèses!$D$26*$D$4</f>
        <v/>
      </c>
      <c r="D17" s="38">
        <f>D13*Hypothèses!$D$26*$D$4</f>
        <v/>
      </c>
      <c r="E17" s="38">
        <f>E13*Hypothèses!$D$26*$D$4</f>
        <v/>
      </c>
      <c r="F17" s="38">
        <f>F13*Hypothèses!$D$26*$D$4</f>
        <v/>
      </c>
      <c r="G17" s="38">
        <f>G13*Hypothèses!$D$26*$D$4</f>
        <v/>
      </c>
      <c r="H17" s="38">
        <f>H13*Hypothèses!$D$26*$D$4</f>
        <v/>
      </c>
      <c r="I17" s="38">
        <f>I13*Hypothèses!$D$26*$D$4</f>
        <v/>
      </c>
      <c r="J17" s="38">
        <f>J13*Hypothèses!$D$26*$D$4</f>
        <v/>
      </c>
      <c r="K17" s="38">
        <f>K13*Hypothèses!$D$26*$D$4</f>
        <v/>
      </c>
      <c r="L17" s="38">
        <f>L13*Hypothèses!$D$26*$D$4</f>
        <v/>
      </c>
      <c r="M17" s="38">
        <f>M13*Hypothèses!$D$26*$D$4</f>
        <v/>
      </c>
      <c r="N17" s="38">
        <f>N13*Hypothèses!$D$26*$D$4</f>
        <v/>
      </c>
      <c r="O17" s="38">
        <f>O13*Hypothèses!$D$26*$D$4</f>
        <v/>
      </c>
      <c r="P17" s="38">
        <f>P13*Hypothèses!$D$26*$D$4</f>
        <v/>
      </c>
      <c r="Q17" s="38">
        <f>Q13*Hypothèses!$D$26*$D$4</f>
        <v/>
      </c>
      <c r="R17" s="38">
        <f>R13*Hypothèses!$D$26*$D$4</f>
        <v/>
      </c>
      <c r="S17" s="38">
        <f>S13*Hypothèses!$D$26*$D$4</f>
        <v/>
      </c>
      <c r="T17" s="38">
        <f>T13*Hypothèses!$D$26*$D$4</f>
        <v/>
      </c>
      <c r="U17" s="38">
        <f>U13*Hypothèses!$D$26*$D$4</f>
        <v/>
      </c>
      <c r="V17" s="38">
        <f>V13*Hypothèses!$D$26*$D$4</f>
        <v/>
      </c>
      <c r="W17" s="38">
        <f>W13*Hypothèses!$D$26*$D$4</f>
        <v/>
      </c>
      <c r="X17" s="38">
        <f>X13*Hypothèses!$D$26*$D$4</f>
        <v/>
      </c>
      <c r="Y17" s="38">
        <f>Y13*Hypothèses!$D$26*$D$4</f>
        <v/>
      </c>
      <c r="Z17" s="38">
        <f>Z13*Hypothèses!$D$26*$D$4</f>
        <v/>
      </c>
      <c r="AA17" s="38">
        <f>AA13*Hypothèses!$D$26*$D$4</f>
        <v/>
      </c>
      <c r="AB17" s="38">
        <f>AB13*Hypothèses!$D$26*$D$4</f>
        <v/>
      </c>
      <c r="AC17" s="38">
        <f>AC13*Hypothèses!$D$26*$D$4</f>
        <v/>
      </c>
      <c r="AD17" s="38">
        <f>AD13*Hypothèses!$D$26*$D$4</f>
        <v/>
      </c>
      <c r="AE17" s="38">
        <f>AE13*Hypothèses!$D$26*$D$4</f>
        <v/>
      </c>
      <c r="AF17" s="38">
        <f>AF13*Hypothèses!$D$26*$D$4</f>
        <v/>
      </c>
      <c r="AG17" s="38">
        <f>AG13*Hypothèses!$D$26*$D$4</f>
        <v/>
      </c>
      <c r="AH17" s="38">
        <f>AH13*Hypothèses!$D$26*$D$4</f>
        <v/>
      </c>
      <c r="AI17" s="38">
        <f>AI13*Hypothèses!$D$26*$D$4</f>
        <v/>
      </c>
      <c r="AJ17" s="38">
        <f>AJ13*Hypothèses!$D$26*$D$4</f>
        <v/>
      </c>
      <c r="AK17" s="38">
        <f>AK13*Hypothèses!$D$26*$D$4</f>
        <v/>
      </c>
      <c r="AL17" s="38">
        <f>AL13*Hypothèses!$D$26*$D$4</f>
        <v/>
      </c>
      <c r="AN17" s="38">
        <f>SUM(C17:N17)</f>
        <v/>
      </c>
      <c r="AO17" s="38">
        <f>SUM(O17:Z17)</f>
        <v/>
      </c>
      <c r="AP17" s="38">
        <f>SUM(AA17:AL17)</f>
        <v/>
      </c>
    </row>
    <row r="18">
      <c r="A18" s="2" t="inlineStr">
        <is>
          <t>Abonnés en fin de mois</t>
        </is>
      </c>
      <c r="B18" s="4" t="inlineStr">
        <is>
          <t>abonnés</t>
        </is>
      </c>
      <c r="C18" s="39">
        <f>C13+C14+C15+C16-C17</f>
        <v/>
      </c>
      <c r="D18" s="39">
        <f>D13+D14+D15+D16-D17</f>
        <v/>
      </c>
      <c r="E18" s="39">
        <f>E13+E14+E15+E16-E17</f>
        <v/>
      </c>
      <c r="F18" s="39">
        <f>F13+F14+F15+F16-F17</f>
        <v/>
      </c>
      <c r="G18" s="39">
        <f>G13+G14+G15+G16-G17</f>
        <v/>
      </c>
      <c r="H18" s="39">
        <f>H13+H14+H15+H16-H17</f>
        <v/>
      </c>
      <c r="I18" s="39">
        <f>I13+I14+I15+I16-I17</f>
        <v/>
      </c>
      <c r="J18" s="39">
        <f>J13+J14+J15+J16-J17</f>
        <v/>
      </c>
      <c r="K18" s="39">
        <f>K13+K14+K15+K16-K17</f>
        <v/>
      </c>
      <c r="L18" s="39">
        <f>L13+L14+L15+L16-L17</f>
        <v/>
      </c>
      <c r="M18" s="39">
        <f>M13+M14+M15+M16-M17</f>
        <v/>
      </c>
      <c r="N18" s="39">
        <f>N13+N14+N15+N16-N17</f>
        <v/>
      </c>
      <c r="O18" s="39">
        <f>O13+O14+O15+O16-O17</f>
        <v/>
      </c>
      <c r="P18" s="39">
        <f>P13+P14+P15+P16-P17</f>
        <v/>
      </c>
      <c r="Q18" s="39">
        <f>Q13+Q14+Q15+Q16-Q17</f>
        <v/>
      </c>
      <c r="R18" s="39">
        <f>R13+R14+R15+R16-R17</f>
        <v/>
      </c>
      <c r="S18" s="39">
        <f>S13+S14+S15+S16-S17</f>
        <v/>
      </c>
      <c r="T18" s="39">
        <f>T13+T14+T15+T16-T17</f>
        <v/>
      </c>
      <c r="U18" s="39">
        <f>U13+U14+U15+U16-U17</f>
        <v/>
      </c>
      <c r="V18" s="39">
        <f>V13+V14+V15+V16-V17</f>
        <v/>
      </c>
      <c r="W18" s="39">
        <f>W13+W14+W15+W16-W17</f>
        <v/>
      </c>
      <c r="X18" s="39">
        <f>X13+X14+X15+X16-X17</f>
        <v/>
      </c>
      <c r="Y18" s="39">
        <f>Y13+Y14+Y15+Y16-Y17</f>
        <v/>
      </c>
      <c r="Z18" s="39">
        <f>Z13+Z14+Z15+Z16-Z17</f>
        <v/>
      </c>
      <c r="AA18" s="39">
        <f>AA13+AA14+AA15+AA16-AA17</f>
        <v/>
      </c>
      <c r="AB18" s="39">
        <f>AB13+AB14+AB15+AB16-AB17</f>
        <v/>
      </c>
      <c r="AC18" s="39">
        <f>AC13+AC14+AC15+AC16-AC17</f>
        <v/>
      </c>
      <c r="AD18" s="39">
        <f>AD13+AD14+AD15+AD16-AD17</f>
        <v/>
      </c>
      <c r="AE18" s="39">
        <f>AE13+AE14+AE15+AE16-AE17</f>
        <v/>
      </c>
      <c r="AF18" s="39">
        <f>AF13+AF14+AF15+AF16-AF17</f>
        <v/>
      </c>
      <c r="AG18" s="39">
        <f>AG13+AG14+AG15+AG16-AG17</f>
        <v/>
      </c>
      <c r="AH18" s="39">
        <f>AH13+AH14+AH15+AH16-AH17</f>
        <v/>
      </c>
      <c r="AI18" s="39">
        <f>AI13+AI14+AI15+AI16-AI17</f>
        <v/>
      </c>
      <c r="AJ18" s="39">
        <f>AJ13+AJ14+AJ15+AJ16-AJ17</f>
        <v/>
      </c>
      <c r="AK18" s="39">
        <f>AK13+AK14+AK15+AK16-AK17</f>
        <v/>
      </c>
      <c r="AL18" s="39">
        <f>AL13+AL14+AL15+AL16-AL17</f>
        <v/>
      </c>
      <c r="AN18" s="39">
        <f>N18</f>
        <v/>
      </c>
      <c r="AO18" s="39">
        <f>Z18</f>
        <v/>
      </c>
      <c r="AP18" s="39">
        <f>AL18</f>
        <v/>
      </c>
    </row>
    <row r="19">
      <c r="A19" s="9" t="inlineStr">
        <is>
          <t>dont Personal</t>
        </is>
      </c>
      <c r="B19" s="4" t="inlineStr">
        <is>
          <t>abonnés</t>
        </is>
      </c>
      <c r="C19" s="38">
        <f>C18*Hypothèses!$D$16</f>
        <v/>
      </c>
      <c r="D19" s="38">
        <f>D18*Hypothèses!$D$16</f>
        <v/>
      </c>
      <c r="E19" s="38">
        <f>E18*Hypothèses!$D$16</f>
        <v/>
      </c>
      <c r="F19" s="38">
        <f>F18*Hypothèses!$D$16</f>
        <v/>
      </c>
      <c r="G19" s="38">
        <f>G18*Hypothèses!$D$16</f>
        <v/>
      </c>
      <c r="H19" s="38">
        <f>H18*Hypothèses!$D$16</f>
        <v/>
      </c>
      <c r="I19" s="38">
        <f>I18*Hypothèses!$D$16</f>
        <v/>
      </c>
      <c r="J19" s="38">
        <f>J18*Hypothèses!$D$16</f>
        <v/>
      </c>
      <c r="K19" s="38">
        <f>K18*Hypothèses!$D$16</f>
        <v/>
      </c>
      <c r="L19" s="38">
        <f>L18*Hypothèses!$D$16</f>
        <v/>
      </c>
      <c r="M19" s="38">
        <f>M18*Hypothèses!$D$16</f>
        <v/>
      </c>
      <c r="N19" s="38">
        <f>N18*Hypothèses!$D$16</f>
        <v/>
      </c>
      <c r="O19" s="38">
        <f>O18*Hypothèses!$D$16</f>
        <v/>
      </c>
      <c r="P19" s="38">
        <f>P18*Hypothèses!$D$16</f>
        <v/>
      </c>
      <c r="Q19" s="38">
        <f>Q18*Hypothèses!$D$16</f>
        <v/>
      </c>
      <c r="R19" s="38">
        <f>R18*Hypothèses!$D$16</f>
        <v/>
      </c>
      <c r="S19" s="38">
        <f>S18*Hypothèses!$D$16</f>
        <v/>
      </c>
      <c r="T19" s="38">
        <f>T18*Hypothèses!$D$16</f>
        <v/>
      </c>
      <c r="U19" s="38">
        <f>U18*Hypothèses!$D$16</f>
        <v/>
      </c>
      <c r="V19" s="38">
        <f>V18*Hypothèses!$D$16</f>
        <v/>
      </c>
      <c r="W19" s="38">
        <f>W18*Hypothèses!$D$16</f>
        <v/>
      </c>
      <c r="X19" s="38">
        <f>X18*Hypothèses!$D$16</f>
        <v/>
      </c>
      <c r="Y19" s="38">
        <f>Y18*Hypothèses!$D$16</f>
        <v/>
      </c>
      <c r="Z19" s="38">
        <f>Z18*Hypothèses!$D$16</f>
        <v/>
      </c>
      <c r="AA19" s="38">
        <f>AA18*Hypothèses!$D$16</f>
        <v/>
      </c>
      <c r="AB19" s="38">
        <f>AB18*Hypothèses!$D$16</f>
        <v/>
      </c>
      <c r="AC19" s="38">
        <f>AC18*Hypothèses!$D$16</f>
        <v/>
      </c>
      <c r="AD19" s="38">
        <f>AD18*Hypothèses!$D$16</f>
        <v/>
      </c>
      <c r="AE19" s="38">
        <f>AE18*Hypothèses!$D$16</f>
        <v/>
      </c>
      <c r="AF19" s="38">
        <f>AF18*Hypothèses!$D$16</f>
        <v/>
      </c>
      <c r="AG19" s="38">
        <f>AG18*Hypothèses!$D$16</f>
        <v/>
      </c>
      <c r="AH19" s="38">
        <f>AH18*Hypothèses!$D$16</f>
        <v/>
      </c>
      <c r="AI19" s="38">
        <f>AI18*Hypothèses!$D$16</f>
        <v/>
      </c>
      <c r="AJ19" s="38">
        <f>AJ18*Hypothèses!$D$16</f>
        <v/>
      </c>
      <c r="AK19" s="38">
        <f>AK18*Hypothèses!$D$16</f>
        <v/>
      </c>
      <c r="AL19" s="38">
        <f>AL18*Hypothèses!$D$16</f>
        <v/>
      </c>
      <c r="AN19" s="38">
        <f>N19</f>
        <v/>
      </c>
      <c r="AO19" s="38">
        <f>Z19</f>
        <v/>
      </c>
      <c r="AP19" s="38">
        <f>AL19</f>
        <v/>
      </c>
    </row>
    <row r="20">
      <c r="A20" s="9" t="inlineStr">
        <is>
          <t>dont Premium</t>
        </is>
      </c>
      <c r="B20" s="4" t="inlineStr">
        <is>
          <t>abonnés</t>
        </is>
      </c>
      <c r="C20" s="38">
        <f>C18*Hypothèses!$D$17</f>
        <v/>
      </c>
      <c r="D20" s="38">
        <f>D18*Hypothèses!$D$17</f>
        <v/>
      </c>
      <c r="E20" s="38">
        <f>E18*Hypothèses!$D$17</f>
        <v/>
      </c>
      <c r="F20" s="38">
        <f>F18*Hypothèses!$D$17</f>
        <v/>
      </c>
      <c r="G20" s="38">
        <f>G18*Hypothèses!$D$17</f>
        <v/>
      </c>
      <c r="H20" s="38">
        <f>H18*Hypothèses!$D$17</f>
        <v/>
      </c>
      <c r="I20" s="38">
        <f>I18*Hypothèses!$D$17</f>
        <v/>
      </c>
      <c r="J20" s="38">
        <f>J18*Hypothèses!$D$17</f>
        <v/>
      </c>
      <c r="K20" s="38">
        <f>K18*Hypothèses!$D$17</f>
        <v/>
      </c>
      <c r="L20" s="38">
        <f>L18*Hypothèses!$D$17</f>
        <v/>
      </c>
      <c r="M20" s="38">
        <f>M18*Hypothèses!$D$17</f>
        <v/>
      </c>
      <c r="N20" s="38">
        <f>N18*Hypothèses!$D$17</f>
        <v/>
      </c>
      <c r="O20" s="38">
        <f>O18*Hypothèses!$D$17</f>
        <v/>
      </c>
      <c r="P20" s="38">
        <f>P18*Hypothèses!$D$17</f>
        <v/>
      </c>
      <c r="Q20" s="38">
        <f>Q18*Hypothèses!$D$17</f>
        <v/>
      </c>
      <c r="R20" s="38">
        <f>R18*Hypothèses!$D$17</f>
        <v/>
      </c>
      <c r="S20" s="38">
        <f>S18*Hypothèses!$D$17</f>
        <v/>
      </c>
      <c r="T20" s="38">
        <f>T18*Hypothèses!$D$17</f>
        <v/>
      </c>
      <c r="U20" s="38">
        <f>U18*Hypothèses!$D$17</f>
        <v/>
      </c>
      <c r="V20" s="38">
        <f>V18*Hypothèses!$D$17</f>
        <v/>
      </c>
      <c r="W20" s="38">
        <f>W18*Hypothèses!$D$17</f>
        <v/>
      </c>
      <c r="X20" s="38">
        <f>X18*Hypothèses!$D$17</f>
        <v/>
      </c>
      <c r="Y20" s="38">
        <f>Y18*Hypothèses!$D$17</f>
        <v/>
      </c>
      <c r="Z20" s="38">
        <f>Z18*Hypothèses!$D$17</f>
        <v/>
      </c>
      <c r="AA20" s="38">
        <f>AA18*Hypothèses!$D$17</f>
        <v/>
      </c>
      <c r="AB20" s="38">
        <f>AB18*Hypothèses!$D$17</f>
        <v/>
      </c>
      <c r="AC20" s="38">
        <f>AC18*Hypothèses!$D$17</f>
        <v/>
      </c>
      <c r="AD20" s="38">
        <f>AD18*Hypothèses!$D$17</f>
        <v/>
      </c>
      <c r="AE20" s="38">
        <f>AE18*Hypothèses!$D$17</f>
        <v/>
      </c>
      <c r="AF20" s="38">
        <f>AF18*Hypothèses!$D$17</f>
        <v/>
      </c>
      <c r="AG20" s="38">
        <f>AG18*Hypothèses!$D$17</f>
        <v/>
      </c>
      <c r="AH20" s="38">
        <f>AH18*Hypothèses!$D$17</f>
        <v/>
      </c>
      <c r="AI20" s="38">
        <f>AI18*Hypothèses!$D$17</f>
        <v/>
      </c>
      <c r="AJ20" s="38">
        <f>AJ18*Hypothèses!$D$17</f>
        <v/>
      </c>
      <c r="AK20" s="38">
        <f>AK18*Hypothèses!$D$17</f>
        <v/>
      </c>
      <c r="AL20" s="38">
        <f>AL18*Hypothèses!$D$17</f>
        <v/>
      </c>
      <c r="AN20" s="38">
        <f>N20</f>
        <v/>
      </c>
      <c r="AO20" s="38">
        <f>Z20</f>
        <v/>
      </c>
      <c r="AP20" s="38">
        <f>AL20</f>
        <v/>
      </c>
    </row>
    <row r="21">
      <c r="A21" s="9" t="inlineStr">
        <is>
          <t>dont Family</t>
        </is>
      </c>
      <c r="B21" s="4" t="inlineStr">
        <is>
          <t>abonnés</t>
        </is>
      </c>
      <c r="C21" s="38">
        <f>C18*Hypothèses!$D$18</f>
        <v/>
      </c>
      <c r="D21" s="38">
        <f>D18*Hypothèses!$D$18</f>
        <v/>
      </c>
      <c r="E21" s="38">
        <f>E18*Hypothèses!$D$18</f>
        <v/>
      </c>
      <c r="F21" s="38">
        <f>F18*Hypothèses!$D$18</f>
        <v/>
      </c>
      <c r="G21" s="38">
        <f>G18*Hypothèses!$D$18</f>
        <v/>
      </c>
      <c r="H21" s="38">
        <f>H18*Hypothèses!$D$18</f>
        <v/>
      </c>
      <c r="I21" s="38">
        <f>I18*Hypothèses!$D$18</f>
        <v/>
      </c>
      <c r="J21" s="38">
        <f>J18*Hypothèses!$D$18</f>
        <v/>
      </c>
      <c r="K21" s="38">
        <f>K18*Hypothèses!$D$18</f>
        <v/>
      </c>
      <c r="L21" s="38">
        <f>L18*Hypothèses!$D$18</f>
        <v/>
      </c>
      <c r="M21" s="38">
        <f>M18*Hypothèses!$D$18</f>
        <v/>
      </c>
      <c r="N21" s="38">
        <f>N18*Hypothèses!$D$18</f>
        <v/>
      </c>
      <c r="O21" s="38">
        <f>O18*Hypothèses!$D$18</f>
        <v/>
      </c>
      <c r="P21" s="38">
        <f>P18*Hypothèses!$D$18</f>
        <v/>
      </c>
      <c r="Q21" s="38">
        <f>Q18*Hypothèses!$D$18</f>
        <v/>
      </c>
      <c r="R21" s="38">
        <f>R18*Hypothèses!$D$18</f>
        <v/>
      </c>
      <c r="S21" s="38">
        <f>S18*Hypothèses!$D$18</f>
        <v/>
      </c>
      <c r="T21" s="38">
        <f>T18*Hypothèses!$D$18</f>
        <v/>
      </c>
      <c r="U21" s="38">
        <f>U18*Hypothèses!$D$18</f>
        <v/>
      </c>
      <c r="V21" s="38">
        <f>V18*Hypothèses!$D$18</f>
        <v/>
      </c>
      <c r="W21" s="38">
        <f>W18*Hypothèses!$D$18</f>
        <v/>
      </c>
      <c r="X21" s="38">
        <f>X18*Hypothèses!$D$18</f>
        <v/>
      </c>
      <c r="Y21" s="38">
        <f>Y18*Hypothèses!$D$18</f>
        <v/>
      </c>
      <c r="Z21" s="38">
        <f>Z18*Hypothèses!$D$18</f>
        <v/>
      </c>
      <c r="AA21" s="38">
        <f>AA18*Hypothèses!$D$18</f>
        <v/>
      </c>
      <c r="AB21" s="38">
        <f>AB18*Hypothèses!$D$18</f>
        <v/>
      </c>
      <c r="AC21" s="38">
        <f>AC18*Hypothèses!$D$18</f>
        <v/>
      </c>
      <c r="AD21" s="38">
        <f>AD18*Hypothèses!$D$18</f>
        <v/>
      </c>
      <c r="AE21" s="38">
        <f>AE18*Hypothèses!$D$18</f>
        <v/>
      </c>
      <c r="AF21" s="38">
        <f>AF18*Hypothèses!$D$18</f>
        <v/>
      </c>
      <c r="AG21" s="38">
        <f>AG18*Hypothèses!$D$18</f>
        <v/>
      </c>
      <c r="AH21" s="38">
        <f>AH18*Hypothèses!$D$18</f>
        <v/>
      </c>
      <c r="AI21" s="38">
        <f>AI18*Hypothèses!$D$18</f>
        <v/>
      </c>
      <c r="AJ21" s="38">
        <f>AJ18*Hypothèses!$D$18</f>
        <v/>
      </c>
      <c r="AK21" s="38">
        <f>AK18*Hypothèses!$D$18</f>
        <v/>
      </c>
      <c r="AL21" s="38">
        <f>AL18*Hypothèses!$D$18</f>
        <v/>
      </c>
      <c r="AN21" s="38">
        <f>N21</f>
        <v/>
      </c>
      <c r="AO21" s="38">
        <f>Z21</f>
        <v/>
      </c>
      <c r="AP21" s="38">
        <f>AL21</f>
        <v/>
      </c>
    </row>
    <row r="22">
      <c r="A22" s="8" t="inlineStr">
        <is>
          <t>Revenus</t>
        </is>
      </c>
    </row>
    <row r="23">
      <c r="A23" s="9" t="inlineStr">
        <is>
          <t>Facturation Personal TTC</t>
        </is>
      </c>
      <c r="B23" s="4" t="inlineStr">
        <is>
          <t>€ TTC</t>
        </is>
      </c>
      <c r="C23" s="15">
        <f>C19*Hypothèses!$D$12*$C$4</f>
        <v/>
      </c>
      <c r="D23" s="15">
        <f>D19*Hypothèses!$D$12*$C$4</f>
        <v/>
      </c>
      <c r="E23" s="15">
        <f>E19*Hypothèses!$D$12*$C$4</f>
        <v/>
      </c>
      <c r="F23" s="15">
        <f>F19*Hypothèses!$D$12*$C$4</f>
        <v/>
      </c>
      <c r="G23" s="15">
        <f>G19*Hypothèses!$D$12*$C$4</f>
        <v/>
      </c>
      <c r="H23" s="15">
        <f>H19*Hypothèses!$D$12*$C$4</f>
        <v/>
      </c>
      <c r="I23" s="15">
        <f>I19*Hypothèses!$D$12*$C$4</f>
        <v/>
      </c>
      <c r="J23" s="15">
        <f>J19*Hypothèses!$D$12*$C$4</f>
        <v/>
      </c>
      <c r="K23" s="15">
        <f>K19*Hypothèses!$D$12*$C$4</f>
        <v/>
      </c>
      <c r="L23" s="15">
        <f>L19*Hypothèses!$D$12*$C$4</f>
        <v/>
      </c>
      <c r="M23" s="15">
        <f>M19*Hypothèses!$D$12*$C$4</f>
        <v/>
      </c>
      <c r="N23" s="15">
        <f>N19*Hypothèses!$D$12*$C$4</f>
        <v/>
      </c>
      <c r="O23" s="15">
        <f>O19*Hypothèses!$D$12*$C$4</f>
        <v/>
      </c>
      <c r="P23" s="15">
        <f>P19*Hypothèses!$D$12*$C$4</f>
        <v/>
      </c>
      <c r="Q23" s="15">
        <f>Q19*Hypothèses!$D$12*$C$4</f>
        <v/>
      </c>
      <c r="R23" s="15">
        <f>R19*Hypothèses!$D$12*$C$4</f>
        <v/>
      </c>
      <c r="S23" s="15">
        <f>S19*Hypothèses!$D$12*$C$4</f>
        <v/>
      </c>
      <c r="T23" s="15">
        <f>T19*Hypothèses!$D$12*$C$4</f>
        <v/>
      </c>
      <c r="U23" s="15">
        <f>U19*Hypothèses!$D$12*$C$4</f>
        <v/>
      </c>
      <c r="V23" s="15">
        <f>V19*Hypothèses!$D$12*$C$4</f>
        <v/>
      </c>
      <c r="W23" s="15">
        <f>W19*Hypothèses!$D$12*$C$4</f>
        <v/>
      </c>
      <c r="X23" s="15">
        <f>X19*Hypothèses!$D$12*$C$4</f>
        <v/>
      </c>
      <c r="Y23" s="15">
        <f>Y19*Hypothèses!$D$12*$C$4</f>
        <v/>
      </c>
      <c r="Z23" s="15">
        <f>Z19*Hypothèses!$D$12*$C$4</f>
        <v/>
      </c>
      <c r="AA23" s="15">
        <f>AA19*Hypothèses!$D$12*$C$4</f>
        <v/>
      </c>
      <c r="AB23" s="15">
        <f>AB19*Hypothèses!$D$12*$C$4</f>
        <v/>
      </c>
      <c r="AC23" s="15">
        <f>AC19*Hypothèses!$D$12*$C$4</f>
        <v/>
      </c>
      <c r="AD23" s="15">
        <f>AD19*Hypothèses!$D$12*$C$4</f>
        <v/>
      </c>
      <c r="AE23" s="15">
        <f>AE19*Hypothèses!$D$12*$C$4</f>
        <v/>
      </c>
      <c r="AF23" s="15">
        <f>AF19*Hypothèses!$D$12*$C$4</f>
        <v/>
      </c>
      <c r="AG23" s="15">
        <f>AG19*Hypothèses!$D$12*$C$4</f>
        <v/>
      </c>
      <c r="AH23" s="15">
        <f>AH19*Hypothèses!$D$12*$C$4</f>
        <v/>
      </c>
      <c r="AI23" s="15">
        <f>AI19*Hypothèses!$D$12*$C$4</f>
        <v/>
      </c>
      <c r="AJ23" s="15">
        <f>AJ19*Hypothèses!$D$12*$C$4</f>
        <v/>
      </c>
      <c r="AK23" s="15">
        <f>AK19*Hypothèses!$D$12*$C$4</f>
        <v/>
      </c>
      <c r="AL23" s="15">
        <f>AL19*Hypothèses!$D$12*$C$4</f>
        <v/>
      </c>
      <c r="AN23" s="15">
        <f>SUM(C23:N23)</f>
        <v/>
      </c>
      <c r="AO23" s="15">
        <f>SUM(O23:Z23)</f>
        <v/>
      </c>
      <c r="AP23" s="15">
        <f>SUM(AA23:AL23)</f>
        <v/>
      </c>
    </row>
    <row r="24">
      <c r="A24" s="9" t="inlineStr">
        <is>
          <t>Facturation Premium TTC</t>
        </is>
      </c>
      <c r="B24" s="4" t="inlineStr">
        <is>
          <t>€ TTC</t>
        </is>
      </c>
      <c r="C24" s="15">
        <f>C20*Hypothèses!$D$13*$C$4</f>
        <v/>
      </c>
      <c r="D24" s="15">
        <f>D20*Hypothèses!$D$13*$C$4</f>
        <v/>
      </c>
      <c r="E24" s="15">
        <f>E20*Hypothèses!$D$13*$C$4</f>
        <v/>
      </c>
      <c r="F24" s="15">
        <f>F20*Hypothèses!$D$13*$C$4</f>
        <v/>
      </c>
      <c r="G24" s="15">
        <f>G20*Hypothèses!$D$13*$C$4</f>
        <v/>
      </c>
      <c r="H24" s="15">
        <f>H20*Hypothèses!$D$13*$C$4</f>
        <v/>
      </c>
      <c r="I24" s="15">
        <f>I20*Hypothèses!$D$13*$C$4</f>
        <v/>
      </c>
      <c r="J24" s="15">
        <f>J20*Hypothèses!$D$13*$C$4</f>
        <v/>
      </c>
      <c r="K24" s="15">
        <f>K20*Hypothèses!$D$13*$C$4</f>
        <v/>
      </c>
      <c r="L24" s="15">
        <f>L20*Hypothèses!$D$13*$C$4</f>
        <v/>
      </c>
      <c r="M24" s="15">
        <f>M20*Hypothèses!$D$13*$C$4</f>
        <v/>
      </c>
      <c r="N24" s="15">
        <f>N20*Hypothèses!$D$13*$C$4</f>
        <v/>
      </c>
      <c r="O24" s="15">
        <f>O20*Hypothèses!$D$13*$C$4</f>
        <v/>
      </c>
      <c r="P24" s="15">
        <f>P20*Hypothèses!$D$13*$C$4</f>
        <v/>
      </c>
      <c r="Q24" s="15">
        <f>Q20*Hypothèses!$D$13*$C$4</f>
        <v/>
      </c>
      <c r="R24" s="15">
        <f>R20*Hypothèses!$D$13*$C$4</f>
        <v/>
      </c>
      <c r="S24" s="15">
        <f>S20*Hypothèses!$D$13*$C$4</f>
        <v/>
      </c>
      <c r="T24" s="15">
        <f>T20*Hypothèses!$D$13*$C$4</f>
        <v/>
      </c>
      <c r="U24" s="15">
        <f>U20*Hypothèses!$D$13*$C$4</f>
        <v/>
      </c>
      <c r="V24" s="15">
        <f>V20*Hypothèses!$D$13*$C$4</f>
        <v/>
      </c>
      <c r="W24" s="15">
        <f>W20*Hypothèses!$D$13*$C$4</f>
        <v/>
      </c>
      <c r="X24" s="15">
        <f>X20*Hypothèses!$D$13*$C$4</f>
        <v/>
      </c>
      <c r="Y24" s="15">
        <f>Y20*Hypothèses!$D$13*$C$4</f>
        <v/>
      </c>
      <c r="Z24" s="15">
        <f>Z20*Hypothèses!$D$13*$C$4</f>
        <v/>
      </c>
      <c r="AA24" s="15">
        <f>AA20*Hypothèses!$D$13*$C$4</f>
        <v/>
      </c>
      <c r="AB24" s="15">
        <f>AB20*Hypothèses!$D$13*$C$4</f>
        <v/>
      </c>
      <c r="AC24" s="15">
        <f>AC20*Hypothèses!$D$13*$C$4</f>
        <v/>
      </c>
      <c r="AD24" s="15">
        <f>AD20*Hypothèses!$D$13*$C$4</f>
        <v/>
      </c>
      <c r="AE24" s="15">
        <f>AE20*Hypothèses!$D$13*$C$4</f>
        <v/>
      </c>
      <c r="AF24" s="15">
        <f>AF20*Hypothèses!$D$13*$C$4</f>
        <v/>
      </c>
      <c r="AG24" s="15">
        <f>AG20*Hypothèses!$D$13*$C$4</f>
        <v/>
      </c>
      <c r="AH24" s="15">
        <f>AH20*Hypothèses!$D$13*$C$4</f>
        <v/>
      </c>
      <c r="AI24" s="15">
        <f>AI20*Hypothèses!$D$13*$C$4</f>
        <v/>
      </c>
      <c r="AJ24" s="15">
        <f>AJ20*Hypothèses!$D$13*$C$4</f>
        <v/>
      </c>
      <c r="AK24" s="15">
        <f>AK20*Hypothèses!$D$13*$C$4</f>
        <v/>
      </c>
      <c r="AL24" s="15">
        <f>AL20*Hypothèses!$D$13*$C$4</f>
        <v/>
      </c>
      <c r="AN24" s="15">
        <f>SUM(C24:N24)</f>
        <v/>
      </c>
      <c r="AO24" s="15">
        <f>SUM(O24:Z24)</f>
        <v/>
      </c>
      <c r="AP24" s="15">
        <f>SUM(AA24:AL24)</f>
        <v/>
      </c>
    </row>
    <row r="25">
      <c r="A25" s="9" t="inlineStr">
        <is>
          <t>Facturation Family TTC</t>
        </is>
      </c>
      <c r="B25" s="4" t="inlineStr">
        <is>
          <t>€ TTC</t>
        </is>
      </c>
      <c r="C25" s="15">
        <f>C21*Hypothèses!$D$14*$C$4</f>
        <v/>
      </c>
      <c r="D25" s="15">
        <f>D21*Hypothèses!$D$14*$C$4</f>
        <v/>
      </c>
      <c r="E25" s="15">
        <f>E21*Hypothèses!$D$14*$C$4</f>
        <v/>
      </c>
      <c r="F25" s="15">
        <f>F21*Hypothèses!$D$14*$C$4</f>
        <v/>
      </c>
      <c r="G25" s="15">
        <f>G21*Hypothèses!$D$14*$C$4</f>
        <v/>
      </c>
      <c r="H25" s="15">
        <f>H21*Hypothèses!$D$14*$C$4</f>
        <v/>
      </c>
      <c r="I25" s="15">
        <f>I21*Hypothèses!$D$14*$C$4</f>
        <v/>
      </c>
      <c r="J25" s="15">
        <f>J21*Hypothèses!$D$14*$C$4</f>
        <v/>
      </c>
      <c r="K25" s="15">
        <f>K21*Hypothèses!$D$14*$C$4</f>
        <v/>
      </c>
      <c r="L25" s="15">
        <f>L21*Hypothèses!$D$14*$C$4</f>
        <v/>
      </c>
      <c r="M25" s="15">
        <f>M21*Hypothèses!$D$14*$C$4</f>
        <v/>
      </c>
      <c r="N25" s="15">
        <f>N21*Hypothèses!$D$14*$C$4</f>
        <v/>
      </c>
      <c r="O25" s="15">
        <f>O21*Hypothèses!$D$14*$C$4</f>
        <v/>
      </c>
      <c r="P25" s="15">
        <f>P21*Hypothèses!$D$14*$C$4</f>
        <v/>
      </c>
      <c r="Q25" s="15">
        <f>Q21*Hypothèses!$D$14*$C$4</f>
        <v/>
      </c>
      <c r="R25" s="15">
        <f>R21*Hypothèses!$D$14*$C$4</f>
        <v/>
      </c>
      <c r="S25" s="15">
        <f>S21*Hypothèses!$D$14*$C$4</f>
        <v/>
      </c>
      <c r="T25" s="15">
        <f>T21*Hypothèses!$D$14*$C$4</f>
        <v/>
      </c>
      <c r="U25" s="15">
        <f>U21*Hypothèses!$D$14*$C$4</f>
        <v/>
      </c>
      <c r="V25" s="15">
        <f>V21*Hypothèses!$D$14*$C$4</f>
        <v/>
      </c>
      <c r="W25" s="15">
        <f>W21*Hypothèses!$D$14*$C$4</f>
        <v/>
      </c>
      <c r="X25" s="15">
        <f>X21*Hypothèses!$D$14*$C$4</f>
        <v/>
      </c>
      <c r="Y25" s="15">
        <f>Y21*Hypothèses!$D$14*$C$4</f>
        <v/>
      </c>
      <c r="Z25" s="15">
        <f>Z21*Hypothèses!$D$14*$C$4</f>
        <v/>
      </c>
      <c r="AA25" s="15">
        <f>AA21*Hypothèses!$D$14*$C$4</f>
        <v/>
      </c>
      <c r="AB25" s="15">
        <f>AB21*Hypothèses!$D$14*$C$4</f>
        <v/>
      </c>
      <c r="AC25" s="15">
        <f>AC21*Hypothèses!$D$14*$C$4</f>
        <v/>
      </c>
      <c r="AD25" s="15">
        <f>AD21*Hypothèses!$D$14*$C$4</f>
        <v/>
      </c>
      <c r="AE25" s="15">
        <f>AE21*Hypothèses!$D$14*$C$4</f>
        <v/>
      </c>
      <c r="AF25" s="15">
        <f>AF21*Hypothèses!$D$14*$C$4</f>
        <v/>
      </c>
      <c r="AG25" s="15">
        <f>AG21*Hypothèses!$D$14*$C$4</f>
        <v/>
      </c>
      <c r="AH25" s="15">
        <f>AH21*Hypothèses!$D$14*$C$4</f>
        <v/>
      </c>
      <c r="AI25" s="15">
        <f>AI21*Hypothèses!$D$14*$C$4</f>
        <v/>
      </c>
      <c r="AJ25" s="15">
        <f>AJ21*Hypothèses!$D$14*$C$4</f>
        <v/>
      </c>
      <c r="AK25" s="15">
        <f>AK21*Hypothèses!$D$14*$C$4</f>
        <v/>
      </c>
      <c r="AL25" s="15">
        <f>AL21*Hypothèses!$D$14*$C$4</f>
        <v/>
      </c>
      <c r="AN25" s="15">
        <f>SUM(C25:N25)</f>
        <v/>
      </c>
      <c r="AO25" s="15">
        <f>SUM(O25:Z25)</f>
        <v/>
      </c>
      <c r="AP25" s="15">
        <f>SUM(AA25:AL25)</f>
        <v/>
      </c>
    </row>
    <row r="26">
      <c r="A26" s="2" t="inlineStr">
        <is>
          <t>Facturation totale TTC (MRR TTC)</t>
        </is>
      </c>
      <c r="B26" s="4" t="inlineStr">
        <is>
          <t>€ TTC</t>
        </is>
      </c>
      <c r="C26" s="40">
        <f>C23+C24+C25</f>
        <v/>
      </c>
      <c r="D26" s="40">
        <f>D23+D24+D25</f>
        <v/>
      </c>
      <c r="E26" s="40">
        <f>E23+E24+E25</f>
        <v/>
      </c>
      <c r="F26" s="40">
        <f>F23+F24+F25</f>
        <v/>
      </c>
      <c r="G26" s="40">
        <f>G23+G24+G25</f>
        <v/>
      </c>
      <c r="H26" s="40">
        <f>H23+H24+H25</f>
        <v/>
      </c>
      <c r="I26" s="40">
        <f>I23+I24+I25</f>
        <v/>
      </c>
      <c r="J26" s="40">
        <f>J23+J24+J25</f>
        <v/>
      </c>
      <c r="K26" s="40">
        <f>K23+K24+K25</f>
        <v/>
      </c>
      <c r="L26" s="40">
        <f>L23+L24+L25</f>
        <v/>
      </c>
      <c r="M26" s="40">
        <f>M23+M24+M25</f>
        <v/>
      </c>
      <c r="N26" s="40">
        <f>N23+N24+N25</f>
        <v/>
      </c>
      <c r="O26" s="40">
        <f>O23+O24+O25</f>
        <v/>
      </c>
      <c r="P26" s="40">
        <f>P23+P24+P25</f>
        <v/>
      </c>
      <c r="Q26" s="40">
        <f>Q23+Q24+Q25</f>
        <v/>
      </c>
      <c r="R26" s="40">
        <f>R23+R24+R25</f>
        <v/>
      </c>
      <c r="S26" s="40">
        <f>S23+S24+S25</f>
        <v/>
      </c>
      <c r="T26" s="40">
        <f>T23+T24+T25</f>
        <v/>
      </c>
      <c r="U26" s="40">
        <f>U23+U24+U25</f>
        <v/>
      </c>
      <c r="V26" s="40">
        <f>V23+V24+V25</f>
        <v/>
      </c>
      <c r="W26" s="40">
        <f>W23+W24+W25</f>
        <v/>
      </c>
      <c r="X26" s="40">
        <f>X23+X24+X25</f>
        <v/>
      </c>
      <c r="Y26" s="40">
        <f>Y23+Y24+Y25</f>
        <v/>
      </c>
      <c r="Z26" s="40">
        <f>Z23+Z24+Z25</f>
        <v/>
      </c>
      <c r="AA26" s="40">
        <f>AA23+AA24+AA25</f>
        <v/>
      </c>
      <c r="AB26" s="40">
        <f>AB23+AB24+AB25</f>
        <v/>
      </c>
      <c r="AC26" s="40">
        <f>AC23+AC24+AC25</f>
        <v/>
      </c>
      <c r="AD26" s="40">
        <f>AD23+AD24+AD25</f>
        <v/>
      </c>
      <c r="AE26" s="40">
        <f>AE23+AE24+AE25</f>
        <v/>
      </c>
      <c r="AF26" s="40">
        <f>AF23+AF24+AF25</f>
        <v/>
      </c>
      <c r="AG26" s="40">
        <f>AG23+AG24+AG25</f>
        <v/>
      </c>
      <c r="AH26" s="40">
        <f>AH23+AH24+AH25</f>
        <v/>
      </c>
      <c r="AI26" s="40">
        <f>AI23+AI24+AI25</f>
        <v/>
      </c>
      <c r="AJ26" s="40">
        <f>AJ23+AJ24+AJ25</f>
        <v/>
      </c>
      <c r="AK26" s="40">
        <f>AK23+AK24+AK25</f>
        <v/>
      </c>
      <c r="AL26" s="40">
        <f>AL23+AL24+AL25</f>
        <v/>
      </c>
      <c r="AN26" s="40">
        <f>SUM(C26:N26)</f>
        <v/>
      </c>
      <c r="AO26" s="40">
        <f>SUM(O26:Z26)</f>
        <v/>
      </c>
      <c r="AP26" s="40">
        <f>SUM(AA26:AL26)</f>
        <v/>
      </c>
    </row>
    <row r="27">
      <c r="A27" s="9" t="inlineStr">
        <is>
          <t>TVA collectée</t>
        </is>
      </c>
      <c r="B27" s="4" t="inlineStr">
        <is>
          <t>€</t>
        </is>
      </c>
      <c r="C27" s="15">
        <f>C26*Hypothèses!$D$15/(1+Hypothèses!$D$15)</f>
        <v/>
      </c>
      <c r="D27" s="15">
        <f>D26*Hypothèses!$D$15/(1+Hypothèses!$D$15)</f>
        <v/>
      </c>
      <c r="E27" s="15">
        <f>E26*Hypothèses!$D$15/(1+Hypothèses!$D$15)</f>
        <v/>
      </c>
      <c r="F27" s="15">
        <f>F26*Hypothèses!$D$15/(1+Hypothèses!$D$15)</f>
        <v/>
      </c>
      <c r="G27" s="15">
        <f>G26*Hypothèses!$D$15/(1+Hypothèses!$D$15)</f>
        <v/>
      </c>
      <c r="H27" s="15">
        <f>H26*Hypothèses!$D$15/(1+Hypothèses!$D$15)</f>
        <v/>
      </c>
      <c r="I27" s="15">
        <f>I26*Hypothèses!$D$15/(1+Hypothèses!$D$15)</f>
        <v/>
      </c>
      <c r="J27" s="15">
        <f>J26*Hypothèses!$D$15/(1+Hypothèses!$D$15)</f>
        <v/>
      </c>
      <c r="K27" s="15">
        <f>K26*Hypothèses!$D$15/(1+Hypothèses!$D$15)</f>
        <v/>
      </c>
      <c r="L27" s="15">
        <f>L26*Hypothèses!$D$15/(1+Hypothèses!$D$15)</f>
        <v/>
      </c>
      <c r="M27" s="15">
        <f>M26*Hypothèses!$D$15/(1+Hypothèses!$D$15)</f>
        <v/>
      </c>
      <c r="N27" s="15">
        <f>N26*Hypothèses!$D$15/(1+Hypothèses!$D$15)</f>
        <v/>
      </c>
      <c r="O27" s="15">
        <f>O26*Hypothèses!$D$15/(1+Hypothèses!$D$15)</f>
        <v/>
      </c>
      <c r="P27" s="15">
        <f>P26*Hypothèses!$D$15/(1+Hypothèses!$D$15)</f>
        <v/>
      </c>
      <c r="Q27" s="15">
        <f>Q26*Hypothèses!$D$15/(1+Hypothèses!$D$15)</f>
        <v/>
      </c>
      <c r="R27" s="15">
        <f>R26*Hypothèses!$D$15/(1+Hypothèses!$D$15)</f>
        <v/>
      </c>
      <c r="S27" s="15">
        <f>S26*Hypothèses!$D$15/(1+Hypothèses!$D$15)</f>
        <v/>
      </c>
      <c r="T27" s="15">
        <f>T26*Hypothèses!$D$15/(1+Hypothèses!$D$15)</f>
        <v/>
      </c>
      <c r="U27" s="15">
        <f>U26*Hypothèses!$D$15/(1+Hypothèses!$D$15)</f>
        <v/>
      </c>
      <c r="V27" s="15">
        <f>V26*Hypothèses!$D$15/(1+Hypothèses!$D$15)</f>
        <v/>
      </c>
      <c r="W27" s="15">
        <f>W26*Hypothèses!$D$15/(1+Hypothèses!$D$15)</f>
        <v/>
      </c>
      <c r="X27" s="15">
        <f>X26*Hypothèses!$D$15/(1+Hypothèses!$D$15)</f>
        <v/>
      </c>
      <c r="Y27" s="15">
        <f>Y26*Hypothèses!$D$15/(1+Hypothèses!$D$15)</f>
        <v/>
      </c>
      <c r="Z27" s="15">
        <f>Z26*Hypothèses!$D$15/(1+Hypothèses!$D$15)</f>
        <v/>
      </c>
      <c r="AA27" s="15">
        <f>AA26*Hypothèses!$D$15/(1+Hypothèses!$D$15)</f>
        <v/>
      </c>
      <c r="AB27" s="15">
        <f>AB26*Hypothèses!$D$15/(1+Hypothèses!$D$15)</f>
        <v/>
      </c>
      <c r="AC27" s="15">
        <f>AC26*Hypothèses!$D$15/(1+Hypothèses!$D$15)</f>
        <v/>
      </c>
      <c r="AD27" s="15">
        <f>AD26*Hypothèses!$D$15/(1+Hypothèses!$D$15)</f>
        <v/>
      </c>
      <c r="AE27" s="15">
        <f>AE26*Hypothèses!$D$15/(1+Hypothèses!$D$15)</f>
        <v/>
      </c>
      <c r="AF27" s="15">
        <f>AF26*Hypothèses!$D$15/(1+Hypothèses!$D$15)</f>
        <v/>
      </c>
      <c r="AG27" s="15">
        <f>AG26*Hypothèses!$D$15/(1+Hypothèses!$D$15)</f>
        <v/>
      </c>
      <c r="AH27" s="15">
        <f>AH26*Hypothèses!$D$15/(1+Hypothèses!$D$15)</f>
        <v/>
      </c>
      <c r="AI27" s="15">
        <f>AI26*Hypothèses!$D$15/(1+Hypothèses!$D$15)</f>
        <v/>
      </c>
      <c r="AJ27" s="15">
        <f>AJ26*Hypothèses!$D$15/(1+Hypothèses!$D$15)</f>
        <v/>
      </c>
      <c r="AK27" s="15">
        <f>AK26*Hypothèses!$D$15/(1+Hypothèses!$D$15)</f>
        <v/>
      </c>
      <c r="AL27" s="15">
        <f>AL26*Hypothèses!$D$15/(1+Hypothèses!$D$15)</f>
        <v/>
      </c>
      <c r="AN27" s="15">
        <f>SUM(C27:N27)</f>
        <v/>
      </c>
      <c r="AO27" s="15">
        <f>SUM(O27:Z27)</f>
        <v/>
      </c>
      <c r="AP27" s="15">
        <f>SUM(AA27:AL27)</f>
        <v/>
      </c>
    </row>
    <row r="28">
      <c r="A28" s="2" t="inlineStr">
        <is>
          <t>Chiffre d'affaires HT</t>
        </is>
      </c>
      <c r="B28" s="4" t="inlineStr">
        <is>
          <t>€ HT</t>
        </is>
      </c>
      <c r="C28" s="40">
        <f>C26-C27</f>
        <v/>
      </c>
      <c r="D28" s="40">
        <f>D26-D27</f>
        <v/>
      </c>
      <c r="E28" s="40">
        <f>E26-E27</f>
        <v/>
      </c>
      <c r="F28" s="40">
        <f>F26-F27</f>
        <v/>
      </c>
      <c r="G28" s="40">
        <f>G26-G27</f>
        <v/>
      </c>
      <c r="H28" s="40">
        <f>H26-H27</f>
        <v/>
      </c>
      <c r="I28" s="40">
        <f>I26-I27</f>
        <v/>
      </c>
      <c r="J28" s="40">
        <f>J26-J27</f>
        <v/>
      </c>
      <c r="K28" s="40">
        <f>K26-K27</f>
        <v/>
      </c>
      <c r="L28" s="40">
        <f>L26-L27</f>
        <v/>
      </c>
      <c r="M28" s="40">
        <f>M26-M27</f>
        <v/>
      </c>
      <c r="N28" s="40">
        <f>N26-N27</f>
        <v/>
      </c>
      <c r="O28" s="40">
        <f>O26-O27</f>
        <v/>
      </c>
      <c r="P28" s="40">
        <f>P26-P27</f>
        <v/>
      </c>
      <c r="Q28" s="40">
        <f>Q26-Q27</f>
        <v/>
      </c>
      <c r="R28" s="40">
        <f>R26-R27</f>
        <v/>
      </c>
      <c r="S28" s="40">
        <f>S26-S27</f>
        <v/>
      </c>
      <c r="T28" s="40">
        <f>T26-T27</f>
        <v/>
      </c>
      <c r="U28" s="40">
        <f>U26-U27</f>
        <v/>
      </c>
      <c r="V28" s="40">
        <f>V26-V27</f>
        <v/>
      </c>
      <c r="W28" s="40">
        <f>W26-W27</f>
        <v/>
      </c>
      <c r="X28" s="40">
        <f>X26-X27</f>
        <v/>
      </c>
      <c r="Y28" s="40">
        <f>Y26-Y27</f>
        <v/>
      </c>
      <c r="Z28" s="40">
        <f>Z26-Z27</f>
        <v/>
      </c>
      <c r="AA28" s="40">
        <f>AA26-AA27</f>
        <v/>
      </c>
      <c r="AB28" s="40">
        <f>AB26-AB27</f>
        <v/>
      </c>
      <c r="AC28" s="40">
        <f>AC26-AC27</f>
        <v/>
      </c>
      <c r="AD28" s="40">
        <f>AD26-AD27</f>
        <v/>
      </c>
      <c r="AE28" s="40">
        <f>AE26-AE27</f>
        <v/>
      </c>
      <c r="AF28" s="40">
        <f>AF26-AF27</f>
        <v/>
      </c>
      <c r="AG28" s="40">
        <f>AG26-AG27</f>
        <v/>
      </c>
      <c r="AH28" s="40">
        <f>AH26-AH27</f>
        <v/>
      </c>
      <c r="AI28" s="40">
        <f>AI26-AI27</f>
        <v/>
      </c>
      <c r="AJ28" s="40">
        <f>AJ26-AJ27</f>
        <v/>
      </c>
      <c r="AK28" s="40">
        <f>AK26-AK27</f>
        <v/>
      </c>
      <c r="AL28" s="40">
        <f>AL26-AL27</f>
        <v/>
      </c>
      <c r="AN28" s="40">
        <f>SUM(C28:N28)</f>
        <v/>
      </c>
      <c r="AO28" s="40">
        <f>SUM(O28:Z28)</f>
        <v/>
      </c>
      <c r="AP28" s="40">
        <f>SUM(AA28:AL28)</f>
        <v/>
      </c>
    </row>
    <row r="29">
      <c r="A29" s="9" t="inlineStr">
        <is>
          <t>Impayés (TTC)</t>
        </is>
      </c>
      <c r="B29" s="4" t="inlineStr">
        <is>
          <t>€ TTC</t>
        </is>
      </c>
      <c r="C29" s="15">
        <f>C26*Hypothèses!$D$27</f>
        <v/>
      </c>
      <c r="D29" s="15">
        <f>D26*Hypothèses!$D$27</f>
        <v/>
      </c>
      <c r="E29" s="15">
        <f>E26*Hypothèses!$D$27</f>
        <v/>
      </c>
      <c r="F29" s="15">
        <f>F26*Hypothèses!$D$27</f>
        <v/>
      </c>
      <c r="G29" s="15">
        <f>G26*Hypothèses!$D$27</f>
        <v/>
      </c>
      <c r="H29" s="15">
        <f>H26*Hypothèses!$D$27</f>
        <v/>
      </c>
      <c r="I29" s="15">
        <f>I26*Hypothèses!$D$27</f>
        <v/>
      </c>
      <c r="J29" s="15">
        <f>J26*Hypothèses!$D$27</f>
        <v/>
      </c>
      <c r="K29" s="15">
        <f>K26*Hypothèses!$D$27</f>
        <v/>
      </c>
      <c r="L29" s="15">
        <f>L26*Hypothèses!$D$27</f>
        <v/>
      </c>
      <c r="M29" s="15">
        <f>M26*Hypothèses!$D$27</f>
        <v/>
      </c>
      <c r="N29" s="15">
        <f>N26*Hypothèses!$D$27</f>
        <v/>
      </c>
      <c r="O29" s="15">
        <f>O26*Hypothèses!$D$27</f>
        <v/>
      </c>
      <c r="P29" s="15">
        <f>P26*Hypothèses!$D$27</f>
        <v/>
      </c>
      <c r="Q29" s="15">
        <f>Q26*Hypothèses!$D$27</f>
        <v/>
      </c>
      <c r="R29" s="15">
        <f>R26*Hypothèses!$D$27</f>
        <v/>
      </c>
      <c r="S29" s="15">
        <f>S26*Hypothèses!$D$27</f>
        <v/>
      </c>
      <c r="T29" s="15">
        <f>T26*Hypothèses!$D$27</f>
        <v/>
      </c>
      <c r="U29" s="15">
        <f>U26*Hypothèses!$D$27</f>
        <v/>
      </c>
      <c r="V29" s="15">
        <f>V26*Hypothèses!$D$27</f>
        <v/>
      </c>
      <c r="W29" s="15">
        <f>W26*Hypothèses!$D$27</f>
        <v/>
      </c>
      <c r="X29" s="15">
        <f>X26*Hypothèses!$D$27</f>
        <v/>
      </c>
      <c r="Y29" s="15">
        <f>Y26*Hypothèses!$D$27</f>
        <v/>
      </c>
      <c r="Z29" s="15">
        <f>Z26*Hypothèses!$D$27</f>
        <v/>
      </c>
      <c r="AA29" s="15">
        <f>AA26*Hypothèses!$D$27</f>
        <v/>
      </c>
      <c r="AB29" s="15">
        <f>AB26*Hypothèses!$D$27</f>
        <v/>
      </c>
      <c r="AC29" s="15">
        <f>AC26*Hypothèses!$D$27</f>
        <v/>
      </c>
      <c r="AD29" s="15">
        <f>AD26*Hypothèses!$D$27</f>
        <v/>
      </c>
      <c r="AE29" s="15">
        <f>AE26*Hypothèses!$D$27</f>
        <v/>
      </c>
      <c r="AF29" s="15">
        <f>AF26*Hypothèses!$D$27</f>
        <v/>
      </c>
      <c r="AG29" s="15">
        <f>AG26*Hypothèses!$D$27</f>
        <v/>
      </c>
      <c r="AH29" s="15">
        <f>AH26*Hypothèses!$D$27</f>
        <v/>
      </c>
      <c r="AI29" s="15">
        <f>AI26*Hypothèses!$D$27</f>
        <v/>
      </c>
      <c r="AJ29" s="15">
        <f>AJ26*Hypothèses!$D$27</f>
        <v/>
      </c>
      <c r="AK29" s="15">
        <f>AK26*Hypothèses!$D$27</f>
        <v/>
      </c>
      <c r="AL29" s="15">
        <f>AL26*Hypothèses!$D$27</f>
        <v/>
      </c>
      <c r="AN29" s="15">
        <f>SUM(C29:N29)</f>
        <v/>
      </c>
      <c r="AO29" s="15">
        <f>SUM(O29:Z29)</f>
        <v/>
      </c>
      <c r="AP29" s="15">
        <f>SUM(AA29:AL29)</f>
        <v/>
      </c>
    </row>
    <row r="30">
      <c r="A30" s="9" t="inlineStr">
        <is>
          <t>Frais de paiement</t>
        </is>
      </c>
      <c r="B30" s="4" t="inlineStr">
        <is>
          <t>€</t>
        </is>
      </c>
      <c r="C30" s="15">
        <f>(C26-C29)*Hypothèses!$D$28+C18*Hypothèses!$D$29</f>
        <v/>
      </c>
      <c r="D30" s="15">
        <f>(D26-D29)*Hypothèses!$D$28+D18*Hypothèses!$D$29</f>
        <v/>
      </c>
      <c r="E30" s="15">
        <f>(E26-E29)*Hypothèses!$D$28+E18*Hypothèses!$D$29</f>
        <v/>
      </c>
      <c r="F30" s="15">
        <f>(F26-F29)*Hypothèses!$D$28+F18*Hypothèses!$D$29</f>
        <v/>
      </c>
      <c r="G30" s="15">
        <f>(G26-G29)*Hypothèses!$D$28+G18*Hypothèses!$D$29</f>
        <v/>
      </c>
      <c r="H30" s="15">
        <f>(H26-H29)*Hypothèses!$D$28+H18*Hypothèses!$D$29</f>
        <v/>
      </c>
      <c r="I30" s="15">
        <f>(I26-I29)*Hypothèses!$D$28+I18*Hypothèses!$D$29</f>
        <v/>
      </c>
      <c r="J30" s="15">
        <f>(J26-J29)*Hypothèses!$D$28+J18*Hypothèses!$D$29</f>
        <v/>
      </c>
      <c r="K30" s="15">
        <f>(K26-K29)*Hypothèses!$D$28+K18*Hypothèses!$D$29</f>
        <v/>
      </c>
      <c r="L30" s="15">
        <f>(L26-L29)*Hypothèses!$D$28+L18*Hypothèses!$D$29</f>
        <v/>
      </c>
      <c r="M30" s="15">
        <f>(M26-M29)*Hypothèses!$D$28+M18*Hypothèses!$D$29</f>
        <v/>
      </c>
      <c r="N30" s="15">
        <f>(N26-N29)*Hypothèses!$D$28+N18*Hypothèses!$D$29</f>
        <v/>
      </c>
      <c r="O30" s="15">
        <f>(O26-O29)*Hypothèses!$D$28+O18*Hypothèses!$D$29</f>
        <v/>
      </c>
      <c r="P30" s="15">
        <f>(P26-P29)*Hypothèses!$D$28+P18*Hypothèses!$D$29</f>
        <v/>
      </c>
      <c r="Q30" s="15">
        <f>(Q26-Q29)*Hypothèses!$D$28+Q18*Hypothèses!$D$29</f>
        <v/>
      </c>
      <c r="R30" s="15">
        <f>(R26-R29)*Hypothèses!$D$28+R18*Hypothèses!$D$29</f>
        <v/>
      </c>
      <c r="S30" s="15">
        <f>(S26-S29)*Hypothèses!$D$28+S18*Hypothèses!$D$29</f>
        <v/>
      </c>
      <c r="T30" s="15">
        <f>(T26-T29)*Hypothèses!$D$28+T18*Hypothèses!$D$29</f>
        <v/>
      </c>
      <c r="U30" s="15">
        <f>(U26-U29)*Hypothèses!$D$28+U18*Hypothèses!$D$29</f>
        <v/>
      </c>
      <c r="V30" s="15">
        <f>(V26-V29)*Hypothèses!$D$28+V18*Hypothèses!$D$29</f>
        <v/>
      </c>
      <c r="W30" s="15">
        <f>(W26-W29)*Hypothèses!$D$28+W18*Hypothèses!$D$29</f>
        <v/>
      </c>
      <c r="X30" s="15">
        <f>(X26-X29)*Hypothèses!$D$28+X18*Hypothèses!$D$29</f>
        <v/>
      </c>
      <c r="Y30" s="15">
        <f>(Y26-Y29)*Hypothèses!$D$28+Y18*Hypothèses!$D$29</f>
        <v/>
      </c>
      <c r="Z30" s="15">
        <f>(Z26-Z29)*Hypothèses!$D$28+Z18*Hypothèses!$D$29</f>
        <v/>
      </c>
      <c r="AA30" s="15">
        <f>(AA26-AA29)*Hypothèses!$D$28+AA18*Hypothèses!$D$29</f>
        <v/>
      </c>
      <c r="AB30" s="15">
        <f>(AB26-AB29)*Hypothèses!$D$28+AB18*Hypothèses!$D$29</f>
        <v/>
      </c>
      <c r="AC30" s="15">
        <f>(AC26-AC29)*Hypothèses!$D$28+AC18*Hypothèses!$D$29</f>
        <v/>
      </c>
      <c r="AD30" s="15">
        <f>(AD26-AD29)*Hypothèses!$D$28+AD18*Hypothèses!$D$29</f>
        <v/>
      </c>
      <c r="AE30" s="15">
        <f>(AE26-AE29)*Hypothèses!$D$28+AE18*Hypothèses!$D$29</f>
        <v/>
      </c>
      <c r="AF30" s="15">
        <f>(AF26-AF29)*Hypothèses!$D$28+AF18*Hypothèses!$D$29</f>
        <v/>
      </c>
      <c r="AG30" s="15">
        <f>(AG26-AG29)*Hypothèses!$D$28+AG18*Hypothèses!$D$29</f>
        <v/>
      </c>
      <c r="AH30" s="15">
        <f>(AH26-AH29)*Hypothèses!$D$28+AH18*Hypothèses!$D$29</f>
        <v/>
      </c>
      <c r="AI30" s="15">
        <f>(AI26-AI29)*Hypothèses!$D$28+AI18*Hypothèses!$D$29</f>
        <v/>
      </c>
      <c r="AJ30" s="15">
        <f>(AJ26-AJ29)*Hypothèses!$D$28+AJ18*Hypothèses!$D$29</f>
        <v/>
      </c>
      <c r="AK30" s="15">
        <f>(AK26-AK29)*Hypothèses!$D$28+AK18*Hypothèses!$D$29</f>
        <v/>
      </c>
      <c r="AL30" s="15">
        <f>(AL26-AL29)*Hypothèses!$D$28+AL18*Hypothèses!$D$29</f>
        <v/>
      </c>
      <c r="AN30" s="15">
        <f>SUM(C30:N30)</f>
        <v/>
      </c>
      <c r="AO30" s="15">
        <f>SUM(O30:Z30)</f>
        <v/>
      </c>
      <c r="AP30" s="15">
        <f>SUM(AA30:AL30)</f>
        <v/>
      </c>
    </row>
    <row r="31">
      <c r="A31" s="2" t="inlineStr">
        <is>
          <t>Encaissements nets TTC</t>
        </is>
      </c>
      <c r="B31" s="4" t="inlineStr">
        <is>
          <t>€ TTC</t>
        </is>
      </c>
      <c r="C31" s="40">
        <f>C26-C29-C30</f>
        <v/>
      </c>
      <c r="D31" s="40">
        <f>D26-D29-D30</f>
        <v/>
      </c>
      <c r="E31" s="40">
        <f>E26-E29-E30</f>
        <v/>
      </c>
      <c r="F31" s="40">
        <f>F26-F29-F30</f>
        <v/>
      </c>
      <c r="G31" s="40">
        <f>G26-G29-G30</f>
        <v/>
      </c>
      <c r="H31" s="40">
        <f>H26-H29-H30</f>
        <v/>
      </c>
      <c r="I31" s="40">
        <f>I26-I29-I30</f>
        <v/>
      </c>
      <c r="J31" s="40">
        <f>J26-J29-J30</f>
        <v/>
      </c>
      <c r="K31" s="40">
        <f>K26-K29-K30</f>
        <v/>
      </c>
      <c r="L31" s="40">
        <f>L26-L29-L30</f>
        <v/>
      </c>
      <c r="M31" s="40">
        <f>M26-M29-M30</f>
        <v/>
      </c>
      <c r="N31" s="40">
        <f>N26-N29-N30</f>
        <v/>
      </c>
      <c r="O31" s="40">
        <f>O26-O29-O30</f>
        <v/>
      </c>
      <c r="P31" s="40">
        <f>P26-P29-P30</f>
        <v/>
      </c>
      <c r="Q31" s="40">
        <f>Q26-Q29-Q30</f>
        <v/>
      </c>
      <c r="R31" s="40">
        <f>R26-R29-R30</f>
        <v/>
      </c>
      <c r="S31" s="40">
        <f>S26-S29-S30</f>
        <v/>
      </c>
      <c r="T31" s="40">
        <f>T26-T29-T30</f>
        <v/>
      </c>
      <c r="U31" s="40">
        <f>U26-U29-U30</f>
        <v/>
      </c>
      <c r="V31" s="40">
        <f>V26-V29-V30</f>
        <v/>
      </c>
      <c r="W31" s="40">
        <f>W26-W29-W30</f>
        <v/>
      </c>
      <c r="X31" s="40">
        <f>X26-X29-X30</f>
        <v/>
      </c>
      <c r="Y31" s="40">
        <f>Y26-Y29-Y30</f>
        <v/>
      </c>
      <c r="Z31" s="40">
        <f>Z26-Z29-Z30</f>
        <v/>
      </c>
      <c r="AA31" s="40">
        <f>AA26-AA29-AA30</f>
        <v/>
      </c>
      <c r="AB31" s="40">
        <f>AB26-AB29-AB30</f>
        <v/>
      </c>
      <c r="AC31" s="40">
        <f>AC26-AC29-AC30</f>
        <v/>
      </c>
      <c r="AD31" s="40">
        <f>AD26-AD29-AD30</f>
        <v/>
      </c>
      <c r="AE31" s="40">
        <f>AE26-AE29-AE30</f>
        <v/>
      </c>
      <c r="AF31" s="40">
        <f>AF26-AF29-AF30</f>
        <v/>
      </c>
      <c r="AG31" s="40">
        <f>AG26-AG29-AG30</f>
        <v/>
      </c>
      <c r="AH31" s="40">
        <f>AH26-AH29-AH30</f>
        <v/>
      </c>
      <c r="AI31" s="40">
        <f>AI26-AI29-AI30</f>
        <v/>
      </c>
      <c r="AJ31" s="40">
        <f>AJ26-AJ29-AJ30</f>
        <v/>
      </c>
      <c r="AK31" s="40">
        <f>AK26-AK29-AK30</f>
        <v/>
      </c>
      <c r="AL31" s="40">
        <f>AL26-AL29-AL30</f>
        <v/>
      </c>
      <c r="AN31" s="40">
        <f>SUM(C31:N31)</f>
        <v/>
      </c>
      <c r="AO31" s="40">
        <f>SUM(O31:Z31)</f>
        <v/>
      </c>
      <c r="AP31" s="40">
        <f>SUM(AA31:AL31)</f>
        <v/>
      </c>
    </row>
    <row r="32">
      <c r="A32" s="8" t="inlineStr">
        <is>
          <t>Coûts variables</t>
        </is>
      </c>
    </row>
    <row r="33">
      <c r="A33" s="9" t="inlineStr">
        <is>
          <t>Coût IA et outils (missions × coût par mission)</t>
        </is>
      </c>
      <c r="B33" s="4" t="inlineStr">
        <is>
          <t>€ HT</t>
        </is>
      </c>
      <c r="C33" s="15">
        <f>(C19*Hypothèses!$D$31+C20*Hypothèses!$D$32+C21*Hypothèses!$D$33)*Hypothèses!$D$34*$F$4</f>
        <v/>
      </c>
      <c r="D33" s="15">
        <f>(D19*Hypothèses!$D$31+D20*Hypothèses!$D$32+D21*Hypothèses!$D$33)*Hypothèses!$D$34*$F$4</f>
        <v/>
      </c>
      <c r="E33" s="15">
        <f>(E19*Hypothèses!$D$31+E20*Hypothèses!$D$32+E21*Hypothèses!$D$33)*Hypothèses!$D$34*$F$4</f>
        <v/>
      </c>
      <c r="F33" s="15">
        <f>(F19*Hypothèses!$D$31+F20*Hypothèses!$D$32+F21*Hypothèses!$D$33)*Hypothèses!$D$34*$F$4</f>
        <v/>
      </c>
      <c r="G33" s="15">
        <f>(G19*Hypothèses!$D$31+G20*Hypothèses!$D$32+G21*Hypothèses!$D$33)*Hypothèses!$D$34*$F$4</f>
        <v/>
      </c>
      <c r="H33" s="15">
        <f>(H19*Hypothèses!$D$31+H20*Hypothèses!$D$32+H21*Hypothèses!$D$33)*Hypothèses!$D$34*$F$4</f>
        <v/>
      </c>
      <c r="I33" s="15">
        <f>(I19*Hypothèses!$D$31+I20*Hypothèses!$D$32+I21*Hypothèses!$D$33)*Hypothèses!$D$34*$F$4</f>
        <v/>
      </c>
      <c r="J33" s="15">
        <f>(J19*Hypothèses!$D$31+J20*Hypothèses!$D$32+J21*Hypothèses!$D$33)*Hypothèses!$D$34*$F$4</f>
        <v/>
      </c>
      <c r="K33" s="15">
        <f>(K19*Hypothèses!$D$31+K20*Hypothèses!$D$32+K21*Hypothèses!$D$33)*Hypothèses!$D$34*$F$4</f>
        <v/>
      </c>
      <c r="L33" s="15">
        <f>(L19*Hypothèses!$D$31+L20*Hypothèses!$D$32+L21*Hypothèses!$D$33)*Hypothèses!$D$34*$F$4</f>
        <v/>
      </c>
      <c r="M33" s="15">
        <f>(M19*Hypothèses!$D$31+M20*Hypothèses!$D$32+M21*Hypothèses!$D$33)*Hypothèses!$D$34*$F$4</f>
        <v/>
      </c>
      <c r="N33" s="15">
        <f>(N19*Hypothèses!$D$31+N20*Hypothèses!$D$32+N21*Hypothèses!$D$33)*Hypothèses!$D$34*$F$4</f>
        <v/>
      </c>
      <c r="O33" s="15">
        <f>(O19*Hypothèses!$D$31+O20*Hypothèses!$D$32+O21*Hypothèses!$D$33)*Hypothèses!$D$34*$F$4</f>
        <v/>
      </c>
      <c r="P33" s="15">
        <f>(P19*Hypothèses!$D$31+P20*Hypothèses!$D$32+P21*Hypothèses!$D$33)*Hypothèses!$D$34*$F$4</f>
        <v/>
      </c>
      <c r="Q33" s="15">
        <f>(Q19*Hypothèses!$D$31+Q20*Hypothèses!$D$32+Q21*Hypothèses!$D$33)*Hypothèses!$D$34*$F$4</f>
        <v/>
      </c>
      <c r="R33" s="15">
        <f>(R19*Hypothèses!$D$31+R20*Hypothèses!$D$32+R21*Hypothèses!$D$33)*Hypothèses!$D$34*$F$4</f>
        <v/>
      </c>
      <c r="S33" s="15">
        <f>(S19*Hypothèses!$D$31+S20*Hypothèses!$D$32+S21*Hypothèses!$D$33)*Hypothèses!$D$34*$F$4</f>
        <v/>
      </c>
      <c r="T33" s="15">
        <f>(T19*Hypothèses!$D$31+T20*Hypothèses!$D$32+T21*Hypothèses!$D$33)*Hypothèses!$D$34*$F$4</f>
        <v/>
      </c>
      <c r="U33" s="15">
        <f>(U19*Hypothèses!$D$31+U20*Hypothèses!$D$32+U21*Hypothèses!$D$33)*Hypothèses!$D$34*$F$4</f>
        <v/>
      </c>
      <c r="V33" s="15">
        <f>(V19*Hypothèses!$D$31+V20*Hypothèses!$D$32+V21*Hypothèses!$D$33)*Hypothèses!$D$34*$F$4</f>
        <v/>
      </c>
      <c r="W33" s="15">
        <f>(W19*Hypothèses!$D$31+W20*Hypothèses!$D$32+W21*Hypothèses!$D$33)*Hypothèses!$D$34*$F$4</f>
        <v/>
      </c>
      <c r="X33" s="15">
        <f>(X19*Hypothèses!$D$31+X20*Hypothèses!$D$32+X21*Hypothèses!$D$33)*Hypothèses!$D$34*$F$4</f>
        <v/>
      </c>
      <c r="Y33" s="15">
        <f>(Y19*Hypothèses!$D$31+Y20*Hypothèses!$D$32+Y21*Hypothèses!$D$33)*Hypothèses!$D$34*$F$4</f>
        <v/>
      </c>
      <c r="Z33" s="15">
        <f>(Z19*Hypothèses!$D$31+Z20*Hypothèses!$D$32+Z21*Hypothèses!$D$33)*Hypothèses!$D$34*$F$4</f>
        <v/>
      </c>
      <c r="AA33" s="15">
        <f>(AA19*Hypothèses!$D$31+AA20*Hypothèses!$D$32+AA21*Hypothèses!$D$33)*Hypothèses!$D$34*$F$4</f>
        <v/>
      </c>
      <c r="AB33" s="15">
        <f>(AB19*Hypothèses!$D$31+AB20*Hypothèses!$D$32+AB21*Hypothèses!$D$33)*Hypothèses!$D$34*$F$4</f>
        <v/>
      </c>
      <c r="AC33" s="15">
        <f>(AC19*Hypothèses!$D$31+AC20*Hypothèses!$D$32+AC21*Hypothèses!$D$33)*Hypothèses!$D$34*$F$4</f>
        <v/>
      </c>
      <c r="AD33" s="15">
        <f>(AD19*Hypothèses!$D$31+AD20*Hypothèses!$D$32+AD21*Hypothèses!$D$33)*Hypothèses!$D$34*$F$4</f>
        <v/>
      </c>
      <c r="AE33" s="15">
        <f>(AE19*Hypothèses!$D$31+AE20*Hypothèses!$D$32+AE21*Hypothèses!$D$33)*Hypothèses!$D$34*$F$4</f>
        <v/>
      </c>
      <c r="AF33" s="15">
        <f>(AF19*Hypothèses!$D$31+AF20*Hypothèses!$D$32+AF21*Hypothèses!$D$33)*Hypothèses!$D$34*$F$4</f>
        <v/>
      </c>
      <c r="AG33" s="15">
        <f>(AG19*Hypothèses!$D$31+AG20*Hypothèses!$D$32+AG21*Hypothèses!$D$33)*Hypothèses!$D$34*$F$4</f>
        <v/>
      </c>
      <c r="AH33" s="15">
        <f>(AH19*Hypothèses!$D$31+AH20*Hypothèses!$D$32+AH21*Hypothèses!$D$33)*Hypothèses!$D$34*$F$4</f>
        <v/>
      </c>
      <c r="AI33" s="15">
        <f>(AI19*Hypothèses!$D$31+AI20*Hypothèses!$D$32+AI21*Hypothèses!$D$33)*Hypothèses!$D$34*$F$4</f>
        <v/>
      </c>
      <c r="AJ33" s="15">
        <f>(AJ19*Hypothèses!$D$31+AJ20*Hypothèses!$D$32+AJ21*Hypothèses!$D$33)*Hypothèses!$D$34*$F$4</f>
        <v/>
      </c>
      <c r="AK33" s="15">
        <f>(AK19*Hypothèses!$D$31+AK20*Hypothèses!$D$32+AK21*Hypothèses!$D$33)*Hypothèses!$D$34*$F$4</f>
        <v/>
      </c>
      <c r="AL33" s="15">
        <f>(AL19*Hypothèses!$D$31+AL20*Hypothèses!$D$32+AL21*Hypothèses!$D$33)*Hypothèses!$D$34*$F$4</f>
        <v/>
      </c>
      <c r="AN33" s="15">
        <f>SUM(C33:N33)</f>
        <v/>
      </c>
      <c r="AO33" s="15">
        <f>SUM(O33:Z33)</f>
        <v/>
      </c>
      <c r="AP33" s="15">
        <f>SUM(AA33:AL33)</f>
        <v/>
      </c>
    </row>
    <row r="34">
      <c r="A34" s="9" t="inlineStr">
        <is>
          <t>Hébergement, stockage, connecteurs</t>
        </is>
      </c>
      <c r="B34" s="4" t="inlineStr">
        <is>
          <t>€ HT</t>
        </is>
      </c>
      <c r="C34" s="15">
        <f>C18*Hypothèses!$D$35</f>
        <v/>
      </c>
      <c r="D34" s="15">
        <f>D18*Hypothèses!$D$35</f>
        <v/>
      </c>
      <c r="E34" s="15">
        <f>E18*Hypothèses!$D$35</f>
        <v/>
      </c>
      <c r="F34" s="15">
        <f>F18*Hypothèses!$D$35</f>
        <v/>
      </c>
      <c r="G34" s="15">
        <f>G18*Hypothèses!$D$35</f>
        <v/>
      </c>
      <c r="H34" s="15">
        <f>H18*Hypothèses!$D$35</f>
        <v/>
      </c>
      <c r="I34" s="15">
        <f>I18*Hypothèses!$D$35</f>
        <v/>
      </c>
      <c r="J34" s="15">
        <f>J18*Hypothèses!$D$35</f>
        <v/>
      </c>
      <c r="K34" s="15">
        <f>K18*Hypothèses!$D$35</f>
        <v/>
      </c>
      <c r="L34" s="15">
        <f>L18*Hypothèses!$D$35</f>
        <v/>
      </c>
      <c r="M34" s="15">
        <f>M18*Hypothèses!$D$35</f>
        <v/>
      </c>
      <c r="N34" s="15">
        <f>N18*Hypothèses!$D$35</f>
        <v/>
      </c>
      <c r="O34" s="15">
        <f>O18*Hypothèses!$D$35</f>
        <v/>
      </c>
      <c r="P34" s="15">
        <f>P18*Hypothèses!$D$35</f>
        <v/>
      </c>
      <c r="Q34" s="15">
        <f>Q18*Hypothèses!$D$35</f>
        <v/>
      </c>
      <c r="R34" s="15">
        <f>R18*Hypothèses!$D$35</f>
        <v/>
      </c>
      <c r="S34" s="15">
        <f>S18*Hypothèses!$D$35</f>
        <v/>
      </c>
      <c r="T34" s="15">
        <f>T18*Hypothèses!$D$35</f>
        <v/>
      </c>
      <c r="U34" s="15">
        <f>U18*Hypothèses!$D$35</f>
        <v/>
      </c>
      <c r="V34" s="15">
        <f>V18*Hypothèses!$D$35</f>
        <v/>
      </c>
      <c r="W34" s="15">
        <f>W18*Hypothèses!$D$35</f>
        <v/>
      </c>
      <c r="X34" s="15">
        <f>X18*Hypothèses!$D$35</f>
        <v/>
      </c>
      <c r="Y34" s="15">
        <f>Y18*Hypothèses!$D$35</f>
        <v/>
      </c>
      <c r="Z34" s="15">
        <f>Z18*Hypothèses!$D$35</f>
        <v/>
      </c>
      <c r="AA34" s="15">
        <f>AA18*Hypothèses!$D$35</f>
        <v/>
      </c>
      <c r="AB34" s="15">
        <f>AB18*Hypothèses!$D$35</f>
        <v/>
      </c>
      <c r="AC34" s="15">
        <f>AC18*Hypothèses!$D$35</f>
        <v/>
      </c>
      <c r="AD34" s="15">
        <f>AD18*Hypothèses!$D$35</f>
        <v/>
      </c>
      <c r="AE34" s="15">
        <f>AE18*Hypothèses!$D$35</f>
        <v/>
      </c>
      <c r="AF34" s="15">
        <f>AF18*Hypothèses!$D$35</f>
        <v/>
      </c>
      <c r="AG34" s="15">
        <f>AG18*Hypothèses!$D$35</f>
        <v/>
      </c>
      <c r="AH34" s="15">
        <f>AH18*Hypothèses!$D$35</f>
        <v/>
      </c>
      <c r="AI34" s="15">
        <f>AI18*Hypothèses!$D$35</f>
        <v/>
      </c>
      <c r="AJ34" s="15">
        <f>AJ18*Hypothèses!$D$35</f>
        <v/>
      </c>
      <c r="AK34" s="15">
        <f>AK18*Hypothèses!$D$35</f>
        <v/>
      </c>
      <c r="AL34" s="15">
        <f>AL18*Hypothèses!$D$35</f>
        <v/>
      </c>
      <c r="AN34" s="15">
        <f>SUM(C34:N34)</f>
        <v/>
      </c>
      <c r="AO34" s="15">
        <f>SUM(O34:Z34)</f>
        <v/>
      </c>
      <c r="AP34" s="15">
        <f>SUM(AA34:AL34)</f>
        <v/>
      </c>
    </row>
    <row r="35">
      <c r="A35" s="9" t="inlineStr">
        <is>
          <t>Support humain</t>
        </is>
      </c>
      <c r="B35" s="4" t="inlineStr">
        <is>
          <t>€ HT</t>
        </is>
      </c>
      <c r="C35" s="15">
        <f>C18*Hypothèses!$D$36</f>
        <v/>
      </c>
      <c r="D35" s="15">
        <f>D18*Hypothèses!$D$36</f>
        <v/>
      </c>
      <c r="E35" s="15">
        <f>E18*Hypothèses!$D$36</f>
        <v/>
      </c>
      <c r="F35" s="15">
        <f>F18*Hypothèses!$D$36</f>
        <v/>
      </c>
      <c r="G35" s="15">
        <f>G18*Hypothèses!$D$36</f>
        <v/>
      </c>
      <c r="H35" s="15">
        <f>H18*Hypothèses!$D$36</f>
        <v/>
      </c>
      <c r="I35" s="15">
        <f>I18*Hypothèses!$D$36</f>
        <v/>
      </c>
      <c r="J35" s="15">
        <f>J18*Hypothèses!$D$36</f>
        <v/>
      </c>
      <c r="K35" s="15">
        <f>K18*Hypothèses!$D$36</f>
        <v/>
      </c>
      <c r="L35" s="15">
        <f>L18*Hypothèses!$D$36</f>
        <v/>
      </c>
      <c r="M35" s="15">
        <f>M18*Hypothèses!$D$36</f>
        <v/>
      </c>
      <c r="N35" s="15">
        <f>N18*Hypothèses!$D$36</f>
        <v/>
      </c>
      <c r="O35" s="15">
        <f>O18*Hypothèses!$D$36</f>
        <v/>
      </c>
      <c r="P35" s="15">
        <f>P18*Hypothèses!$D$36</f>
        <v/>
      </c>
      <c r="Q35" s="15">
        <f>Q18*Hypothèses!$D$36</f>
        <v/>
      </c>
      <c r="R35" s="15">
        <f>R18*Hypothèses!$D$36</f>
        <v/>
      </c>
      <c r="S35" s="15">
        <f>S18*Hypothèses!$D$36</f>
        <v/>
      </c>
      <c r="T35" s="15">
        <f>T18*Hypothèses!$D$36</f>
        <v/>
      </c>
      <c r="U35" s="15">
        <f>U18*Hypothèses!$D$36</f>
        <v/>
      </c>
      <c r="V35" s="15">
        <f>V18*Hypothèses!$D$36</f>
        <v/>
      </c>
      <c r="W35" s="15">
        <f>W18*Hypothèses!$D$36</f>
        <v/>
      </c>
      <c r="X35" s="15">
        <f>X18*Hypothèses!$D$36</f>
        <v/>
      </c>
      <c r="Y35" s="15">
        <f>Y18*Hypothèses!$D$36</f>
        <v/>
      </c>
      <c r="Z35" s="15">
        <f>Z18*Hypothèses!$D$36</f>
        <v/>
      </c>
      <c r="AA35" s="15">
        <f>AA18*Hypothèses!$D$36</f>
        <v/>
      </c>
      <c r="AB35" s="15">
        <f>AB18*Hypothèses!$D$36</f>
        <v/>
      </c>
      <c r="AC35" s="15">
        <f>AC18*Hypothèses!$D$36</f>
        <v/>
      </c>
      <c r="AD35" s="15">
        <f>AD18*Hypothèses!$D$36</f>
        <v/>
      </c>
      <c r="AE35" s="15">
        <f>AE18*Hypothèses!$D$36</f>
        <v/>
      </c>
      <c r="AF35" s="15">
        <f>AF18*Hypothèses!$D$36</f>
        <v/>
      </c>
      <c r="AG35" s="15">
        <f>AG18*Hypothèses!$D$36</f>
        <v/>
      </c>
      <c r="AH35" s="15">
        <f>AH18*Hypothèses!$D$36</f>
        <v/>
      </c>
      <c r="AI35" s="15">
        <f>AI18*Hypothèses!$D$36</f>
        <v/>
      </c>
      <c r="AJ35" s="15">
        <f>AJ18*Hypothèses!$D$36</f>
        <v/>
      </c>
      <c r="AK35" s="15">
        <f>AK18*Hypothèses!$D$36</f>
        <v/>
      </c>
      <c r="AL35" s="15">
        <f>AL18*Hypothèses!$D$36</f>
        <v/>
      </c>
      <c r="AN35" s="15">
        <f>SUM(C35:N35)</f>
        <v/>
      </c>
      <c r="AO35" s="15">
        <f>SUM(O35:Z35)</f>
        <v/>
      </c>
      <c r="AP35" s="15">
        <f>SUM(AA35:AL35)</f>
        <v/>
      </c>
    </row>
    <row r="36">
      <c r="A36" s="2" t="inlineStr">
        <is>
          <t>Total coûts variables</t>
        </is>
      </c>
      <c r="B36" s="4" t="inlineStr">
        <is>
          <t>€ HT</t>
        </is>
      </c>
      <c r="C36" s="40">
        <f>C33+C34+C35</f>
        <v/>
      </c>
      <c r="D36" s="40">
        <f>D33+D34+D35</f>
        <v/>
      </c>
      <c r="E36" s="40">
        <f>E33+E34+E35</f>
        <v/>
      </c>
      <c r="F36" s="40">
        <f>F33+F34+F35</f>
        <v/>
      </c>
      <c r="G36" s="40">
        <f>G33+G34+G35</f>
        <v/>
      </c>
      <c r="H36" s="40">
        <f>H33+H34+H35</f>
        <v/>
      </c>
      <c r="I36" s="40">
        <f>I33+I34+I35</f>
        <v/>
      </c>
      <c r="J36" s="40">
        <f>J33+J34+J35</f>
        <v/>
      </c>
      <c r="K36" s="40">
        <f>K33+K34+K35</f>
        <v/>
      </c>
      <c r="L36" s="40">
        <f>L33+L34+L35</f>
        <v/>
      </c>
      <c r="M36" s="40">
        <f>M33+M34+M35</f>
        <v/>
      </c>
      <c r="N36" s="40">
        <f>N33+N34+N35</f>
        <v/>
      </c>
      <c r="O36" s="40">
        <f>O33+O34+O35</f>
        <v/>
      </c>
      <c r="P36" s="40">
        <f>P33+P34+P35</f>
        <v/>
      </c>
      <c r="Q36" s="40">
        <f>Q33+Q34+Q35</f>
        <v/>
      </c>
      <c r="R36" s="40">
        <f>R33+R34+R35</f>
        <v/>
      </c>
      <c r="S36" s="40">
        <f>S33+S34+S35</f>
        <v/>
      </c>
      <c r="T36" s="40">
        <f>T33+T34+T35</f>
        <v/>
      </c>
      <c r="U36" s="40">
        <f>U33+U34+U35</f>
        <v/>
      </c>
      <c r="V36" s="40">
        <f>V33+V34+V35</f>
        <v/>
      </c>
      <c r="W36" s="40">
        <f>W33+W34+W35</f>
        <v/>
      </c>
      <c r="X36" s="40">
        <f>X33+X34+X35</f>
        <v/>
      </c>
      <c r="Y36" s="40">
        <f>Y33+Y34+Y35</f>
        <v/>
      </c>
      <c r="Z36" s="40">
        <f>Z33+Z34+Z35</f>
        <v/>
      </c>
      <c r="AA36" s="40">
        <f>AA33+AA34+AA35</f>
        <v/>
      </c>
      <c r="AB36" s="40">
        <f>AB33+AB34+AB35</f>
        <v/>
      </c>
      <c r="AC36" s="40">
        <f>AC33+AC34+AC35</f>
        <v/>
      </c>
      <c r="AD36" s="40">
        <f>AD33+AD34+AD35</f>
        <v/>
      </c>
      <c r="AE36" s="40">
        <f>AE33+AE34+AE35</f>
        <v/>
      </c>
      <c r="AF36" s="40">
        <f>AF33+AF34+AF35</f>
        <v/>
      </c>
      <c r="AG36" s="40">
        <f>AG33+AG34+AG35</f>
        <v/>
      </c>
      <c r="AH36" s="40">
        <f>AH33+AH34+AH35</f>
        <v/>
      </c>
      <c r="AI36" s="40">
        <f>AI33+AI34+AI35</f>
        <v/>
      </c>
      <c r="AJ36" s="40">
        <f>AJ33+AJ34+AJ35</f>
        <v/>
      </c>
      <c r="AK36" s="40">
        <f>AK33+AK34+AK35</f>
        <v/>
      </c>
      <c r="AL36" s="40">
        <f>AL33+AL34+AL35</f>
        <v/>
      </c>
      <c r="AN36" s="40">
        <f>SUM(C36:N36)</f>
        <v/>
      </c>
      <c r="AO36" s="40">
        <f>SUM(O36:Z36)</f>
        <v/>
      </c>
      <c r="AP36" s="40">
        <f>SUM(AA36:AL36)</f>
        <v/>
      </c>
    </row>
    <row r="37">
      <c r="A37" s="2" t="inlineStr">
        <is>
          <t>Marge sur coûts variables (CA HT − variables − frais − impayés HT)</t>
        </is>
      </c>
      <c r="B37" s="4" t="inlineStr">
        <is>
          <t>€ HT</t>
        </is>
      </c>
      <c r="C37" s="40">
        <f>C28-C36-C30-C29/(1+Hypothèses!$D$15)</f>
        <v/>
      </c>
      <c r="D37" s="40">
        <f>D28-D36-D30-D29/(1+Hypothèses!$D$15)</f>
        <v/>
      </c>
      <c r="E37" s="40">
        <f>E28-E36-E30-E29/(1+Hypothèses!$D$15)</f>
        <v/>
      </c>
      <c r="F37" s="40">
        <f>F28-F36-F30-F29/(1+Hypothèses!$D$15)</f>
        <v/>
      </c>
      <c r="G37" s="40">
        <f>G28-G36-G30-G29/(1+Hypothèses!$D$15)</f>
        <v/>
      </c>
      <c r="H37" s="40">
        <f>H28-H36-H30-H29/(1+Hypothèses!$D$15)</f>
        <v/>
      </c>
      <c r="I37" s="40">
        <f>I28-I36-I30-I29/(1+Hypothèses!$D$15)</f>
        <v/>
      </c>
      <c r="J37" s="40">
        <f>J28-J36-J30-J29/(1+Hypothèses!$D$15)</f>
        <v/>
      </c>
      <c r="K37" s="40">
        <f>K28-K36-K30-K29/(1+Hypothèses!$D$15)</f>
        <v/>
      </c>
      <c r="L37" s="40">
        <f>L28-L36-L30-L29/(1+Hypothèses!$D$15)</f>
        <v/>
      </c>
      <c r="M37" s="40">
        <f>M28-M36-M30-M29/(1+Hypothèses!$D$15)</f>
        <v/>
      </c>
      <c r="N37" s="40">
        <f>N28-N36-N30-N29/(1+Hypothèses!$D$15)</f>
        <v/>
      </c>
      <c r="O37" s="40">
        <f>O28-O36-O30-O29/(1+Hypothèses!$D$15)</f>
        <v/>
      </c>
      <c r="P37" s="40">
        <f>P28-P36-P30-P29/(1+Hypothèses!$D$15)</f>
        <v/>
      </c>
      <c r="Q37" s="40">
        <f>Q28-Q36-Q30-Q29/(1+Hypothèses!$D$15)</f>
        <v/>
      </c>
      <c r="R37" s="40">
        <f>R28-R36-R30-R29/(1+Hypothèses!$D$15)</f>
        <v/>
      </c>
      <c r="S37" s="40">
        <f>S28-S36-S30-S29/(1+Hypothèses!$D$15)</f>
        <v/>
      </c>
      <c r="T37" s="40">
        <f>T28-T36-T30-T29/(1+Hypothèses!$D$15)</f>
        <v/>
      </c>
      <c r="U37" s="40">
        <f>U28-U36-U30-U29/(1+Hypothèses!$D$15)</f>
        <v/>
      </c>
      <c r="V37" s="40">
        <f>V28-V36-V30-V29/(1+Hypothèses!$D$15)</f>
        <v/>
      </c>
      <c r="W37" s="40">
        <f>W28-W36-W30-W29/(1+Hypothèses!$D$15)</f>
        <v/>
      </c>
      <c r="X37" s="40">
        <f>X28-X36-X30-X29/(1+Hypothèses!$D$15)</f>
        <v/>
      </c>
      <c r="Y37" s="40">
        <f>Y28-Y36-Y30-Y29/(1+Hypothèses!$D$15)</f>
        <v/>
      </c>
      <c r="Z37" s="40">
        <f>Z28-Z36-Z30-Z29/(1+Hypothèses!$D$15)</f>
        <v/>
      </c>
      <c r="AA37" s="40">
        <f>AA28-AA36-AA30-AA29/(1+Hypothèses!$D$15)</f>
        <v/>
      </c>
      <c r="AB37" s="40">
        <f>AB28-AB36-AB30-AB29/(1+Hypothèses!$D$15)</f>
        <v/>
      </c>
      <c r="AC37" s="40">
        <f>AC28-AC36-AC30-AC29/(1+Hypothèses!$D$15)</f>
        <v/>
      </c>
      <c r="AD37" s="40">
        <f>AD28-AD36-AD30-AD29/(1+Hypothèses!$D$15)</f>
        <v/>
      </c>
      <c r="AE37" s="40">
        <f>AE28-AE36-AE30-AE29/(1+Hypothèses!$D$15)</f>
        <v/>
      </c>
      <c r="AF37" s="40">
        <f>AF28-AF36-AF30-AF29/(1+Hypothèses!$D$15)</f>
        <v/>
      </c>
      <c r="AG37" s="40">
        <f>AG28-AG36-AG30-AG29/(1+Hypothèses!$D$15)</f>
        <v/>
      </c>
      <c r="AH37" s="40">
        <f>AH28-AH36-AH30-AH29/(1+Hypothèses!$D$15)</f>
        <v/>
      </c>
      <c r="AI37" s="40">
        <f>AI28-AI36-AI30-AI29/(1+Hypothèses!$D$15)</f>
        <v/>
      </c>
      <c r="AJ37" s="40">
        <f>AJ28-AJ36-AJ30-AJ29/(1+Hypothèses!$D$15)</f>
        <v/>
      </c>
      <c r="AK37" s="40">
        <f>AK28-AK36-AK30-AK29/(1+Hypothèses!$D$15)</f>
        <v/>
      </c>
      <c r="AL37" s="40">
        <f>AL28-AL36-AL30-AL29/(1+Hypothèses!$D$15)</f>
        <v/>
      </c>
      <c r="AN37" s="40">
        <f>SUM(C37:N37)</f>
        <v/>
      </c>
      <c r="AO37" s="40">
        <f>SUM(O37:Z37)</f>
        <v/>
      </c>
      <c r="AP37" s="40">
        <f>SUM(AA37:AL37)</f>
        <v/>
      </c>
    </row>
    <row r="38">
      <c r="A38" s="8" t="inlineStr">
        <is>
          <t>Acquisition et coûts fixes</t>
        </is>
      </c>
    </row>
    <row r="39">
      <c r="A39" s="9" t="inlineStr">
        <is>
          <t>Dépenses d'acquisition</t>
        </is>
      </c>
      <c r="B39" s="4" t="inlineStr">
        <is>
          <t>€ HT</t>
        </is>
      </c>
      <c r="C39" s="15">
        <f>C11</f>
        <v/>
      </c>
      <c r="D39" s="15">
        <f>D11</f>
        <v/>
      </c>
      <c r="E39" s="15">
        <f>E11</f>
        <v/>
      </c>
      <c r="F39" s="15">
        <f>F11</f>
        <v/>
      </c>
      <c r="G39" s="15">
        <f>G11</f>
        <v/>
      </c>
      <c r="H39" s="15">
        <f>H11</f>
        <v/>
      </c>
      <c r="I39" s="15">
        <f>I11</f>
        <v/>
      </c>
      <c r="J39" s="15">
        <f>J11</f>
        <v/>
      </c>
      <c r="K39" s="15">
        <f>K11</f>
        <v/>
      </c>
      <c r="L39" s="15">
        <f>L11</f>
        <v/>
      </c>
      <c r="M39" s="15">
        <f>M11</f>
        <v/>
      </c>
      <c r="N39" s="15">
        <f>N11</f>
        <v/>
      </c>
      <c r="O39" s="15">
        <f>O11</f>
        <v/>
      </c>
      <c r="P39" s="15">
        <f>P11</f>
        <v/>
      </c>
      <c r="Q39" s="15">
        <f>Q11</f>
        <v/>
      </c>
      <c r="R39" s="15">
        <f>R11</f>
        <v/>
      </c>
      <c r="S39" s="15">
        <f>S11</f>
        <v/>
      </c>
      <c r="T39" s="15">
        <f>T11</f>
        <v/>
      </c>
      <c r="U39" s="15">
        <f>U11</f>
        <v/>
      </c>
      <c r="V39" s="15">
        <f>V11</f>
        <v/>
      </c>
      <c r="W39" s="15">
        <f>W11</f>
        <v/>
      </c>
      <c r="X39" s="15">
        <f>X11</f>
        <v/>
      </c>
      <c r="Y39" s="15">
        <f>Y11</f>
        <v/>
      </c>
      <c r="Z39" s="15">
        <f>Z11</f>
        <v/>
      </c>
      <c r="AA39" s="15">
        <f>AA11</f>
        <v/>
      </c>
      <c r="AB39" s="15">
        <f>AB11</f>
        <v/>
      </c>
      <c r="AC39" s="15">
        <f>AC11</f>
        <v/>
      </c>
      <c r="AD39" s="15">
        <f>AD11</f>
        <v/>
      </c>
      <c r="AE39" s="15">
        <f>AE11</f>
        <v/>
      </c>
      <c r="AF39" s="15">
        <f>AF11</f>
        <v/>
      </c>
      <c r="AG39" s="15">
        <f>AG11</f>
        <v/>
      </c>
      <c r="AH39" s="15">
        <f>AH11</f>
        <v/>
      </c>
      <c r="AI39" s="15">
        <f>AI11</f>
        <v/>
      </c>
      <c r="AJ39" s="15">
        <f>AJ11</f>
        <v/>
      </c>
      <c r="AK39" s="15">
        <f>AK11</f>
        <v/>
      </c>
      <c r="AL39" s="15">
        <f>AL11</f>
        <v/>
      </c>
      <c r="AN39" s="15">
        <f>SUM(C39:N39)</f>
        <v/>
      </c>
      <c r="AO39" s="15">
        <f>SUM(O39:Z39)</f>
        <v/>
      </c>
      <c r="AP39" s="15">
        <f>SUM(AA39:AL39)</f>
        <v/>
      </c>
    </row>
    <row r="40">
      <c r="A40" s="9" t="inlineStr">
        <is>
          <t>Rémunération des fondateurs</t>
        </is>
      </c>
      <c r="B40" s="4" t="inlineStr">
        <is>
          <t>€ HT</t>
        </is>
      </c>
      <c r="C40" s="15">
        <f>IF(C7&gt;=Hypothèses!$D$39,Hypothèses!$D$38*Hypothèses!$D$40,0)*$G$4</f>
        <v/>
      </c>
      <c r="D40" s="15">
        <f>IF(D7&gt;=Hypothèses!$D$39,Hypothèses!$D$38*Hypothèses!$D$40,0)*$G$4</f>
        <v/>
      </c>
      <c r="E40" s="15">
        <f>IF(E7&gt;=Hypothèses!$D$39,Hypothèses!$D$38*Hypothèses!$D$40,0)*$G$4</f>
        <v/>
      </c>
      <c r="F40" s="15">
        <f>IF(F7&gt;=Hypothèses!$D$39,Hypothèses!$D$38*Hypothèses!$D$40,0)*$G$4</f>
        <v/>
      </c>
      <c r="G40" s="15">
        <f>IF(G7&gt;=Hypothèses!$D$39,Hypothèses!$D$38*Hypothèses!$D$40,0)*$G$4</f>
        <v/>
      </c>
      <c r="H40" s="15">
        <f>IF(H7&gt;=Hypothèses!$D$39,Hypothèses!$D$38*Hypothèses!$D$40,0)*$G$4</f>
        <v/>
      </c>
      <c r="I40" s="15">
        <f>IF(I7&gt;=Hypothèses!$D$39,Hypothèses!$D$38*Hypothèses!$D$40,0)*$G$4</f>
        <v/>
      </c>
      <c r="J40" s="15">
        <f>IF(J7&gt;=Hypothèses!$D$39,Hypothèses!$D$38*Hypothèses!$D$40,0)*$G$4</f>
        <v/>
      </c>
      <c r="K40" s="15">
        <f>IF(K7&gt;=Hypothèses!$D$39,Hypothèses!$D$38*Hypothèses!$D$40,0)*$G$4</f>
        <v/>
      </c>
      <c r="L40" s="15">
        <f>IF(L7&gt;=Hypothèses!$D$39,Hypothèses!$D$38*Hypothèses!$D$40,0)*$G$4</f>
        <v/>
      </c>
      <c r="M40" s="15">
        <f>IF(M7&gt;=Hypothèses!$D$39,Hypothèses!$D$38*Hypothèses!$D$40,0)*$G$4</f>
        <v/>
      </c>
      <c r="N40" s="15">
        <f>IF(N7&gt;=Hypothèses!$D$39,Hypothèses!$D$38*Hypothèses!$D$40,0)*$G$4</f>
        <v/>
      </c>
      <c r="O40" s="15">
        <f>IF(O7&gt;=Hypothèses!$D$39,Hypothèses!$D$38*Hypothèses!$D$40,0)*$G$4</f>
        <v/>
      </c>
      <c r="P40" s="15">
        <f>IF(P7&gt;=Hypothèses!$D$39,Hypothèses!$D$38*Hypothèses!$D$40,0)*$G$4</f>
        <v/>
      </c>
      <c r="Q40" s="15">
        <f>IF(Q7&gt;=Hypothèses!$D$39,Hypothèses!$D$38*Hypothèses!$D$40,0)*$G$4</f>
        <v/>
      </c>
      <c r="R40" s="15">
        <f>IF(R7&gt;=Hypothèses!$D$39,Hypothèses!$D$38*Hypothèses!$D$40,0)*$G$4</f>
        <v/>
      </c>
      <c r="S40" s="15">
        <f>IF(S7&gt;=Hypothèses!$D$39,Hypothèses!$D$38*Hypothèses!$D$40,0)*$G$4</f>
        <v/>
      </c>
      <c r="T40" s="15">
        <f>IF(T7&gt;=Hypothèses!$D$39,Hypothèses!$D$38*Hypothèses!$D$40,0)*$G$4</f>
        <v/>
      </c>
      <c r="U40" s="15">
        <f>IF(U7&gt;=Hypothèses!$D$39,Hypothèses!$D$38*Hypothèses!$D$40,0)*$G$4</f>
        <v/>
      </c>
      <c r="V40" s="15">
        <f>IF(V7&gt;=Hypothèses!$D$39,Hypothèses!$D$38*Hypothèses!$D$40,0)*$G$4</f>
        <v/>
      </c>
      <c r="W40" s="15">
        <f>IF(W7&gt;=Hypothèses!$D$39,Hypothèses!$D$38*Hypothèses!$D$40,0)*$G$4</f>
        <v/>
      </c>
      <c r="X40" s="15">
        <f>IF(X7&gt;=Hypothèses!$D$39,Hypothèses!$D$38*Hypothèses!$D$40,0)*$G$4</f>
        <v/>
      </c>
      <c r="Y40" s="15">
        <f>IF(Y7&gt;=Hypothèses!$D$39,Hypothèses!$D$38*Hypothèses!$D$40,0)*$G$4</f>
        <v/>
      </c>
      <c r="Z40" s="15">
        <f>IF(Z7&gt;=Hypothèses!$D$39,Hypothèses!$D$38*Hypothèses!$D$40,0)*$G$4</f>
        <v/>
      </c>
      <c r="AA40" s="15">
        <f>IF(AA7&gt;=Hypothèses!$D$39,Hypothèses!$D$38*Hypothèses!$D$40,0)*$G$4</f>
        <v/>
      </c>
      <c r="AB40" s="15">
        <f>IF(AB7&gt;=Hypothèses!$D$39,Hypothèses!$D$38*Hypothèses!$D$40,0)*$G$4</f>
        <v/>
      </c>
      <c r="AC40" s="15">
        <f>IF(AC7&gt;=Hypothèses!$D$39,Hypothèses!$D$38*Hypothèses!$D$40,0)*$G$4</f>
        <v/>
      </c>
      <c r="AD40" s="15">
        <f>IF(AD7&gt;=Hypothèses!$D$39,Hypothèses!$D$38*Hypothèses!$D$40,0)*$G$4</f>
        <v/>
      </c>
      <c r="AE40" s="15">
        <f>IF(AE7&gt;=Hypothèses!$D$39,Hypothèses!$D$38*Hypothèses!$D$40,0)*$G$4</f>
        <v/>
      </c>
      <c r="AF40" s="15">
        <f>IF(AF7&gt;=Hypothèses!$D$39,Hypothèses!$D$38*Hypothèses!$D$40,0)*$G$4</f>
        <v/>
      </c>
      <c r="AG40" s="15">
        <f>IF(AG7&gt;=Hypothèses!$D$39,Hypothèses!$D$38*Hypothèses!$D$40,0)*$G$4</f>
        <v/>
      </c>
      <c r="AH40" s="15">
        <f>IF(AH7&gt;=Hypothèses!$D$39,Hypothèses!$D$38*Hypothèses!$D$40,0)*$G$4</f>
        <v/>
      </c>
      <c r="AI40" s="15">
        <f>IF(AI7&gt;=Hypothèses!$D$39,Hypothèses!$D$38*Hypothèses!$D$40,0)*$G$4</f>
        <v/>
      </c>
      <c r="AJ40" s="15">
        <f>IF(AJ7&gt;=Hypothèses!$D$39,Hypothèses!$D$38*Hypothèses!$D$40,0)*$G$4</f>
        <v/>
      </c>
      <c r="AK40" s="15">
        <f>IF(AK7&gt;=Hypothèses!$D$39,Hypothèses!$D$38*Hypothèses!$D$40,0)*$G$4</f>
        <v/>
      </c>
      <c r="AL40" s="15">
        <f>IF(AL7&gt;=Hypothèses!$D$39,Hypothèses!$D$38*Hypothèses!$D$40,0)*$G$4</f>
        <v/>
      </c>
      <c r="AN40" s="15">
        <f>SUM(C40:N40)</f>
        <v/>
      </c>
      <c r="AO40" s="15">
        <f>SUM(O40:Z40)</f>
        <v/>
      </c>
      <c r="AP40" s="15">
        <f>SUM(AA40:AL40)</f>
        <v/>
      </c>
    </row>
    <row r="41">
      <c r="A41" s="9" t="inlineStr">
        <is>
          <t>Salarié 1 (growth / customer success)</t>
        </is>
      </c>
      <c r="B41" s="4" t="inlineStr">
        <is>
          <t>€ HT</t>
        </is>
      </c>
      <c r="C41" s="15">
        <f>IF(C7&gt;=Hypothèses!$D$41,Hypothèses!$D$42,0)*$G$4</f>
        <v/>
      </c>
      <c r="D41" s="15">
        <f>IF(D7&gt;=Hypothèses!$D$41,Hypothèses!$D$42,0)*$G$4</f>
        <v/>
      </c>
      <c r="E41" s="15">
        <f>IF(E7&gt;=Hypothèses!$D$41,Hypothèses!$D$42,0)*$G$4</f>
        <v/>
      </c>
      <c r="F41" s="15">
        <f>IF(F7&gt;=Hypothèses!$D$41,Hypothèses!$D$42,0)*$G$4</f>
        <v/>
      </c>
      <c r="G41" s="15">
        <f>IF(G7&gt;=Hypothèses!$D$41,Hypothèses!$D$42,0)*$G$4</f>
        <v/>
      </c>
      <c r="H41" s="15">
        <f>IF(H7&gt;=Hypothèses!$D$41,Hypothèses!$D$42,0)*$G$4</f>
        <v/>
      </c>
      <c r="I41" s="15">
        <f>IF(I7&gt;=Hypothèses!$D$41,Hypothèses!$D$42,0)*$G$4</f>
        <v/>
      </c>
      <c r="J41" s="15">
        <f>IF(J7&gt;=Hypothèses!$D$41,Hypothèses!$D$42,0)*$G$4</f>
        <v/>
      </c>
      <c r="K41" s="15">
        <f>IF(K7&gt;=Hypothèses!$D$41,Hypothèses!$D$42,0)*$G$4</f>
        <v/>
      </c>
      <c r="L41" s="15">
        <f>IF(L7&gt;=Hypothèses!$D$41,Hypothèses!$D$42,0)*$G$4</f>
        <v/>
      </c>
      <c r="M41" s="15">
        <f>IF(M7&gt;=Hypothèses!$D$41,Hypothèses!$D$42,0)*$G$4</f>
        <v/>
      </c>
      <c r="N41" s="15">
        <f>IF(N7&gt;=Hypothèses!$D$41,Hypothèses!$D$42,0)*$G$4</f>
        <v/>
      </c>
      <c r="O41" s="15">
        <f>IF(O7&gt;=Hypothèses!$D$41,Hypothèses!$D$42,0)*$G$4</f>
        <v/>
      </c>
      <c r="P41" s="15">
        <f>IF(P7&gt;=Hypothèses!$D$41,Hypothèses!$D$42,0)*$G$4</f>
        <v/>
      </c>
      <c r="Q41" s="15">
        <f>IF(Q7&gt;=Hypothèses!$D$41,Hypothèses!$D$42,0)*$G$4</f>
        <v/>
      </c>
      <c r="R41" s="15">
        <f>IF(R7&gt;=Hypothèses!$D$41,Hypothèses!$D$42,0)*$G$4</f>
        <v/>
      </c>
      <c r="S41" s="15">
        <f>IF(S7&gt;=Hypothèses!$D$41,Hypothèses!$D$42,0)*$G$4</f>
        <v/>
      </c>
      <c r="T41" s="15">
        <f>IF(T7&gt;=Hypothèses!$D$41,Hypothèses!$D$42,0)*$G$4</f>
        <v/>
      </c>
      <c r="U41" s="15">
        <f>IF(U7&gt;=Hypothèses!$D$41,Hypothèses!$D$42,0)*$G$4</f>
        <v/>
      </c>
      <c r="V41" s="15">
        <f>IF(V7&gt;=Hypothèses!$D$41,Hypothèses!$D$42,0)*$G$4</f>
        <v/>
      </c>
      <c r="W41" s="15">
        <f>IF(W7&gt;=Hypothèses!$D$41,Hypothèses!$D$42,0)*$G$4</f>
        <v/>
      </c>
      <c r="X41" s="15">
        <f>IF(X7&gt;=Hypothèses!$D$41,Hypothèses!$D$42,0)*$G$4</f>
        <v/>
      </c>
      <c r="Y41" s="15">
        <f>IF(Y7&gt;=Hypothèses!$D$41,Hypothèses!$D$42,0)*$G$4</f>
        <v/>
      </c>
      <c r="Z41" s="15">
        <f>IF(Z7&gt;=Hypothèses!$D$41,Hypothèses!$D$42,0)*$G$4</f>
        <v/>
      </c>
      <c r="AA41" s="15">
        <f>IF(AA7&gt;=Hypothèses!$D$41,Hypothèses!$D$42,0)*$G$4</f>
        <v/>
      </c>
      <c r="AB41" s="15">
        <f>IF(AB7&gt;=Hypothèses!$D$41,Hypothèses!$D$42,0)*$G$4</f>
        <v/>
      </c>
      <c r="AC41" s="15">
        <f>IF(AC7&gt;=Hypothèses!$D$41,Hypothèses!$D$42,0)*$G$4</f>
        <v/>
      </c>
      <c r="AD41" s="15">
        <f>IF(AD7&gt;=Hypothèses!$D$41,Hypothèses!$D$42,0)*$G$4</f>
        <v/>
      </c>
      <c r="AE41" s="15">
        <f>IF(AE7&gt;=Hypothèses!$D$41,Hypothèses!$D$42,0)*$G$4</f>
        <v/>
      </c>
      <c r="AF41" s="15">
        <f>IF(AF7&gt;=Hypothèses!$D$41,Hypothèses!$D$42,0)*$G$4</f>
        <v/>
      </c>
      <c r="AG41" s="15">
        <f>IF(AG7&gt;=Hypothèses!$D$41,Hypothèses!$D$42,0)*$G$4</f>
        <v/>
      </c>
      <c r="AH41" s="15">
        <f>IF(AH7&gt;=Hypothèses!$D$41,Hypothèses!$D$42,0)*$G$4</f>
        <v/>
      </c>
      <c r="AI41" s="15">
        <f>IF(AI7&gt;=Hypothèses!$D$41,Hypothèses!$D$42,0)*$G$4</f>
        <v/>
      </c>
      <c r="AJ41" s="15">
        <f>IF(AJ7&gt;=Hypothèses!$D$41,Hypothèses!$D$42,0)*$G$4</f>
        <v/>
      </c>
      <c r="AK41" s="15">
        <f>IF(AK7&gt;=Hypothèses!$D$41,Hypothèses!$D$42,0)*$G$4</f>
        <v/>
      </c>
      <c r="AL41" s="15">
        <f>IF(AL7&gt;=Hypothèses!$D$41,Hypothèses!$D$42,0)*$G$4</f>
        <v/>
      </c>
      <c r="AN41" s="15">
        <f>SUM(C41:N41)</f>
        <v/>
      </c>
      <c r="AO41" s="15">
        <f>SUM(O41:Z41)</f>
        <v/>
      </c>
      <c r="AP41" s="15">
        <f>SUM(AA41:AL41)</f>
        <v/>
      </c>
    </row>
    <row r="42">
      <c r="A42" s="9" t="inlineStr">
        <is>
          <t>Salarié 2 (ingénieur)</t>
        </is>
      </c>
      <c r="B42" s="4" t="inlineStr">
        <is>
          <t>€ HT</t>
        </is>
      </c>
      <c r="C42" s="15">
        <f>IF(C7&gt;=Hypothèses!$D$43,Hypothèses!$D$44,0)*$G$4</f>
        <v/>
      </c>
      <c r="D42" s="15">
        <f>IF(D7&gt;=Hypothèses!$D$43,Hypothèses!$D$44,0)*$G$4</f>
        <v/>
      </c>
      <c r="E42" s="15">
        <f>IF(E7&gt;=Hypothèses!$D$43,Hypothèses!$D$44,0)*$G$4</f>
        <v/>
      </c>
      <c r="F42" s="15">
        <f>IF(F7&gt;=Hypothèses!$D$43,Hypothèses!$D$44,0)*$G$4</f>
        <v/>
      </c>
      <c r="G42" s="15">
        <f>IF(G7&gt;=Hypothèses!$D$43,Hypothèses!$D$44,0)*$G$4</f>
        <v/>
      </c>
      <c r="H42" s="15">
        <f>IF(H7&gt;=Hypothèses!$D$43,Hypothèses!$D$44,0)*$G$4</f>
        <v/>
      </c>
      <c r="I42" s="15">
        <f>IF(I7&gt;=Hypothèses!$D$43,Hypothèses!$D$44,0)*$G$4</f>
        <v/>
      </c>
      <c r="J42" s="15">
        <f>IF(J7&gt;=Hypothèses!$D$43,Hypothèses!$D$44,0)*$G$4</f>
        <v/>
      </c>
      <c r="K42" s="15">
        <f>IF(K7&gt;=Hypothèses!$D$43,Hypothèses!$D$44,0)*$G$4</f>
        <v/>
      </c>
      <c r="L42" s="15">
        <f>IF(L7&gt;=Hypothèses!$D$43,Hypothèses!$D$44,0)*$G$4</f>
        <v/>
      </c>
      <c r="M42" s="15">
        <f>IF(M7&gt;=Hypothèses!$D$43,Hypothèses!$D$44,0)*$G$4</f>
        <v/>
      </c>
      <c r="N42" s="15">
        <f>IF(N7&gt;=Hypothèses!$D$43,Hypothèses!$D$44,0)*$G$4</f>
        <v/>
      </c>
      <c r="O42" s="15">
        <f>IF(O7&gt;=Hypothèses!$D$43,Hypothèses!$D$44,0)*$G$4</f>
        <v/>
      </c>
      <c r="P42" s="15">
        <f>IF(P7&gt;=Hypothèses!$D$43,Hypothèses!$D$44,0)*$G$4</f>
        <v/>
      </c>
      <c r="Q42" s="15">
        <f>IF(Q7&gt;=Hypothèses!$D$43,Hypothèses!$D$44,0)*$G$4</f>
        <v/>
      </c>
      <c r="R42" s="15">
        <f>IF(R7&gt;=Hypothèses!$D$43,Hypothèses!$D$44,0)*$G$4</f>
        <v/>
      </c>
      <c r="S42" s="15">
        <f>IF(S7&gt;=Hypothèses!$D$43,Hypothèses!$D$44,0)*$G$4</f>
        <v/>
      </c>
      <c r="T42" s="15">
        <f>IF(T7&gt;=Hypothèses!$D$43,Hypothèses!$D$44,0)*$G$4</f>
        <v/>
      </c>
      <c r="U42" s="15">
        <f>IF(U7&gt;=Hypothèses!$D$43,Hypothèses!$D$44,0)*$G$4</f>
        <v/>
      </c>
      <c r="V42" s="15">
        <f>IF(V7&gt;=Hypothèses!$D$43,Hypothèses!$D$44,0)*$G$4</f>
        <v/>
      </c>
      <c r="W42" s="15">
        <f>IF(W7&gt;=Hypothèses!$D$43,Hypothèses!$D$44,0)*$G$4</f>
        <v/>
      </c>
      <c r="X42" s="15">
        <f>IF(X7&gt;=Hypothèses!$D$43,Hypothèses!$D$44,0)*$G$4</f>
        <v/>
      </c>
      <c r="Y42" s="15">
        <f>IF(Y7&gt;=Hypothèses!$D$43,Hypothèses!$D$44,0)*$G$4</f>
        <v/>
      </c>
      <c r="Z42" s="15">
        <f>IF(Z7&gt;=Hypothèses!$D$43,Hypothèses!$D$44,0)*$G$4</f>
        <v/>
      </c>
      <c r="AA42" s="15">
        <f>IF(AA7&gt;=Hypothèses!$D$43,Hypothèses!$D$44,0)*$G$4</f>
        <v/>
      </c>
      <c r="AB42" s="15">
        <f>IF(AB7&gt;=Hypothèses!$D$43,Hypothèses!$D$44,0)*$G$4</f>
        <v/>
      </c>
      <c r="AC42" s="15">
        <f>IF(AC7&gt;=Hypothèses!$D$43,Hypothèses!$D$44,0)*$G$4</f>
        <v/>
      </c>
      <c r="AD42" s="15">
        <f>IF(AD7&gt;=Hypothèses!$D$43,Hypothèses!$D$44,0)*$G$4</f>
        <v/>
      </c>
      <c r="AE42" s="15">
        <f>IF(AE7&gt;=Hypothèses!$D$43,Hypothèses!$D$44,0)*$G$4</f>
        <v/>
      </c>
      <c r="AF42" s="15">
        <f>IF(AF7&gt;=Hypothèses!$D$43,Hypothèses!$D$44,0)*$G$4</f>
        <v/>
      </c>
      <c r="AG42" s="15">
        <f>IF(AG7&gt;=Hypothèses!$D$43,Hypothèses!$D$44,0)*$G$4</f>
        <v/>
      </c>
      <c r="AH42" s="15">
        <f>IF(AH7&gt;=Hypothèses!$D$43,Hypothèses!$D$44,0)*$G$4</f>
        <v/>
      </c>
      <c r="AI42" s="15">
        <f>IF(AI7&gt;=Hypothèses!$D$43,Hypothèses!$D$44,0)*$G$4</f>
        <v/>
      </c>
      <c r="AJ42" s="15">
        <f>IF(AJ7&gt;=Hypothèses!$D$43,Hypothèses!$D$44,0)*$G$4</f>
        <v/>
      </c>
      <c r="AK42" s="15">
        <f>IF(AK7&gt;=Hypothèses!$D$43,Hypothèses!$D$44,0)*$G$4</f>
        <v/>
      </c>
      <c r="AL42" s="15">
        <f>IF(AL7&gt;=Hypothèses!$D$43,Hypothèses!$D$44,0)*$G$4</f>
        <v/>
      </c>
      <c r="AN42" s="15">
        <f>SUM(C42:N42)</f>
        <v/>
      </c>
      <c r="AO42" s="15">
        <f>SUM(O42:Z42)</f>
        <v/>
      </c>
      <c r="AP42" s="15">
        <f>SUM(AA42:AL42)</f>
        <v/>
      </c>
    </row>
    <row r="43">
      <c r="A43" s="9" t="inlineStr">
        <is>
          <t>Développement MVP externe (étalé jusqu'au lancement)</t>
        </is>
      </c>
      <c r="B43" s="4" t="inlineStr">
        <is>
          <t>€ HT</t>
        </is>
      </c>
      <c r="C43" s="15">
        <f>IF(C7&lt;$B$5,Hypothèses!$D$45/MAX(1,$B$5-1),0)</f>
        <v/>
      </c>
      <c r="D43" s="15">
        <f>IF(D7&lt;$B$5,Hypothèses!$D$45/MAX(1,$B$5-1),0)</f>
        <v/>
      </c>
      <c r="E43" s="15">
        <f>IF(E7&lt;$B$5,Hypothèses!$D$45/MAX(1,$B$5-1),0)</f>
        <v/>
      </c>
      <c r="F43" s="15">
        <f>IF(F7&lt;$B$5,Hypothèses!$D$45/MAX(1,$B$5-1),0)</f>
        <v/>
      </c>
      <c r="G43" s="15">
        <f>IF(G7&lt;$B$5,Hypothèses!$D$45/MAX(1,$B$5-1),0)</f>
        <v/>
      </c>
      <c r="H43" s="15">
        <f>IF(H7&lt;$B$5,Hypothèses!$D$45/MAX(1,$B$5-1),0)</f>
        <v/>
      </c>
      <c r="I43" s="15">
        <f>IF(I7&lt;$B$5,Hypothèses!$D$45/MAX(1,$B$5-1),0)</f>
        <v/>
      </c>
      <c r="J43" s="15">
        <f>IF(J7&lt;$B$5,Hypothèses!$D$45/MAX(1,$B$5-1),0)</f>
        <v/>
      </c>
      <c r="K43" s="15">
        <f>IF(K7&lt;$B$5,Hypothèses!$D$45/MAX(1,$B$5-1),0)</f>
        <v/>
      </c>
      <c r="L43" s="15">
        <f>IF(L7&lt;$B$5,Hypothèses!$D$45/MAX(1,$B$5-1),0)</f>
        <v/>
      </c>
      <c r="M43" s="15">
        <f>IF(M7&lt;$B$5,Hypothèses!$D$45/MAX(1,$B$5-1),0)</f>
        <v/>
      </c>
      <c r="N43" s="15">
        <f>IF(N7&lt;$B$5,Hypothèses!$D$45/MAX(1,$B$5-1),0)</f>
        <v/>
      </c>
      <c r="O43" s="15">
        <f>IF(O7&lt;$B$5,Hypothèses!$D$45/MAX(1,$B$5-1),0)</f>
        <v/>
      </c>
      <c r="P43" s="15">
        <f>IF(P7&lt;$B$5,Hypothèses!$D$45/MAX(1,$B$5-1),0)</f>
        <v/>
      </c>
      <c r="Q43" s="15">
        <f>IF(Q7&lt;$B$5,Hypothèses!$D$45/MAX(1,$B$5-1),0)</f>
        <v/>
      </c>
      <c r="R43" s="15">
        <f>IF(R7&lt;$B$5,Hypothèses!$D$45/MAX(1,$B$5-1),0)</f>
        <v/>
      </c>
      <c r="S43" s="15">
        <f>IF(S7&lt;$B$5,Hypothèses!$D$45/MAX(1,$B$5-1),0)</f>
        <v/>
      </c>
      <c r="T43" s="15">
        <f>IF(T7&lt;$B$5,Hypothèses!$D$45/MAX(1,$B$5-1),0)</f>
        <v/>
      </c>
      <c r="U43" s="15">
        <f>IF(U7&lt;$B$5,Hypothèses!$D$45/MAX(1,$B$5-1),0)</f>
        <v/>
      </c>
      <c r="V43" s="15">
        <f>IF(V7&lt;$B$5,Hypothèses!$D$45/MAX(1,$B$5-1),0)</f>
        <v/>
      </c>
      <c r="W43" s="15">
        <f>IF(W7&lt;$B$5,Hypothèses!$D$45/MAX(1,$B$5-1),0)</f>
        <v/>
      </c>
      <c r="X43" s="15">
        <f>IF(X7&lt;$B$5,Hypothèses!$D$45/MAX(1,$B$5-1),0)</f>
        <v/>
      </c>
      <c r="Y43" s="15">
        <f>IF(Y7&lt;$B$5,Hypothèses!$D$45/MAX(1,$B$5-1),0)</f>
        <v/>
      </c>
      <c r="Z43" s="15">
        <f>IF(Z7&lt;$B$5,Hypothèses!$D$45/MAX(1,$B$5-1),0)</f>
        <v/>
      </c>
      <c r="AA43" s="15">
        <f>IF(AA7&lt;$B$5,Hypothèses!$D$45/MAX(1,$B$5-1),0)</f>
        <v/>
      </c>
      <c r="AB43" s="15">
        <f>IF(AB7&lt;$B$5,Hypothèses!$D$45/MAX(1,$B$5-1),0)</f>
        <v/>
      </c>
      <c r="AC43" s="15">
        <f>IF(AC7&lt;$B$5,Hypothèses!$D$45/MAX(1,$B$5-1),0)</f>
        <v/>
      </c>
      <c r="AD43" s="15">
        <f>IF(AD7&lt;$B$5,Hypothèses!$D$45/MAX(1,$B$5-1),0)</f>
        <v/>
      </c>
      <c r="AE43" s="15">
        <f>IF(AE7&lt;$B$5,Hypothèses!$D$45/MAX(1,$B$5-1),0)</f>
        <v/>
      </c>
      <c r="AF43" s="15">
        <f>IF(AF7&lt;$B$5,Hypothèses!$D$45/MAX(1,$B$5-1),0)</f>
        <v/>
      </c>
      <c r="AG43" s="15">
        <f>IF(AG7&lt;$B$5,Hypothèses!$D$45/MAX(1,$B$5-1),0)</f>
        <v/>
      </c>
      <c r="AH43" s="15">
        <f>IF(AH7&lt;$B$5,Hypothèses!$D$45/MAX(1,$B$5-1),0)</f>
        <v/>
      </c>
      <c r="AI43" s="15">
        <f>IF(AI7&lt;$B$5,Hypothèses!$D$45/MAX(1,$B$5-1),0)</f>
        <v/>
      </c>
      <c r="AJ43" s="15">
        <f>IF(AJ7&lt;$B$5,Hypothèses!$D$45/MAX(1,$B$5-1),0)</f>
        <v/>
      </c>
      <c r="AK43" s="15">
        <f>IF(AK7&lt;$B$5,Hypothèses!$D$45/MAX(1,$B$5-1),0)</f>
        <v/>
      </c>
      <c r="AL43" s="15">
        <f>IF(AL7&lt;$B$5,Hypothèses!$D$45/MAX(1,$B$5-1),0)</f>
        <v/>
      </c>
      <c r="AN43" s="15">
        <f>SUM(C43:N43)</f>
        <v/>
      </c>
      <c r="AO43" s="15">
        <f>SUM(O43:Z43)</f>
        <v/>
      </c>
      <c r="AP43" s="15">
        <f>SUM(AA43:AL43)</f>
        <v/>
      </c>
    </row>
    <row r="44">
      <c r="A44" s="9" t="inlineStr">
        <is>
          <t>Outils et SaaS</t>
        </is>
      </c>
      <c r="B44" s="4" t="inlineStr">
        <is>
          <t>€ HT</t>
        </is>
      </c>
      <c r="C44" s="15">
        <f>Hypothèses!$D$46*$G$4</f>
        <v/>
      </c>
      <c r="D44" s="15">
        <f>Hypothèses!$D$46*$G$4</f>
        <v/>
      </c>
      <c r="E44" s="15">
        <f>Hypothèses!$D$46*$G$4</f>
        <v/>
      </c>
      <c r="F44" s="15">
        <f>Hypothèses!$D$46*$G$4</f>
        <v/>
      </c>
      <c r="G44" s="15">
        <f>Hypothèses!$D$46*$G$4</f>
        <v/>
      </c>
      <c r="H44" s="15">
        <f>Hypothèses!$D$46*$G$4</f>
        <v/>
      </c>
      <c r="I44" s="15">
        <f>Hypothèses!$D$46*$G$4</f>
        <v/>
      </c>
      <c r="J44" s="15">
        <f>Hypothèses!$D$46*$G$4</f>
        <v/>
      </c>
      <c r="K44" s="15">
        <f>Hypothèses!$D$46*$G$4</f>
        <v/>
      </c>
      <c r="L44" s="15">
        <f>Hypothèses!$D$46*$G$4</f>
        <v/>
      </c>
      <c r="M44" s="15">
        <f>Hypothèses!$D$46*$G$4</f>
        <v/>
      </c>
      <c r="N44" s="15">
        <f>Hypothèses!$D$46*$G$4</f>
        <v/>
      </c>
      <c r="O44" s="15">
        <f>Hypothèses!$D$46*$G$4</f>
        <v/>
      </c>
      <c r="P44" s="15">
        <f>Hypothèses!$D$46*$G$4</f>
        <v/>
      </c>
      <c r="Q44" s="15">
        <f>Hypothèses!$D$46*$G$4</f>
        <v/>
      </c>
      <c r="R44" s="15">
        <f>Hypothèses!$D$46*$G$4</f>
        <v/>
      </c>
      <c r="S44" s="15">
        <f>Hypothèses!$D$46*$G$4</f>
        <v/>
      </c>
      <c r="T44" s="15">
        <f>Hypothèses!$D$46*$G$4</f>
        <v/>
      </c>
      <c r="U44" s="15">
        <f>Hypothèses!$D$46*$G$4</f>
        <v/>
      </c>
      <c r="V44" s="15">
        <f>Hypothèses!$D$46*$G$4</f>
        <v/>
      </c>
      <c r="W44" s="15">
        <f>Hypothèses!$D$46*$G$4</f>
        <v/>
      </c>
      <c r="X44" s="15">
        <f>Hypothèses!$D$46*$G$4</f>
        <v/>
      </c>
      <c r="Y44" s="15">
        <f>Hypothèses!$D$46*$G$4</f>
        <v/>
      </c>
      <c r="Z44" s="15">
        <f>Hypothèses!$D$46*$G$4</f>
        <v/>
      </c>
      <c r="AA44" s="15">
        <f>Hypothèses!$D$46*$G$4</f>
        <v/>
      </c>
      <c r="AB44" s="15">
        <f>Hypothèses!$D$46*$G$4</f>
        <v/>
      </c>
      <c r="AC44" s="15">
        <f>Hypothèses!$D$46*$G$4</f>
        <v/>
      </c>
      <c r="AD44" s="15">
        <f>Hypothèses!$D$46*$G$4</f>
        <v/>
      </c>
      <c r="AE44" s="15">
        <f>Hypothèses!$D$46*$G$4</f>
        <v/>
      </c>
      <c r="AF44" s="15">
        <f>Hypothèses!$D$46*$G$4</f>
        <v/>
      </c>
      <c r="AG44" s="15">
        <f>Hypothèses!$D$46*$G$4</f>
        <v/>
      </c>
      <c r="AH44" s="15">
        <f>Hypothèses!$D$46*$G$4</f>
        <v/>
      </c>
      <c r="AI44" s="15">
        <f>Hypothèses!$D$46*$G$4</f>
        <v/>
      </c>
      <c r="AJ44" s="15">
        <f>Hypothèses!$D$46*$G$4</f>
        <v/>
      </c>
      <c r="AK44" s="15">
        <f>Hypothèses!$D$46*$G$4</f>
        <v/>
      </c>
      <c r="AL44" s="15">
        <f>Hypothèses!$D$46*$G$4</f>
        <v/>
      </c>
      <c r="AN44" s="15">
        <f>SUM(C44:N44)</f>
        <v/>
      </c>
      <c r="AO44" s="15">
        <f>SUM(O44:Z44)</f>
        <v/>
      </c>
      <c r="AP44" s="15">
        <f>SUM(AA44:AL44)</f>
        <v/>
      </c>
    </row>
    <row r="45">
      <c r="A45" s="9" t="inlineStr">
        <is>
          <t>Juridique et comptabilité</t>
        </is>
      </c>
      <c r="B45" s="4" t="inlineStr">
        <is>
          <t>€ HT</t>
        </is>
      </c>
      <c r="C45" s="15">
        <f>Hypothèses!$D$47*$G$4</f>
        <v/>
      </c>
      <c r="D45" s="15">
        <f>Hypothèses!$D$47*$G$4</f>
        <v/>
      </c>
      <c r="E45" s="15">
        <f>Hypothèses!$D$47*$G$4</f>
        <v/>
      </c>
      <c r="F45" s="15">
        <f>Hypothèses!$D$47*$G$4</f>
        <v/>
      </c>
      <c r="G45" s="15">
        <f>Hypothèses!$D$47*$G$4</f>
        <v/>
      </c>
      <c r="H45" s="15">
        <f>Hypothèses!$D$47*$G$4</f>
        <v/>
      </c>
      <c r="I45" s="15">
        <f>Hypothèses!$D$47*$G$4</f>
        <v/>
      </c>
      <c r="J45" s="15">
        <f>Hypothèses!$D$47*$G$4</f>
        <v/>
      </c>
      <c r="K45" s="15">
        <f>Hypothèses!$D$47*$G$4</f>
        <v/>
      </c>
      <c r="L45" s="15">
        <f>Hypothèses!$D$47*$G$4</f>
        <v/>
      </c>
      <c r="M45" s="15">
        <f>Hypothèses!$D$47*$G$4</f>
        <v/>
      </c>
      <c r="N45" s="15">
        <f>Hypothèses!$D$47*$G$4</f>
        <v/>
      </c>
      <c r="O45" s="15">
        <f>Hypothèses!$D$47*$G$4</f>
        <v/>
      </c>
      <c r="P45" s="15">
        <f>Hypothèses!$D$47*$G$4</f>
        <v/>
      </c>
      <c r="Q45" s="15">
        <f>Hypothèses!$D$47*$G$4</f>
        <v/>
      </c>
      <c r="R45" s="15">
        <f>Hypothèses!$D$47*$G$4</f>
        <v/>
      </c>
      <c r="S45" s="15">
        <f>Hypothèses!$D$47*$G$4</f>
        <v/>
      </c>
      <c r="T45" s="15">
        <f>Hypothèses!$D$47*$G$4</f>
        <v/>
      </c>
      <c r="U45" s="15">
        <f>Hypothèses!$D$47*$G$4</f>
        <v/>
      </c>
      <c r="V45" s="15">
        <f>Hypothèses!$D$47*$G$4</f>
        <v/>
      </c>
      <c r="W45" s="15">
        <f>Hypothèses!$D$47*$G$4</f>
        <v/>
      </c>
      <c r="X45" s="15">
        <f>Hypothèses!$D$47*$G$4</f>
        <v/>
      </c>
      <c r="Y45" s="15">
        <f>Hypothèses!$D$47*$G$4</f>
        <v/>
      </c>
      <c r="Z45" s="15">
        <f>Hypothèses!$D$47*$G$4</f>
        <v/>
      </c>
      <c r="AA45" s="15">
        <f>Hypothèses!$D$47*$G$4</f>
        <v/>
      </c>
      <c r="AB45" s="15">
        <f>Hypothèses!$D$47*$G$4</f>
        <v/>
      </c>
      <c r="AC45" s="15">
        <f>Hypothèses!$D$47*$G$4</f>
        <v/>
      </c>
      <c r="AD45" s="15">
        <f>Hypothèses!$D$47*$G$4</f>
        <v/>
      </c>
      <c r="AE45" s="15">
        <f>Hypothèses!$D$47*$G$4</f>
        <v/>
      </c>
      <c r="AF45" s="15">
        <f>Hypothèses!$D$47*$G$4</f>
        <v/>
      </c>
      <c r="AG45" s="15">
        <f>Hypothèses!$D$47*$G$4</f>
        <v/>
      </c>
      <c r="AH45" s="15">
        <f>Hypothèses!$D$47*$G$4</f>
        <v/>
      </c>
      <c r="AI45" s="15">
        <f>Hypothèses!$D$47*$G$4</f>
        <v/>
      </c>
      <c r="AJ45" s="15">
        <f>Hypothèses!$D$47*$G$4</f>
        <v/>
      </c>
      <c r="AK45" s="15">
        <f>Hypothèses!$D$47*$G$4</f>
        <v/>
      </c>
      <c r="AL45" s="15">
        <f>Hypothèses!$D$47*$G$4</f>
        <v/>
      </c>
      <c r="AN45" s="15">
        <f>SUM(C45:N45)</f>
        <v/>
      </c>
      <c r="AO45" s="15">
        <f>SUM(O45:Z45)</f>
        <v/>
      </c>
      <c r="AP45" s="15">
        <f>SUM(AA45:AL45)</f>
        <v/>
      </c>
    </row>
    <row r="46">
      <c r="A46" s="9" t="inlineStr">
        <is>
          <t>Assurance RC pro</t>
        </is>
      </c>
      <c r="B46" s="4" t="inlineStr">
        <is>
          <t>€</t>
        </is>
      </c>
      <c r="C46" s="15">
        <f>C9*Hypothèses!$D$48*$G$4</f>
        <v/>
      </c>
      <c r="D46" s="15">
        <f>D9*Hypothèses!$D$48*$G$4</f>
        <v/>
      </c>
      <c r="E46" s="15">
        <f>E9*Hypothèses!$D$48*$G$4</f>
        <v/>
      </c>
      <c r="F46" s="15">
        <f>F9*Hypothèses!$D$48*$G$4</f>
        <v/>
      </c>
      <c r="G46" s="15">
        <f>G9*Hypothèses!$D$48*$G$4</f>
        <v/>
      </c>
      <c r="H46" s="15">
        <f>H9*Hypothèses!$D$48*$G$4</f>
        <v/>
      </c>
      <c r="I46" s="15">
        <f>I9*Hypothèses!$D$48*$G$4</f>
        <v/>
      </c>
      <c r="J46" s="15">
        <f>J9*Hypothèses!$D$48*$G$4</f>
        <v/>
      </c>
      <c r="K46" s="15">
        <f>K9*Hypothèses!$D$48*$G$4</f>
        <v/>
      </c>
      <c r="L46" s="15">
        <f>L9*Hypothèses!$D$48*$G$4</f>
        <v/>
      </c>
      <c r="M46" s="15">
        <f>M9*Hypothèses!$D$48*$G$4</f>
        <v/>
      </c>
      <c r="N46" s="15">
        <f>N9*Hypothèses!$D$48*$G$4</f>
        <v/>
      </c>
      <c r="O46" s="15">
        <f>O9*Hypothèses!$D$48*$G$4</f>
        <v/>
      </c>
      <c r="P46" s="15">
        <f>P9*Hypothèses!$D$48*$G$4</f>
        <v/>
      </c>
      <c r="Q46" s="15">
        <f>Q9*Hypothèses!$D$48*$G$4</f>
        <v/>
      </c>
      <c r="R46" s="15">
        <f>R9*Hypothèses!$D$48*$G$4</f>
        <v/>
      </c>
      <c r="S46" s="15">
        <f>S9*Hypothèses!$D$48*$G$4</f>
        <v/>
      </c>
      <c r="T46" s="15">
        <f>T9*Hypothèses!$D$48*$G$4</f>
        <v/>
      </c>
      <c r="U46" s="15">
        <f>U9*Hypothèses!$D$48*$G$4</f>
        <v/>
      </c>
      <c r="V46" s="15">
        <f>V9*Hypothèses!$D$48*$G$4</f>
        <v/>
      </c>
      <c r="W46" s="15">
        <f>W9*Hypothèses!$D$48*$G$4</f>
        <v/>
      </c>
      <c r="X46" s="15">
        <f>X9*Hypothèses!$D$48*$G$4</f>
        <v/>
      </c>
      <c r="Y46" s="15">
        <f>Y9*Hypothèses!$D$48*$G$4</f>
        <v/>
      </c>
      <c r="Z46" s="15">
        <f>Z9*Hypothèses!$D$48*$G$4</f>
        <v/>
      </c>
      <c r="AA46" s="15">
        <f>AA9*Hypothèses!$D$48*$G$4</f>
        <v/>
      </c>
      <c r="AB46" s="15">
        <f>AB9*Hypothèses!$D$48*$G$4</f>
        <v/>
      </c>
      <c r="AC46" s="15">
        <f>AC9*Hypothèses!$D$48*$G$4</f>
        <v/>
      </c>
      <c r="AD46" s="15">
        <f>AD9*Hypothèses!$D$48*$G$4</f>
        <v/>
      </c>
      <c r="AE46" s="15">
        <f>AE9*Hypothèses!$D$48*$G$4</f>
        <v/>
      </c>
      <c r="AF46" s="15">
        <f>AF9*Hypothèses!$D$48*$G$4</f>
        <v/>
      </c>
      <c r="AG46" s="15">
        <f>AG9*Hypothèses!$D$48*$G$4</f>
        <v/>
      </c>
      <c r="AH46" s="15">
        <f>AH9*Hypothèses!$D$48*$G$4</f>
        <v/>
      </c>
      <c r="AI46" s="15">
        <f>AI9*Hypothèses!$D$48*$G$4</f>
        <v/>
      </c>
      <c r="AJ46" s="15">
        <f>AJ9*Hypothèses!$D$48*$G$4</f>
        <v/>
      </c>
      <c r="AK46" s="15">
        <f>AK9*Hypothèses!$D$48*$G$4</f>
        <v/>
      </c>
      <c r="AL46" s="15">
        <f>AL9*Hypothèses!$D$48*$G$4</f>
        <v/>
      </c>
      <c r="AN46" s="15">
        <f>SUM(C46:N46)</f>
        <v/>
      </c>
      <c r="AO46" s="15">
        <f>SUM(O46:Z46)</f>
        <v/>
      </c>
      <c r="AP46" s="15">
        <f>SUM(AA46:AL46)</f>
        <v/>
      </c>
    </row>
    <row r="47">
      <c r="A47" s="9" t="inlineStr">
        <is>
          <t>Marketing fixe</t>
        </is>
      </c>
      <c r="B47" s="4" t="inlineStr">
        <is>
          <t>€ HT</t>
        </is>
      </c>
      <c r="C47" s="15">
        <f>C9*Hypothèses!$D$49*$G$4</f>
        <v/>
      </c>
      <c r="D47" s="15">
        <f>D9*Hypothèses!$D$49*$G$4</f>
        <v/>
      </c>
      <c r="E47" s="15">
        <f>E9*Hypothèses!$D$49*$G$4</f>
        <v/>
      </c>
      <c r="F47" s="15">
        <f>F9*Hypothèses!$D$49*$G$4</f>
        <v/>
      </c>
      <c r="G47" s="15">
        <f>G9*Hypothèses!$D$49*$G$4</f>
        <v/>
      </c>
      <c r="H47" s="15">
        <f>H9*Hypothèses!$D$49*$G$4</f>
        <v/>
      </c>
      <c r="I47" s="15">
        <f>I9*Hypothèses!$D$49*$G$4</f>
        <v/>
      </c>
      <c r="J47" s="15">
        <f>J9*Hypothèses!$D$49*$G$4</f>
        <v/>
      </c>
      <c r="K47" s="15">
        <f>K9*Hypothèses!$D$49*$G$4</f>
        <v/>
      </c>
      <c r="L47" s="15">
        <f>L9*Hypothèses!$D$49*$G$4</f>
        <v/>
      </c>
      <c r="M47" s="15">
        <f>M9*Hypothèses!$D$49*$G$4</f>
        <v/>
      </c>
      <c r="N47" s="15">
        <f>N9*Hypothèses!$D$49*$G$4</f>
        <v/>
      </c>
      <c r="O47" s="15">
        <f>O9*Hypothèses!$D$49*$G$4</f>
        <v/>
      </c>
      <c r="P47" s="15">
        <f>P9*Hypothèses!$D$49*$G$4</f>
        <v/>
      </c>
      <c r="Q47" s="15">
        <f>Q9*Hypothèses!$D$49*$G$4</f>
        <v/>
      </c>
      <c r="R47" s="15">
        <f>R9*Hypothèses!$D$49*$G$4</f>
        <v/>
      </c>
      <c r="S47" s="15">
        <f>S9*Hypothèses!$D$49*$G$4</f>
        <v/>
      </c>
      <c r="T47" s="15">
        <f>T9*Hypothèses!$D$49*$G$4</f>
        <v/>
      </c>
      <c r="U47" s="15">
        <f>U9*Hypothèses!$D$49*$G$4</f>
        <v/>
      </c>
      <c r="V47" s="15">
        <f>V9*Hypothèses!$D$49*$G$4</f>
        <v/>
      </c>
      <c r="W47" s="15">
        <f>W9*Hypothèses!$D$49*$G$4</f>
        <v/>
      </c>
      <c r="X47" s="15">
        <f>X9*Hypothèses!$D$49*$G$4</f>
        <v/>
      </c>
      <c r="Y47" s="15">
        <f>Y9*Hypothèses!$D$49*$G$4</f>
        <v/>
      </c>
      <c r="Z47" s="15">
        <f>Z9*Hypothèses!$D$49*$G$4</f>
        <v/>
      </c>
      <c r="AA47" s="15">
        <f>AA9*Hypothèses!$D$49*$G$4</f>
        <v/>
      </c>
      <c r="AB47" s="15">
        <f>AB9*Hypothèses!$D$49*$G$4</f>
        <v/>
      </c>
      <c r="AC47" s="15">
        <f>AC9*Hypothèses!$D$49*$G$4</f>
        <v/>
      </c>
      <c r="AD47" s="15">
        <f>AD9*Hypothèses!$D$49*$G$4</f>
        <v/>
      </c>
      <c r="AE47" s="15">
        <f>AE9*Hypothèses!$D$49*$G$4</f>
        <v/>
      </c>
      <c r="AF47" s="15">
        <f>AF9*Hypothèses!$D$49*$G$4</f>
        <v/>
      </c>
      <c r="AG47" s="15">
        <f>AG9*Hypothèses!$D$49*$G$4</f>
        <v/>
      </c>
      <c r="AH47" s="15">
        <f>AH9*Hypothèses!$D$49*$G$4</f>
        <v/>
      </c>
      <c r="AI47" s="15">
        <f>AI9*Hypothèses!$D$49*$G$4</f>
        <v/>
      </c>
      <c r="AJ47" s="15">
        <f>AJ9*Hypothèses!$D$49*$G$4</f>
        <v/>
      </c>
      <c r="AK47" s="15">
        <f>AK9*Hypothèses!$D$49*$G$4</f>
        <v/>
      </c>
      <c r="AL47" s="15">
        <f>AL9*Hypothèses!$D$49*$G$4</f>
        <v/>
      </c>
      <c r="AN47" s="15">
        <f>SUM(C47:N47)</f>
        <v/>
      </c>
      <c r="AO47" s="15">
        <f>SUM(O47:Z47)</f>
        <v/>
      </c>
      <c r="AP47" s="15">
        <f>SUM(AA47:AL47)</f>
        <v/>
      </c>
    </row>
    <row r="48">
      <c r="A48" s="9" t="inlineStr">
        <is>
          <t>Frais généraux</t>
        </is>
      </c>
      <c r="B48" s="4" t="inlineStr">
        <is>
          <t>€ HT</t>
        </is>
      </c>
      <c r="C48" s="15">
        <f>Hypothèses!$D$50*$G$4</f>
        <v/>
      </c>
      <c r="D48" s="15">
        <f>Hypothèses!$D$50*$G$4</f>
        <v/>
      </c>
      <c r="E48" s="15">
        <f>Hypothèses!$D$50*$G$4</f>
        <v/>
      </c>
      <c r="F48" s="15">
        <f>Hypothèses!$D$50*$G$4</f>
        <v/>
      </c>
      <c r="G48" s="15">
        <f>Hypothèses!$D$50*$G$4</f>
        <v/>
      </c>
      <c r="H48" s="15">
        <f>Hypothèses!$D$50*$G$4</f>
        <v/>
      </c>
      <c r="I48" s="15">
        <f>Hypothèses!$D$50*$G$4</f>
        <v/>
      </c>
      <c r="J48" s="15">
        <f>Hypothèses!$D$50*$G$4</f>
        <v/>
      </c>
      <c r="K48" s="15">
        <f>Hypothèses!$D$50*$G$4</f>
        <v/>
      </c>
      <c r="L48" s="15">
        <f>Hypothèses!$D$50*$G$4</f>
        <v/>
      </c>
      <c r="M48" s="15">
        <f>Hypothèses!$D$50*$G$4</f>
        <v/>
      </c>
      <c r="N48" s="15">
        <f>Hypothèses!$D$50*$G$4</f>
        <v/>
      </c>
      <c r="O48" s="15">
        <f>Hypothèses!$D$50*$G$4</f>
        <v/>
      </c>
      <c r="P48" s="15">
        <f>Hypothèses!$D$50*$G$4</f>
        <v/>
      </c>
      <c r="Q48" s="15">
        <f>Hypothèses!$D$50*$G$4</f>
        <v/>
      </c>
      <c r="R48" s="15">
        <f>Hypothèses!$D$50*$G$4</f>
        <v/>
      </c>
      <c r="S48" s="15">
        <f>Hypothèses!$D$50*$G$4</f>
        <v/>
      </c>
      <c r="T48" s="15">
        <f>Hypothèses!$D$50*$G$4</f>
        <v/>
      </c>
      <c r="U48" s="15">
        <f>Hypothèses!$D$50*$G$4</f>
        <v/>
      </c>
      <c r="V48" s="15">
        <f>Hypothèses!$D$50*$G$4</f>
        <v/>
      </c>
      <c r="W48" s="15">
        <f>Hypothèses!$D$50*$G$4</f>
        <v/>
      </c>
      <c r="X48" s="15">
        <f>Hypothèses!$D$50*$G$4</f>
        <v/>
      </c>
      <c r="Y48" s="15">
        <f>Hypothèses!$D$50*$G$4</f>
        <v/>
      </c>
      <c r="Z48" s="15">
        <f>Hypothèses!$D$50*$G$4</f>
        <v/>
      </c>
      <c r="AA48" s="15">
        <f>Hypothèses!$D$50*$G$4</f>
        <v/>
      </c>
      <c r="AB48" s="15">
        <f>Hypothèses!$D$50*$G$4</f>
        <v/>
      </c>
      <c r="AC48" s="15">
        <f>Hypothèses!$D$50*$G$4</f>
        <v/>
      </c>
      <c r="AD48" s="15">
        <f>Hypothèses!$D$50*$G$4</f>
        <v/>
      </c>
      <c r="AE48" s="15">
        <f>Hypothèses!$D$50*$G$4</f>
        <v/>
      </c>
      <c r="AF48" s="15">
        <f>Hypothèses!$D$50*$G$4</f>
        <v/>
      </c>
      <c r="AG48" s="15">
        <f>Hypothèses!$D$50*$G$4</f>
        <v/>
      </c>
      <c r="AH48" s="15">
        <f>Hypothèses!$D$50*$G$4</f>
        <v/>
      </c>
      <c r="AI48" s="15">
        <f>Hypothèses!$D$50*$G$4</f>
        <v/>
      </c>
      <c r="AJ48" s="15">
        <f>Hypothèses!$D$50*$G$4</f>
        <v/>
      </c>
      <c r="AK48" s="15">
        <f>Hypothèses!$D$50*$G$4</f>
        <v/>
      </c>
      <c r="AL48" s="15">
        <f>Hypothèses!$D$50*$G$4</f>
        <v/>
      </c>
      <c r="AN48" s="15">
        <f>SUM(C48:N48)</f>
        <v/>
      </c>
      <c r="AO48" s="15">
        <f>SUM(O48:Z48)</f>
        <v/>
      </c>
      <c r="AP48" s="15">
        <f>SUM(AA48:AL48)</f>
        <v/>
      </c>
    </row>
    <row r="49">
      <c r="A49" s="9" t="inlineStr">
        <is>
          <t>Audit de sécurité (annuel, à partir du lancement)</t>
        </is>
      </c>
      <c r="B49" s="4" t="inlineStr">
        <is>
          <t>€ HT</t>
        </is>
      </c>
      <c r="C49" s="15">
        <f>IF(AND(C9=1,MOD(C7-$B$5,12)=0),Hypothèses!$D$51,0)*$G$4</f>
        <v/>
      </c>
      <c r="D49" s="15">
        <f>IF(AND(D9=1,MOD(D7-$B$5,12)=0),Hypothèses!$D$51,0)*$G$4</f>
        <v/>
      </c>
      <c r="E49" s="15">
        <f>IF(AND(E9=1,MOD(E7-$B$5,12)=0),Hypothèses!$D$51,0)*$G$4</f>
        <v/>
      </c>
      <c r="F49" s="15">
        <f>IF(AND(F9=1,MOD(F7-$B$5,12)=0),Hypothèses!$D$51,0)*$G$4</f>
        <v/>
      </c>
      <c r="G49" s="15">
        <f>IF(AND(G9=1,MOD(G7-$B$5,12)=0),Hypothèses!$D$51,0)*$G$4</f>
        <v/>
      </c>
      <c r="H49" s="15">
        <f>IF(AND(H9=1,MOD(H7-$B$5,12)=0),Hypothèses!$D$51,0)*$G$4</f>
        <v/>
      </c>
      <c r="I49" s="15">
        <f>IF(AND(I9=1,MOD(I7-$B$5,12)=0),Hypothèses!$D$51,0)*$G$4</f>
        <v/>
      </c>
      <c r="J49" s="15">
        <f>IF(AND(J9=1,MOD(J7-$B$5,12)=0),Hypothèses!$D$51,0)*$G$4</f>
        <v/>
      </c>
      <c r="K49" s="15">
        <f>IF(AND(K9=1,MOD(K7-$B$5,12)=0),Hypothèses!$D$51,0)*$G$4</f>
        <v/>
      </c>
      <c r="L49" s="15">
        <f>IF(AND(L9=1,MOD(L7-$B$5,12)=0),Hypothèses!$D$51,0)*$G$4</f>
        <v/>
      </c>
      <c r="M49" s="15">
        <f>IF(AND(M9=1,MOD(M7-$B$5,12)=0),Hypothèses!$D$51,0)*$G$4</f>
        <v/>
      </c>
      <c r="N49" s="15">
        <f>IF(AND(N9=1,MOD(N7-$B$5,12)=0),Hypothèses!$D$51,0)*$G$4</f>
        <v/>
      </c>
      <c r="O49" s="15">
        <f>IF(AND(O9=1,MOD(O7-$B$5,12)=0),Hypothèses!$D$51,0)*$G$4</f>
        <v/>
      </c>
      <c r="P49" s="15">
        <f>IF(AND(P9=1,MOD(P7-$B$5,12)=0),Hypothèses!$D$51,0)*$G$4</f>
        <v/>
      </c>
      <c r="Q49" s="15">
        <f>IF(AND(Q9=1,MOD(Q7-$B$5,12)=0),Hypothèses!$D$51,0)*$G$4</f>
        <v/>
      </c>
      <c r="R49" s="15">
        <f>IF(AND(R9=1,MOD(R7-$B$5,12)=0),Hypothèses!$D$51,0)*$G$4</f>
        <v/>
      </c>
      <c r="S49" s="15">
        <f>IF(AND(S9=1,MOD(S7-$B$5,12)=0),Hypothèses!$D$51,0)*$G$4</f>
        <v/>
      </c>
      <c r="T49" s="15">
        <f>IF(AND(T9=1,MOD(T7-$B$5,12)=0),Hypothèses!$D$51,0)*$G$4</f>
        <v/>
      </c>
      <c r="U49" s="15">
        <f>IF(AND(U9=1,MOD(U7-$B$5,12)=0),Hypothèses!$D$51,0)*$G$4</f>
        <v/>
      </c>
      <c r="V49" s="15">
        <f>IF(AND(V9=1,MOD(V7-$B$5,12)=0),Hypothèses!$D$51,0)*$G$4</f>
        <v/>
      </c>
      <c r="W49" s="15">
        <f>IF(AND(W9=1,MOD(W7-$B$5,12)=0),Hypothèses!$D$51,0)*$G$4</f>
        <v/>
      </c>
      <c r="X49" s="15">
        <f>IF(AND(X9=1,MOD(X7-$B$5,12)=0),Hypothèses!$D$51,0)*$G$4</f>
        <v/>
      </c>
      <c r="Y49" s="15">
        <f>IF(AND(Y9=1,MOD(Y7-$B$5,12)=0),Hypothèses!$D$51,0)*$G$4</f>
        <v/>
      </c>
      <c r="Z49" s="15">
        <f>IF(AND(Z9=1,MOD(Z7-$B$5,12)=0),Hypothèses!$D$51,0)*$G$4</f>
        <v/>
      </c>
      <c r="AA49" s="15">
        <f>IF(AND(AA9=1,MOD(AA7-$B$5,12)=0),Hypothèses!$D$51,0)*$G$4</f>
        <v/>
      </c>
      <c r="AB49" s="15">
        <f>IF(AND(AB9=1,MOD(AB7-$B$5,12)=0),Hypothèses!$D$51,0)*$G$4</f>
        <v/>
      </c>
      <c r="AC49" s="15">
        <f>IF(AND(AC9=1,MOD(AC7-$B$5,12)=0),Hypothèses!$D$51,0)*$G$4</f>
        <v/>
      </c>
      <c r="AD49" s="15">
        <f>IF(AND(AD9=1,MOD(AD7-$B$5,12)=0),Hypothèses!$D$51,0)*$G$4</f>
        <v/>
      </c>
      <c r="AE49" s="15">
        <f>IF(AND(AE9=1,MOD(AE7-$B$5,12)=0),Hypothèses!$D$51,0)*$G$4</f>
        <v/>
      </c>
      <c r="AF49" s="15">
        <f>IF(AND(AF9=1,MOD(AF7-$B$5,12)=0),Hypothèses!$D$51,0)*$G$4</f>
        <v/>
      </c>
      <c r="AG49" s="15">
        <f>IF(AND(AG9=1,MOD(AG7-$B$5,12)=0),Hypothèses!$D$51,0)*$G$4</f>
        <v/>
      </c>
      <c r="AH49" s="15">
        <f>IF(AND(AH9=1,MOD(AH7-$B$5,12)=0),Hypothèses!$D$51,0)*$G$4</f>
        <v/>
      </c>
      <c r="AI49" s="15">
        <f>IF(AND(AI9=1,MOD(AI7-$B$5,12)=0),Hypothèses!$D$51,0)*$G$4</f>
        <v/>
      </c>
      <c r="AJ49" s="15">
        <f>IF(AND(AJ9=1,MOD(AJ7-$B$5,12)=0),Hypothèses!$D$51,0)*$G$4</f>
        <v/>
      </c>
      <c r="AK49" s="15">
        <f>IF(AND(AK9=1,MOD(AK7-$B$5,12)=0),Hypothèses!$D$51,0)*$G$4</f>
        <v/>
      </c>
      <c r="AL49" s="15">
        <f>IF(AND(AL9=1,MOD(AL7-$B$5,12)=0),Hypothèses!$D$51,0)*$G$4</f>
        <v/>
      </c>
      <c r="AN49" s="15">
        <f>SUM(C49:N49)</f>
        <v/>
      </c>
      <c r="AO49" s="15">
        <f>SUM(O49:Z49)</f>
        <v/>
      </c>
      <c r="AP49" s="15">
        <f>SUM(AA49:AL49)</f>
        <v/>
      </c>
    </row>
    <row r="50">
      <c r="A50" s="9" t="inlineStr">
        <is>
          <t>Frais de constitution</t>
        </is>
      </c>
      <c r="B50" s="4" t="inlineStr">
        <is>
          <t>€ HT</t>
        </is>
      </c>
      <c r="C50" s="15">
        <f>IF(C7=2,Hypothèses!$D$52,0)</f>
        <v/>
      </c>
      <c r="D50" s="15">
        <f>IF(D7=2,Hypothèses!$D$52,0)</f>
        <v/>
      </c>
      <c r="E50" s="15">
        <f>IF(E7=2,Hypothèses!$D$52,0)</f>
        <v/>
      </c>
      <c r="F50" s="15">
        <f>IF(F7=2,Hypothèses!$D$52,0)</f>
        <v/>
      </c>
      <c r="G50" s="15">
        <f>IF(G7=2,Hypothèses!$D$52,0)</f>
        <v/>
      </c>
      <c r="H50" s="15">
        <f>IF(H7=2,Hypothèses!$D$52,0)</f>
        <v/>
      </c>
      <c r="I50" s="15">
        <f>IF(I7=2,Hypothèses!$D$52,0)</f>
        <v/>
      </c>
      <c r="J50" s="15">
        <f>IF(J7=2,Hypothèses!$D$52,0)</f>
        <v/>
      </c>
      <c r="K50" s="15">
        <f>IF(K7=2,Hypothèses!$D$52,0)</f>
        <v/>
      </c>
      <c r="L50" s="15">
        <f>IF(L7=2,Hypothèses!$D$52,0)</f>
        <v/>
      </c>
      <c r="M50" s="15">
        <f>IF(M7=2,Hypothèses!$D$52,0)</f>
        <v/>
      </c>
      <c r="N50" s="15">
        <f>IF(N7=2,Hypothèses!$D$52,0)</f>
        <v/>
      </c>
      <c r="O50" s="15">
        <f>IF(O7=2,Hypothèses!$D$52,0)</f>
        <v/>
      </c>
      <c r="P50" s="15">
        <f>IF(P7=2,Hypothèses!$D$52,0)</f>
        <v/>
      </c>
      <c r="Q50" s="15">
        <f>IF(Q7=2,Hypothèses!$D$52,0)</f>
        <v/>
      </c>
      <c r="R50" s="15">
        <f>IF(R7=2,Hypothèses!$D$52,0)</f>
        <v/>
      </c>
      <c r="S50" s="15">
        <f>IF(S7=2,Hypothèses!$D$52,0)</f>
        <v/>
      </c>
      <c r="T50" s="15">
        <f>IF(T7=2,Hypothèses!$D$52,0)</f>
        <v/>
      </c>
      <c r="U50" s="15">
        <f>IF(U7=2,Hypothèses!$D$52,0)</f>
        <v/>
      </c>
      <c r="V50" s="15">
        <f>IF(V7=2,Hypothèses!$D$52,0)</f>
        <v/>
      </c>
      <c r="W50" s="15">
        <f>IF(W7=2,Hypothèses!$D$52,0)</f>
        <v/>
      </c>
      <c r="X50" s="15">
        <f>IF(X7=2,Hypothèses!$D$52,0)</f>
        <v/>
      </c>
      <c r="Y50" s="15">
        <f>IF(Y7=2,Hypothèses!$D$52,0)</f>
        <v/>
      </c>
      <c r="Z50" s="15">
        <f>IF(Z7=2,Hypothèses!$D$52,0)</f>
        <v/>
      </c>
      <c r="AA50" s="15">
        <f>IF(AA7=2,Hypothèses!$D$52,0)</f>
        <v/>
      </c>
      <c r="AB50" s="15">
        <f>IF(AB7=2,Hypothèses!$D$52,0)</f>
        <v/>
      </c>
      <c r="AC50" s="15">
        <f>IF(AC7=2,Hypothèses!$D$52,0)</f>
        <v/>
      </c>
      <c r="AD50" s="15">
        <f>IF(AD7=2,Hypothèses!$D$52,0)</f>
        <v/>
      </c>
      <c r="AE50" s="15">
        <f>IF(AE7=2,Hypothèses!$D$52,0)</f>
        <v/>
      </c>
      <c r="AF50" s="15">
        <f>IF(AF7=2,Hypothèses!$D$52,0)</f>
        <v/>
      </c>
      <c r="AG50" s="15">
        <f>IF(AG7=2,Hypothèses!$D$52,0)</f>
        <v/>
      </c>
      <c r="AH50" s="15">
        <f>IF(AH7=2,Hypothèses!$D$52,0)</f>
        <v/>
      </c>
      <c r="AI50" s="15">
        <f>IF(AI7=2,Hypothèses!$D$52,0)</f>
        <v/>
      </c>
      <c r="AJ50" s="15">
        <f>IF(AJ7=2,Hypothèses!$D$52,0)</f>
        <v/>
      </c>
      <c r="AK50" s="15">
        <f>IF(AK7=2,Hypothèses!$D$52,0)</f>
        <v/>
      </c>
      <c r="AL50" s="15">
        <f>IF(AL7=2,Hypothèses!$D$52,0)</f>
        <v/>
      </c>
      <c r="AN50" s="15">
        <f>SUM(C50:N50)</f>
        <v/>
      </c>
      <c r="AO50" s="15">
        <f>SUM(O50:Z50)</f>
        <v/>
      </c>
      <c r="AP50" s="15">
        <f>SUM(AA50:AL50)</f>
        <v/>
      </c>
    </row>
    <row r="51">
      <c r="A51" s="2" t="inlineStr">
        <is>
          <t>Total coûts fixes</t>
        </is>
      </c>
      <c r="B51" s="4" t="inlineStr">
        <is>
          <t>€ HT</t>
        </is>
      </c>
      <c r="C51" s="40">
        <f>SUM(C40:C50)</f>
        <v/>
      </c>
      <c r="D51" s="40">
        <f>SUM(D40:D50)</f>
        <v/>
      </c>
      <c r="E51" s="40">
        <f>SUM(E40:E50)</f>
        <v/>
      </c>
      <c r="F51" s="40">
        <f>SUM(F40:F50)</f>
        <v/>
      </c>
      <c r="G51" s="40">
        <f>SUM(G40:G50)</f>
        <v/>
      </c>
      <c r="H51" s="40">
        <f>SUM(H40:H50)</f>
        <v/>
      </c>
      <c r="I51" s="40">
        <f>SUM(I40:I50)</f>
        <v/>
      </c>
      <c r="J51" s="40">
        <f>SUM(J40:J50)</f>
        <v/>
      </c>
      <c r="K51" s="40">
        <f>SUM(K40:K50)</f>
        <v/>
      </c>
      <c r="L51" s="40">
        <f>SUM(L40:L50)</f>
        <v/>
      </c>
      <c r="M51" s="40">
        <f>SUM(M40:M50)</f>
        <v/>
      </c>
      <c r="N51" s="40">
        <f>SUM(N40:N50)</f>
        <v/>
      </c>
      <c r="O51" s="40">
        <f>SUM(O40:O50)</f>
        <v/>
      </c>
      <c r="P51" s="40">
        <f>SUM(P40:P50)</f>
        <v/>
      </c>
      <c r="Q51" s="40">
        <f>SUM(Q40:Q50)</f>
        <v/>
      </c>
      <c r="R51" s="40">
        <f>SUM(R40:R50)</f>
        <v/>
      </c>
      <c r="S51" s="40">
        <f>SUM(S40:S50)</f>
        <v/>
      </c>
      <c r="T51" s="40">
        <f>SUM(T40:T50)</f>
        <v/>
      </c>
      <c r="U51" s="40">
        <f>SUM(U40:U50)</f>
        <v/>
      </c>
      <c r="V51" s="40">
        <f>SUM(V40:V50)</f>
        <v/>
      </c>
      <c r="W51" s="40">
        <f>SUM(W40:W50)</f>
        <v/>
      </c>
      <c r="X51" s="40">
        <f>SUM(X40:X50)</f>
        <v/>
      </c>
      <c r="Y51" s="40">
        <f>SUM(Y40:Y50)</f>
        <v/>
      </c>
      <c r="Z51" s="40">
        <f>SUM(Z40:Z50)</f>
        <v/>
      </c>
      <c r="AA51" s="40">
        <f>SUM(AA40:AA50)</f>
        <v/>
      </c>
      <c r="AB51" s="40">
        <f>SUM(AB40:AB50)</f>
        <v/>
      </c>
      <c r="AC51" s="40">
        <f>SUM(AC40:AC50)</f>
        <v/>
      </c>
      <c r="AD51" s="40">
        <f>SUM(AD40:AD50)</f>
        <v/>
      </c>
      <c r="AE51" s="40">
        <f>SUM(AE40:AE50)</f>
        <v/>
      </c>
      <c r="AF51" s="40">
        <f>SUM(AF40:AF50)</f>
        <v/>
      </c>
      <c r="AG51" s="40">
        <f>SUM(AG40:AG50)</f>
        <v/>
      </c>
      <c r="AH51" s="40">
        <f>SUM(AH40:AH50)</f>
        <v/>
      </c>
      <c r="AI51" s="40">
        <f>SUM(AI40:AI50)</f>
        <v/>
      </c>
      <c r="AJ51" s="40">
        <f>SUM(AJ40:AJ50)</f>
        <v/>
      </c>
      <c r="AK51" s="40">
        <f>SUM(AK40:AK50)</f>
        <v/>
      </c>
      <c r="AL51" s="40">
        <f>SUM(AL40:AL50)</f>
        <v/>
      </c>
      <c r="AN51" s="40">
        <f>SUM(C51:N51)</f>
        <v/>
      </c>
      <c r="AO51" s="40">
        <f>SUM(O51:Z51)</f>
        <v/>
      </c>
      <c r="AP51" s="40">
        <f>SUM(AA51:AL51)</f>
        <v/>
      </c>
    </row>
    <row r="52">
      <c r="A52" s="2" t="inlineStr">
        <is>
          <t>EBITDA (marge variable − acquisition − fixes)</t>
        </is>
      </c>
      <c r="B52" s="4" t="inlineStr">
        <is>
          <t>€ HT</t>
        </is>
      </c>
      <c r="C52" s="40">
        <f>C37-C39-C51</f>
        <v/>
      </c>
      <c r="D52" s="40">
        <f>D37-D39-D51</f>
        <v/>
      </c>
      <c r="E52" s="40">
        <f>E37-E39-E51</f>
        <v/>
      </c>
      <c r="F52" s="40">
        <f>F37-F39-F51</f>
        <v/>
      </c>
      <c r="G52" s="40">
        <f>G37-G39-G51</f>
        <v/>
      </c>
      <c r="H52" s="40">
        <f>H37-H39-H51</f>
        <v/>
      </c>
      <c r="I52" s="40">
        <f>I37-I39-I51</f>
        <v/>
      </c>
      <c r="J52" s="40">
        <f>J37-J39-J51</f>
        <v/>
      </c>
      <c r="K52" s="40">
        <f>K37-K39-K51</f>
        <v/>
      </c>
      <c r="L52" s="40">
        <f>L37-L39-L51</f>
        <v/>
      </c>
      <c r="M52" s="40">
        <f>M37-M39-M51</f>
        <v/>
      </c>
      <c r="N52" s="40">
        <f>N37-N39-N51</f>
        <v/>
      </c>
      <c r="O52" s="40">
        <f>O37-O39-O51</f>
        <v/>
      </c>
      <c r="P52" s="40">
        <f>P37-P39-P51</f>
        <v/>
      </c>
      <c r="Q52" s="40">
        <f>Q37-Q39-Q51</f>
        <v/>
      </c>
      <c r="R52" s="40">
        <f>R37-R39-R51</f>
        <v/>
      </c>
      <c r="S52" s="40">
        <f>S37-S39-S51</f>
        <v/>
      </c>
      <c r="T52" s="40">
        <f>T37-T39-T51</f>
        <v/>
      </c>
      <c r="U52" s="40">
        <f>U37-U39-U51</f>
        <v/>
      </c>
      <c r="V52" s="40">
        <f>V37-V39-V51</f>
        <v/>
      </c>
      <c r="W52" s="40">
        <f>W37-W39-W51</f>
        <v/>
      </c>
      <c r="X52" s="40">
        <f>X37-X39-X51</f>
        <v/>
      </c>
      <c r="Y52" s="40">
        <f>Y37-Y39-Y51</f>
        <v/>
      </c>
      <c r="Z52" s="40">
        <f>Z37-Z39-Z51</f>
        <v/>
      </c>
      <c r="AA52" s="40">
        <f>AA37-AA39-AA51</f>
        <v/>
      </c>
      <c r="AB52" s="40">
        <f>AB37-AB39-AB51</f>
        <v/>
      </c>
      <c r="AC52" s="40">
        <f>AC37-AC39-AC51</f>
        <v/>
      </c>
      <c r="AD52" s="40">
        <f>AD37-AD39-AD51</f>
        <v/>
      </c>
      <c r="AE52" s="40">
        <f>AE37-AE39-AE51</f>
        <v/>
      </c>
      <c r="AF52" s="40">
        <f>AF37-AF39-AF51</f>
        <v/>
      </c>
      <c r="AG52" s="40">
        <f>AG37-AG39-AG51</f>
        <v/>
      </c>
      <c r="AH52" s="40">
        <f>AH37-AH39-AH51</f>
        <v/>
      </c>
      <c r="AI52" s="40">
        <f>AI37-AI39-AI51</f>
        <v/>
      </c>
      <c r="AJ52" s="40">
        <f>AJ37-AJ39-AJ51</f>
        <v/>
      </c>
      <c r="AK52" s="40">
        <f>AK37-AK39-AK51</f>
        <v/>
      </c>
      <c r="AL52" s="40">
        <f>AL37-AL39-AL51</f>
        <v/>
      </c>
      <c r="AN52" s="40">
        <f>SUM(C52:N52)</f>
        <v/>
      </c>
      <c r="AO52" s="40">
        <f>SUM(O52:Z52)</f>
        <v/>
      </c>
      <c r="AP52" s="40">
        <f>SUM(AA52:AL52)</f>
        <v/>
      </c>
    </row>
    <row r="53">
      <c r="A53" s="9" t="inlineStr">
        <is>
          <t>EBITDA positif ? (1 = oui)</t>
        </is>
      </c>
      <c r="B53" s="4" t="inlineStr">
        <is>
          <t>0/1</t>
        </is>
      </c>
      <c r="C53" s="13">
        <f>IF(C52&gt;0,1,0)</f>
        <v/>
      </c>
      <c r="D53" s="13">
        <f>IF(D52&gt;0,1,0)</f>
        <v/>
      </c>
      <c r="E53" s="13">
        <f>IF(E52&gt;0,1,0)</f>
        <v/>
      </c>
      <c r="F53" s="13">
        <f>IF(F52&gt;0,1,0)</f>
        <v/>
      </c>
      <c r="G53" s="13">
        <f>IF(G52&gt;0,1,0)</f>
        <v/>
      </c>
      <c r="H53" s="13">
        <f>IF(H52&gt;0,1,0)</f>
        <v/>
      </c>
      <c r="I53" s="13">
        <f>IF(I52&gt;0,1,0)</f>
        <v/>
      </c>
      <c r="J53" s="13">
        <f>IF(J52&gt;0,1,0)</f>
        <v/>
      </c>
      <c r="K53" s="13">
        <f>IF(K52&gt;0,1,0)</f>
        <v/>
      </c>
      <c r="L53" s="13">
        <f>IF(L52&gt;0,1,0)</f>
        <v/>
      </c>
      <c r="M53" s="13">
        <f>IF(M52&gt;0,1,0)</f>
        <v/>
      </c>
      <c r="N53" s="13">
        <f>IF(N52&gt;0,1,0)</f>
        <v/>
      </c>
      <c r="O53" s="13">
        <f>IF(O52&gt;0,1,0)</f>
        <v/>
      </c>
      <c r="P53" s="13">
        <f>IF(P52&gt;0,1,0)</f>
        <v/>
      </c>
      <c r="Q53" s="13">
        <f>IF(Q52&gt;0,1,0)</f>
        <v/>
      </c>
      <c r="R53" s="13">
        <f>IF(R52&gt;0,1,0)</f>
        <v/>
      </c>
      <c r="S53" s="13">
        <f>IF(S52&gt;0,1,0)</f>
        <v/>
      </c>
      <c r="T53" s="13">
        <f>IF(T52&gt;0,1,0)</f>
        <v/>
      </c>
      <c r="U53" s="13">
        <f>IF(U52&gt;0,1,0)</f>
        <v/>
      </c>
      <c r="V53" s="13">
        <f>IF(V52&gt;0,1,0)</f>
        <v/>
      </c>
      <c r="W53" s="13">
        <f>IF(W52&gt;0,1,0)</f>
        <v/>
      </c>
      <c r="X53" s="13">
        <f>IF(X52&gt;0,1,0)</f>
        <v/>
      </c>
      <c r="Y53" s="13">
        <f>IF(Y52&gt;0,1,0)</f>
        <v/>
      </c>
      <c r="Z53" s="13">
        <f>IF(Z52&gt;0,1,0)</f>
        <v/>
      </c>
      <c r="AA53" s="13">
        <f>IF(AA52&gt;0,1,0)</f>
        <v/>
      </c>
      <c r="AB53" s="13">
        <f>IF(AB52&gt;0,1,0)</f>
        <v/>
      </c>
      <c r="AC53" s="13">
        <f>IF(AC52&gt;0,1,0)</f>
        <v/>
      </c>
      <c r="AD53" s="13">
        <f>IF(AD52&gt;0,1,0)</f>
        <v/>
      </c>
      <c r="AE53" s="13">
        <f>IF(AE52&gt;0,1,0)</f>
        <v/>
      </c>
      <c r="AF53" s="13">
        <f>IF(AF52&gt;0,1,0)</f>
        <v/>
      </c>
      <c r="AG53" s="13">
        <f>IF(AG52&gt;0,1,0)</f>
        <v/>
      </c>
      <c r="AH53" s="13">
        <f>IF(AH52&gt;0,1,0)</f>
        <v/>
      </c>
      <c r="AI53" s="13">
        <f>IF(AI52&gt;0,1,0)</f>
        <v/>
      </c>
      <c r="AJ53" s="13">
        <f>IF(AJ52&gt;0,1,0)</f>
        <v/>
      </c>
      <c r="AK53" s="13">
        <f>IF(AK52&gt;0,1,0)</f>
        <v/>
      </c>
      <c r="AL53" s="13">
        <f>IF(AL52&gt;0,1,0)</f>
        <v/>
      </c>
    </row>
    <row r="54">
      <c r="A54" s="8" t="inlineStr">
        <is>
          <t>Trésorerie</t>
        </is>
      </c>
    </row>
    <row r="55">
      <c r="A55" s="9" t="inlineStr">
        <is>
          <t>TVA collectée reversée (mois suivant)</t>
        </is>
      </c>
      <c r="B55" s="4" t="inlineStr">
        <is>
          <t>€</t>
        </is>
      </c>
      <c r="C55" s="15">
        <f>0</f>
        <v/>
      </c>
      <c r="D55" s="15">
        <f>C27</f>
        <v/>
      </c>
      <c r="E55" s="15">
        <f>D27</f>
        <v/>
      </c>
      <c r="F55" s="15">
        <f>E27</f>
        <v/>
      </c>
      <c r="G55" s="15">
        <f>F27</f>
        <v/>
      </c>
      <c r="H55" s="15">
        <f>G27</f>
        <v/>
      </c>
      <c r="I55" s="15">
        <f>H27</f>
        <v/>
      </c>
      <c r="J55" s="15">
        <f>I27</f>
        <v/>
      </c>
      <c r="K55" s="15">
        <f>J27</f>
        <v/>
      </c>
      <c r="L55" s="15">
        <f>K27</f>
        <v/>
      </c>
      <c r="M55" s="15">
        <f>L27</f>
        <v/>
      </c>
      <c r="N55" s="15">
        <f>M27</f>
        <v/>
      </c>
      <c r="O55" s="15">
        <f>N27</f>
        <v/>
      </c>
      <c r="P55" s="15">
        <f>O27</f>
        <v/>
      </c>
      <c r="Q55" s="15">
        <f>P27</f>
        <v/>
      </c>
      <c r="R55" s="15">
        <f>Q27</f>
        <v/>
      </c>
      <c r="S55" s="15">
        <f>R27</f>
        <v/>
      </c>
      <c r="T55" s="15">
        <f>S27</f>
        <v/>
      </c>
      <c r="U55" s="15">
        <f>T27</f>
        <v/>
      </c>
      <c r="V55" s="15">
        <f>U27</f>
        <v/>
      </c>
      <c r="W55" s="15">
        <f>V27</f>
        <v/>
      </c>
      <c r="X55" s="15">
        <f>W27</f>
        <v/>
      </c>
      <c r="Y55" s="15">
        <f>X27</f>
        <v/>
      </c>
      <c r="Z55" s="15">
        <f>Y27</f>
        <v/>
      </c>
      <c r="AA55" s="15">
        <f>Z27</f>
        <v/>
      </c>
      <c r="AB55" s="15">
        <f>AA27</f>
        <v/>
      </c>
      <c r="AC55" s="15">
        <f>AB27</f>
        <v/>
      </c>
      <c r="AD55" s="15">
        <f>AC27</f>
        <v/>
      </c>
      <c r="AE55" s="15">
        <f>AD27</f>
        <v/>
      </c>
      <c r="AF55" s="15">
        <f>AE27</f>
        <v/>
      </c>
      <c r="AG55" s="15">
        <f>AF27</f>
        <v/>
      </c>
      <c r="AH55" s="15">
        <f>AG27</f>
        <v/>
      </c>
      <c r="AI55" s="15">
        <f>AH27</f>
        <v/>
      </c>
      <c r="AJ55" s="15">
        <f>AI27</f>
        <v/>
      </c>
      <c r="AK55" s="15">
        <f>AJ27</f>
        <v/>
      </c>
      <c r="AL55" s="15">
        <f>AK27</f>
        <v/>
      </c>
      <c r="AN55" s="15">
        <f>SUM(C55:N55)</f>
        <v/>
      </c>
      <c r="AO55" s="15">
        <f>SUM(O55:Z55)</f>
        <v/>
      </c>
      <c r="AP55" s="15">
        <f>SUM(AA55:AL55)</f>
        <v/>
      </c>
    </row>
    <row r="56">
      <c r="A56" s="9" t="inlineStr">
        <is>
          <t>TVA déductible récupérée (mois suivant, coûts externes)</t>
        </is>
      </c>
      <c r="B56" s="4" t="inlineStr">
        <is>
          <t>€</t>
        </is>
      </c>
      <c r="C56" s="15">
        <f>0</f>
        <v/>
      </c>
      <c r="D56" s="15">
        <f>(C36+C39+C43+C44+C45+C47+C48+C49+C50)*Hypothèses!$D$15</f>
        <v/>
      </c>
      <c r="E56" s="15">
        <f>(D36+D39+D43+D44+D45+D47+D48+D49+D50)*Hypothèses!$D$15</f>
        <v/>
      </c>
      <c r="F56" s="15">
        <f>(E36+E39+E43+E44+E45+E47+E48+E49+E50)*Hypothèses!$D$15</f>
        <v/>
      </c>
      <c r="G56" s="15">
        <f>(F36+F39+F43+F44+F45+F47+F48+F49+F50)*Hypothèses!$D$15</f>
        <v/>
      </c>
      <c r="H56" s="15">
        <f>(G36+G39+G43+G44+G45+G47+G48+G49+G50)*Hypothèses!$D$15</f>
        <v/>
      </c>
      <c r="I56" s="15">
        <f>(H36+H39+H43+H44+H45+H47+H48+H49+H50)*Hypothèses!$D$15</f>
        <v/>
      </c>
      <c r="J56" s="15">
        <f>(I36+I39+I43+I44+I45+I47+I48+I49+I50)*Hypothèses!$D$15</f>
        <v/>
      </c>
      <c r="K56" s="15">
        <f>(J36+J39+J43+J44+J45+J47+J48+J49+J50)*Hypothèses!$D$15</f>
        <v/>
      </c>
      <c r="L56" s="15">
        <f>(K36+K39+K43+K44+K45+K47+K48+K49+K50)*Hypothèses!$D$15</f>
        <v/>
      </c>
      <c r="M56" s="15">
        <f>(L36+L39+L43+L44+L45+L47+L48+L49+L50)*Hypothèses!$D$15</f>
        <v/>
      </c>
      <c r="N56" s="15">
        <f>(M36+M39+M43+M44+M45+M47+M48+M49+M50)*Hypothèses!$D$15</f>
        <v/>
      </c>
      <c r="O56" s="15">
        <f>(N36+N39+N43+N44+N45+N47+N48+N49+N50)*Hypothèses!$D$15</f>
        <v/>
      </c>
      <c r="P56" s="15">
        <f>(O36+O39+O43+O44+O45+O47+O48+O49+O50)*Hypothèses!$D$15</f>
        <v/>
      </c>
      <c r="Q56" s="15">
        <f>(P36+P39+P43+P44+P45+P47+P48+P49+P50)*Hypothèses!$D$15</f>
        <v/>
      </c>
      <c r="R56" s="15">
        <f>(Q36+Q39+Q43+Q44+Q45+Q47+Q48+Q49+Q50)*Hypothèses!$D$15</f>
        <v/>
      </c>
      <c r="S56" s="15">
        <f>(R36+R39+R43+R44+R45+R47+R48+R49+R50)*Hypothèses!$D$15</f>
        <v/>
      </c>
      <c r="T56" s="15">
        <f>(S36+S39+S43+S44+S45+S47+S48+S49+S50)*Hypothèses!$D$15</f>
        <v/>
      </c>
      <c r="U56" s="15">
        <f>(T36+T39+T43+T44+T45+T47+T48+T49+T50)*Hypothèses!$D$15</f>
        <v/>
      </c>
      <c r="V56" s="15">
        <f>(U36+U39+U43+U44+U45+U47+U48+U49+U50)*Hypothèses!$D$15</f>
        <v/>
      </c>
      <c r="W56" s="15">
        <f>(V36+V39+V43+V44+V45+V47+V48+V49+V50)*Hypothèses!$D$15</f>
        <v/>
      </c>
      <c r="X56" s="15">
        <f>(W36+W39+W43+W44+W45+W47+W48+W49+W50)*Hypothèses!$D$15</f>
        <v/>
      </c>
      <c r="Y56" s="15">
        <f>(X36+X39+X43+X44+X45+X47+X48+X49+X50)*Hypothèses!$D$15</f>
        <v/>
      </c>
      <c r="Z56" s="15">
        <f>(Y36+Y39+Y43+Y44+Y45+Y47+Y48+Y49+Y50)*Hypothèses!$D$15</f>
        <v/>
      </c>
      <c r="AA56" s="15">
        <f>(Z36+Z39+Z43+Z44+Z45+Z47+Z48+Z49+Z50)*Hypothèses!$D$15</f>
        <v/>
      </c>
      <c r="AB56" s="15">
        <f>(AA36+AA39+AA43+AA44+AA45+AA47+AA48+AA49+AA50)*Hypothèses!$D$15</f>
        <v/>
      </c>
      <c r="AC56" s="15">
        <f>(AB36+AB39+AB43+AB44+AB45+AB47+AB48+AB49+AB50)*Hypothèses!$D$15</f>
        <v/>
      </c>
      <c r="AD56" s="15">
        <f>(AC36+AC39+AC43+AC44+AC45+AC47+AC48+AC49+AC50)*Hypothèses!$D$15</f>
        <v/>
      </c>
      <c r="AE56" s="15">
        <f>(AD36+AD39+AD43+AD44+AD45+AD47+AD48+AD49+AD50)*Hypothèses!$D$15</f>
        <v/>
      </c>
      <c r="AF56" s="15">
        <f>(AE36+AE39+AE43+AE44+AE45+AE47+AE48+AE49+AE50)*Hypothèses!$D$15</f>
        <v/>
      </c>
      <c r="AG56" s="15">
        <f>(AF36+AF39+AF43+AF44+AF45+AF47+AF48+AF49+AF50)*Hypothèses!$D$15</f>
        <v/>
      </c>
      <c r="AH56" s="15">
        <f>(AG36+AG39+AG43+AG44+AG45+AG47+AG48+AG49+AG50)*Hypothèses!$D$15</f>
        <v/>
      </c>
      <c r="AI56" s="15">
        <f>(AH36+AH39+AH43+AH44+AH45+AH47+AH48+AH49+AH50)*Hypothèses!$D$15</f>
        <v/>
      </c>
      <c r="AJ56" s="15">
        <f>(AI36+AI39+AI43+AI44+AI45+AI47+AI48+AI49+AI50)*Hypothèses!$D$15</f>
        <v/>
      </c>
      <c r="AK56" s="15">
        <f>(AJ36+AJ39+AJ43+AJ44+AJ45+AJ47+AJ48+AJ49+AJ50)*Hypothèses!$D$15</f>
        <v/>
      </c>
      <c r="AL56" s="15">
        <f>(AK36+AK39+AK43+AK44+AK45+AK47+AK48+AK49+AK50)*Hypothèses!$D$15</f>
        <v/>
      </c>
      <c r="AN56" s="15">
        <f>SUM(C56:N56)</f>
        <v/>
      </c>
      <c r="AO56" s="15">
        <f>SUM(O56:Z56)</f>
        <v/>
      </c>
      <c r="AP56" s="15">
        <f>SUM(AA56:AL56)</f>
        <v/>
      </c>
    </row>
    <row r="57">
      <c r="A57" s="9" t="inlineStr">
        <is>
          <t>Financement reçu</t>
        </is>
      </c>
      <c r="B57" s="4" t="inlineStr">
        <is>
          <t>€</t>
        </is>
      </c>
      <c r="C57" s="15">
        <f>Hypothèses!$D$56*(IF(C7=Hypothèses!$D$57,Hypothèses!$D$58,0)+IF(C7=Hypothèses!$D$59,Hypothèses!$D$60,0)+IF(C7=Hypothèses!$D$61,Hypothèses!$D$62,0))</f>
        <v/>
      </c>
      <c r="D57" s="15">
        <f>Hypothèses!$D$56*(IF(D7=Hypothèses!$D$57,Hypothèses!$D$58,0)+IF(D7=Hypothèses!$D$59,Hypothèses!$D$60,0)+IF(D7=Hypothèses!$D$61,Hypothèses!$D$62,0))</f>
        <v/>
      </c>
      <c r="E57" s="15">
        <f>Hypothèses!$D$56*(IF(E7=Hypothèses!$D$57,Hypothèses!$D$58,0)+IF(E7=Hypothèses!$D$59,Hypothèses!$D$60,0)+IF(E7=Hypothèses!$D$61,Hypothèses!$D$62,0))</f>
        <v/>
      </c>
      <c r="F57" s="15">
        <f>Hypothèses!$D$56*(IF(F7=Hypothèses!$D$57,Hypothèses!$D$58,0)+IF(F7=Hypothèses!$D$59,Hypothèses!$D$60,0)+IF(F7=Hypothèses!$D$61,Hypothèses!$D$62,0))</f>
        <v/>
      </c>
      <c r="G57" s="15">
        <f>Hypothèses!$D$56*(IF(G7=Hypothèses!$D$57,Hypothèses!$D$58,0)+IF(G7=Hypothèses!$D$59,Hypothèses!$D$60,0)+IF(G7=Hypothèses!$D$61,Hypothèses!$D$62,0))</f>
        <v/>
      </c>
      <c r="H57" s="15">
        <f>Hypothèses!$D$56*(IF(H7=Hypothèses!$D$57,Hypothèses!$D$58,0)+IF(H7=Hypothèses!$D$59,Hypothèses!$D$60,0)+IF(H7=Hypothèses!$D$61,Hypothèses!$D$62,0))</f>
        <v/>
      </c>
      <c r="I57" s="15">
        <f>Hypothèses!$D$56*(IF(I7=Hypothèses!$D$57,Hypothèses!$D$58,0)+IF(I7=Hypothèses!$D$59,Hypothèses!$D$60,0)+IF(I7=Hypothèses!$D$61,Hypothèses!$D$62,0))</f>
        <v/>
      </c>
      <c r="J57" s="15">
        <f>Hypothèses!$D$56*(IF(J7=Hypothèses!$D$57,Hypothèses!$D$58,0)+IF(J7=Hypothèses!$D$59,Hypothèses!$D$60,0)+IF(J7=Hypothèses!$D$61,Hypothèses!$D$62,0))</f>
        <v/>
      </c>
      <c r="K57" s="15">
        <f>Hypothèses!$D$56*(IF(K7=Hypothèses!$D$57,Hypothèses!$D$58,0)+IF(K7=Hypothèses!$D$59,Hypothèses!$D$60,0)+IF(K7=Hypothèses!$D$61,Hypothèses!$D$62,0))</f>
        <v/>
      </c>
      <c r="L57" s="15">
        <f>Hypothèses!$D$56*(IF(L7=Hypothèses!$D$57,Hypothèses!$D$58,0)+IF(L7=Hypothèses!$D$59,Hypothèses!$D$60,0)+IF(L7=Hypothèses!$D$61,Hypothèses!$D$62,0))</f>
        <v/>
      </c>
      <c r="M57" s="15">
        <f>Hypothèses!$D$56*(IF(M7=Hypothèses!$D$57,Hypothèses!$D$58,0)+IF(M7=Hypothèses!$D$59,Hypothèses!$D$60,0)+IF(M7=Hypothèses!$D$61,Hypothèses!$D$62,0))</f>
        <v/>
      </c>
      <c r="N57" s="15">
        <f>Hypothèses!$D$56*(IF(N7=Hypothèses!$D$57,Hypothèses!$D$58,0)+IF(N7=Hypothèses!$D$59,Hypothèses!$D$60,0)+IF(N7=Hypothèses!$D$61,Hypothèses!$D$62,0))</f>
        <v/>
      </c>
      <c r="O57" s="15">
        <f>Hypothèses!$D$56*(IF(O7=Hypothèses!$D$57,Hypothèses!$D$58,0)+IF(O7=Hypothèses!$D$59,Hypothèses!$D$60,0)+IF(O7=Hypothèses!$D$61,Hypothèses!$D$62,0))</f>
        <v/>
      </c>
      <c r="P57" s="15">
        <f>Hypothèses!$D$56*(IF(P7=Hypothèses!$D$57,Hypothèses!$D$58,0)+IF(P7=Hypothèses!$D$59,Hypothèses!$D$60,0)+IF(P7=Hypothèses!$D$61,Hypothèses!$D$62,0))</f>
        <v/>
      </c>
      <c r="Q57" s="15">
        <f>Hypothèses!$D$56*(IF(Q7=Hypothèses!$D$57,Hypothèses!$D$58,0)+IF(Q7=Hypothèses!$D$59,Hypothèses!$D$60,0)+IF(Q7=Hypothèses!$D$61,Hypothèses!$D$62,0))</f>
        <v/>
      </c>
      <c r="R57" s="15">
        <f>Hypothèses!$D$56*(IF(R7=Hypothèses!$D$57,Hypothèses!$D$58,0)+IF(R7=Hypothèses!$D$59,Hypothèses!$D$60,0)+IF(R7=Hypothèses!$D$61,Hypothèses!$D$62,0))</f>
        <v/>
      </c>
      <c r="S57" s="15">
        <f>Hypothèses!$D$56*(IF(S7=Hypothèses!$D$57,Hypothèses!$D$58,0)+IF(S7=Hypothèses!$D$59,Hypothèses!$D$60,0)+IF(S7=Hypothèses!$D$61,Hypothèses!$D$62,0))</f>
        <v/>
      </c>
      <c r="T57" s="15">
        <f>Hypothèses!$D$56*(IF(T7=Hypothèses!$D$57,Hypothèses!$D$58,0)+IF(T7=Hypothèses!$D$59,Hypothèses!$D$60,0)+IF(T7=Hypothèses!$D$61,Hypothèses!$D$62,0))</f>
        <v/>
      </c>
      <c r="U57" s="15">
        <f>Hypothèses!$D$56*(IF(U7=Hypothèses!$D$57,Hypothèses!$D$58,0)+IF(U7=Hypothèses!$D$59,Hypothèses!$D$60,0)+IF(U7=Hypothèses!$D$61,Hypothèses!$D$62,0))</f>
        <v/>
      </c>
      <c r="V57" s="15">
        <f>Hypothèses!$D$56*(IF(V7=Hypothèses!$D$57,Hypothèses!$D$58,0)+IF(V7=Hypothèses!$D$59,Hypothèses!$D$60,0)+IF(V7=Hypothèses!$D$61,Hypothèses!$D$62,0))</f>
        <v/>
      </c>
      <c r="W57" s="15">
        <f>Hypothèses!$D$56*(IF(W7=Hypothèses!$D$57,Hypothèses!$D$58,0)+IF(W7=Hypothèses!$D$59,Hypothèses!$D$60,0)+IF(W7=Hypothèses!$D$61,Hypothèses!$D$62,0))</f>
        <v/>
      </c>
      <c r="X57" s="15">
        <f>Hypothèses!$D$56*(IF(X7=Hypothèses!$D$57,Hypothèses!$D$58,0)+IF(X7=Hypothèses!$D$59,Hypothèses!$D$60,0)+IF(X7=Hypothèses!$D$61,Hypothèses!$D$62,0))</f>
        <v/>
      </c>
      <c r="Y57" s="15">
        <f>Hypothèses!$D$56*(IF(Y7=Hypothèses!$D$57,Hypothèses!$D$58,0)+IF(Y7=Hypothèses!$D$59,Hypothèses!$D$60,0)+IF(Y7=Hypothèses!$D$61,Hypothèses!$D$62,0))</f>
        <v/>
      </c>
      <c r="Z57" s="15">
        <f>Hypothèses!$D$56*(IF(Z7=Hypothèses!$D$57,Hypothèses!$D$58,0)+IF(Z7=Hypothèses!$D$59,Hypothèses!$D$60,0)+IF(Z7=Hypothèses!$D$61,Hypothèses!$D$62,0))</f>
        <v/>
      </c>
      <c r="AA57" s="15">
        <f>Hypothèses!$D$56*(IF(AA7=Hypothèses!$D$57,Hypothèses!$D$58,0)+IF(AA7=Hypothèses!$D$59,Hypothèses!$D$60,0)+IF(AA7=Hypothèses!$D$61,Hypothèses!$D$62,0))</f>
        <v/>
      </c>
      <c r="AB57" s="15">
        <f>Hypothèses!$D$56*(IF(AB7=Hypothèses!$D$57,Hypothèses!$D$58,0)+IF(AB7=Hypothèses!$D$59,Hypothèses!$D$60,0)+IF(AB7=Hypothèses!$D$61,Hypothèses!$D$62,0))</f>
        <v/>
      </c>
      <c r="AC57" s="15">
        <f>Hypothèses!$D$56*(IF(AC7=Hypothèses!$D$57,Hypothèses!$D$58,0)+IF(AC7=Hypothèses!$D$59,Hypothèses!$D$60,0)+IF(AC7=Hypothèses!$D$61,Hypothèses!$D$62,0))</f>
        <v/>
      </c>
      <c r="AD57" s="15">
        <f>Hypothèses!$D$56*(IF(AD7=Hypothèses!$D$57,Hypothèses!$D$58,0)+IF(AD7=Hypothèses!$D$59,Hypothèses!$D$60,0)+IF(AD7=Hypothèses!$D$61,Hypothèses!$D$62,0))</f>
        <v/>
      </c>
      <c r="AE57" s="15">
        <f>Hypothèses!$D$56*(IF(AE7=Hypothèses!$D$57,Hypothèses!$D$58,0)+IF(AE7=Hypothèses!$D$59,Hypothèses!$D$60,0)+IF(AE7=Hypothèses!$D$61,Hypothèses!$D$62,0))</f>
        <v/>
      </c>
      <c r="AF57" s="15">
        <f>Hypothèses!$D$56*(IF(AF7=Hypothèses!$D$57,Hypothèses!$D$58,0)+IF(AF7=Hypothèses!$D$59,Hypothèses!$D$60,0)+IF(AF7=Hypothèses!$D$61,Hypothèses!$D$62,0))</f>
        <v/>
      </c>
      <c r="AG57" s="15">
        <f>Hypothèses!$D$56*(IF(AG7=Hypothèses!$D$57,Hypothèses!$D$58,0)+IF(AG7=Hypothèses!$D$59,Hypothèses!$D$60,0)+IF(AG7=Hypothèses!$D$61,Hypothèses!$D$62,0))</f>
        <v/>
      </c>
      <c r="AH57" s="15">
        <f>Hypothèses!$D$56*(IF(AH7=Hypothèses!$D$57,Hypothèses!$D$58,0)+IF(AH7=Hypothèses!$D$59,Hypothèses!$D$60,0)+IF(AH7=Hypothèses!$D$61,Hypothèses!$D$62,0))</f>
        <v/>
      </c>
      <c r="AI57" s="15">
        <f>Hypothèses!$D$56*(IF(AI7=Hypothèses!$D$57,Hypothèses!$D$58,0)+IF(AI7=Hypothèses!$D$59,Hypothèses!$D$60,0)+IF(AI7=Hypothèses!$D$61,Hypothèses!$D$62,0))</f>
        <v/>
      </c>
      <c r="AJ57" s="15">
        <f>Hypothèses!$D$56*(IF(AJ7=Hypothèses!$D$57,Hypothèses!$D$58,0)+IF(AJ7=Hypothèses!$D$59,Hypothèses!$D$60,0)+IF(AJ7=Hypothèses!$D$61,Hypothèses!$D$62,0))</f>
        <v/>
      </c>
      <c r="AK57" s="15">
        <f>Hypothèses!$D$56*(IF(AK7=Hypothèses!$D$57,Hypothèses!$D$58,0)+IF(AK7=Hypothèses!$D$59,Hypothèses!$D$60,0)+IF(AK7=Hypothèses!$D$61,Hypothèses!$D$62,0))</f>
        <v/>
      </c>
      <c r="AL57" s="15">
        <f>Hypothèses!$D$56*(IF(AL7=Hypothèses!$D$57,Hypothèses!$D$58,0)+IF(AL7=Hypothèses!$D$59,Hypothèses!$D$60,0)+IF(AL7=Hypothèses!$D$61,Hypothèses!$D$62,0))</f>
        <v/>
      </c>
      <c r="AN57" s="15">
        <f>SUM(C57:N57)</f>
        <v/>
      </c>
      <c r="AO57" s="15">
        <f>SUM(O57:Z57)</f>
        <v/>
      </c>
      <c r="AP57" s="15">
        <f>SUM(AA57:AL57)</f>
        <v/>
      </c>
    </row>
    <row r="58">
      <c r="A58" s="9" t="inlineStr">
        <is>
          <t>Trésorerie d'ouverture</t>
        </is>
      </c>
      <c r="B58" s="4" t="inlineStr">
        <is>
          <t>€</t>
        </is>
      </c>
      <c r="C58" s="15">
        <f>Hypothèses!$D$54</f>
        <v/>
      </c>
      <c r="D58" s="15">
        <f>C60</f>
        <v/>
      </c>
      <c r="E58" s="15">
        <f>D60</f>
        <v/>
      </c>
      <c r="F58" s="15">
        <f>E60</f>
        <v/>
      </c>
      <c r="G58" s="15">
        <f>F60</f>
        <v/>
      </c>
      <c r="H58" s="15">
        <f>G60</f>
        <v/>
      </c>
      <c r="I58" s="15">
        <f>H60</f>
        <v/>
      </c>
      <c r="J58" s="15">
        <f>I60</f>
        <v/>
      </c>
      <c r="K58" s="15">
        <f>J60</f>
        <v/>
      </c>
      <c r="L58" s="15">
        <f>K60</f>
        <v/>
      </c>
      <c r="M58" s="15">
        <f>L60</f>
        <v/>
      </c>
      <c r="N58" s="15">
        <f>M60</f>
        <v/>
      </c>
      <c r="O58" s="15">
        <f>N60</f>
        <v/>
      </c>
      <c r="P58" s="15">
        <f>O60</f>
        <v/>
      </c>
      <c r="Q58" s="15">
        <f>P60</f>
        <v/>
      </c>
      <c r="R58" s="15">
        <f>Q60</f>
        <v/>
      </c>
      <c r="S58" s="15">
        <f>R60</f>
        <v/>
      </c>
      <c r="T58" s="15">
        <f>S60</f>
        <v/>
      </c>
      <c r="U58" s="15">
        <f>T60</f>
        <v/>
      </c>
      <c r="V58" s="15">
        <f>U60</f>
        <v/>
      </c>
      <c r="W58" s="15">
        <f>V60</f>
        <v/>
      </c>
      <c r="X58" s="15">
        <f>W60</f>
        <v/>
      </c>
      <c r="Y58" s="15">
        <f>X60</f>
        <v/>
      </c>
      <c r="Z58" s="15">
        <f>Y60</f>
        <v/>
      </c>
      <c r="AA58" s="15">
        <f>Z60</f>
        <v/>
      </c>
      <c r="AB58" s="15">
        <f>AA60</f>
        <v/>
      </c>
      <c r="AC58" s="15">
        <f>AB60</f>
        <v/>
      </c>
      <c r="AD58" s="15">
        <f>AC60</f>
        <v/>
      </c>
      <c r="AE58" s="15">
        <f>AD60</f>
        <v/>
      </c>
      <c r="AF58" s="15">
        <f>AE60</f>
        <v/>
      </c>
      <c r="AG58" s="15">
        <f>AF60</f>
        <v/>
      </c>
      <c r="AH58" s="15">
        <f>AG60</f>
        <v/>
      </c>
      <c r="AI58" s="15">
        <f>AH60</f>
        <v/>
      </c>
      <c r="AJ58" s="15">
        <f>AI60</f>
        <v/>
      </c>
      <c r="AK58" s="15">
        <f>AJ60</f>
        <v/>
      </c>
      <c r="AL58" s="15">
        <f>AK60</f>
        <v/>
      </c>
    </row>
    <row r="59">
      <c r="A59" s="9" t="inlineStr">
        <is>
          <t>Flux de trésorerie du mois</t>
        </is>
      </c>
      <c r="B59" s="4" t="inlineStr">
        <is>
          <t>€</t>
        </is>
      </c>
      <c r="C59" s="15">
        <f>C31-C36-C39-C51-C55+C56+C57</f>
        <v/>
      </c>
      <c r="D59" s="15">
        <f>D31-D36-D39-D51-D55+D56+D57</f>
        <v/>
      </c>
      <c r="E59" s="15">
        <f>E31-E36-E39-E51-E55+E56+E57</f>
        <v/>
      </c>
      <c r="F59" s="15">
        <f>F31-F36-F39-F51-F55+F56+F57</f>
        <v/>
      </c>
      <c r="G59" s="15">
        <f>G31-G36-G39-G51-G55+G56+G57</f>
        <v/>
      </c>
      <c r="H59" s="15">
        <f>H31-H36-H39-H51-H55+H56+H57</f>
        <v/>
      </c>
      <c r="I59" s="15">
        <f>I31-I36-I39-I51-I55+I56+I57</f>
        <v/>
      </c>
      <c r="J59" s="15">
        <f>J31-J36-J39-J51-J55+J56+J57</f>
        <v/>
      </c>
      <c r="K59" s="15">
        <f>K31-K36-K39-K51-K55+K56+K57</f>
        <v/>
      </c>
      <c r="L59" s="15">
        <f>L31-L36-L39-L51-L55+L56+L57</f>
        <v/>
      </c>
      <c r="M59" s="15">
        <f>M31-M36-M39-M51-M55+M56+M57</f>
        <v/>
      </c>
      <c r="N59" s="15">
        <f>N31-N36-N39-N51-N55+N56+N57</f>
        <v/>
      </c>
      <c r="O59" s="15">
        <f>O31-O36-O39-O51-O55+O56+O57</f>
        <v/>
      </c>
      <c r="P59" s="15">
        <f>P31-P36-P39-P51-P55+P56+P57</f>
        <v/>
      </c>
      <c r="Q59" s="15">
        <f>Q31-Q36-Q39-Q51-Q55+Q56+Q57</f>
        <v/>
      </c>
      <c r="R59" s="15">
        <f>R31-R36-R39-R51-R55+R56+R57</f>
        <v/>
      </c>
      <c r="S59" s="15">
        <f>S31-S36-S39-S51-S55+S56+S57</f>
        <v/>
      </c>
      <c r="T59" s="15">
        <f>T31-T36-T39-T51-T55+T56+T57</f>
        <v/>
      </c>
      <c r="U59" s="15">
        <f>U31-U36-U39-U51-U55+U56+U57</f>
        <v/>
      </c>
      <c r="V59" s="15">
        <f>V31-V36-V39-V51-V55+V56+V57</f>
        <v/>
      </c>
      <c r="W59" s="15">
        <f>W31-W36-W39-W51-W55+W56+W57</f>
        <v/>
      </c>
      <c r="X59" s="15">
        <f>X31-X36-X39-X51-X55+X56+X57</f>
        <v/>
      </c>
      <c r="Y59" s="15">
        <f>Y31-Y36-Y39-Y51-Y55+Y56+Y57</f>
        <v/>
      </c>
      <c r="Z59" s="15">
        <f>Z31-Z36-Z39-Z51-Z55+Z56+Z57</f>
        <v/>
      </c>
      <c r="AA59" s="15">
        <f>AA31-AA36-AA39-AA51-AA55+AA56+AA57</f>
        <v/>
      </c>
      <c r="AB59" s="15">
        <f>AB31-AB36-AB39-AB51-AB55+AB56+AB57</f>
        <v/>
      </c>
      <c r="AC59" s="15">
        <f>AC31-AC36-AC39-AC51-AC55+AC56+AC57</f>
        <v/>
      </c>
      <c r="AD59" s="15">
        <f>AD31-AD36-AD39-AD51-AD55+AD56+AD57</f>
        <v/>
      </c>
      <c r="AE59" s="15">
        <f>AE31-AE36-AE39-AE51-AE55+AE56+AE57</f>
        <v/>
      </c>
      <c r="AF59" s="15">
        <f>AF31-AF36-AF39-AF51-AF55+AF56+AF57</f>
        <v/>
      </c>
      <c r="AG59" s="15">
        <f>AG31-AG36-AG39-AG51-AG55+AG56+AG57</f>
        <v/>
      </c>
      <c r="AH59" s="15">
        <f>AH31-AH36-AH39-AH51-AH55+AH56+AH57</f>
        <v/>
      </c>
      <c r="AI59" s="15">
        <f>AI31-AI36-AI39-AI51-AI55+AI56+AI57</f>
        <v/>
      </c>
      <c r="AJ59" s="15">
        <f>AJ31-AJ36-AJ39-AJ51-AJ55+AJ56+AJ57</f>
        <v/>
      </c>
      <c r="AK59" s="15">
        <f>AK31-AK36-AK39-AK51-AK55+AK56+AK57</f>
        <v/>
      </c>
      <c r="AL59" s="15">
        <f>AL31-AL36-AL39-AL51-AL55+AL56+AL57</f>
        <v/>
      </c>
      <c r="AN59" s="15">
        <f>SUM(C59:N59)</f>
        <v/>
      </c>
      <c r="AO59" s="15">
        <f>SUM(O59:Z59)</f>
        <v/>
      </c>
      <c r="AP59" s="15">
        <f>SUM(AA59:AL59)</f>
        <v/>
      </c>
    </row>
    <row r="60">
      <c r="A60" s="2" t="inlineStr">
        <is>
          <t>Trésorerie de clôture</t>
        </is>
      </c>
      <c r="B60" s="4" t="inlineStr">
        <is>
          <t>€</t>
        </is>
      </c>
      <c r="C60" s="40">
        <f>C58+C59</f>
        <v/>
      </c>
      <c r="D60" s="40">
        <f>D58+D59</f>
        <v/>
      </c>
      <c r="E60" s="40">
        <f>E58+E59</f>
        <v/>
      </c>
      <c r="F60" s="40">
        <f>F58+F59</f>
        <v/>
      </c>
      <c r="G60" s="40">
        <f>G58+G59</f>
        <v/>
      </c>
      <c r="H60" s="40">
        <f>H58+H59</f>
        <v/>
      </c>
      <c r="I60" s="40">
        <f>I58+I59</f>
        <v/>
      </c>
      <c r="J60" s="40">
        <f>J58+J59</f>
        <v/>
      </c>
      <c r="K60" s="40">
        <f>K58+K59</f>
        <v/>
      </c>
      <c r="L60" s="40">
        <f>L58+L59</f>
        <v/>
      </c>
      <c r="M60" s="40">
        <f>M58+M59</f>
        <v/>
      </c>
      <c r="N60" s="40">
        <f>N58+N59</f>
        <v/>
      </c>
      <c r="O60" s="40">
        <f>O58+O59</f>
        <v/>
      </c>
      <c r="P60" s="40">
        <f>P58+P59</f>
        <v/>
      </c>
      <c r="Q60" s="40">
        <f>Q58+Q59</f>
        <v/>
      </c>
      <c r="R60" s="40">
        <f>R58+R59</f>
        <v/>
      </c>
      <c r="S60" s="40">
        <f>S58+S59</f>
        <v/>
      </c>
      <c r="T60" s="40">
        <f>T58+T59</f>
        <v/>
      </c>
      <c r="U60" s="40">
        <f>U58+U59</f>
        <v/>
      </c>
      <c r="V60" s="40">
        <f>V58+V59</f>
        <v/>
      </c>
      <c r="W60" s="40">
        <f>W58+W59</f>
        <v/>
      </c>
      <c r="X60" s="40">
        <f>X58+X59</f>
        <v/>
      </c>
      <c r="Y60" s="40">
        <f>Y58+Y59</f>
        <v/>
      </c>
      <c r="Z60" s="40">
        <f>Z58+Z59</f>
        <v/>
      </c>
      <c r="AA60" s="40">
        <f>AA58+AA59</f>
        <v/>
      </c>
      <c r="AB60" s="40">
        <f>AB58+AB59</f>
        <v/>
      </c>
      <c r="AC60" s="40">
        <f>AC58+AC59</f>
        <v/>
      </c>
      <c r="AD60" s="40">
        <f>AD58+AD59</f>
        <v/>
      </c>
      <c r="AE60" s="40">
        <f>AE58+AE59</f>
        <v/>
      </c>
      <c r="AF60" s="40">
        <f>AF58+AF59</f>
        <v/>
      </c>
      <c r="AG60" s="40">
        <f>AG58+AG59</f>
        <v/>
      </c>
      <c r="AH60" s="40">
        <f>AH58+AH59</f>
        <v/>
      </c>
      <c r="AI60" s="40">
        <f>AI58+AI59</f>
        <v/>
      </c>
      <c r="AJ60" s="40">
        <f>AJ58+AJ59</f>
        <v/>
      </c>
      <c r="AK60" s="40">
        <f>AK58+AK59</f>
        <v/>
      </c>
      <c r="AL60" s="40">
        <f>AL58+AL59</f>
        <v/>
      </c>
      <c r="AN60" s="40">
        <f>N60</f>
        <v/>
      </c>
      <c r="AO60" s="40">
        <f>Z60</f>
        <v/>
      </c>
      <c r="AP60" s="40">
        <f>AL60</f>
        <v/>
      </c>
    </row>
    <row r="61">
      <c r="A61" s="9" t="inlineStr">
        <is>
          <t>Financement cumulé</t>
        </is>
      </c>
      <c r="B61" s="4" t="inlineStr">
        <is>
          <t>€</t>
        </is>
      </c>
      <c r="C61" s="15">
        <f>0+C57</f>
        <v/>
      </c>
      <c r="D61" s="15">
        <f>C61+D57</f>
        <v/>
      </c>
      <c r="E61" s="15">
        <f>D61+E57</f>
        <v/>
      </c>
      <c r="F61" s="15">
        <f>E61+F57</f>
        <v/>
      </c>
      <c r="G61" s="15">
        <f>F61+G57</f>
        <v/>
      </c>
      <c r="H61" s="15">
        <f>G61+H57</f>
        <v/>
      </c>
      <c r="I61" s="15">
        <f>H61+I57</f>
        <v/>
      </c>
      <c r="J61" s="15">
        <f>I61+J57</f>
        <v/>
      </c>
      <c r="K61" s="15">
        <f>J61+K57</f>
        <v/>
      </c>
      <c r="L61" s="15">
        <f>K61+L57</f>
        <v/>
      </c>
      <c r="M61" s="15">
        <f>L61+M57</f>
        <v/>
      </c>
      <c r="N61" s="15">
        <f>M61+N57</f>
        <v/>
      </c>
      <c r="O61" s="15">
        <f>N61+O57</f>
        <v/>
      </c>
      <c r="P61" s="15">
        <f>O61+P57</f>
        <v/>
      </c>
      <c r="Q61" s="15">
        <f>P61+Q57</f>
        <v/>
      </c>
      <c r="R61" s="15">
        <f>Q61+R57</f>
        <v/>
      </c>
      <c r="S61" s="15">
        <f>R61+S57</f>
        <v/>
      </c>
      <c r="T61" s="15">
        <f>S61+T57</f>
        <v/>
      </c>
      <c r="U61" s="15">
        <f>T61+U57</f>
        <v/>
      </c>
      <c r="V61" s="15">
        <f>U61+V57</f>
        <v/>
      </c>
      <c r="W61" s="15">
        <f>V61+W57</f>
        <v/>
      </c>
      <c r="X61" s="15">
        <f>W61+X57</f>
        <v/>
      </c>
      <c r="Y61" s="15">
        <f>X61+Y57</f>
        <v/>
      </c>
      <c r="Z61" s="15">
        <f>Y61+Z57</f>
        <v/>
      </c>
      <c r="AA61" s="15">
        <f>Z61+AA57</f>
        <v/>
      </c>
      <c r="AB61" s="15">
        <f>AA61+AB57</f>
        <v/>
      </c>
      <c r="AC61" s="15">
        <f>AB61+AC57</f>
        <v/>
      </c>
      <c r="AD61" s="15">
        <f>AC61+AD57</f>
        <v/>
      </c>
      <c r="AE61" s="15">
        <f>AD61+AE57</f>
        <v/>
      </c>
      <c r="AF61" s="15">
        <f>AE61+AF57</f>
        <v/>
      </c>
      <c r="AG61" s="15">
        <f>AF61+AG57</f>
        <v/>
      </c>
      <c r="AH61" s="15">
        <f>AG61+AH57</f>
        <v/>
      </c>
      <c r="AI61" s="15">
        <f>AH61+AI57</f>
        <v/>
      </c>
      <c r="AJ61" s="15">
        <f>AI61+AJ57</f>
        <v/>
      </c>
      <c r="AK61" s="15">
        <f>AJ61+AK57</f>
        <v/>
      </c>
      <c r="AL61" s="15">
        <f>AK61+AL57</f>
        <v/>
      </c>
      <c r="AN61" s="15">
        <f>N61</f>
        <v/>
      </c>
      <c r="AO61" s="15">
        <f>Z61</f>
        <v/>
      </c>
      <c r="AP61" s="15">
        <f>AL61</f>
        <v/>
      </c>
    </row>
    <row r="62">
      <c r="A62" s="2" t="inlineStr">
        <is>
          <t>Trésorerie cumulée hors financement</t>
        </is>
      </c>
      <c r="B62" s="4" t="inlineStr">
        <is>
          <t>€</t>
        </is>
      </c>
      <c r="C62" s="40">
        <f>C60-C61</f>
        <v/>
      </c>
      <c r="D62" s="40">
        <f>D60-D61</f>
        <v/>
      </c>
      <c r="E62" s="40">
        <f>E60-E61</f>
        <v/>
      </c>
      <c r="F62" s="40">
        <f>F60-F61</f>
        <v/>
      </c>
      <c r="G62" s="40">
        <f>G60-G61</f>
        <v/>
      </c>
      <c r="H62" s="40">
        <f>H60-H61</f>
        <v/>
      </c>
      <c r="I62" s="40">
        <f>I60-I61</f>
        <v/>
      </c>
      <c r="J62" s="40">
        <f>J60-J61</f>
        <v/>
      </c>
      <c r="K62" s="40">
        <f>K60-K61</f>
        <v/>
      </c>
      <c r="L62" s="40">
        <f>L60-L61</f>
        <v/>
      </c>
      <c r="M62" s="40">
        <f>M60-M61</f>
        <v/>
      </c>
      <c r="N62" s="40">
        <f>N60-N61</f>
        <v/>
      </c>
      <c r="O62" s="40">
        <f>O60-O61</f>
        <v/>
      </c>
      <c r="P62" s="40">
        <f>P60-P61</f>
        <v/>
      </c>
      <c r="Q62" s="40">
        <f>Q60-Q61</f>
        <v/>
      </c>
      <c r="R62" s="40">
        <f>R60-R61</f>
        <v/>
      </c>
      <c r="S62" s="40">
        <f>S60-S61</f>
        <v/>
      </c>
      <c r="T62" s="40">
        <f>T60-T61</f>
        <v/>
      </c>
      <c r="U62" s="40">
        <f>U60-U61</f>
        <v/>
      </c>
      <c r="V62" s="40">
        <f>V60-V61</f>
        <v/>
      </c>
      <c r="W62" s="40">
        <f>W60-W61</f>
        <v/>
      </c>
      <c r="X62" s="40">
        <f>X60-X61</f>
        <v/>
      </c>
      <c r="Y62" s="40">
        <f>Y60-Y61</f>
        <v/>
      </c>
      <c r="Z62" s="40">
        <f>Z60-Z61</f>
        <v/>
      </c>
      <c r="AA62" s="40">
        <f>AA60-AA61</f>
        <v/>
      </c>
      <c r="AB62" s="40">
        <f>AB60-AB61</f>
        <v/>
      </c>
      <c r="AC62" s="40">
        <f>AC60-AC61</f>
        <v/>
      </c>
      <c r="AD62" s="40">
        <f>AD60-AD61</f>
        <v/>
      </c>
      <c r="AE62" s="40">
        <f>AE60-AE61</f>
        <v/>
      </c>
      <c r="AF62" s="40">
        <f>AF60-AF61</f>
        <v/>
      </c>
      <c r="AG62" s="40">
        <f>AG60-AG61</f>
        <v/>
      </c>
      <c r="AH62" s="40">
        <f>AH60-AH61</f>
        <v/>
      </c>
      <c r="AI62" s="40">
        <f>AI60-AI61</f>
        <v/>
      </c>
      <c r="AJ62" s="40">
        <f>AJ60-AJ61</f>
        <v/>
      </c>
      <c r="AK62" s="40">
        <f>AK60-AK61</f>
        <v/>
      </c>
      <c r="AL62" s="40">
        <f>AL60-AL61</f>
        <v/>
      </c>
      <c r="AN62" s="40">
        <f>N62</f>
        <v/>
      </c>
      <c r="AO62" s="40">
        <f>Z62</f>
        <v/>
      </c>
      <c r="AP62" s="40">
        <f>AL62</f>
        <v/>
      </c>
    </row>
    <row r="63">
      <c r="A63" s="9" t="inlineStr">
        <is>
          <t>Point bas glissant hors financement</t>
        </is>
      </c>
      <c r="B63" s="4" t="inlineStr">
        <is>
          <t>€</t>
        </is>
      </c>
      <c r="C63" s="15">
        <f>C62</f>
        <v/>
      </c>
      <c r="D63" s="15">
        <f>MIN(C63,D62)</f>
        <v/>
      </c>
      <c r="E63" s="15">
        <f>MIN(D63,E62)</f>
        <v/>
      </c>
      <c r="F63" s="15">
        <f>MIN(E63,F62)</f>
        <v/>
      </c>
      <c r="G63" s="15">
        <f>MIN(F63,G62)</f>
        <v/>
      </c>
      <c r="H63" s="15">
        <f>MIN(G63,H62)</f>
        <v/>
      </c>
      <c r="I63" s="15">
        <f>MIN(H63,I62)</f>
        <v/>
      </c>
      <c r="J63" s="15">
        <f>MIN(I63,J62)</f>
        <v/>
      </c>
      <c r="K63" s="15">
        <f>MIN(J63,K62)</f>
        <v/>
      </c>
      <c r="L63" s="15">
        <f>MIN(K63,L62)</f>
        <v/>
      </c>
      <c r="M63" s="15">
        <f>MIN(L63,M62)</f>
        <v/>
      </c>
      <c r="N63" s="15">
        <f>MIN(M63,N62)</f>
        <v/>
      </c>
      <c r="O63" s="15">
        <f>MIN(N63,O62)</f>
        <v/>
      </c>
      <c r="P63" s="15">
        <f>MIN(O63,P62)</f>
        <v/>
      </c>
      <c r="Q63" s="15">
        <f>MIN(P63,Q62)</f>
        <v/>
      </c>
      <c r="R63" s="15">
        <f>MIN(Q63,R62)</f>
        <v/>
      </c>
      <c r="S63" s="15">
        <f>MIN(R63,S62)</f>
        <v/>
      </c>
      <c r="T63" s="15">
        <f>MIN(S63,T62)</f>
        <v/>
      </c>
      <c r="U63" s="15">
        <f>MIN(T63,U62)</f>
        <v/>
      </c>
      <c r="V63" s="15">
        <f>MIN(U63,V62)</f>
        <v/>
      </c>
      <c r="W63" s="15">
        <f>MIN(V63,W62)</f>
        <v/>
      </c>
      <c r="X63" s="15">
        <f>MIN(W63,X62)</f>
        <v/>
      </c>
      <c r="Y63" s="15">
        <f>MIN(X63,Y62)</f>
        <v/>
      </c>
      <c r="Z63" s="15">
        <f>MIN(Y63,Z62)</f>
        <v/>
      </c>
      <c r="AA63" s="15">
        <f>MIN(Z63,AA62)</f>
        <v/>
      </c>
      <c r="AB63" s="15">
        <f>MIN(AA63,AB62)</f>
        <v/>
      </c>
      <c r="AC63" s="15">
        <f>MIN(AB63,AC62)</f>
        <v/>
      </c>
      <c r="AD63" s="15">
        <f>MIN(AC63,AD62)</f>
        <v/>
      </c>
      <c r="AE63" s="15">
        <f>MIN(AD63,AE62)</f>
        <v/>
      </c>
      <c r="AF63" s="15">
        <f>MIN(AE63,AF62)</f>
        <v/>
      </c>
      <c r="AG63" s="15">
        <f>MIN(AF63,AG62)</f>
        <v/>
      </c>
      <c r="AH63" s="15">
        <f>MIN(AG63,AH62)</f>
        <v/>
      </c>
      <c r="AI63" s="15">
        <f>MIN(AH63,AI62)</f>
        <v/>
      </c>
      <c r="AJ63" s="15">
        <f>MIN(AI63,AJ62)</f>
        <v/>
      </c>
      <c r="AK63" s="15">
        <f>MIN(AJ63,AK62)</f>
        <v/>
      </c>
      <c r="AL63" s="15">
        <f>MIN(AK63,AL62)</f>
        <v/>
      </c>
      <c r="AN63" s="15">
        <f>N63</f>
        <v/>
      </c>
      <c r="AO63" s="15">
        <f>Z63</f>
        <v/>
      </c>
      <c r="AP63" s="15">
        <f>AL63</f>
        <v/>
      </c>
    </row>
    <row r="64">
      <c r="A64" s="9" t="inlineStr">
        <is>
          <t>Trésorerie cumulée hors financement positive après lancement ? (1 = oui)</t>
        </is>
      </c>
      <c r="B64" s="4" t="inlineStr">
        <is>
          <t>0/1</t>
        </is>
      </c>
      <c r="C64" s="13">
        <f>IF(AND(C9=1,C62&gt;0),1,0)</f>
        <v/>
      </c>
      <c r="D64" s="13">
        <f>IF(AND(D9=1,D62&gt;0),1,0)</f>
        <v/>
      </c>
      <c r="E64" s="13">
        <f>IF(AND(E9=1,E62&gt;0),1,0)</f>
        <v/>
      </c>
      <c r="F64" s="13">
        <f>IF(AND(F9=1,F62&gt;0),1,0)</f>
        <v/>
      </c>
      <c r="G64" s="13">
        <f>IF(AND(G9=1,G62&gt;0),1,0)</f>
        <v/>
      </c>
      <c r="H64" s="13">
        <f>IF(AND(H9=1,H62&gt;0),1,0)</f>
        <v/>
      </c>
      <c r="I64" s="13">
        <f>IF(AND(I9=1,I62&gt;0),1,0)</f>
        <v/>
      </c>
      <c r="J64" s="13">
        <f>IF(AND(J9=1,J62&gt;0),1,0)</f>
        <v/>
      </c>
      <c r="K64" s="13">
        <f>IF(AND(K9=1,K62&gt;0),1,0)</f>
        <v/>
      </c>
      <c r="L64" s="13">
        <f>IF(AND(L9=1,L62&gt;0),1,0)</f>
        <v/>
      </c>
      <c r="M64" s="13">
        <f>IF(AND(M9=1,M62&gt;0),1,0)</f>
        <v/>
      </c>
      <c r="N64" s="13">
        <f>IF(AND(N9=1,N62&gt;0),1,0)</f>
        <v/>
      </c>
      <c r="O64" s="13">
        <f>IF(AND(O9=1,O62&gt;0),1,0)</f>
        <v/>
      </c>
      <c r="P64" s="13">
        <f>IF(AND(P9=1,P62&gt;0),1,0)</f>
        <v/>
      </c>
      <c r="Q64" s="13">
        <f>IF(AND(Q9=1,Q62&gt;0),1,0)</f>
        <v/>
      </c>
      <c r="R64" s="13">
        <f>IF(AND(R9=1,R62&gt;0),1,0)</f>
        <v/>
      </c>
      <c r="S64" s="13">
        <f>IF(AND(S9=1,S62&gt;0),1,0)</f>
        <v/>
      </c>
      <c r="T64" s="13">
        <f>IF(AND(T9=1,T62&gt;0),1,0)</f>
        <v/>
      </c>
      <c r="U64" s="13">
        <f>IF(AND(U9=1,U62&gt;0),1,0)</f>
        <v/>
      </c>
      <c r="V64" s="13">
        <f>IF(AND(V9=1,V62&gt;0),1,0)</f>
        <v/>
      </c>
      <c r="W64" s="13">
        <f>IF(AND(W9=1,W62&gt;0),1,0)</f>
        <v/>
      </c>
      <c r="X64" s="13">
        <f>IF(AND(X9=1,X62&gt;0),1,0)</f>
        <v/>
      </c>
      <c r="Y64" s="13">
        <f>IF(AND(Y9=1,Y62&gt;0),1,0)</f>
        <v/>
      </c>
      <c r="Z64" s="13">
        <f>IF(AND(Z9=1,Z62&gt;0),1,0)</f>
        <v/>
      </c>
      <c r="AA64" s="13">
        <f>IF(AND(AA9=1,AA62&gt;0),1,0)</f>
        <v/>
      </c>
      <c r="AB64" s="13">
        <f>IF(AND(AB9=1,AB62&gt;0),1,0)</f>
        <v/>
      </c>
      <c r="AC64" s="13">
        <f>IF(AND(AC9=1,AC62&gt;0),1,0)</f>
        <v/>
      </c>
      <c r="AD64" s="13">
        <f>IF(AND(AD9=1,AD62&gt;0),1,0)</f>
        <v/>
      </c>
      <c r="AE64" s="13">
        <f>IF(AND(AE9=1,AE62&gt;0),1,0)</f>
        <v/>
      </c>
      <c r="AF64" s="13">
        <f>IF(AND(AF9=1,AF62&gt;0),1,0)</f>
        <v/>
      </c>
      <c r="AG64" s="13">
        <f>IF(AND(AG9=1,AG62&gt;0),1,0)</f>
        <v/>
      </c>
      <c r="AH64" s="13">
        <f>IF(AND(AH9=1,AH62&gt;0),1,0)</f>
        <v/>
      </c>
      <c r="AI64" s="13">
        <f>IF(AND(AI9=1,AI62&gt;0),1,0)</f>
        <v/>
      </c>
      <c r="AJ64" s="13">
        <f>IF(AND(AJ9=1,AJ62&gt;0),1,0)</f>
        <v/>
      </c>
      <c r="AK64" s="13">
        <f>IF(AND(AK9=1,AK62&gt;0),1,0)</f>
        <v/>
      </c>
      <c r="AL64" s="13">
        <f>IF(AND(AL9=1,AL62&gt;0),1,0)</f>
        <v/>
      </c>
    </row>
    <row r="65">
      <c r="A65" s="8" t="inlineStr">
        <is>
          <t>Indicateurs</t>
        </is>
      </c>
    </row>
    <row r="66">
      <c r="A66" s="9" t="inlineStr">
        <is>
          <t>ARR HT instantané (CA HT × 12)</t>
        </is>
      </c>
      <c r="B66" s="4" t="inlineStr">
        <is>
          <t>€ HT</t>
        </is>
      </c>
      <c r="C66" s="15">
        <f>C28*12</f>
        <v/>
      </c>
      <c r="D66" s="15">
        <f>D28*12</f>
        <v/>
      </c>
      <c r="E66" s="15">
        <f>E28*12</f>
        <v/>
      </c>
      <c r="F66" s="15">
        <f>F28*12</f>
        <v/>
      </c>
      <c r="G66" s="15">
        <f>G28*12</f>
        <v/>
      </c>
      <c r="H66" s="15">
        <f>H28*12</f>
        <v/>
      </c>
      <c r="I66" s="15">
        <f>I28*12</f>
        <v/>
      </c>
      <c r="J66" s="15">
        <f>J28*12</f>
        <v/>
      </c>
      <c r="K66" s="15">
        <f>K28*12</f>
        <v/>
      </c>
      <c r="L66" s="15">
        <f>L28*12</f>
        <v/>
      </c>
      <c r="M66" s="15">
        <f>M28*12</f>
        <v/>
      </c>
      <c r="N66" s="15">
        <f>N28*12</f>
        <v/>
      </c>
      <c r="O66" s="15">
        <f>O28*12</f>
        <v/>
      </c>
      <c r="P66" s="15">
        <f>P28*12</f>
        <v/>
      </c>
      <c r="Q66" s="15">
        <f>Q28*12</f>
        <v/>
      </c>
      <c r="R66" s="15">
        <f>R28*12</f>
        <v/>
      </c>
      <c r="S66" s="15">
        <f>S28*12</f>
        <v/>
      </c>
      <c r="T66" s="15">
        <f>T28*12</f>
        <v/>
      </c>
      <c r="U66" s="15">
        <f>U28*12</f>
        <v/>
      </c>
      <c r="V66" s="15">
        <f>V28*12</f>
        <v/>
      </c>
      <c r="W66" s="15">
        <f>W28*12</f>
        <v/>
      </c>
      <c r="X66" s="15">
        <f>X28*12</f>
        <v/>
      </c>
      <c r="Y66" s="15">
        <f>Y28*12</f>
        <v/>
      </c>
      <c r="Z66" s="15">
        <f>Z28*12</f>
        <v/>
      </c>
      <c r="AA66" s="15">
        <f>AA28*12</f>
        <v/>
      </c>
      <c r="AB66" s="15">
        <f>AB28*12</f>
        <v/>
      </c>
      <c r="AC66" s="15">
        <f>AC28*12</f>
        <v/>
      </c>
      <c r="AD66" s="15">
        <f>AD28*12</f>
        <v/>
      </c>
      <c r="AE66" s="15">
        <f>AE28*12</f>
        <v/>
      </c>
      <c r="AF66" s="15">
        <f>AF28*12</f>
        <v/>
      </c>
      <c r="AG66" s="15">
        <f>AG28*12</f>
        <v/>
      </c>
      <c r="AH66" s="15">
        <f>AH28*12</f>
        <v/>
      </c>
      <c r="AI66" s="15">
        <f>AI28*12</f>
        <v/>
      </c>
      <c r="AJ66" s="15">
        <f>AJ28*12</f>
        <v/>
      </c>
      <c r="AK66" s="15">
        <f>AK28*12</f>
        <v/>
      </c>
      <c r="AL66" s="15">
        <f>AL28*12</f>
        <v/>
      </c>
      <c r="AN66" s="15">
        <f>N66</f>
        <v/>
      </c>
      <c r="AO66" s="15">
        <f>Z66</f>
        <v/>
      </c>
      <c r="AP66" s="15">
        <f>AL66</f>
        <v/>
      </c>
    </row>
    <row r="67">
      <c r="A67" s="9" t="inlineStr">
        <is>
          <t>ARPA HT (CA HT / abonnés)</t>
        </is>
      </c>
      <c r="B67" s="4" t="inlineStr">
        <is>
          <t>€ HT</t>
        </is>
      </c>
      <c r="C67" s="19">
        <f>IF(C18&gt;0,C28/C18,0)</f>
        <v/>
      </c>
      <c r="D67" s="19">
        <f>IF(D18&gt;0,D28/D18,0)</f>
        <v/>
      </c>
      <c r="E67" s="19">
        <f>IF(E18&gt;0,E28/E18,0)</f>
        <v/>
      </c>
      <c r="F67" s="19">
        <f>IF(F18&gt;0,F28/F18,0)</f>
        <v/>
      </c>
      <c r="G67" s="19">
        <f>IF(G18&gt;0,G28/G18,0)</f>
        <v/>
      </c>
      <c r="H67" s="19">
        <f>IF(H18&gt;0,H28/H18,0)</f>
        <v/>
      </c>
      <c r="I67" s="19">
        <f>IF(I18&gt;0,I28/I18,0)</f>
        <v/>
      </c>
      <c r="J67" s="19">
        <f>IF(J18&gt;0,J28/J18,0)</f>
        <v/>
      </c>
      <c r="K67" s="19">
        <f>IF(K18&gt;0,K28/K18,0)</f>
        <v/>
      </c>
      <c r="L67" s="19">
        <f>IF(L18&gt;0,L28/L18,0)</f>
        <v/>
      </c>
      <c r="M67" s="19">
        <f>IF(M18&gt;0,M28/M18,0)</f>
        <v/>
      </c>
      <c r="N67" s="19">
        <f>IF(N18&gt;0,N28/N18,0)</f>
        <v/>
      </c>
      <c r="O67" s="19">
        <f>IF(O18&gt;0,O28/O18,0)</f>
        <v/>
      </c>
      <c r="P67" s="19">
        <f>IF(P18&gt;0,P28/P18,0)</f>
        <v/>
      </c>
      <c r="Q67" s="19">
        <f>IF(Q18&gt;0,Q28/Q18,0)</f>
        <v/>
      </c>
      <c r="R67" s="19">
        <f>IF(R18&gt;0,R28/R18,0)</f>
        <v/>
      </c>
      <c r="S67" s="19">
        <f>IF(S18&gt;0,S28/S18,0)</f>
        <v/>
      </c>
      <c r="T67" s="19">
        <f>IF(T18&gt;0,T28/T18,0)</f>
        <v/>
      </c>
      <c r="U67" s="19">
        <f>IF(U18&gt;0,U28/U18,0)</f>
        <v/>
      </c>
      <c r="V67" s="19">
        <f>IF(V18&gt;0,V28/V18,0)</f>
        <v/>
      </c>
      <c r="W67" s="19">
        <f>IF(W18&gt;0,W28/W18,0)</f>
        <v/>
      </c>
      <c r="X67" s="19">
        <f>IF(X18&gt;0,X28/X18,0)</f>
        <v/>
      </c>
      <c r="Y67" s="19">
        <f>IF(Y18&gt;0,Y28/Y18,0)</f>
        <v/>
      </c>
      <c r="Z67" s="19">
        <f>IF(Z18&gt;0,Z28/Z18,0)</f>
        <v/>
      </c>
      <c r="AA67" s="19">
        <f>IF(AA18&gt;0,AA28/AA18,0)</f>
        <v/>
      </c>
      <c r="AB67" s="19">
        <f>IF(AB18&gt;0,AB28/AB18,0)</f>
        <v/>
      </c>
      <c r="AC67" s="19">
        <f>IF(AC18&gt;0,AC28/AC18,0)</f>
        <v/>
      </c>
      <c r="AD67" s="19">
        <f>IF(AD18&gt;0,AD28/AD18,0)</f>
        <v/>
      </c>
      <c r="AE67" s="19">
        <f>IF(AE18&gt;0,AE28/AE18,0)</f>
        <v/>
      </c>
      <c r="AF67" s="19">
        <f>IF(AF18&gt;0,AF28/AF18,0)</f>
        <v/>
      </c>
      <c r="AG67" s="19">
        <f>IF(AG18&gt;0,AG28/AG18,0)</f>
        <v/>
      </c>
      <c r="AH67" s="19">
        <f>IF(AH18&gt;0,AH28/AH18,0)</f>
        <v/>
      </c>
      <c r="AI67" s="19">
        <f>IF(AI18&gt;0,AI28/AI18,0)</f>
        <v/>
      </c>
      <c r="AJ67" s="19">
        <f>IF(AJ18&gt;0,AJ28/AJ18,0)</f>
        <v/>
      </c>
      <c r="AK67" s="19">
        <f>IF(AK18&gt;0,AK28/AK18,0)</f>
        <v/>
      </c>
      <c r="AL67" s="19">
        <f>IF(AL18&gt;0,AL28/AL18,0)</f>
        <v/>
      </c>
      <c r="AN67" s="19">
        <f>N67</f>
        <v/>
      </c>
      <c r="AO67" s="19">
        <f>Z67</f>
        <v/>
      </c>
      <c r="AP67" s="19">
        <f>AL67</f>
        <v/>
      </c>
    </row>
    <row r="68">
      <c r="A68" s="9" t="inlineStr">
        <is>
          <t>Coût variable par abonné</t>
        </is>
      </c>
      <c r="B68" s="4" t="inlineStr">
        <is>
          <t>€ HT</t>
        </is>
      </c>
      <c r="C68" s="19">
        <f>IF(C18&gt;0,C36/C18,0)</f>
        <v/>
      </c>
      <c r="D68" s="19">
        <f>IF(D18&gt;0,D36/D18,0)</f>
        <v/>
      </c>
      <c r="E68" s="19">
        <f>IF(E18&gt;0,E36/E18,0)</f>
        <v/>
      </c>
      <c r="F68" s="19">
        <f>IF(F18&gt;0,F36/F18,0)</f>
        <v/>
      </c>
      <c r="G68" s="19">
        <f>IF(G18&gt;0,G36/G18,0)</f>
        <v/>
      </c>
      <c r="H68" s="19">
        <f>IF(H18&gt;0,H36/H18,0)</f>
        <v/>
      </c>
      <c r="I68" s="19">
        <f>IF(I18&gt;0,I36/I18,0)</f>
        <v/>
      </c>
      <c r="J68" s="19">
        <f>IF(J18&gt;0,J36/J18,0)</f>
        <v/>
      </c>
      <c r="K68" s="19">
        <f>IF(K18&gt;0,K36/K18,0)</f>
        <v/>
      </c>
      <c r="L68" s="19">
        <f>IF(L18&gt;0,L36/L18,0)</f>
        <v/>
      </c>
      <c r="M68" s="19">
        <f>IF(M18&gt;0,M36/M18,0)</f>
        <v/>
      </c>
      <c r="N68" s="19">
        <f>IF(N18&gt;0,N36/N18,0)</f>
        <v/>
      </c>
      <c r="O68" s="19">
        <f>IF(O18&gt;0,O36/O18,0)</f>
        <v/>
      </c>
      <c r="P68" s="19">
        <f>IF(P18&gt;0,P36/P18,0)</f>
        <v/>
      </c>
      <c r="Q68" s="19">
        <f>IF(Q18&gt;0,Q36/Q18,0)</f>
        <v/>
      </c>
      <c r="R68" s="19">
        <f>IF(R18&gt;0,R36/R18,0)</f>
        <v/>
      </c>
      <c r="S68" s="19">
        <f>IF(S18&gt;0,S36/S18,0)</f>
        <v/>
      </c>
      <c r="T68" s="19">
        <f>IF(T18&gt;0,T36/T18,0)</f>
        <v/>
      </c>
      <c r="U68" s="19">
        <f>IF(U18&gt;0,U36/U18,0)</f>
        <v/>
      </c>
      <c r="V68" s="19">
        <f>IF(V18&gt;0,V36/V18,0)</f>
        <v/>
      </c>
      <c r="W68" s="19">
        <f>IF(W18&gt;0,W36/W18,0)</f>
        <v/>
      </c>
      <c r="X68" s="19">
        <f>IF(X18&gt;0,X36/X18,0)</f>
        <v/>
      </c>
      <c r="Y68" s="19">
        <f>IF(Y18&gt;0,Y36/Y18,0)</f>
        <v/>
      </c>
      <c r="Z68" s="19">
        <f>IF(Z18&gt;0,Z36/Z18,0)</f>
        <v/>
      </c>
      <c r="AA68" s="19">
        <f>IF(AA18&gt;0,AA36/AA18,0)</f>
        <v/>
      </c>
      <c r="AB68" s="19">
        <f>IF(AB18&gt;0,AB36/AB18,0)</f>
        <v/>
      </c>
      <c r="AC68" s="19">
        <f>IF(AC18&gt;0,AC36/AC18,0)</f>
        <v/>
      </c>
      <c r="AD68" s="19">
        <f>IF(AD18&gt;0,AD36/AD18,0)</f>
        <v/>
      </c>
      <c r="AE68" s="19">
        <f>IF(AE18&gt;0,AE36/AE18,0)</f>
        <v/>
      </c>
      <c r="AF68" s="19">
        <f>IF(AF18&gt;0,AF36/AF18,0)</f>
        <v/>
      </c>
      <c r="AG68" s="19">
        <f>IF(AG18&gt;0,AG36/AG18,0)</f>
        <v/>
      </c>
      <c r="AH68" s="19">
        <f>IF(AH18&gt;0,AH36/AH18,0)</f>
        <v/>
      </c>
      <c r="AI68" s="19">
        <f>IF(AI18&gt;0,AI36/AI18,0)</f>
        <v/>
      </c>
      <c r="AJ68" s="19">
        <f>IF(AJ18&gt;0,AJ36/AJ18,0)</f>
        <v/>
      </c>
      <c r="AK68" s="19">
        <f>IF(AK18&gt;0,AK36/AK18,0)</f>
        <v/>
      </c>
      <c r="AL68" s="19">
        <f>IF(AL18&gt;0,AL36/AL18,0)</f>
        <v/>
      </c>
      <c r="AN68" s="19">
        <f>N68</f>
        <v/>
      </c>
      <c r="AO68" s="19">
        <f>Z68</f>
        <v/>
      </c>
      <c r="AP68" s="19">
        <f>AL68</f>
        <v/>
      </c>
    </row>
    <row r="69">
      <c r="A69" s="9" t="inlineStr">
        <is>
          <t>Contribution par abonné</t>
        </is>
      </c>
      <c r="B69" s="4" t="inlineStr">
        <is>
          <t>€ HT</t>
        </is>
      </c>
      <c r="C69" s="19">
        <f>IF(C18&gt;0,C37/C18,0)</f>
        <v/>
      </c>
      <c r="D69" s="19">
        <f>IF(D18&gt;0,D37/D18,0)</f>
        <v/>
      </c>
      <c r="E69" s="19">
        <f>IF(E18&gt;0,E37/E18,0)</f>
        <v/>
      </c>
      <c r="F69" s="19">
        <f>IF(F18&gt;0,F37/F18,0)</f>
        <v/>
      </c>
      <c r="G69" s="19">
        <f>IF(G18&gt;0,G37/G18,0)</f>
        <v/>
      </c>
      <c r="H69" s="19">
        <f>IF(H18&gt;0,H37/H18,0)</f>
        <v/>
      </c>
      <c r="I69" s="19">
        <f>IF(I18&gt;0,I37/I18,0)</f>
        <v/>
      </c>
      <c r="J69" s="19">
        <f>IF(J18&gt;0,J37/J18,0)</f>
        <v/>
      </c>
      <c r="K69" s="19">
        <f>IF(K18&gt;0,K37/K18,0)</f>
        <v/>
      </c>
      <c r="L69" s="19">
        <f>IF(L18&gt;0,L37/L18,0)</f>
        <v/>
      </c>
      <c r="M69" s="19">
        <f>IF(M18&gt;0,M37/M18,0)</f>
        <v/>
      </c>
      <c r="N69" s="19">
        <f>IF(N18&gt;0,N37/N18,0)</f>
        <v/>
      </c>
      <c r="O69" s="19">
        <f>IF(O18&gt;0,O37/O18,0)</f>
        <v/>
      </c>
      <c r="P69" s="19">
        <f>IF(P18&gt;0,P37/P18,0)</f>
        <v/>
      </c>
      <c r="Q69" s="19">
        <f>IF(Q18&gt;0,Q37/Q18,0)</f>
        <v/>
      </c>
      <c r="R69" s="19">
        <f>IF(R18&gt;0,R37/R18,0)</f>
        <v/>
      </c>
      <c r="S69" s="19">
        <f>IF(S18&gt;0,S37/S18,0)</f>
        <v/>
      </c>
      <c r="T69" s="19">
        <f>IF(T18&gt;0,T37/T18,0)</f>
        <v/>
      </c>
      <c r="U69" s="19">
        <f>IF(U18&gt;0,U37/U18,0)</f>
        <v/>
      </c>
      <c r="V69" s="19">
        <f>IF(V18&gt;0,V37/V18,0)</f>
        <v/>
      </c>
      <c r="W69" s="19">
        <f>IF(W18&gt;0,W37/W18,0)</f>
        <v/>
      </c>
      <c r="X69" s="19">
        <f>IF(X18&gt;0,X37/X18,0)</f>
        <v/>
      </c>
      <c r="Y69" s="19">
        <f>IF(Y18&gt;0,Y37/Y18,0)</f>
        <v/>
      </c>
      <c r="Z69" s="19">
        <f>IF(Z18&gt;0,Z37/Z18,0)</f>
        <v/>
      </c>
      <c r="AA69" s="19">
        <f>IF(AA18&gt;0,AA37/AA18,0)</f>
        <v/>
      </c>
      <c r="AB69" s="19">
        <f>IF(AB18&gt;0,AB37/AB18,0)</f>
        <v/>
      </c>
      <c r="AC69" s="19">
        <f>IF(AC18&gt;0,AC37/AC18,0)</f>
        <v/>
      </c>
      <c r="AD69" s="19">
        <f>IF(AD18&gt;0,AD37/AD18,0)</f>
        <v/>
      </c>
      <c r="AE69" s="19">
        <f>IF(AE18&gt;0,AE37/AE18,0)</f>
        <v/>
      </c>
      <c r="AF69" s="19">
        <f>IF(AF18&gt;0,AF37/AF18,0)</f>
        <v/>
      </c>
      <c r="AG69" s="19">
        <f>IF(AG18&gt;0,AG37/AG18,0)</f>
        <v/>
      </c>
      <c r="AH69" s="19">
        <f>IF(AH18&gt;0,AH37/AH18,0)</f>
        <v/>
      </c>
      <c r="AI69" s="19">
        <f>IF(AI18&gt;0,AI37/AI18,0)</f>
        <v/>
      </c>
      <c r="AJ69" s="19">
        <f>IF(AJ18&gt;0,AJ37/AJ18,0)</f>
        <v/>
      </c>
      <c r="AK69" s="19">
        <f>IF(AK18&gt;0,AK37/AK18,0)</f>
        <v/>
      </c>
      <c r="AL69" s="19">
        <f>IF(AL18&gt;0,AL37/AL18,0)</f>
        <v/>
      </c>
      <c r="AN69" s="19">
        <f>N69</f>
        <v/>
      </c>
      <c r="AO69" s="19">
        <f>Z69</f>
        <v/>
      </c>
      <c r="AP69" s="19">
        <f>AL69</f>
        <v/>
      </c>
    </row>
    <row r="70">
      <c r="A70" s="9" t="inlineStr">
        <is>
          <t>Marge variable (% du CA HT)</t>
        </is>
      </c>
      <c r="B70" s="4" t="inlineStr">
        <is>
          <t>%</t>
        </is>
      </c>
      <c r="C70" s="17">
        <f>IF(C28&gt;0,C37/C28,0)</f>
        <v/>
      </c>
      <c r="D70" s="17">
        <f>IF(D28&gt;0,D37/D28,0)</f>
        <v/>
      </c>
      <c r="E70" s="17">
        <f>IF(E28&gt;0,E37/E28,0)</f>
        <v/>
      </c>
      <c r="F70" s="17">
        <f>IF(F28&gt;0,F37/F28,0)</f>
        <v/>
      </c>
      <c r="G70" s="17">
        <f>IF(G28&gt;0,G37/G28,0)</f>
        <v/>
      </c>
      <c r="H70" s="17">
        <f>IF(H28&gt;0,H37/H28,0)</f>
        <v/>
      </c>
      <c r="I70" s="17">
        <f>IF(I28&gt;0,I37/I28,0)</f>
        <v/>
      </c>
      <c r="J70" s="17">
        <f>IF(J28&gt;0,J37/J28,0)</f>
        <v/>
      </c>
      <c r="K70" s="17">
        <f>IF(K28&gt;0,K37/K28,0)</f>
        <v/>
      </c>
      <c r="L70" s="17">
        <f>IF(L28&gt;0,L37/L28,0)</f>
        <v/>
      </c>
      <c r="M70" s="17">
        <f>IF(M28&gt;0,M37/M28,0)</f>
        <v/>
      </c>
      <c r="N70" s="17">
        <f>IF(N28&gt;0,N37/N28,0)</f>
        <v/>
      </c>
      <c r="O70" s="17">
        <f>IF(O28&gt;0,O37/O28,0)</f>
        <v/>
      </c>
      <c r="P70" s="17">
        <f>IF(P28&gt;0,P37/P28,0)</f>
        <v/>
      </c>
      <c r="Q70" s="17">
        <f>IF(Q28&gt;0,Q37/Q28,0)</f>
        <v/>
      </c>
      <c r="R70" s="17">
        <f>IF(R28&gt;0,R37/R28,0)</f>
        <v/>
      </c>
      <c r="S70" s="17">
        <f>IF(S28&gt;0,S37/S28,0)</f>
        <v/>
      </c>
      <c r="T70" s="17">
        <f>IF(T28&gt;0,T37/T28,0)</f>
        <v/>
      </c>
      <c r="U70" s="17">
        <f>IF(U28&gt;0,U37/U28,0)</f>
        <v/>
      </c>
      <c r="V70" s="17">
        <f>IF(V28&gt;0,V37/V28,0)</f>
        <v/>
      </c>
      <c r="W70" s="17">
        <f>IF(W28&gt;0,W37/W28,0)</f>
        <v/>
      </c>
      <c r="X70" s="17">
        <f>IF(X28&gt;0,X37/X28,0)</f>
        <v/>
      </c>
      <c r="Y70" s="17">
        <f>IF(Y28&gt;0,Y37/Y28,0)</f>
        <v/>
      </c>
      <c r="Z70" s="17">
        <f>IF(Z28&gt;0,Z37/Z28,0)</f>
        <v/>
      </c>
      <c r="AA70" s="17">
        <f>IF(AA28&gt;0,AA37/AA28,0)</f>
        <v/>
      </c>
      <c r="AB70" s="17">
        <f>IF(AB28&gt;0,AB37/AB28,0)</f>
        <v/>
      </c>
      <c r="AC70" s="17">
        <f>IF(AC28&gt;0,AC37/AC28,0)</f>
        <v/>
      </c>
      <c r="AD70" s="17">
        <f>IF(AD28&gt;0,AD37/AD28,0)</f>
        <v/>
      </c>
      <c r="AE70" s="17">
        <f>IF(AE28&gt;0,AE37/AE28,0)</f>
        <v/>
      </c>
      <c r="AF70" s="17">
        <f>IF(AF28&gt;0,AF37/AF28,0)</f>
        <v/>
      </c>
      <c r="AG70" s="17">
        <f>IF(AG28&gt;0,AG37/AG28,0)</f>
        <v/>
      </c>
      <c r="AH70" s="17">
        <f>IF(AH28&gt;0,AH37/AH28,0)</f>
        <v/>
      </c>
      <c r="AI70" s="17">
        <f>IF(AI28&gt;0,AI37/AI28,0)</f>
        <v/>
      </c>
      <c r="AJ70" s="17">
        <f>IF(AJ28&gt;0,AJ37/AJ28,0)</f>
        <v/>
      </c>
      <c r="AK70" s="17">
        <f>IF(AK28&gt;0,AK37/AK28,0)</f>
        <v/>
      </c>
      <c r="AL70" s="17">
        <f>IF(AL28&gt;0,AL37/AL28,0)</f>
        <v/>
      </c>
      <c r="AN70" s="17">
        <f>N70</f>
        <v/>
      </c>
      <c r="AO70" s="17">
        <f>Z70</f>
        <v/>
      </c>
      <c r="AP70" s="17">
        <f>AL70</f>
        <v/>
      </c>
    </row>
    <row r="71">
      <c r="A71" s="9" t="inlineStr">
        <is>
          <t>CAC effectif</t>
        </is>
      </c>
      <c r="B71" s="4" t="inlineStr">
        <is>
          <t>€</t>
        </is>
      </c>
      <c r="C71" s="15">
        <f>IF(C14&gt;0,C39/C14,0)</f>
        <v/>
      </c>
      <c r="D71" s="15">
        <f>IF(D14&gt;0,D39/D14,0)</f>
        <v/>
      </c>
      <c r="E71" s="15">
        <f>IF(E14&gt;0,E39/E14,0)</f>
        <v/>
      </c>
      <c r="F71" s="15">
        <f>IF(F14&gt;0,F39/F14,0)</f>
        <v/>
      </c>
      <c r="G71" s="15">
        <f>IF(G14&gt;0,G39/G14,0)</f>
        <v/>
      </c>
      <c r="H71" s="15">
        <f>IF(H14&gt;0,H39/H14,0)</f>
        <v/>
      </c>
      <c r="I71" s="15">
        <f>IF(I14&gt;0,I39/I14,0)</f>
        <v/>
      </c>
      <c r="J71" s="15">
        <f>IF(J14&gt;0,J39/J14,0)</f>
        <v/>
      </c>
      <c r="K71" s="15">
        <f>IF(K14&gt;0,K39/K14,0)</f>
        <v/>
      </c>
      <c r="L71" s="15">
        <f>IF(L14&gt;0,L39/L14,0)</f>
        <v/>
      </c>
      <c r="M71" s="15">
        <f>IF(M14&gt;0,M39/M14,0)</f>
        <v/>
      </c>
      <c r="N71" s="15">
        <f>IF(N14&gt;0,N39/N14,0)</f>
        <v/>
      </c>
      <c r="O71" s="15">
        <f>IF(O14&gt;0,O39/O14,0)</f>
        <v/>
      </c>
      <c r="P71" s="15">
        <f>IF(P14&gt;0,P39/P14,0)</f>
        <v/>
      </c>
      <c r="Q71" s="15">
        <f>IF(Q14&gt;0,Q39/Q14,0)</f>
        <v/>
      </c>
      <c r="R71" s="15">
        <f>IF(R14&gt;0,R39/R14,0)</f>
        <v/>
      </c>
      <c r="S71" s="15">
        <f>IF(S14&gt;0,S39/S14,0)</f>
        <v/>
      </c>
      <c r="T71" s="15">
        <f>IF(T14&gt;0,T39/T14,0)</f>
        <v/>
      </c>
      <c r="U71" s="15">
        <f>IF(U14&gt;0,U39/U14,0)</f>
        <v/>
      </c>
      <c r="V71" s="15">
        <f>IF(V14&gt;0,V39/V14,0)</f>
        <v/>
      </c>
      <c r="W71" s="15">
        <f>IF(W14&gt;0,W39/W14,0)</f>
        <v/>
      </c>
      <c r="X71" s="15">
        <f>IF(X14&gt;0,X39/X14,0)</f>
        <v/>
      </c>
      <c r="Y71" s="15">
        <f>IF(Y14&gt;0,Y39/Y14,0)</f>
        <v/>
      </c>
      <c r="Z71" s="15">
        <f>IF(Z14&gt;0,Z39/Z14,0)</f>
        <v/>
      </c>
      <c r="AA71" s="15">
        <f>IF(AA14&gt;0,AA39/AA14,0)</f>
        <v/>
      </c>
      <c r="AB71" s="15">
        <f>IF(AB14&gt;0,AB39/AB14,0)</f>
        <v/>
      </c>
      <c r="AC71" s="15">
        <f>IF(AC14&gt;0,AC39/AC14,0)</f>
        <v/>
      </c>
      <c r="AD71" s="15">
        <f>IF(AD14&gt;0,AD39/AD14,0)</f>
        <v/>
      </c>
      <c r="AE71" s="15">
        <f>IF(AE14&gt;0,AE39/AE14,0)</f>
        <v/>
      </c>
      <c r="AF71" s="15">
        <f>IF(AF14&gt;0,AF39/AF14,0)</f>
        <v/>
      </c>
      <c r="AG71" s="15">
        <f>IF(AG14&gt;0,AG39/AG14,0)</f>
        <v/>
      </c>
      <c r="AH71" s="15">
        <f>IF(AH14&gt;0,AH39/AH14,0)</f>
        <v/>
      </c>
      <c r="AI71" s="15">
        <f>IF(AI14&gt;0,AI39/AI14,0)</f>
        <v/>
      </c>
      <c r="AJ71" s="15">
        <f>IF(AJ14&gt;0,AJ39/AJ14,0)</f>
        <v/>
      </c>
      <c r="AK71" s="15">
        <f>IF(AK14&gt;0,AK39/AK14,0)</f>
        <v/>
      </c>
      <c r="AL71" s="15">
        <f>IF(AL14&gt;0,AL39/AL14,0)</f>
        <v/>
      </c>
      <c r="AN71" s="15">
        <f>N71</f>
        <v/>
      </c>
      <c r="AO71" s="15">
        <f>Z71</f>
        <v/>
      </c>
      <c r="AP71" s="15">
        <f>AL71</f>
        <v/>
      </c>
    </row>
    <row r="72">
      <c r="A72" s="9" t="inlineStr">
        <is>
          <t>Payback du CAC (mois)</t>
        </is>
      </c>
      <c r="B72" s="4" t="inlineStr">
        <is>
          <t>mois</t>
        </is>
      </c>
      <c r="C72" s="38">
        <f>IF(C69&gt;0,Hypothèses!$D$23*$E$4/C69,0)</f>
        <v/>
      </c>
      <c r="D72" s="38">
        <f>IF(D69&gt;0,Hypothèses!$D$23*$E$4/D69,0)</f>
        <v/>
      </c>
      <c r="E72" s="38">
        <f>IF(E69&gt;0,Hypothèses!$D$23*$E$4/E69,0)</f>
        <v/>
      </c>
      <c r="F72" s="38">
        <f>IF(F69&gt;0,Hypothèses!$D$23*$E$4/F69,0)</f>
        <v/>
      </c>
      <c r="G72" s="38">
        <f>IF(G69&gt;0,Hypothèses!$D$23*$E$4/G69,0)</f>
        <v/>
      </c>
      <c r="H72" s="38">
        <f>IF(H69&gt;0,Hypothèses!$D$23*$E$4/H69,0)</f>
        <v/>
      </c>
      <c r="I72" s="38">
        <f>IF(I69&gt;0,Hypothèses!$D$23*$E$4/I69,0)</f>
        <v/>
      </c>
      <c r="J72" s="38">
        <f>IF(J69&gt;0,Hypothèses!$D$23*$E$4/J69,0)</f>
        <v/>
      </c>
      <c r="K72" s="38">
        <f>IF(K69&gt;0,Hypothèses!$D$23*$E$4/K69,0)</f>
        <v/>
      </c>
      <c r="L72" s="38">
        <f>IF(L69&gt;0,Hypothèses!$D$23*$E$4/L69,0)</f>
        <v/>
      </c>
      <c r="M72" s="38">
        <f>IF(M69&gt;0,Hypothèses!$D$23*$E$4/M69,0)</f>
        <v/>
      </c>
      <c r="N72" s="38">
        <f>IF(N69&gt;0,Hypothèses!$D$23*$E$4/N69,0)</f>
        <v/>
      </c>
      <c r="O72" s="38">
        <f>IF(O69&gt;0,Hypothèses!$D$23*$E$4/O69,0)</f>
        <v/>
      </c>
      <c r="P72" s="38">
        <f>IF(P69&gt;0,Hypothèses!$D$23*$E$4/P69,0)</f>
        <v/>
      </c>
      <c r="Q72" s="38">
        <f>IF(Q69&gt;0,Hypothèses!$D$23*$E$4/Q69,0)</f>
        <v/>
      </c>
      <c r="R72" s="38">
        <f>IF(R69&gt;0,Hypothèses!$D$23*$E$4/R69,0)</f>
        <v/>
      </c>
      <c r="S72" s="38">
        <f>IF(S69&gt;0,Hypothèses!$D$23*$E$4/S69,0)</f>
        <v/>
      </c>
      <c r="T72" s="38">
        <f>IF(T69&gt;0,Hypothèses!$D$23*$E$4/T69,0)</f>
        <v/>
      </c>
      <c r="U72" s="38">
        <f>IF(U69&gt;0,Hypothèses!$D$23*$E$4/U69,0)</f>
        <v/>
      </c>
      <c r="V72" s="38">
        <f>IF(V69&gt;0,Hypothèses!$D$23*$E$4/V69,0)</f>
        <v/>
      </c>
      <c r="W72" s="38">
        <f>IF(W69&gt;0,Hypothèses!$D$23*$E$4/W69,0)</f>
        <v/>
      </c>
      <c r="X72" s="38">
        <f>IF(X69&gt;0,Hypothèses!$D$23*$E$4/X69,0)</f>
        <v/>
      </c>
      <c r="Y72" s="38">
        <f>IF(Y69&gt;0,Hypothèses!$D$23*$E$4/Y69,0)</f>
        <v/>
      </c>
      <c r="Z72" s="38">
        <f>IF(Z69&gt;0,Hypothèses!$D$23*$E$4/Z69,0)</f>
        <v/>
      </c>
      <c r="AA72" s="38">
        <f>IF(AA69&gt;0,Hypothèses!$D$23*$E$4/AA69,0)</f>
        <v/>
      </c>
      <c r="AB72" s="38">
        <f>IF(AB69&gt;0,Hypothèses!$D$23*$E$4/AB69,0)</f>
        <v/>
      </c>
      <c r="AC72" s="38">
        <f>IF(AC69&gt;0,Hypothèses!$D$23*$E$4/AC69,0)</f>
        <v/>
      </c>
      <c r="AD72" s="38">
        <f>IF(AD69&gt;0,Hypothèses!$D$23*$E$4/AD69,0)</f>
        <v/>
      </c>
      <c r="AE72" s="38">
        <f>IF(AE69&gt;0,Hypothèses!$D$23*$E$4/AE69,0)</f>
        <v/>
      </c>
      <c r="AF72" s="38">
        <f>IF(AF69&gt;0,Hypothèses!$D$23*$E$4/AF69,0)</f>
        <v/>
      </c>
      <c r="AG72" s="38">
        <f>IF(AG69&gt;0,Hypothèses!$D$23*$E$4/AG69,0)</f>
        <v/>
      </c>
      <c r="AH72" s="38">
        <f>IF(AH69&gt;0,Hypothèses!$D$23*$E$4/AH69,0)</f>
        <v/>
      </c>
      <c r="AI72" s="38">
        <f>IF(AI69&gt;0,Hypothèses!$D$23*$E$4/AI69,0)</f>
        <v/>
      </c>
      <c r="AJ72" s="38">
        <f>IF(AJ69&gt;0,Hypothèses!$D$23*$E$4/AJ69,0)</f>
        <v/>
      </c>
      <c r="AK72" s="38">
        <f>IF(AK69&gt;0,Hypothèses!$D$23*$E$4/AK69,0)</f>
        <v/>
      </c>
      <c r="AL72" s="38">
        <f>IF(AL69&gt;0,Hypothèses!$D$23*$E$4/AL69,0)</f>
        <v/>
      </c>
      <c r="AN72" s="38">
        <f>N72</f>
        <v/>
      </c>
      <c r="AO72" s="38">
        <f>Z72</f>
        <v/>
      </c>
      <c r="AP72" s="38">
        <f>AL72</f>
        <v/>
      </c>
    </row>
    <row r="73">
      <c r="A73" s="9" t="inlineStr">
        <is>
          <t>LTV contributive simplifiée (contribution / churn)</t>
        </is>
      </c>
      <c r="B73" s="4" t="inlineStr">
        <is>
          <t>€ HT</t>
        </is>
      </c>
      <c r="C73" s="15">
        <f>IF(Hypothèses!$D$26*$D$4&gt;0,C69/(Hypothèses!$D$26*$D$4),0)</f>
        <v/>
      </c>
      <c r="D73" s="15">
        <f>IF(Hypothèses!$D$26*$D$4&gt;0,D69/(Hypothèses!$D$26*$D$4),0)</f>
        <v/>
      </c>
      <c r="E73" s="15">
        <f>IF(Hypothèses!$D$26*$D$4&gt;0,E69/(Hypothèses!$D$26*$D$4),0)</f>
        <v/>
      </c>
      <c r="F73" s="15">
        <f>IF(Hypothèses!$D$26*$D$4&gt;0,F69/(Hypothèses!$D$26*$D$4),0)</f>
        <v/>
      </c>
      <c r="G73" s="15">
        <f>IF(Hypothèses!$D$26*$D$4&gt;0,G69/(Hypothèses!$D$26*$D$4),0)</f>
        <v/>
      </c>
      <c r="H73" s="15">
        <f>IF(Hypothèses!$D$26*$D$4&gt;0,H69/(Hypothèses!$D$26*$D$4),0)</f>
        <v/>
      </c>
      <c r="I73" s="15">
        <f>IF(Hypothèses!$D$26*$D$4&gt;0,I69/(Hypothèses!$D$26*$D$4),0)</f>
        <v/>
      </c>
      <c r="J73" s="15">
        <f>IF(Hypothèses!$D$26*$D$4&gt;0,J69/(Hypothèses!$D$26*$D$4),0)</f>
        <v/>
      </c>
      <c r="K73" s="15">
        <f>IF(Hypothèses!$D$26*$D$4&gt;0,K69/(Hypothèses!$D$26*$D$4),0)</f>
        <v/>
      </c>
      <c r="L73" s="15">
        <f>IF(Hypothèses!$D$26*$D$4&gt;0,L69/(Hypothèses!$D$26*$D$4),0)</f>
        <v/>
      </c>
      <c r="M73" s="15">
        <f>IF(Hypothèses!$D$26*$D$4&gt;0,M69/(Hypothèses!$D$26*$D$4),0)</f>
        <v/>
      </c>
      <c r="N73" s="15">
        <f>IF(Hypothèses!$D$26*$D$4&gt;0,N69/(Hypothèses!$D$26*$D$4),0)</f>
        <v/>
      </c>
      <c r="O73" s="15">
        <f>IF(Hypothèses!$D$26*$D$4&gt;0,O69/(Hypothèses!$D$26*$D$4),0)</f>
        <v/>
      </c>
      <c r="P73" s="15">
        <f>IF(Hypothèses!$D$26*$D$4&gt;0,P69/(Hypothèses!$D$26*$D$4),0)</f>
        <v/>
      </c>
      <c r="Q73" s="15">
        <f>IF(Hypothèses!$D$26*$D$4&gt;0,Q69/(Hypothèses!$D$26*$D$4),0)</f>
        <v/>
      </c>
      <c r="R73" s="15">
        <f>IF(Hypothèses!$D$26*$D$4&gt;0,R69/(Hypothèses!$D$26*$D$4),0)</f>
        <v/>
      </c>
      <c r="S73" s="15">
        <f>IF(Hypothèses!$D$26*$D$4&gt;0,S69/(Hypothèses!$D$26*$D$4),0)</f>
        <v/>
      </c>
      <c r="T73" s="15">
        <f>IF(Hypothèses!$D$26*$D$4&gt;0,T69/(Hypothèses!$D$26*$D$4),0)</f>
        <v/>
      </c>
      <c r="U73" s="15">
        <f>IF(Hypothèses!$D$26*$D$4&gt;0,U69/(Hypothèses!$D$26*$D$4),0)</f>
        <v/>
      </c>
      <c r="V73" s="15">
        <f>IF(Hypothèses!$D$26*$D$4&gt;0,V69/(Hypothèses!$D$26*$D$4),0)</f>
        <v/>
      </c>
      <c r="W73" s="15">
        <f>IF(Hypothèses!$D$26*$D$4&gt;0,W69/(Hypothèses!$D$26*$D$4),0)</f>
        <v/>
      </c>
      <c r="X73" s="15">
        <f>IF(Hypothèses!$D$26*$D$4&gt;0,X69/(Hypothèses!$D$26*$D$4),0)</f>
        <v/>
      </c>
      <c r="Y73" s="15">
        <f>IF(Hypothèses!$D$26*$D$4&gt;0,Y69/(Hypothèses!$D$26*$D$4),0)</f>
        <v/>
      </c>
      <c r="Z73" s="15">
        <f>IF(Hypothèses!$D$26*$D$4&gt;0,Z69/(Hypothèses!$D$26*$D$4),0)</f>
        <v/>
      </c>
      <c r="AA73" s="15">
        <f>IF(Hypothèses!$D$26*$D$4&gt;0,AA69/(Hypothèses!$D$26*$D$4),0)</f>
        <v/>
      </c>
      <c r="AB73" s="15">
        <f>IF(Hypothèses!$D$26*$D$4&gt;0,AB69/(Hypothèses!$D$26*$D$4),0)</f>
        <v/>
      </c>
      <c r="AC73" s="15">
        <f>IF(Hypothèses!$D$26*$D$4&gt;0,AC69/(Hypothèses!$D$26*$D$4),0)</f>
        <v/>
      </c>
      <c r="AD73" s="15">
        <f>IF(Hypothèses!$D$26*$D$4&gt;0,AD69/(Hypothèses!$D$26*$D$4),0)</f>
        <v/>
      </c>
      <c r="AE73" s="15">
        <f>IF(Hypothèses!$D$26*$D$4&gt;0,AE69/(Hypothèses!$D$26*$D$4),0)</f>
        <v/>
      </c>
      <c r="AF73" s="15">
        <f>IF(Hypothèses!$D$26*$D$4&gt;0,AF69/(Hypothèses!$D$26*$D$4),0)</f>
        <v/>
      </c>
      <c r="AG73" s="15">
        <f>IF(Hypothèses!$D$26*$D$4&gt;0,AG69/(Hypothèses!$D$26*$D$4),0)</f>
        <v/>
      </c>
      <c r="AH73" s="15">
        <f>IF(Hypothèses!$D$26*$D$4&gt;0,AH69/(Hypothèses!$D$26*$D$4),0)</f>
        <v/>
      </c>
      <c r="AI73" s="15">
        <f>IF(Hypothèses!$D$26*$D$4&gt;0,AI69/(Hypothèses!$D$26*$D$4),0)</f>
        <v/>
      </c>
      <c r="AJ73" s="15">
        <f>IF(Hypothèses!$D$26*$D$4&gt;0,AJ69/(Hypothèses!$D$26*$D$4),0)</f>
        <v/>
      </c>
      <c r="AK73" s="15">
        <f>IF(Hypothèses!$D$26*$D$4&gt;0,AK69/(Hypothèses!$D$26*$D$4),0)</f>
        <v/>
      </c>
      <c r="AL73" s="15">
        <f>IF(Hypothèses!$D$26*$D$4&gt;0,AL69/(Hypothèses!$D$26*$D$4),0)</f>
        <v/>
      </c>
      <c r="AN73" s="15">
        <f>N73</f>
        <v/>
      </c>
      <c r="AO73" s="15">
        <f>Z73</f>
        <v/>
      </c>
      <c r="AP73" s="15">
        <f>AL73</f>
        <v/>
      </c>
    </row>
    <row r="74">
      <c r="A74" s="9" t="inlineStr">
        <is>
          <t>LTV / CAC</t>
        </is>
      </c>
      <c r="B74" s="4" t="inlineStr">
        <is>
          <t>x</t>
        </is>
      </c>
      <c r="C74" s="41">
        <f>IF(Hypothèses!$D$23*$E$4&gt;0,C73/(Hypothèses!$D$23*$E$4),0)</f>
        <v/>
      </c>
      <c r="D74" s="41">
        <f>IF(Hypothèses!$D$23*$E$4&gt;0,D73/(Hypothèses!$D$23*$E$4),0)</f>
        <v/>
      </c>
      <c r="E74" s="41">
        <f>IF(Hypothèses!$D$23*$E$4&gt;0,E73/(Hypothèses!$D$23*$E$4),0)</f>
        <v/>
      </c>
      <c r="F74" s="41">
        <f>IF(Hypothèses!$D$23*$E$4&gt;0,F73/(Hypothèses!$D$23*$E$4),0)</f>
        <v/>
      </c>
      <c r="G74" s="41">
        <f>IF(Hypothèses!$D$23*$E$4&gt;0,G73/(Hypothèses!$D$23*$E$4),0)</f>
        <v/>
      </c>
      <c r="H74" s="41">
        <f>IF(Hypothèses!$D$23*$E$4&gt;0,H73/(Hypothèses!$D$23*$E$4),0)</f>
        <v/>
      </c>
      <c r="I74" s="41">
        <f>IF(Hypothèses!$D$23*$E$4&gt;0,I73/(Hypothèses!$D$23*$E$4),0)</f>
        <v/>
      </c>
      <c r="J74" s="41">
        <f>IF(Hypothèses!$D$23*$E$4&gt;0,J73/(Hypothèses!$D$23*$E$4),0)</f>
        <v/>
      </c>
      <c r="K74" s="41">
        <f>IF(Hypothèses!$D$23*$E$4&gt;0,K73/(Hypothèses!$D$23*$E$4),0)</f>
        <v/>
      </c>
      <c r="L74" s="41">
        <f>IF(Hypothèses!$D$23*$E$4&gt;0,L73/(Hypothèses!$D$23*$E$4),0)</f>
        <v/>
      </c>
      <c r="M74" s="41">
        <f>IF(Hypothèses!$D$23*$E$4&gt;0,M73/(Hypothèses!$D$23*$E$4),0)</f>
        <v/>
      </c>
      <c r="N74" s="41">
        <f>IF(Hypothèses!$D$23*$E$4&gt;0,N73/(Hypothèses!$D$23*$E$4),0)</f>
        <v/>
      </c>
      <c r="O74" s="41">
        <f>IF(Hypothèses!$D$23*$E$4&gt;0,O73/(Hypothèses!$D$23*$E$4),0)</f>
        <v/>
      </c>
      <c r="P74" s="41">
        <f>IF(Hypothèses!$D$23*$E$4&gt;0,P73/(Hypothèses!$D$23*$E$4),0)</f>
        <v/>
      </c>
      <c r="Q74" s="41">
        <f>IF(Hypothèses!$D$23*$E$4&gt;0,Q73/(Hypothèses!$D$23*$E$4),0)</f>
        <v/>
      </c>
      <c r="R74" s="41">
        <f>IF(Hypothèses!$D$23*$E$4&gt;0,R73/(Hypothèses!$D$23*$E$4),0)</f>
        <v/>
      </c>
      <c r="S74" s="41">
        <f>IF(Hypothèses!$D$23*$E$4&gt;0,S73/(Hypothèses!$D$23*$E$4),0)</f>
        <v/>
      </c>
      <c r="T74" s="41">
        <f>IF(Hypothèses!$D$23*$E$4&gt;0,T73/(Hypothèses!$D$23*$E$4),0)</f>
        <v/>
      </c>
      <c r="U74" s="41">
        <f>IF(Hypothèses!$D$23*$E$4&gt;0,U73/(Hypothèses!$D$23*$E$4),0)</f>
        <v/>
      </c>
      <c r="V74" s="41">
        <f>IF(Hypothèses!$D$23*$E$4&gt;0,V73/(Hypothèses!$D$23*$E$4),0)</f>
        <v/>
      </c>
      <c r="W74" s="41">
        <f>IF(Hypothèses!$D$23*$E$4&gt;0,W73/(Hypothèses!$D$23*$E$4),0)</f>
        <v/>
      </c>
      <c r="X74" s="41">
        <f>IF(Hypothèses!$D$23*$E$4&gt;0,X73/(Hypothèses!$D$23*$E$4),0)</f>
        <v/>
      </c>
      <c r="Y74" s="41">
        <f>IF(Hypothèses!$D$23*$E$4&gt;0,Y73/(Hypothèses!$D$23*$E$4),0)</f>
        <v/>
      </c>
      <c r="Z74" s="41">
        <f>IF(Hypothèses!$D$23*$E$4&gt;0,Z73/(Hypothèses!$D$23*$E$4),0)</f>
        <v/>
      </c>
      <c r="AA74" s="41">
        <f>IF(Hypothèses!$D$23*$E$4&gt;0,AA73/(Hypothèses!$D$23*$E$4),0)</f>
        <v/>
      </c>
      <c r="AB74" s="41">
        <f>IF(Hypothèses!$D$23*$E$4&gt;0,AB73/(Hypothèses!$D$23*$E$4),0)</f>
        <v/>
      </c>
      <c r="AC74" s="41">
        <f>IF(Hypothèses!$D$23*$E$4&gt;0,AC73/(Hypothèses!$D$23*$E$4),0)</f>
        <v/>
      </c>
      <c r="AD74" s="41">
        <f>IF(Hypothèses!$D$23*$E$4&gt;0,AD73/(Hypothèses!$D$23*$E$4),0)</f>
        <v/>
      </c>
      <c r="AE74" s="41">
        <f>IF(Hypothèses!$D$23*$E$4&gt;0,AE73/(Hypothèses!$D$23*$E$4),0)</f>
        <v/>
      </c>
      <c r="AF74" s="41">
        <f>IF(Hypothèses!$D$23*$E$4&gt;0,AF73/(Hypothèses!$D$23*$E$4),0)</f>
        <v/>
      </c>
      <c r="AG74" s="41">
        <f>IF(Hypothèses!$D$23*$E$4&gt;0,AG73/(Hypothèses!$D$23*$E$4),0)</f>
        <v/>
      </c>
      <c r="AH74" s="41">
        <f>IF(Hypothèses!$D$23*$E$4&gt;0,AH73/(Hypothèses!$D$23*$E$4),0)</f>
        <v/>
      </c>
      <c r="AI74" s="41">
        <f>IF(Hypothèses!$D$23*$E$4&gt;0,AI73/(Hypothèses!$D$23*$E$4),0)</f>
        <v/>
      </c>
      <c r="AJ74" s="41">
        <f>IF(Hypothèses!$D$23*$E$4&gt;0,AJ73/(Hypothèses!$D$23*$E$4),0)</f>
        <v/>
      </c>
      <c r="AK74" s="41">
        <f>IF(Hypothèses!$D$23*$E$4&gt;0,AK73/(Hypothèses!$D$23*$E$4),0)</f>
        <v/>
      </c>
      <c r="AL74" s="41">
        <f>IF(Hypothèses!$D$23*$E$4&gt;0,AL73/(Hypothèses!$D$23*$E$4),0)</f>
        <v/>
      </c>
      <c r="AN74" s="41">
        <f>N74</f>
        <v/>
      </c>
      <c r="AO74" s="41">
        <f>Z74</f>
        <v/>
      </c>
      <c r="AP74" s="41">
        <f>AL74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E4DDD2"/>
    <outlinePr summaryBelow="1" summaryRight="1"/>
    <pageSetUpPr/>
  </sheetPr>
  <dimension ref="A1:AP7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40" max="40"/>
    <col width="13" customWidth="1" min="41" max="41"/>
    <col width="13" customWidth="1" min="42" max="42"/>
  </cols>
  <sheetData>
    <row r="1">
      <c r="A1" s="1" t="inlineStr">
        <is>
          <t>Sensibilité S11 : Churn 8 % (type app store) (copie du Central)</t>
        </is>
      </c>
    </row>
    <row r="2">
      <c r="A2" s="4" t="inlineStr">
        <is>
          <t>Flux en € HT sauf mention TTC. Formules vivantes ; ne saisir que dans l'onglet Hypothèses et la ligne de chocs ci-dessous.</t>
        </is>
      </c>
    </row>
    <row r="3">
      <c r="A3" s="2" t="inlineStr">
        <is>
          <t>Chocs de sensibilité (1 = aucun ; retard en mois)</t>
        </is>
      </c>
      <c r="C3" s="33" t="inlineStr">
        <is>
          <t>Prix ×</t>
        </is>
      </c>
      <c r="D3" s="33" t="inlineStr">
        <is>
          <t>Churn ×</t>
        </is>
      </c>
      <c r="E3" s="33" t="inlineStr">
        <is>
          <t>CAC ×</t>
        </is>
      </c>
      <c r="F3" s="33" t="inlineStr">
        <is>
          <t>Coût IA ×</t>
        </is>
      </c>
      <c r="G3" s="33" t="inlineStr">
        <is>
          <t>Coûts fixes ×</t>
        </is>
      </c>
      <c r="H3" s="33" t="inlineStr">
        <is>
          <t>Retard lancement (mois)</t>
        </is>
      </c>
    </row>
    <row r="4">
      <c r="C4" s="34" t="n">
        <v>1</v>
      </c>
      <c r="D4" s="34" t="n">
        <v>2.6667</v>
      </c>
      <c r="E4" s="34" t="n">
        <v>1</v>
      </c>
      <c r="F4" s="34" t="n">
        <v>1</v>
      </c>
      <c r="G4" s="34" t="n">
        <v>1</v>
      </c>
      <c r="H4" s="35" t="n">
        <v>0</v>
      </c>
    </row>
    <row r="5">
      <c r="A5" s="2" t="inlineStr">
        <is>
          <t>Mois de lancement effectif</t>
        </is>
      </c>
      <c r="B5" s="22">
        <f>Hypothèses!$D$10+$H$4</f>
        <v/>
      </c>
    </row>
    <row r="6">
      <c r="A6" s="28" t="inlineStr">
        <is>
          <t>Ligne</t>
        </is>
      </c>
      <c r="B6" s="28" t="inlineStr">
        <is>
          <t>Unité</t>
        </is>
      </c>
      <c r="C6" s="36" t="inlineStr">
        <is>
          <t>M1</t>
        </is>
      </c>
      <c r="D6" s="36" t="inlineStr">
        <is>
          <t>M2</t>
        </is>
      </c>
      <c r="E6" s="36" t="inlineStr">
        <is>
          <t>M3</t>
        </is>
      </c>
      <c r="F6" s="36" t="inlineStr">
        <is>
          <t>M4</t>
        </is>
      </c>
      <c r="G6" s="36" t="inlineStr">
        <is>
          <t>M5</t>
        </is>
      </c>
      <c r="H6" s="36" t="inlineStr">
        <is>
          <t>M6</t>
        </is>
      </c>
      <c r="I6" s="36" t="inlineStr">
        <is>
          <t>M7</t>
        </is>
      </c>
      <c r="J6" s="36" t="inlineStr">
        <is>
          <t>M8</t>
        </is>
      </c>
      <c r="K6" s="36" t="inlineStr">
        <is>
          <t>M9</t>
        </is>
      </c>
      <c r="L6" s="36" t="inlineStr">
        <is>
          <t>M10</t>
        </is>
      </c>
      <c r="M6" s="36" t="inlineStr">
        <is>
          <t>M11</t>
        </is>
      </c>
      <c r="N6" s="36" t="inlineStr">
        <is>
          <t>M12</t>
        </is>
      </c>
      <c r="O6" s="36" t="inlineStr">
        <is>
          <t>M13</t>
        </is>
      </c>
      <c r="P6" s="36" t="inlineStr">
        <is>
          <t>M14</t>
        </is>
      </c>
      <c r="Q6" s="36" t="inlineStr">
        <is>
          <t>M15</t>
        </is>
      </c>
      <c r="R6" s="36" t="inlineStr">
        <is>
          <t>M16</t>
        </is>
      </c>
      <c r="S6" s="36" t="inlineStr">
        <is>
          <t>M17</t>
        </is>
      </c>
      <c r="T6" s="36" t="inlineStr">
        <is>
          <t>M18</t>
        </is>
      </c>
      <c r="U6" s="36" t="inlineStr">
        <is>
          <t>M19</t>
        </is>
      </c>
      <c r="V6" s="36" t="inlineStr">
        <is>
          <t>M20</t>
        </is>
      </c>
      <c r="W6" s="36" t="inlineStr">
        <is>
          <t>M21</t>
        </is>
      </c>
      <c r="X6" s="36" t="inlineStr">
        <is>
          <t>M22</t>
        </is>
      </c>
      <c r="Y6" s="36" t="inlineStr">
        <is>
          <t>M23</t>
        </is>
      </c>
      <c r="Z6" s="36" t="inlineStr">
        <is>
          <t>M24</t>
        </is>
      </c>
      <c r="AA6" s="36" t="inlineStr">
        <is>
          <t>M25</t>
        </is>
      </c>
      <c r="AB6" s="36" t="inlineStr">
        <is>
          <t>M26</t>
        </is>
      </c>
      <c r="AC6" s="36" t="inlineStr">
        <is>
          <t>M27</t>
        </is>
      </c>
      <c r="AD6" s="36" t="inlineStr">
        <is>
          <t>M28</t>
        </is>
      </c>
      <c r="AE6" s="36" t="inlineStr">
        <is>
          <t>M29</t>
        </is>
      </c>
      <c r="AF6" s="36" t="inlineStr">
        <is>
          <t>M30</t>
        </is>
      </c>
      <c r="AG6" s="36" t="inlineStr">
        <is>
          <t>M31</t>
        </is>
      </c>
      <c r="AH6" s="36" t="inlineStr">
        <is>
          <t>M32</t>
        </is>
      </c>
      <c r="AI6" s="36" t="inlineStr">
        <is>
          <t>M33</t>
        </is>
      </c>
      <c r="AJ6" s="36" t="inlineStr">
        <is>
          <t>M34</t>
        </is>
      </c>
      <c r="AK6" s="36" t="inlineStr">
        <is>
          <t>M35</t>
        </is>
      </c>
      <c r="AL6" s="36" t="inlineStr">
        <is>
          <t>M36</t>
        </is>
      </c>
      <c r="AN6" s="37" t="inlineStr">
        <is>
          <t>Année 1</t>
        </is>
      </c>
      <c r="AO6" s="37" t="inlineStr">
        <is>
          <t>Année 2</t>
        </is>
      </c>
      <c r="AP6" s="37" t="inlineStr">
        <is>
          <t>Année 3</t>
        </is>
      </c>
    </row>
    <row r="7">
      <c r="A7" s="9" t="inlineStr">
        <is>
          <t>Mois</t>
        </is>
      </c>
      <c r="B7" s="4" t="inlineStr">
        <is>
          <t>n°</t>
        </is>
      </c>
      <c r="C7" s="13" t="n">
        <v>1</v>
      </c>
      <c r="D7" s="13" t="n">
        <v>2</v>
      </c>
      <c r="E7" s="13" t="n">
        <v>3</v>
      </c>
      <c r="F7" s="13" t="n">
        <v>4</v>
      </c>
      <c r="G7" s="13" t="n">
        <v>5</v>
      </c>
      <c r="H7" s="13" t="n">
        <v>6</v>
      </c>
      <c r="I7" s="13" t="n">
        <v>7</v>
      </c>
      <c r="J7" s="13" t="n">
        <v>8</v>
      </c>
      <c r="K7" s="13" t="n">
        <v>9</v>
      </c>
      <c r="L7" s="13" t="n">
        <v>10</v>
      </c>
      <c r="M7" s="13" t="n">
        <v>11</v>
      </c>
      <c r="N7" s="13" t="n">
        <v>12</v>
      </c>
      <c r="O7" s="13" t="n">
        <v>13</v>
      </c>
      <c r="P7" s="13" t="n">
        <v>14</v>
      </c>
      <c r="Q7" s="13" t="n">
        <v>15</v>
      </c>
      <c r="R7" s="13" t="n">
        <v>16</v>
      </c>
      <c r="S7" s="13" t="n">
        <v>17</v>
      </c>
      <c r="T7" s="13" t="n">
        <v>18</v>
      </c>
      <c r="U7" s="13" t="n">
        <v>19</v>
      </c>
      <c r="V7" s="13" t="n">
        <v>20</v>
      </c>
      <c r="W7" s="13" t="n">
        <v>21</v>
      </c>
      <c r="X7" s="13" t="n">
        <v>22</v>
      </c>
      <c r="Y7" s="13" t="n">
        <v>23</v>
      </c>
      <c r="Z7" s="13" t="n">
        <v>24</v>
      </c>
      <c r="AA7" s="13" t="n">
        <v>25</v>
      </c>
      <c r="AB7" s="13" t="n">
        <v>26</v>
      </c>
      <c r="AC7" s="13" t="n">
        <v>27</v>
      </c>
      <c r="AD7" s="13" t="n">
        <v>28</v>
      </c>
      <c r="AE7" s="13" t="n">
        <v>29</v>
      </c>
      <c r="AF7" s="13" t="n">
        <v>30</v>
      </c>
      <c r="AG7" s="13" t="n">
        <v>31</v>
      </c>
      <c r="AH7" s="13" t="n">
        <v>32</v>
      </c>
      <c r="AI7" s="13" t="n">
        <v>33</v>
      </c>
      <c r="AJ7" s="13" t="n">
        <v>34</v>
      </c>
      <c r="AK7" s="13" t="n">
        <v>35</v>
      </c>
      <c r="AL7" s="13" t="n">
        <v>36</v>
      </c>
    </row>
    <row r="8">
      <c r="A8" s="9" t="inlineStr">
        <is>
          <t>Date</t>
        </is>
      </c>
      <c r="B8" s="4" t="inlineStr"/>
      <c r="C8" s="11">
        <f>EDATE(Hypothèses!$D$7,C7-1)</f>
        <v/>
      </c>
      <c r="D8" s="11">
        <f>EDATE(Hypothèses!$D$7,D7-1)</f>
        <v/>
      </c>
      <c r="E8" s="11">
        <f>EDATE(Hypothèses!$D$7,E7-1)</f>
        <v/>
      </c>
      <c r="F8" s="11">
        <f>EDATE(Hypothèses!$D$7,F7-1)</f>
        <v/>
      </c>
      <c r="G8" s="11">
        <f>EDATE(Hypothèses!$D$7,G7-1)</f>
        <v/>
      </c>
      <c r="H8" s="11">
        <f>EDATE(Hypothèses!$D$7,H7-1)</f>
        <v/>
      </c>
      <c r="I8" s="11">
        <f>EDATE(Hypothèses!$D$7,I7-1)</f>
        <v/>
      </c>
      <c r="J8" s="11">
        <f>EDATE(Hypothèses!$D$7,J7-1)</f>
        <v/>
      </c>
      <c r="K8" s="11">
        <f>EDATE(Hypothèses!$D$7,K7-1)</f>
        <v/>
      </c>
      <c r="L8" s="11">
        <f>EDATE(Hypothèses!$D$7,L7-1)</f>
        <v/>
      </c>
      <c r="M8" s="11">
        <f>EDATE(Hypothèses!$D$7,M7-1)</f>
        <v/>
      </c>
      <c r="N8" s="11">
        <f>EDATE(Hypothèses!$D$7,N7-1)</f>
        <v/>
      </c>
      <c r="O8" s="11">
        <f>EDATE(Hypothèses!$D$7,O7-1)</f>
        <v/>
      </c>
      <c r="P8" s="11">
        <f>EDATE(Hypothèses!$D$7,P7-1)</f>
        <v/>
      </c>
      <c r="Q8" s="11">
        <f>EDATE(Hypothèses!$D$7,Q7-1)</f>
        <v/>
      </c>
      <c r="R8" s="11">
        <f>EDATE(Hypothèses!$D$7,R7-1)</f>
        <v/>
      </c>
      <c r="S8" s="11">
        <f>EDATE(Hypothèses!$D$7,S7-1)</f>
        <v/>
      </c>
      <c r="T8" s="11">
        <f>EDATE(Hypothèses!$D$7,T7-1)</f>
        <v/>
      </c>
      <c r="U8" s="11">
        <f>EDATE(Hypothèses!$D$7,U7-1)</f>
        <v/>
      </c>
      <c r="V8" s="11">
        <f>EDATE(Hypothèses!$D$7,V7-1)</f>
        <v/>
      </c>
      <c r="W8" s="11">
        <f>EDATE(Hypothèses!$D$7,W7-1)</f>
        <v/>
      </c>
      <c r="X8" s="11">
        <f>EDATE(Hypothèses!$D$7,X7-1)</f>
        <v/>
      </c>
      <c r="Y8" s="11">
        <f>EDATE(Hypothèses!$D$7,Y7-1)</f>
        <v/>
      </c>
      <c r="Z8" s="11">
        <f>EDATE(Hypothèses!$D$7,Z7-1)</f>
        <v/>
      </c>
      <c r="AA8" s="11">
        <f>EDATE(Hypothèses!$D$7,AA7-1)</f>
        <v/>
      </c>
      <c r="AB8" s="11">
        <f>EDATE(Hypothèses!$D$7,AB7-1)</f>
        <v/>
      </c>
      <c r="AC8" s="11">
        <f>EDATE(Hypothèses!$D$7,AC7-1)</f>
        <v/>
      </c>
      <c r="AD8" s="11">
        <f>EDATE(Hypothèses!$D$7,AD7-1)</f>
        <v/>
      </c>
      <c r="AE8" s="11">
        <f>EDATE(Hypothèses!$D$7,AE7-1)</f>
        <v/>
      </c>
      <c r="AF8" s="11">
        <f>EDATE(Hypothèses!$D$7,AF7-1)</f>
        <v/>
      </c>
      <c r="AG8" s="11">
        <f>EDATE(Hypothèses!$D$7,AG7-1)</f>
        <v/>
      </c>
      <c r="AH8" s="11">
        <f>EDATE(Hypothèses!$D$7,AH7-1)</f>
        <v/>
      </c>
      <c r="AI8" s="11">
        <f>EDATE(Hypothèses!$D$7,AI7-1)</f>
        <v/>
      </c>
      <c r="AJ8" s="11">
        <f>EDATE(Hypothèses!$D$7,AJ7-1)</f>
        <v/>
      </c>
      <c r="AK8" s="11">
        <f>EDATE(Hypothèses!$D$7,AK7-1)</f>
        <v/>
      </c>
      <c r="AL8" s="11">
        <f>EDATE(Hypothèses!$D$7,AL7-1)</f>
        <v/>
      </c>
    </row>
    <row r="9">
      <c r="A9" s="9" t="inlineStr">
        <is>
          <t>Lancé ? (1 = oui)</t>
        </is>
      </c>
      <c r="B9" s="4" t="inlineStr">
        <is>
          <t>0/1</t>
        </is>
      </c>
      <c r="C9" s="13">
        <f>IF(C7&gt;=$B$5,1,0)</f>
        <v/>
      </c>
      <c r="D9" s="13">
        <f>IF(D7&gt;=$B$5,1,0)</f>
        <v/>
      </c>
      <c r="E9" s="13">
        <f>IF(E7&gt;=$B$5,1,0)</f>
        <v/>
      </c>
      <c r="F9" s="13">
        <f>IF(F7&gt;=$B$5,1,0)</f>
        <v/>
      </c>
      <c r="G9" s="13">
        <f>IF(G7&gt;=$B$5,1,0)</f>
        <v/>
      </c>
      <c r="H9" s="13">
        <f>IF(H7&gt;=$B$5,1,0)</f>
        <v/>
      </c>
      <c r="I9" s="13">
        <f>IF(I7&gt;=$B$5,1,0)</f>
        <v/>
      </c>
      <c r="J9" s="13">
        <f>IF(J7&gt;=$B$5,1,0)</f>
        <v/>
      </c>
      <c r="K9" s="13">
        <f>IF(K7&gt;=$B$5,1,0)</f>
        <v/>
      </c>
      <c r="L9" s="13">
        <f>IF(L7&gt;=$B$5,1,0)</f>
        <v/>
      </c>
      <c r="M9" s="13">
        <f>IF(M7&gt;=$B$5,1,0)</f>
        <v/>
      </c>
      <c r="N9" s="13">
        <f>IF(N7&gt;=$B$5,1,0)</f>
        <v/>
      </c>
      <c r="O9" s="13">
        <f>IF(O7&gt;=$B$5,1,0)</f>
        <v/>
      </c>
      <c r="P9" s="13">
        <f>IF(P7&gt;=$B$5,1,0)</f>
        <v/>
      </c>
      <c r="Q9" s="13">
        <f>IF(Q7&gt;=$B$5,1,0)</f>
        <v/>
      </c>
      <c r="R9" s="13">
        <f>IF(R7&gt;=$B$5,1,0)</f>
        <v/>
      </c>
      <c r="S9" s="13">
        <f>IF(S7&gt;=$B$5,1,0)</f>
        <v/>
      </c>
      <c r="T9" s="13">
        <f>IF(T7&gt;=$B$5,1,0)</f>
        <v/>
      </c>
      <c r="U9" s="13">
        <f>IF(U7&gt;=$B$5,1,0)</f>
        <v/>
      </c>
      <c r="V9" s="13">
        <f>IF(V7&gt;=$B$5,1,0)</f>
        <v/>
      </c>
      <c r="W9" s="13">
        <f>IF(W7&gt;=$B$5,1,0)</f>
        <v/>
      </c>
      <c r="X9" s="13">
        <f>IF(X7&gt;=$B$5,1,0)</f>
        <v/>
      </c>
      <c r="Y9" s="13">
        <f>IF(Y7&gt;=$B$5,1,0)</f>
        <v/>
      </c>
      <c r="Z9" s="13">
        <f>IF(Z7&gt;=$B$5,1,0)</f>
        <v/>
      </c>
      <c r="AA9" s="13">
        <f>IF(AA7&gt;=$B$5,1,0)</f>
        <v/>
      </c>
      <c r="AB9" s="13">
        <f>IF(AB7&gt;=$B$5,1,0)</f>
        <v/>
      </c>
      <c r="AC9" s="13">
        <f>IF(AC7&gt;=$B$5,1,0)</f>
        <v/>
      </c>
      <c r="AD9" s="13">
        <f>IF(AD7&gt;=$B$5,1,0)</f>
        <v/>
      </c>
      <c r="AE9" s="13">
        <f>IF(AE7&gt;=$B$5,1,0)</f>
        <v/>
      </c>
      <c r="AF9" s="13">
        <f>IF(AF7&gt;=$B$5,1,0)</f>
        <v/>
      </c>
      <c r="AG9" s="13">
        <f>IF(AG7&gt;=$B$5,1,0)</f>
        <v/>
      </c>
      <c r="AH9" s="13">
        <f>IF(AH7&gt;=$B$5,1,0)</f>
        <v/>
      </c>
      <c r="AI9" s="13">
        <f>IF(AI7&gt;=$B$5,1,0)</f>
        <v/>
      </c>
      <c r="AJ9" s="13">
        <f>IF(AJ7&gt;=$B$5,1,0)</f>
        <v/>
      </c>
      <c r="AK9" s="13">
        <f>IF(AK7&gt;=$B$5,1,0)</f>
        <v/>
      </c>
      <c r="AL9" s="13">
        <f>IF(AL7&gt;=$B$5,1,0)</f>
        <v/>
      </c>
    </row>
    <row r="10">
      <c r="A10" s="9" t="inlineStr">
        <is>
          <t>Pilote en cours ? (1 = oui)</t>
        </is>
      </c>
      <c r="B10" s="4" t="inlineStr">
        <is>
          <t>0/1</t>
        </is>
      </c>
      <c r="C10" s="13">
        <f>IF(AND(C7&gt;=Hypothèses!$D$8,C7&lt;$B$5),1,0)</f>
        <v/>
      </c>
      <c r="D10" s="13">
        <f>IF(AND(D7&gt;=Hypothèses!$D$8,D7&lt;$B$5),1,0)</f>
        <v/>
      </c>
      <c r="E10" s="13">
        <f>IF(AND(E7&gt;=Hypothèses!$D$8,E7&lt;$B$5),1,0)</f>
        <v/>
      </c>
      <c r="F10" s="13">
        <f>IF(AND(F7&gt;=Hypothèses!$D$8,F7&lt;$B$5),1,0)</f>
        <v/>
      </c>
      <c r="G10" s="13">
        <f>IF(AND(G7&gt;=Hypothèses!$D$8,G7&lt;$B$5),1,0)</f>
        <v/>
      </c>
      <c r="H10" s="13">
        <f>IF(AND(H7&gt;=Hypothèses!$D$8,H7&lt;$B$5),1,0)</f>
        <v/>
      </c>
      <c r="I10" s="13">
        <f>IF(AND(I7&gt;=Hypothèses!$D$8,I7&lt;$B$5),1,0)</f>
        <v/>
      </c>
      <c r="J10" s="13">
        <f>IF(AND(J7&gt;=Hypothèses!$D$8,J7&lt;$B$5),1,0)</f>
        <v/>
      </c>
      <c r="K10" s="13">
        <f>IF(AND(K7&gt;=Hypothèses!$D$8,K7&lt;$B$5),1,0)</f>
        <v/>
      </c>
      <c r="L10" s="13">
        <f>IF(AND(L7&gt;=Hypothèses!$D$8,L7&lt;$B$5),1,0)</f>
        <v/>
      </c>
      <c r="M10" s="13">
        <f>IF(AND(M7&gt;=Hypothèses!$D$8,M7&lt;$B$5),1,0)</f>
        <v/>
      </c>
      <c r="N10" s="13">
        <f>IF(AND(N7&gt;=Hypothèses!$D$8,N7&lt;$B$5),1,0)</f>
        <v/>
      </c>
      <c r="O10" s="13">
        <f>IF(AND(O7&gt;=Hypothèses!$D$8,O7&lt;$B$5),1,0)</f>
        <v/>
      </c>
      <c r="P10" s="13">
        <f>IF(AND(P7&gt;=Hypothèses!$D$8,P7&lt;$B$5),1,0)</f>
        <v/>
      </c>
      <c r="Q10" s="13">
        <f>IF(AND(Q7&gt;=Hypothèses!$D$8,Q7&lt;$B$5),1,0)</f>
        <v/>
      </c>
      <c r="R10" s="13">
        <f>IF(AND(R7&gt;=Hypothèses!$D$8,R7&lt;$B$5),1,0)</f>
        <v/>
      </c>
      <c r="S10" s="13">
        <f>IF(AND(S7&gt;=Hypothèses!$D$8,S7&lt;$B$5),1,0)</f>
        <v/>
      </c>
      <c r="T10" s="13">
        <f>IF(AND(T7&gt;=Hypothèses!$D$8,T7&lt;$B$5),1,0)</f>
        <v/>
      </c>
      <c r="U10" s="13">
        <f>IF(AND(U7&gt;=Hypothèses!$D$8,U7&lt;$B$5),1,0)</f>
        <v/>
      </c>
      <c r="V10" s="13">
        <f>IF(AND(V7&gt;=Hypothèses!$D$8,V7&lt;$B$5),1,0)</f>
        <v/>
      </c>
      <c r="W10" s="13">
        <f>IF(AND(W7&gt;=Hypothèses!$D$8,W7&lt;$B$5),1,0)</f>
        <v/>
      </c>
      <c r="X10" s="13">
        <f>IF(AND(X7&gt;=Hypothèses!$D$8,X7&lt;$B$5),1,0)</f>
        <v/>
      </c>
      <c r="Y10" s="13">
        <f>IF(AND(Y7&gt;=Hypothèses!$D$8,Y7&lt;$B$5),1,0)</f>
        <v/>
      </c>
      <c r="Z10" s="13">
        <f>IF(AND(Z7&gt;=Hypothèses!$D$8,Z7&lt;$B$5),1,0)</f>
        <v/>
      </c>
      <c r="AA10" s="13">
        <f>IF(AND(AA7&gt;=Hypothèses!$D$8,AA7&lt;$B$5),1,0)</f>
        <v/>
      </c>
      <c r="AB10" s="13">
        <f>IF(AND(AB7&gt;=Hypothèses!$D$8,AB7&lt;$B$5),1,0)</f>
        <v/>
      </c>
      <c r="AC10" s="13">
        <f>IF(AND(AC7&gt;=Hypothèses!$D$8,AC7&lt;$B$5),1,0)</f>
        <v/>
      </c>
      <c r="AD10" s="13">
        <f>IF(AND(AD7&gt;=Hypothèses!$D$8,AD7&lt;$B$5),1,0)</f>
        <v/>
      </c>
      <c r="AE10" s="13">
        <f>IF(AND(AE7&gt;=Hypothèses!$D$8,AE7&lt;$B$5),1,0)</f>
        <v/>
      </c>
      <c r="AF10" s="13">
        <f>IF(AND(AF7&gt;=Hypothèses!$D$8,AF7&lt;$B$5),1,0)</f>
        <v/>
      </c>
      <c r="AG10" s="13">
        <f>IF(AND(AG7&gt;=Hypothèses!$D$8,AG7&lt;$B$5),1,0)</f>
        <v/>
      </c>
      <c r="AH10" s="13">
        <f>IF(AND(AH7&gt;=Hypothèses!$D$8,AH7&lt;$B$5),1,0)</f>
        <v/>
      </c>
      <c r="AI10" s="13">
        <f>IF(AND(AI7&gt;=Hypothèses!$D$8,AI7&lt;$B$5),1,0)</f>
        <v/>
      </c>
      <c r="AJ10" s="13">
        <f>IF(AND(AJ7&gt;=Hypothèses!$D$8,AJ7&lt;$B$5),1,0)</f>
        <v/>
      </c>
      <c r="AK10" s="13">
        <f>IF(AND(AK7&gt;=Hypothèses!$D$8,AK7&lt;$B$5),1,0)</f>
        <v/>
      </c>
      <c r="AL10" s="13">
        <f>IF(AND(AL7&gt;=Hypothèses!$D$8,AL7&lt;$B$5),1,0)</f>
        <v/>
      </c>
    </row>
    <row r="11">
      <c r="A11" s="9" t="inlineStr">
        <is>
          <t>Budget d'acquisition du mois</t>
        </is>
      </c>
      <c r="B11" s="4" t="inlineStr">
        <is>
          <t>€ HT</t>
        </is>
      </c>
      <c r="C11" s="15">
        <f>IF(C9=1,IF(C7&lt;=12,Hypothèses!$D$20,IF(C7&lt;=24,Hypothèses!$D$21,Hypothèses!$D$22)),0)</f>
        <v/>
      </c>
      <c r="D11" s="15">
        <f>IF(D9=1,IF(D7&lt;=12,Hypothèses!$D$20,IF(D7&lt;=24,Hypothèses!$D$21,Hypothèses!$D$22)),0)</f>
        <v/>
      </c>
      <c r="E11" s="15">
        <f>IF(E9=1,IF(E7&lt;=12,Hypothèses!$D$20,IF(E7&lt;=24,Hypothèses!$D$21,Hypothèses!$D$22)),0)</f>
        <v/>
      </c>
      <c r="F11" s="15">
        <f>IF(F9=1,IF(F7&lt;=12,Hypothèses!$D$20,IF(F7&lt;=24,Hypothèses!$D$21,Hypothèses!$D$22)),0)</f>
        <v/>
      </c>
      <c r="G11" s="15">
        <f>IF(G9=1,IF(G7&lt;=12,Hypothèses!$D$20,IF(G7&lt;=24,Hypothèses!$D$21,Hypothèses!$D$22)),0)</f>
        <v/>
      </c>
      <c r="H11" s="15">
        <f>IF(H9=1,IF(H7&lt;=12,Hypothèses!$D$20,IF(H7&lt;=24,Hypothèses!$D$21,Hypothèses!$D$22)),0)</f>
        <v/>
      </c>
      <c r="I11" s="15">
        <f>IF(I9=1,IF(I7&lt;=12,Hypothèses!$D$20,IF(I7&lt;=24,Hypothèses!$D$21,Hypothèses!$D$22)),0)</f>
        <v/>
      </c>
      <c r="J11" s="15">
        <f>IF(J9=1,IF(J7&lt;=12,Hypothèses!$D$20,IF(J7&lt;=24,Hypothèses!$D$21,Hypothèses!$D$22)),0)</f>
        <v/>
      </c>
      <c r="K11" s="15">
        <f>IF(K9=1,IF(K7&lt;=12,Hypothèses!$D$20,IF(K7&lt;=24,Hypothèses!$D$21,Hypothèses!$D$22)),0)</f>
        <v/>
      </c>
      <c r="L11" s="15">
        <f>IF(L9=1,IF(L7&lt;=12,Hypothèses!$D$20,IF(L7&lt;=24,Hypothèses!$D$21,Hypothèses!$D$22)),0)</f>
        <v/>
      </c>
      <c r="M11" s="15">
        <f>IF(M9=1,IF(M7&lt;=12,Hypothèses!$D$20,IF(M7&lt;=24,Hypothèses!$D$21,Hypothèses!$D$22)),0)</f>
        <v/>
      </c>
      <c r="N11" s="15">
        <f>IF(N9=1,IF(N7&lt;=12,Hypothèses!$D$20,IF(N7&lt;=24,Hypothèses!$D$21,Hypothèses!$D$22)),0)</f>
        <v/>
      </c>
      <c r="O11" s="15">
        <f>IF(O9=1,IF(O7&lt;=12,Hypothèses!$D$20,IF(O7&lt;=24,Hypothèses!$D$21,Hypothèses!$D$22)),0)</f>
        <v/>
      </c>
      <c r="P11" s="15">
        <f>IF(P9=1,IF(P7&lt;=12,Hypothèses!$D$20,IF(P7&lt;=24,Hypothèses!$D$21,Hypothèses!$D$22)),0)</f>
        <v/>
      </c>
      <c r="Q11" s="15">
        <f>IF(Q9=1,IF(Q7&lt;=12,Hypothèses!$D$20,IF(Q7&lt;=24,Hypothèses!$D$21,Hypothèses!$D$22)),0)</f>
        <v/>
      </c>
      <c r="R11" s="15">
        <f>IF(R9=1,IF(R7&lt;=12,Hypothèses!$D$20,IF(R7&lt;=24,Hypothèses!$D$21,Hypothèses!$D$22)),0)</f>
        <v/>
      </c>
      <c r="S11" s="15">
        <f>IF(S9=1,IF(S7&lt;=12,Hypothèses!$D$20,IF(S7&lt;=24,Hypothèses!$D$21,Hypothèses!$D$22)),0)</f>
        <v/>
      </c>
      <c r="T11" s="15">
        <f>IF(T9=1,IF(T7&lt;=12,Hypothèses!$D$20,IF(T7&lt;=24,Hypothèses!$D$21,Hypothèses!$D$22)),0)</f>
        <v/>
      </c>
      <c r="U11" s="15">
        <f>IF(U9=1,IF(U7&lt;=12,Hypothèses!$D$20,IF(U7&lt;=24,Hypothèses!$D$21,Hypothèses!$D$22)),0)</f>
        <v/>
      </c>
      <c r="V11" s="15">
        <f>IF(V9=1,IF(V7&lt;=12,Hypothèses!$D$20,IF(V7&lt;=24,Hypothèses!$D$21,Hypothèses!$D$22)),0)</f>
        <v/>
      </c>
      <c r="W11" s="15">
        <f>IF(W9=1,IF(W7&lt;=12,Hypothèses!$D$20,IF(W7&lt;=24,Hypothèses!$D$21,Hypothèses!$D$22)),0)</f>
        <v/>
      </c>
      <c r="X11" s="15">
        <f>IF(X9=1,IF(X7&lt;=12,Hypothèses!$D$20,IF(X7&lt;=24,Hypothèses!$D$21,Hypothèses!$D$22)),0)</f>
        <v/>
      </c>
      <c r="Y11" s="15">
        <f>IF(Y9=1,IF(Y7&lt;=12,Hypothèses!$D$20,IF(Y7&lt;=24,Hypothèses!$D$21,Hypothèses!$D$22)),0)</f>
        <v/>
      </c>
      <c r="Z11" s="15">
        <f>IF(Z9=1,IF(Z7&lt;=12,Hypothèses!$D$20,IF(Z7&lt;=24,Hypothèses!$D$21,Hypothèses!$D$22)),0)</f>
        <v/>
      </c>
      <c r="AA11" s="15">
        <f>IF(AA9=1,IF(AA7&lt;=12,Hypothèses!$D$20,IF(AA7&lt;=24,Hypothèses!$D$21,Hypothèses!$D$22)),0)</f>
        <v/>
      </c>
      <c r="AB11" s="15">
        <f>IF(AB9=1,IF(AB7&lt;=12,Hypothèses!$D$20,IF(AB7&lt;=24,Hypothèses!$D$21,Hypothèses!$D$22)),0)</f>
        <v/>
      </c>
      <c r="AC11" s="15">
        <f>IF(AC9=1,IF(AC7&lt;=12,Hypothèses!$D$20,IF(AC7&lt;=24,Hypothèses!$D$21,Hypothèses!$D$22)),0)</f>
        <v/>
      </c>
      <c r="AD11" s="15">
        <f>IF(AD9=1,IF(AD7&lt;=12,Hypothèses!$D$20,IF(AD7&lt;=24,Hypothèses!$D$21,Hypothèses!$D$22)),0)</f>
        <v/>
      </c>
      <c r="AE11" s="15">
        <f>IF(AE9=1,IF(AE7&lt;=12,Hypothèses!$D$20,IF(AE7&lt;=24,Hypothèses!$D$21,Hypothèses!$D$22)),0)</f>
        <v/>
      </c>
      <c r="AF11" s="15">
        <f>IF(AF9=1,IF(AF7&lt;=12,Hypothèses!$D$20,IF(AF7&lt;=24,Hypothèses!$D$21,Hypothèses!$D$22)),0)</f>
        <v/>
      </c>
      <c r="AG11" s="15">
        <f>IF(AG9=1,IF(AG7&lt;=12,Hypothèses!$D$20,IF(AG7&lt;=24,Hypothèses!$D$21,Hypothèses!$D$22)),0)</f>
        <v/>
      </c>
      <c r="AH11" s="15">
        <f>IF(AH9=1,IF(AH7&lt;=12,Hypothèses!$D$20,IF(AH7&lt;=24,Hypothèses!$D$21,Hypothèses!$D$22)),0)</f>
        <v/>
      </c>
      <c r="AI11" s="15">
        <f>IF(AI9=1,IF(AI7&lt;=12,Hypothèses!$D$20,IF(AI7&lt;=24,Hypothèses!$D$21,Hypothèses!$D$22)),0)</f>
        <v/>
      </c>
      <c r="AJ11" s="15">
        <f>IF(AJ9=1,IF(AJ7&lt;=12,Hypothèses!$D$20,IF(AJ7&lt;=24,Hypothèses!$D$21,Hypothèses!$D$22)),0)</f>
        <v/>
      </c>
      <c r="AK11" s="15">
        <f>IF(AK9=1,IF(AK7&lt;=12,Hypothèses!$D$20,IF(AK7&lt;=24,Hypothèses!$D$21,Hypothèses!$D$22)),0)</f>
        <v/>
      </c>
      <c r="AL11" s="15">
        <f>IF(AL9=1,IF(AL7&lt;=12,Hypothèses!$D$20,IF(AL7&lt;=24,Hypothèses!$D$21,Hypothèses!$D$22)),0)</f>
        <v/>
      </c>
      <c r="AN11" s="15">
        <f>SUM(C11:N11)</f>
        <v/>
      </c>
      <c r="AO11" s="15">
        <f>SUM(O11:Z11)</f>
        <v/>
      </c>
      <c r="AP11" s="15">
        <f>SUM(AA11:AL11)</f>
        <v/>
      </c>
    </row>
    <row r="12">
      <c r="A12" s="8" t="inlineStr">
        <is>
          <t>Abonnés</t>
        </is>
      </c>
    </row>
    <row r="13">
      <c r="A13" s="9" t="inlineStr">
        <is>
          <t>Abonnés en début de mois</t>
        </is>
      </c>
      <c r="B13" s="4" t="inlineStr">
        <is>
          <t>abonnés</t>
        </is>
      </c>
      <c r="C13" s="38">
        <f>0</f>
        <v/>
      </c>
      <c r="D13" s="38">
        <f>C18</f>
        <v/>
      </c>
      <c r="E13" s="38">
        <f>D18</f>
        <v/>
      </c>
      <c r="F13" s="38">
        <f>E18</f>
        <v/>
      </c>
      <c r="G13" s="38">
        <f>F18</f>
        <v/>
      </c>
      <c r="H13" s="38">
        <f>G18</f>
        <v/>
      </c>
      <c r="I13" s="38">
        <f>H18</f>
        <v/>
      </c>
      <c r="J13" s="38">
        <f>I18</f>
        <v/>
      </c>
      <c r="K13" s="38">
        <f>J18</f>
        <v/>
      </c>
      <c r="L13" s="38">
        <f>K18</f>
        <v/>
      </c>
      <c r="M13" s="38">
        <f>L18</f>
        <v/>
      </c>
      <c r="N13" s="38">
        <f>M18</f>
        <v/>
      </c>
      <c r="O13" s="38">
        <f>N18</f>
        <v/>
      </c>
      <c r="P13" s="38">
        <f>O18</f>
        <v/>
      </c>
      <c r="Q13" s="38">
        <f>P18</f>
        <v/>
      </c>
      <c r="R13" s="38">
        <f>Q18</f>
        <v/>
      </c>
      <c r="S13" s="38">
        <f>R18</f>
        <v/>
      </c>
      <c r="T13" s="38">
        <f>S18</f>
        <v/>
      </c>
      <c r="U13" s="38">
        <f>T18</f>
        <v/>
      </c>
      <c r="V13" s="38">
        <f>U18</f>
        <v/>
      </c>
      <c r="W13" s="38">
        <f>V18</f>
        <v/>
      </c>
      <c r="X13" s="38">
        <f>W18</f>
        <v/>
      </c>
      <c r="Y13" s="38">
        <f>X18</f>
        <v/>
      </c>
      <c r="Z13" s="38">
        <f>Y18</f>
        <v/>
      </c>
      <c r="AA13" s="38">
        <f>Z18</f>
        <v/>
      </c>
      <c r="AB13" s="38">
        <f>AA18</f>
        <v/>
      </c>
      <c r="AC13" s="38">
        <f>AB18</f>
        <v/>
      </c>
      <c r="AD13" s="38">
        <f>AC18</f>
        <v/>
      </c>
      <c r="AE13" s="38">
        <f>AD18</f>
        <v/>
      </c>
      <c r="AF13" s="38">
        <f>AE18</f>
        <v/>
      </c>
      <c r="AG13" s="38">
        <f>AF18</f>
        <v/>
      </c>
      <c r="AH13" s="38">
        <f>AG18</f>
        <v/>
      </c>
      <c r="AI13" s="38">
        <f>AH18</f>
        <v/>
      </c>
      <c r="AJ13" s="38">
        <f>AI18</f>
        <v/>
      </c>
      <c r="AK13" s="38">
        <f>AJ18</f>
        <v/>
      </c>
      <c r="AL13" s="38">
        <f>AK18</f>
        <v/>
      </c>
    </row>
    <row r="14">
      <c r="A14" s="9" t="inlineStr">
        <is>
          <t>Nouveaux abonnés par acquisition payante</t>
        </is>
      </c>
      <c r="B14" s="4" t="inlineStr">
        <is>
          <t>abonnés</t>
        </is>
      </c>
      <c r="C14" s="38">
        <f>C11/(Hypothèses!$D$23*$E$4)</f>
        <v/>
      </c>
      <c r="D14" s="38">
        <f>D11/(Hypothèses!$D$23*$E$4)</f>
        <v/>
      </c>
      <c r="E14" s="38">
        <f>E11/(Hypothèses!$D$23*$E$4)</f>
        <v/>
      </c>
      <c r="F14" s="38">
        <f>F11/(Hypothèses!$D$23*$E$4)</f>
        <v/>
      </c>
      <c r="G14" s="38">
        <f>G11/(Hypothèses!$D$23*$E$4)</f>
        <v/>
      </c>
      <c r="H14" s="38">
        <f>H11/(Hypothèses!$D$23*$E$4)</f>
        <v/>
      </c>
      <c r="I14" s="38">
        <f>I11/(Hypothèses!$D$23*$E$4)</f>
        <v/>
      </c>
      <c r="J14" s="38">
        <f>J11/(Hypothèses!$D$23*$E$4)</f>
        <v/>
      </c>
      <c r="K14" s="38">
        <f>K11/(Hypothèses!$D$23*$E$4)</f>
        <v/>
      </c>
      <c r="L14" s="38">
        <f>L11/(Hypothèses!$D$23*$E$4)</f>
        <v/>
      </c>
      <c r="M14" s="38">
        <f>M11/(Hypothèses!$D$23*$E$4)</f>
        <v/>
      </c>
      <c r="N14" s="38">
        <f>N11/(Hypothèses!$D$23*$E$4)</f>
        <v/>
      </c>
      <c r="O14" s="38">
        <f>O11/(Hypothèses!$D$23*$E$4)</f>
        <v/>
      </c>
      <c r="P14" s="38">
        <f>P11/(Hypothèses!$D$23*$E$4)</f>
        <v/>
      </c>
      <c r="Q14" s="38">
        <f>Q11/(Hypothèses!$D$23*$E$4)</f>
        <v/>
      </c>
      <c r="R14" s="38">
        <f>R11/(Hypothèses!$D$23*$E$4)</f>
        <v/>
      </c>
      <c r="S14" s="38">
        <f>S11/(Hypothèses!$D$23*$E$4)</f>
        <v/>
      </c>
      <c r="T14" s="38">
        <f>T11/(Hypothèses!$D$23*$E$4)</f>
        <v/>
      </c>
      <c r="U14" s="38">
        <f>U11/(Hypothèses!$D$23*$E$4)</f>
        <v/>
      </c>
      <c r="V14" s="38">
        <f>V11/(Hypothèses!$D$23*$E$4)</f>
        <v/>
      </c>
      <c r="W14" s="38">
        <f>W11/(Hypothèses!$D$23*$E$4)</f>
        <v/>
      </c>
      <c r="X14" s="38">
        <f>X11/(Hypothèses!$D$23*$E$4)</f>
        <v/>
      </c>
      <c r="Y14" s="38">
        <f>Y11/(Hypothèses!$D$23*$E$4)</f>
        <v/>
      </c>
      <c r="Z14" s="38">
        <f>Z11/(Hypothèses!$D$23*$E$4)</f>
        <v/>
      </c>
      <c r="AA14" s="38">
        <f>AA11/(Hypothèses!$D$23*$E$4)</f>
        <v/>
      </c>
      <c r="AB14" s="38">
        <f>AB11/(Hypothèses!$D$23*$E$4)</f>
        <v/>
      </c>
      <c r="AC14" s="38">
        <f>AC11/(Hypothèses!$D$23*$E$4)</f>
        <v/>
      </c>
      <c r="AD14" s="38">
        <f>AD11/(Hypothèses!$D$23*$E$4)</f>
        <v/>
      </c>
      <c r="AE14" s="38">
        <f>AE11/(Hypothèses!$D$23*$E$4)</f>
        <v/>
      </c>
      <c r="AF14" s="38">
        <f>AF11/(Hypothèses!$D$23*$E$4)</f>
        <v/>
      </c>
      <c r="AG14" s="38">
        <f>AG11/(Hypothèses!$D$23*$E$4)</f>
        <v/>
      </c>
      <c r="AH14" s="38">
        <f>AH11/(Hypothèses!$D$23*$E$4)</f>
        <v/>
      </c>
      <c r="AI14" s="38">
        <f>AI11/(Hypothèses!$D$23*$E$4)</f>
        <v/>
      </c>
      <c r="AJ14" s="38">
        <f>AJ11/(Hypothèses!$D$23*$E$4)</f>
        <v/>
      </c>
      <c r="AK14" s="38">
        <f>AK11/(Hypothèses!$D$23*$E$4)</f>
        <v/>
      </c>
      <c r="AL14" s="38">
        <f>AL11/(Hypothèses!$D$23*$E$4)</f>
        <v/>
      </c>
      <c r="AN14" s="38">
        <f>SUM(C14:N14)</f>
        <v/>
      </c>
      <c r="AO14" s="38">
        <f>SUM(O14:Z14)</f>
        <v/>
      </c>
      <c r="AP14" s="38">
        <f>SUM(AA14:AL14)</f>
        <v/>
      </c>
    </row>
    <row r="15">
      <c r="A15" s="9" t="inlineStr">
        <is>
          <t>Nouveaux abonnés pilote</t>
        </is>
      </c>
      <c r="B15" s="4" t="inlineStr">
        <is>
          <t>abonnés</t>
        </is>
      </c>
      <c r="C15" s="38">
        <f>IF(C7=Hypothèses!$D$8,Hypothèses!$D$9,0)</f>
        <v/>
      </c>
      <c r="D15" s="38">
        <f>IF(D7=Hypothèses!$D$8,Hypothèses!$D$9,0)</f>
        <v/>
      </c>
      <c r="E15" s="38">
        <f>IF(E7=Hypothèses!$D$8,Hypothèses!$D$9,0)</f>
        <v/>
      </c>
      <c r="F15" s="38">
        <f>IF(F7=Hypothèses!$D$8,Hypothèses!$D$9,0)</f>
        <v/>
      </c>
      <c r="G15" s="38">
        <f>IF(G7=Hypothèses!$D$8,Hypothèses!$D$9,0)</f>
        <v/>
      </c>
      <c r="H15" s="38">
        <f>IF(H7=Hypothèses!$D$8,Hypothèses!$D$9,0)</f>
        <v/>
      </c>
      <c r="I15" s="38">
        <f>IF(I7=Hypothèses!$D$8,Hypothèses!$D$9,0)</f>
        <v/>
      </c>
      <c r="J15" s="38">
        <f>IF(J7=Hypothèses!$D$8,Hypothèses!$D$9,0)</f>
        <v/>
      </c>
      <c r="K15" s="38">
        <f>IF(K7=Hypothèses!$D$8,Hypothèses!$D$9,0)</f>
        <v/>
      </c>
      <c r="L15" s="38">
        <f>IF(L7=Hypothèses!$D$8,Hypothèses!$D$9,0)</f>
        <v/>
      </c>
      <c r="M15" s="38">
        <f>IF(M7=Hypothèses!$D$8,Hypothèses!$D$9,0)</f>
        <v/>
      </c>
      <c r="N15" s="38">
        <f>IF(N7=Hypothèses!$D$8,Hypothèses!$D$9,0)</f>
        <v/>
      </c>
      <c r="O15" s="38">
        <f>IF(O7=Hypothèses!$D$8,Hypothèses!$D$9,0)</f>
        <v/>
      </c>
      <c r="P15" s="38">
        <f>IF(P7=Hypothèses!$D$8,Hypothèses!$D$9,0)</f>
        <v/>
      </c>
      <c r="Q15" s="38">
        <f>IF(Q7=Hypothèses!$D$8,Hypothèses!$D$9,0)</f>
        <v/>
      </c>
      <c r="R15" s="38">
        <f>IF(R7=Hypothèses!$D$8,Hypothèses!$D$9,0)</f>
        <v/>
      </c>
      <c r="S15" s="38">
        <f>IF(S7=Hypothèses!$D$8,Hypothèses!$D$9,0)</f>
        <v/>
      </c>
      <c r="T15" s="38">
        <f>IF(T7=Hypothèses!$D$8,Hypothèses!$D$9,0)</f>
        <v/>
      </c>
      <c r="U15" s="38">
        <f>IF(U7=Hypothèses!$D$8,Hypothèses!$D$9,0)</f>
        <v/>
      </c>
      <c r="V15" s="38">
        <f>IF(V7=Hypothèses!$D$8,Hypothèses!$D$9,0)</f>
        <v/>
      </c>
      <c r="W15" s="38">
        <f>IF(W7=Hypothèses!$D$8,Hypothèses!$D$9,0)</f>
        <v/>
      </c>
      <c r="X15" s="38">
        <f>IF(X7=Hypothèses!$D$8,Hypothèses!$D$9,0)</f>
        <v/>
      </c>
      <c r="Y15" s="38">
        <f>IF(Y7=Hypothèses!$D$8,Hypothèses!$D$9,0)</f>
        <v/>
      </c>
      <c r="Z15" s="38">
        <f>IF(Z7=Hypothèses!$D$8,Hypothèses!$D$9,0)</f>
        <v/>
      </c>
      <c r="AA15" s="38">
        <f>IF(AA7=Hypothèses!$D$8,Hypothèses!$D$9,0)</f>
        <v/>
      </c>
      <c r="AB15" s="38">
        <f>IF(AB7=Hypothèses!$D$8,Hypothèses!$D$9,0)</f>
        <v/>
      </c>
      <c r="AC15" s="38">
        <f>IF(AC7=Hypothèses!$D$8,Hypothèses!$D$9,0)</f>
        <v/>
      </c>
      <c r="AD15" s="38">
        <f>IF(AD7=Hypothèses!$D$8,Hypothèses!$D$9,0)</f>
        <v/>
      </c>
      <c r="AE15" s="38">
        <f>IF(AE7=Hypothèses!$D$8,Hypothèses!$D$9,0)</f>
        <v/>
      </c>
      <c r="AF15" s="38">
        <f>IF(AF7=Hypothèses!$D$8,Hypothèses!$D$9,0)</f>
        <v/>
      </c>
      <c r="AG15" s="38">
        <f>IF(AG7=Hypothèses!$D$8,Hypothèses!$D$9,0)</f>
        <v/>
      </c>
      <c r="AH15" s="38">
        <f>IF(AH7=Hypothèses!$D$8,Hypothèses!$D$9,0)</f>
        <v/>
      </c>
      <c r="AI15" s="38">
        <f>IF(AI7=Hypothèses!$D$8,Hypothèses!$D$9,0)</f>
        <v/>
      </c>
      <c r="AJ15" s="38">
        <f>IF(AJ7=Hypothèses!$D$8,Hypothèses!$D$9,0)</f>
        <v/>
      </c>
      <c r="AK15" s="38">
        <f>IF(AK7=Hypothèses!$D$8,Hypothèses!$D$9,0)</f>
        <v/>
      </c>
      <c r="AL15" s="38">
        <f>IF(AL7=Hypothèses!$D$8,Hypothèses!$D$9,0)</f>
        <v/>
      </c>
      <c r="AN15" s="38">
        <f>SUM(C15:N15)</f>
        <v/>
      </c>
      <c r="AO15" s="38">
        <f>SUM(O15:Z15)</f>
        <v/>
      </c>
      <c r="AP15" s="38">
        <f>SUM(AA15:AL15)</f>
        <v/>
      </c>
    </row>
    <row r="16">
      <c r="A16" s="9" t="inlineStr">
        <is>
          <t>Nouveaux abonnés organiques (parrainage)</t>
        </is>
      </c>
      <c r="B16" s="4" t="inlineStr">
        <is>
          <t>abonnés</t>
        </is>
      </c>
      <c r="C16" s="38">
        <f>C9*C13*Hypothèses!$D$24</f>
        <v/>
      </c>
      <c r="D16" s="38">
        <f>D9*D13*Hypothèses!$D$24</f>
        <v/>
      </c>
      <c r="E16" s="38">
        <f>E9*E13*Hypothèses!$D$24</f>
        <v/>
      </c>
      <c r="F16" s="38">
        <f>F9*F13*Hypothèses!$D$24</f>
        <v/>
      </c>
      <c r="G16" s="38">
        <f>G9*G13*Hypothèses!$D$24</f>
        <v/>
      </c>
      <c r="H16" s="38">
        <f>H9*H13*Hypothèses!$D$24</f>
        <v/>
      </c>
      <c r="I16" s="38">
        <f>I9*I13*Hypothèses!$D$24</f>
        <v/>
      </c>
      <c r="J16" s="38">
        <f>J9*J13*Hypothèses!$D$24</f>
        <v/>
      </c>
      <c r="K16" s="38">
        <f>K9*K13*Hypothèses!$D$24</f>
        <v/>
      </c>
      <c r="L16" s="38">
        <f>L9*L13*Hypothèses!$D$24</f>
        <v/>
      </c>
      <c r="M16" s="38">
        <f>M9*M13*Hypothèses!$D$24</f>
        <v/>
      </c>
      <c r="N16" s="38">
        <f>N9*N13*Hypothèses!$D$24</f>
        <v/>
      </c>
      <c r="O16" s="38">
        <f>O9*O13*Hypothèses!$D$24</f>
        <v/>
      </c>
      <c r="P16" s="38">
        <f>P9*P13*Hypothèses!$D$24</f>
        <v/>
      </c>
      <c r="Q16" s="38">
        <f>Q9*Q13*Hypothèses!$D$24</f>
        <v/>
      </c>
      <c r="R16" s="38">
        <f>R9*R13*Hypothèses!$D$24</f>
        <v/>
      </c>
      <c r="S16" s="38">
        <f>S9*S13*Hypothèses!$D$24</f>
        <v/>
      </c>
      <c r="T16" s="38">
        <f>T9*T13*Hypothèses!$D$24</f>
        <v/>
      </c>
      <c r="U16" s="38">
        <f>U9*U13*Hypothèses!$D$24</f>
        <v/>
      </c>
      <c r="V16" s="38">
        <f>V9*V13*Hypothèses!$D$24</f>
        <v/>
      </c>
      <c r="W16" s="38">
        <f>W9*W13*Hypothèses!$D$24</f>
        <v/>
      </c>
      <c r="X16" s="38">
        <f>X9*X13*Hypothèses!$D$24</f>
        <v/>
      </c>
      <c r="Y16" s="38">
        <f>Y9*Y13*Hypothèses!$D$24</f>
        <v/>
      </c>
      <c r="Z16" s="38">
        <f>Z9*Z13*Hypothèses!$D$24</f>
        <v/>
      </c>
      <c r="AA16" s="38">
        <f>AA9*AA13*Hypothèses!$D$24</f>
        <v/>
      </c>
      <c r="AB16" s="38">
        <f>AB9*AB13*Hypothèses!$D$24</f>
        <v/>
      </c>
      <c r="AC16" s="38">
        <f>AC9*AC13*Hypothèses!$D$24</f>
        <v/>
      </c>
      <c r="AD16" s="38">
        <f>AD9*AD13*Hypothèses!$D$24</f>
        <v/>
      </c>
      <c r="AE16" s="38">
        <f>AE9*AE13*Hypothèses!$D$24</f>
        <v/>
      </c>
      <c r="AF16" s="38">
        <f>AF9*AF13*Hypothèses!$D$24</f>
        <v/>
      </c>
      <c r="AG16" s="38">
        <f>AG9*AG13*Hypothèses!$D$24</f>
        <v/>
      </c>
      <c r="AH16" s="38">
        <f>AH9*AH13*Hypothèses!$D$24</f>
        <v/>
      </c>
      <c r="AI16" s="38">
        <f>AI9*AI13*Hypothèses!$D$24</f>
        <v/>
      </c>
      <c r="AJ16" s="38">
        <f>AJ9*AJ13*Hypothèses!$D$24</f>
        <v/>
      </c>
      <c r="AK16" s="38">
        <f>AK9*AK13*Hypothèses!$D$24</f>
        <v/>
      </c>
      <c r="AL16" s="38">
        <f>AL9*AL13*Hypothèses!$D$24</f>
        <v/>
      </c>
      <c r="AN16" s="38">
        <f>SUM(C16:N16)</f>
        <v/>
      </c>
      <c r="AO16" s="38">
        <f>SUM(O16:Z16)</f>
        <v/>
      </c>
      <c r="AP16" s="38">
        <f>SUM(AA16:AL16)</f>
        <v/>
      </c>
    </row>
    <row r="17">
      <c r="A17" s="9" t="inlineStr">
        <is>
          <t>Résiliations</t>
        </is>
      </c>
      <c r="B17" s="4" t="inlineStr">
        <is>
          <t>abonnés</t>
        </is>
      </c>
      <c r="C17" s="38">
        <f>C13*Hypothèses!$D$26*$D$4</f>
        <v/>
      </c>
      <c r="D17" s="38">
        <f>D13*Hypothèses!$D$26*$D$4</f>
        <v/>
      </c>
      <c r="E17" s="38">
        <f>E13*Hypothèses!$D$26*$D$4</f>
        <v/>
      </c>
      <c r="F17" s="38">
        <f>F13*Hypothèses!$D$26*$D$4</f>
        <v/>
      </c>
      <c r="G17" s="38">
        <f>G13*Hypothèses!$D$26*$D$4</f>
        <v/>
      </c>
      <c r="H17" s="38">
        <f>H13*Hypothèses!$D$26*$D$4</f>
        <v/>
      </c>
      <c r="I17" s="38">
        <f>I13*Hypothèses!$D$26*$D$4</f>
        <v/>
      </c>
      <c r="J17" s="38">
        <f>J13*Hypothèses!$D$26*$D$4</f>
        <v/>
      </c>
      <c r="K17" s="38">
        <f>K13*Hypothèses!$D$26*$D$4</f>
        <v/>
      </c>
      <c r="L17" s="38">
        <f>L13*Hypothèses!$D$26*$D$4</f>
        <v/>
      </c>
      <c r="M17" s="38">
        <f>M13*Hypothèses!$D$26*$D$4</f>
        <v/>
      </c>
      <c r="N17" s="38">
        <f>N13*Hypothèses!$D$26*$D$4</f>
        <v/>
      </c>
      <c r="O17" s="38">
        <f>O13*Hypothèses!$D$26*$D$4</f>
        <v/>
      </c>
      <c r="P17" s="38">
        <f>P13*Hypothèses!$D$26*$D$4</f>
        <v/>
      </c>
      <c r="Q17" s="38">
        <f>Q13*Hypothèses!$D$26*$D$4</f>
        <v/>
      </c>
      <c r="R17" s="38">
        <f>R13*Hypothèses!$D$26*$D$4</f>
        <v/>
      </c>
      <c r="S17" s="38">
        <f>S13*Hypothèses!$D$26*$D$4</f>
        <v/>
      </c>
      <c r="T17" s="38">
        <f>T13*Hypothèses!$D$26*$D$4</f>
        <v/>
      </c>
      <c r="U17" s="38">
        <f>U13*Hypothèses!$D$26*$D$4</f>
        <v/>
      </c>
      <c r="V17" s="38">
        <f>V13*Hypothèses!$D$26*$D$4</f>
        <v/>
      </c>
      <c r="W17" s="38">
        <f>W13*Hypothèses!$D$26*$D$4</f>
        <v/>
      </c>
      <c r="X17" s="38">
        <f>X13*Hypothèses!$D$26*$D$4</f>
        <v/>
      </c>
      <c r="Y17" s="38">
        <f>Y13*Hypothèses!$D$26*$D$4</f>
        <v/>
      </c>
      <c r="Z17" s="38">
        <f>Z13*Hypothèses!$D$26*$D$4</f>
        <v/>
      </c>
      <c r="AA17" s="38">
        <f>AA13*Hypothèses!$D$26*$D$4</f>
        <v/>
      </c>
      <c r="AB17" s="38">
        <f>AB13*Hypothèses!$D$26*$D$4</f>
        <v/>
      </c>
      <c r="AC17" s="38">
        <f>AC13*Hypothèses!$D$26*$D$4</f>
        <v/>
      </c>
      <c r="AD17" s="38">
        <f>AD13*Hypothèses!$D$26*$D$4</f>
        <v/>
      </c>
      <c r="AE17" s="38">
        <f>AE13*Hypothèses!$D$26*$D$4</f>
        <v/>
      </c>
      <c r="AF17" s="38">
        <f>AF13*Hypothèses!$D$26*$D$4</f>
        <v/>
      </c>
      <c r="AG17" s="38">
        <f>AG13*Hypothèses!$D$26*$D$4</f>
        <v/>
      </c>
      <c r="AH17" s="38">
        <f>AH13*Hypothèses!$D$26*$D$4</f>
        <v/>
      </c>
      <c r="AI17" s="38">
        <f>AI13*Hypothèses!$D$26*$D$4</f>
        <v/>
      </c>
      <c r="AJ17" s="38">
        <f>AJ13*Hypothèses!$D$26*$D$4</f>
        <v/>
      </c>
      <c r="AK17" s="38">
        <f>AK13*Hypothèses!$D$26*$D$4</f>
        <v/>
      </c>
      <c r="AL17" s="38">
        <f>AL13*Hypothèses!$D$26*$D$4</f>
        <v/>
      </c>
      <c r="AN17" s="38">
        <f>SUM(C17:N17)</f>
        <v/>
      </c>
      <c r="AO17" s="38">
        <f>SUM(O17:Z17)</f>
        <v/>
      </c>
      <c r="AP17" s="38">
        <f>SUM(AA17:AL17)</f>
        <v/>
      </c>
    </row>
    <row r="18">
      <c r="A18" s="2" t="inlineStr">
        <is>
          <t>Abonnés en fin de mois</t>
        </is>
      </c>
      <c r="B18" s="4" t="inlineStr">
        <is>
          <t>abonnés</t>
        </is>
      </c>
      <c r="C18" s="39">
        <f>C13+C14+C15+C16-C17</f>
        <v/>
      </c>
      <c r="D18" s="39">
        <f>D13+D14+D15+D16-D17</f>
        <v/>
      </c>
      <c r="E18" s="39">
        <f>E13+E14+E15+E16-E17</f>
        <v/>
      </c>
      <c r="F18" s="39">
        <f>F13+F14+F15+F16-F17</f>
        <v/>
      </c>
      <c r="G18" s="39">
        <f>G13+G14+G15+G16-G17</f>
        <v/>
      </c>
      <c r="H18" s="39">
        <f>H13+H14+H15+H16-H17</f>
        <v/>
      </c>
      <c r="I18" s="39">
        <f>I13+I14+I15+I16-I17</f>
        <v/>
      </c>
      <c r="J18" s="39">
        <f>J13+J14+J15+J16-J17</f>
        <v/>
      </c>
      <c r="K18" s="39">
        <f>K13+K14+K15+K16-K17</f>
        <v/>
      </c>
      <c r="L18" s="39">
        <f>L13+L14+L15+L16-L17</f>
        <v/>
      </c>
      <c r="M18" s="39">
        <f>M13+M14+M15+M16-M17</f>
        <v/>
      </c>
      <c r="N18" s="39">
        <f>N13+N14+N15+N16-N17</f>
        <v/>
      </c>
      <c r="O18" s="39">
        <f>O13+O14+O15+O16-O17</f>
        <v/>
      </c>
      <c r="P18" s="39">
        <f>P13+P14+P15+P16-P17</f>
        <v/>
      </c>
      <c r="Q18" s="39">
        <f>Q13+Q14+Q15+Q16-Q17</f>
        <v/>
      </c>
      <c r="R18" s="39">
        <f>R13+R14+R15+R16-R17</f>
        <v/>
      </c>
      <c r="S18" s="39">
        <f>S13+S14+S15+S16-S17</f>
        <v/>
      </c>
      <c r="T18" s="39">
        <f>T13+T14+T15+T16-T17</f>
        <v/>
      </c>
      <c r="U18" s="39">
        <f>U13+U14+U15+U16-U17</f>
        <v/>
      </c>
      <c r="V18" s="39">
        <f>V13+V14+V15+V16-V17</f>
        <v/>
      </c>
      <c r="W18" s="39">
        <f>W13+W14+W15+W16-W17</f>
        <v/>
      </c>
      <c r="X18" s="39">
        <f>X13+X14+X15+X16-X17</f>
        <v/>
      </c>
      <c r="Y18" s="39">
        <f>Y13+Y14+Y15+Y16-Y17</f>
        <v/>
      </c>
      <c r="Z18" s="39">
        <f>Z13+Z14+Z15+Z16-Z17</f>
        <v/>
      </c>
      <c r="AA18" s="39">
        <f>AA13+AA14+AA15+AA16-AA17</f>
        <v/>
      </c>
      <c r="AB18" s="39">
        <f>AB13+AB14+AB15+AB16-AB17</f>
        <v/>
      </c>
      <c r="AC18" s="39">
        <f>AC13+AC14+AC15+AC16-AC17</f>
        <v/>
      </c>
      <c r="AD18" s="39">
        <f>AD13+AD14+AD15+AD16-AD17</f>
        <v/>
      </c>
      <c r="AE18" s="39">
        <f>AE13+AE14+AE15+AE16-AE17</f>
        <v/>
      </c>
      <c r="AF18" s="39">
        <f>AF13+AF14+AF15+AF16-AF17</f>
        <v/>
      </c>
      <c r="AG18" s="39">
        <f>AG13+AG14+AG15+AG16-AG17</f>
        <v/>
      </c>
      <c r="AH18" s="39">
        <f>AH13+AH14+AH15+AH16-AH17</f>
        <v/>
      </c>
      <c r="AI18" s="39">
        <f>AI13+AI14+AI15+AI16-AI17</f>
        <v/>
      </c>
      <c r="AJ18" s="39">
        <f>AJ13+AJ14+AJ15+AJ16-AJ17</f>
        <v/>
      </c>
      <c r="AK18" s="39">
        <f>AK13+AK14+AK15+AK16-AK17</f>
        <v/>
      </c>
      <c r="AL18" s="39">
        <f>AL13+AL14+AL15+AL16-AL17</f>
        <v/>
      </c>
      <c r="AN18" s="39">
        <f>N18</f>
        <v/>
      </c>
      <c r="AO18" s="39">
        <f>Z18</f>
        <v/>
      </c>
      <c r="AP18" s="39">
        <f>AL18</f>
        <v/>
      </c>
    </row>
    <row r="19">
      <c r="A19" s="9" t="inlineStr">
        <is>
          <t>dont Personal</t>
        </is>
      </c>
      <c r="B19" s="4" t="inlineStr">
        <is>
          <t>abonnés</t>
        </is>
      </c>
      <c r="C19" s="38">
        <f>C18*Hypothèses!$D$16</f>
        <v/>
      </c>
      <c r="D19" s="38">
        <f>D18*Hypothèses!$D$16</f>
        <v/>
      </c>
      <c r="E19" s="38">
        <f>E18*Hypothèses!$D$16</f>
        <v/>
      </c>
      <c r="F19" s="38">
        <f>F18*Hypothèses!$D$16</f>
        <v/>
      </c>
      <c r="G19" s="38">
        <f>G18*Hypothèses!$D$16</f>
        <v/>
      </c>
      <c r="H19" s="38">
        <f>H18*Hypothèses!$D$16</f>
        <v/>
      </c>
      <c r="I19" s="38">
        <f>I18*Hypothèses!$D$16</f>
        <v/>
      </c>
      <c r="J19" s="38">
        <f>J18*Hypothèses!$D$16</f>
        <v/>
      </c>
      <c r="K19" s="38">
        <f>K18*Hypothèses!$D$16</f>
        <v/>
      </c>
      <c r="L19" s="38">
        <f>L18*Hypothèses!$D$16</f>
        <v/>
      </c>
      <c r="M19" s="38">
        <f>M18*Hypothèses!$D$16</f>
        <v/>
      </c>
      <c r="N19" s="38">
        <f>N18*Hypothèses!$D$16</f>
        <v/>
      </c>
      <c r="O19" s="38">
        <f>O18*Hypothèses!$D$16</f>
        <v/>
      </c>
      <c r="P19" s="38">
        <f>P18*Hypothèses!$D$16</f>
        <v/>
      </c>
      <c r="Q19" s="38">
        <f>Q18*Hypothèses!$D$16</f>
        <v/>
      </c>
      <c r="R19" s="38">
        <f>R18*Hypothèses!$D$16</f>
        <v/>
      </c>
      <c r="S19" s="38">
        <f>S18*Hypothèses!$D$16</f>
        <v/>
      </c>
      <c r="T19" s="38">
        <f>T18*Hypothèses!$D$16</f>
        <v/>
      </c>
      <c r="U19" s="38">
        <f>U18*Hypothèses!$D$16</f>
        <v/>
      </c>
      <c r="V19" s="38">
        <f>V18*Hypothèses!$D$16</f>
        <v/>
      </c>
      <c r="W19" s="38">
        <f>W18*Hypothèses!$D$16</f>
        <v/>
      </c>
      <c r="X19" s="38">
        <f>X18*Hypothèses!$D$16</f>
        <v/>
      </c>
      <c r="Y19" s="38">
        <f>Y18*Hypothèses!$D$16</f>
        <v/>
      </c>
      <c r="Z19" s="38">
        <f>Z18*Hypothèses!$D$16</f>
        <v/>
      </c>
      <c r="AA19" s="38">
        <f>AA18*Hypothèses!$D$16</f>
        <v/>
      </c>
      <c r="AB19" s="38">
        <f>AB18*Hypothèses!$D$16</f>
        <v/>
      </c>
      <c r="AC19" s="38">
        <f>AC18*Hypothèses!$D$16</f>
        <v/>
      </c>
      <c r="AD19" s="38">
        <f>AD18*Hypothèses!$D$16</f>
        <v/>
      </c>
      <c r="AE19" s="38">
        <f>AE18*Hypothèses!$D$16</f>
        <v/>
      </c>
      <c r="AF19" s="38">
        <f>AF18*Hypothèses!$D$16</f>
        <v/>
      </c>
      <c r="AG19" s="38">
        <f>AG18*Hypothèses!$D$16</f>
        <v/>
      </c>
      <c r="AH19" s="38">
        <f>AH18*Hypothèses!$D$16</f>
        <v/>
      </c>
      <c r="AI19" s="38">
        <f>AI18*Hypothèses!$D$16</f>
        <v/>
      </c>
      <c r="AJ19" s="38">
        <f>AJ18*Hypothèses!$D$16</f>
        <v/>
      </c>
      <c r="AK19" s="38">
        <f>AK18*Hypothèses!$D$16</f>
        <v/>
      </c>
      <c r="AL19" s="38">
        <f>AL18*Hypothèses!$D$16</f>
        <v/>
      </c>
      <c r="AN19" s="38">
        <f>N19</f>
        <v/>
      </c>
      <c r="AO19" s="38">
        <f>Z19</f>
        <v/>
      </c>
      <c r="AP19" s="38">
        <f>AL19</f>
        <v/>
      </c>
    </row>
    <row r="20">
      <c r="A20" s="9" t="inlineStr">
        <is>
          <t>dont Premium</t>
        </is>
      </c>
      <c r="B20" s="4" t="inlineStr">
        <is>
          <t>abonnés</t>
        </is>
      </c>
      <c r="C20" s="38">
        <f>C18*Hypothèses!$D$17</f>
        <v/>
      </c>
      <c r="D20" s="38">
        <f>D18*Hypothèses!$D$17</f>
        <v/>
      </c>
      <c r="E20" s="38">
        <f>E18*Hypothèses!$D$17</f>
        <v/>
      </c>
      <c r="F20" s="38">
        <f>F18*Hypothèses!$D$17</f>
        <v/>
      </c>
      <c r="G20" s="38">
        <f>G18*Hypothèses!$D$17</f>
        <v/>
      </c>
      <c r="H20" s="38">
        <f>H18*Hypothèses!$D$17</f>
        <v/>
      </c>
      <c r="I20" s="38">
        <f>I18*Hypothèses!$D$17</f>
        <v/>
      </c>
      <c r="J20" s="38">
        <f>J18*Hypothèses!$D$17</f>
        <v/>
      </c>
      <c r="K20" s="38">
        <f>K18*Hypothèses!$D$17</f>
        <v/>
      </c>
      <c r="L20" s="38">
        <f>L18*Hypothèses!$D$17</f>
        <v/>
      </c>
      <c r="M20" s="38">
        <f>M18*Hypothèses!$D$17</f>
        <v/>
      </c>
      <c r="N20" s="38">
        <f>N18*Hypothèses!$D$17</f>
        <v/>
      </c>
      <c r="O20" s="38">
        <f>O18*Hypothèses!$D$17</f>
        <v/>
      </c>
      <c r="P20" s="38">
        <f>P18*Hypothèses!$D$17</f>
        <v/>
      </c>
      <c r="Q20" s="38">
        <f>Q18*Hypothèses!$D$17</f>
        <v/>
      </c>
      <c r="R20" s="38">
        <f>R18*Hypothèses!$D$17</f>
        <v/>
      </c>
      <c r="S20" s="38">
        <f>S18*Hypothèses!$D$17</f>
        <v/>
      </c>
      <c r="T20" s="38">
        <f>T18*Hypothèses!$D$17</f>
        <v/>
      </c>
      <c r="U20" s="38">
        <f>U18*Hypothèses!$D$17</f>
        <v/>
      </c>
      <c r="V20" s="38">
        <f>V18*Hypothèses!$D$17</f>
        <v/>
      </c>
      <c r="W20" s="38">
        <f>W18*Hypothèses!$D$17</f>
        <v/>
      </c>
      <c r="X20" s="38">
        <f>X18*Hypothèses!$D$17</f>
        <v/>
      </c>
      <c r="Y20" s="38">
        <f>Y18*Hypothèses!$D$17</f>
        <v/>
      </c>
      <c r="Z20" s="38">
        <f>Z18*Hypothèses!$D$17</f>
        <v/>
      </c>
      <c r="AA20" s="38">
        <f>AA18*Hypothèses!$D$17</f>
        <v/>
      </c>
      <c r="AB20" s="38">
        <f>AB18*Hypothèses!$D$17</f>
        <v/>
      </c>
      <c r="AC20" s="38">
        <f>AC18*Hypothèses!$D$17</f>
        <v/>
      </c>
      <c r="AD20" s="38">
        <f>AD18*Hypothèses!$D$17</f>
        <v/>
      </c>
      <c r="AE20" s="38">
        <f>AE18*Hypothèses!$D$17</f>
        <v/>
      </c>
      <c r="AF20" s="38">
        <f>AF18*Hypothèses!$D$17</f>
        <v/>
      </c>
      <c r="AG20" s="38">
        <f>AG18*Hypothèses!$D$17</f>
        <v/>
      </c>
      <c r="AH20" s="38">
        <f>AH18*Hypothèses!$D$17</f>
        <v/>
      </c>
      <c r="AI20" s="38">
        <f>AI18*Hypothèses!$D$17</f>
        <v/>
      </c>
      <c r="AJ20" s="38">
        <f>AJ18*Hypothèses!$D$17</f>
        <v/>
      </c>
      <c r="AK20" s="38">
        <f>AK18*Hypothèses!$D$17</f>
        <v/>
      </c>
      <c r="AL20" s="38">
        <f>AL18*Hypothèses!$D$17</f>
        <v/>
      </c>
      <c r="AN20" s="38">
        <f>N20</f>
        <v/>
      </c>
      <c r="AO20" s="38">
        <f>Z20</f>
        <v/>
      </c>
      <c r="AP20" s="38">
        <f>AL20</f>
        <v/>
      </c>
    </row>
    <row r="21">
      <c r="A21" s="9" t="inlineStr">
        <is>
          <t>dont Family</t>
        </is>
      </c>
      <c r="B21" s="4" t="inlineStr">
        <is>
          <t>abonnés</t>
        </is>
      </c>
      <c r="C21" s="38">
        <f>C18*Hypothèses!$D$18</f>
        <v/>
      </c>
      <c r="D21" s="38">
        <f>D18*Hypothèses!$D$18</f>
        <v/>
      </c>
      <c r="E21" s="38">
        <f>E18*Hypothèses!$D$18</f>
        <v/>
      </c>
      <c r="F21" s="38">
        <f>F18*Hypothèses!$D$18</f>
        <v/>
      </c>
      <c r="G21" s="38">
        <f>G18*Hypothèses!$D$18</f>
        <v/>
      </c>
      <c r="H21" s="38">
        <f>H18*Hypothèses!$D$18</f>
        <v/>
      </c>
      <c r="I21" s="38">
        <f>I18*Hypothèses!$D$18</f>
        <v/>
      </c>
      <c r="J21" s="38">
        <f>J18*Hypothèses!$D$18</f>
        <v/>
      </c>
      <c r="K21" s="38">
        <f>K18*Hypothèses!$D$18</f>
        <v/>
      </c>
      <c r="L21" s="38">
        <f>L18*Hypothèses!$D$18</f>
        <v/>
      </c>
      <c r="M21" s="38">
        <f>M18*Hypothèses!$D$18</f>
        <v/>
      </c>
      <c r="N21" s="38">
        <f>N18*Hypothèses!$D$18</f>
        <v/>
      </c>
      <c r="O21" s="38">
        <f>O18*Hypothèses!$D$18</f>
        <v/>
      </c>
      <c r="P21" s="38">
        <f>P18*Hypothèses!$D$18</f>
        <v/>
      </c>
      <c r="Q21" s="38">
        <f>Q18*Hypothèses!$D$18</f>
        <v/>
      </c>
      <c r="R21" s="38">
        <f>R18*Hypothèses!$D$18</f>
        <v/>
      </c>
      <c r="S21" s="38">
        <f>S18*Hypothèses!$D$18</f>
        <v/>
      </c>
      <c r="T21" s="38">
        <f>T18*Hypothèses!$D$18</f>
        <v/>
      </c>
      <c r="U21" s="38">
        <f>U18*Hypothèses!$D$18</f>
        <v/>
      </c>
      <c r="V21" s="38">
        <f>V18*Hypothèses!$D$18</f>
        <v/>
      </c>
      <c r="W21" s="38">
        <f>W18*Hypothèses!$D$18</f>
        <v/>
      </c>
      <c r="X21" s="38">
        <f>X18*Hypothèses!$D$18</f>
        <v/>
      </c>
      <c r="Y21" s="38">
        <f>Y18*Hypothèses!$D$18</f>
        <v/>
      </c>
      <c r="Z21" s="38">
        <f>Z18*Hypothèses!$D$18</f>
        <v/>
      </c>
      <c r="AA21" s="38">
        <f>AA18*Hypothèses!$D$18</f>
        <v/>
      </c>
      <c r="AB21" s="38">
        <f>AB18*Hypothèses!$D$18</f>
        <v/>
      </c>
      <c r="AC21" s="38">
        <f>AC18*Hypothèses!$D$18</f>
        <v/>
      </c>
      <c r="AD21" s="38">
        <f>AD18*Hypothèses!$D$18</f>
        <v/>
      </c>
      <c r="AE21" s="38">
        <f>AE18*Hypothèses!$D$18</f>
        <v/>
      </c>
      <c r="AF21" s="38">
        <f>AF18*Hypothèses!$D$18</f>
        <v/>
      </c>
      <c r="AG21" s="38">
        <f>AG18*Hypothèses!$D$18</f>
        <v/>
      </c>
      <c r="AH21" s="38">
        <f>AH18*Hypothèses!$D$18</f>
        <v/>
      </c>
      <c r="AI21" s="38">
        <f>AI18*Hypothèses!$D$18</f>
        <v/>
      </c>
      <c r="AJ21" s="38">
        <f>AJ18*Hypothèses!$D$18</f>
        <v/>
      </c>
      <c r="AK21" s="38">
        <f>AK18*Hypothèses!$D$18</f>
        <v/>
      </c>
      <c r="AL21" s="38">
        <f>AL18*Hypothèses!$D$18</f>
        <v/>
      </c>
      <c r="AN21" s="38">
        <f>N21</f>
        <v/>
      </c>
      <c r="AO21" s="38">
        <f>Z21</f>
        <v/>
      </c>
      <c r="AP21" s="38">
        <f>AL21</f>
        <v/>
      </c>
    </row>
    <row r="22">
      <c r="A22" s="8" t="inlineStr">
        <is>
          <t>Revenus</t>
        </is>
      </c>
    </row>
    <row r="23">
      <c r="A23" s="9" t="inlineStr">
        <is>
          <t>Facturation Personal TTC</t>
        </is>
      </c>
      <c r="B23" s="4" t="inlineStr">
        <is>
          <t>€ TTC</t>
        </is>
      </c>
      <c r="C23" s="15">
        <f>C19*Hypothèses!$D$12*$C$4</f>
        <v/>
      </c>
      <c r="D23" s="15">
        <f>D19*Hypothèses!$D$12*$C$4</f>
        <v/>
      </c>
      <c r="E23" s="15">
        <f>E19*Hypothèses!$D$12*$C$4</f>
        <v/>
      </c>
      <c r="F23" s="15">
        <f>F19*Hypothèses!$D$12*$C$4</f>
        <v/>
      </c>
      <c r="G23" s="15">
        <f>G19*Hypothèses!$D$12*$C$4</f>
        <v/>
      </c>
      <c r="H23" s="15">
        <f>H19*Hypothèses!$D$12*$C$4</f>
        <v/>
      </c>
      <c r="I23" s="15">
        <f>I19*Hypothèses!$D$12*$C$4</f>
        <v/>
      </c>
      <c r="J23" s="15">
        <f>J19*Hypothèses!$D$12*$C$4</f>
        <v/>
      </c>
      <c r="K23" s="15">
        <f>K19*Hypothèses!$D$12*$C$4</f>
        <v/>
      </c>
      <c r="L23" s="15">
        <f>L19*Hypothèses!$D$12*$C$4</f>
        <v/>
      </c>
      <c r="M23" s="15">
        <f>M19*Hypothèses!$D$12*$C$4</f>
        <v/>
      </c>
      <c r="N23" s="15">
        <f>N19*Hypothèses!$D$12*$C$4</f>
        <v/>
      </c>
      <c r="O23" s="15">
        <f>O19*Hypothèses!$D$12*$C$4</f>
        <v/>
      </c>
      <c r="P23" s="15">
        <f>P19*Hypothèses!$D$12*$C$4</f>
        <v/>
      </c>
      <c r="Q23" s="15">
        <f>Q19*Hypothèses!$D$12*$C$4</f>
        <v/>
      </c>
      <c r="R23" s="15">
        <f>R19*Hypothèses!$D$12*$C$4</f>
        <v/>
      </c>
      <c r="S23" s="15">
        <f>S19*Hypothèses!$D$12*$C$4</f>
        <v/>
      </c>
      <c r="T23" s="15">
        <f>T19*Hypothèses!$D$12*$C$4</f>
        <v/>
      </c>
      <c r="U23" s="15">
        <f>U19*Hypothèses!$D$12*$C$4</f>
        <v/>
      </c>
      <c r="V23" s="15">
        <f>V19*Hypothèses!$D$12*$C$4</f>
        <v/>
      </c>
      <c r="W23" s="15">
        <f>W19*Hypothèses!$D$12*$C$4</f>
        <v/>
      </c>
      <c r="X23" s="15">
        <f>X19*Hypothèses!$D$12*$C$4</f>
        <v/>
      </c>
      <c r="Y23" s="15">
        <f>Y19*Hypothèses!$D$12*$C$4</f>
        <v/>
      </c>
      <c r="Z23" s="15">
        <f>Z19*Hypothèses!$D$12*$C$4</f>
        <v/>
      </c>
      <c r="AA23" s="15">
        <f>AA19*Hypothèses!$D$12*$C$4</f>
        <v/>
      </c>
      <c r="AB23" s="15">
        <f>AB19*Hypothèses!$D$12*$C$4</f>
        <v/>
      </c>
      <c r="AC23" s="15">
        <f>AC19*Hypothèses!$D$12*$C$4</f>
        <v/>
      </c>
      <c r="AD23" s="15">
        <f>AD19*Hypothèses!$D$12*$C$4</f>
        <v/>
      </c>
      <c r="AE23" s="15">
        <f>AE19*Hypothèses!$D$12*$C$4</f>
        <v/>
      </c>
      <c r="AF23" s="15">
        <f>AF19*Hypothèses!$D$12*$C$4</f>
        <v/>
      </c>
      <c r="AG23" s="15">
        <f>AG19*Hypothèses!$D$12*$C$4</f>
        <v/>
      </c>
      <c r="AH23" s="15">
        <f>AH19*Hypothèses!$D$12*$C$4</f>
        <v/>
      </c>
      <c r="AI23" s="15">
        <f>AI19*Hypothèses!$D$12*$C$4</f>
        <v/>
      </c>
      <c r="AJ23" s="15">
        <f>AJ19*Hypothèses!$D$12*$C$4</f>
        <v/>
      </c>
      <c r="AK23" s="15">
        <f>AK19*Hypothèses!$D$12*$C$4</f>
        <v/>
      </c>
      <c r="AL23" s="15">
        <f>AL19*Hypothèses!$D$12*$C$4</f>
        <v/>
      </c>
      <c r="AN23" s="15">
        <f>SUM(C23:N23)</f>
        <v/>
      </c>
      <c r="AO23" s="15">
        <f>SUM(O23:Z23)</f>
        <v/>
      </c>
      <c r="AP23" s="15">
        <f>SUM(AA23:AL23)</f>
        <v/>
      </c>
    </row>
    <row r="24">
      <c r="A24" s="9" t="inlineStr">
        <is>
          <t>Facturation Premium TTC</t>
        </is>
      </c>
      <c r="B24" s="4" t="inlineStr">
        <is>
          <t>€ TTC</t>
        </is>
      </c>
      <c r="C24" s="15">
        <f>C20*Hypothèses!$D$13*$C$4</f>
        <v/>
      </c>
      <c r="D24" s="15">
        <f>D20*Hypothèses!$D$13*$C$4</f>
        <v/>
      </c>
      <c r="E24" s="15">
        <f>E20*Hypothèses!$D$13*$C$4</f>
        <v/>
      </c>
      <c r="F24" s="15">
        <f>F20*Hypothèses!$D$13*$C$4</f>
        <v/>
      </c>
      <c r="G24" s="15">
        <f>G20*Hypothèses!$D$13*$C$4</f>
        <v/>
      </c>
      <c r="H24" s="15">
        <f>H20*Hypothèses!$D$13*$C$4</f>
        <v/>
      </c>
      <c r="I24" s="15">
        <f>I20*Hypothèses!$D$13*$C$4</f>
        <v/>
      </c>
      <c r="J24" s="15">
        <f>J20*Hypothèses!$D$13*$C$4</f>
        <v/>
      </c>
      <c r="K24" s="15">
        <f>K20*Hypothèses!$D$13*$C$4</f>
        <v/>
      </c>
      <c r="L24" s="15">
        <f>L20*Hypothèses!$D$13*$C$4</f>
        <v/>
      </c>
      <c r="M24" s="15">
        <f>M20*Hypothèses!$D$13*$C$4</f>
        <v/>
      </c>
      <c r="N24" s="15">
        <f>N20*Hypothèses!$D$13*$C$4</f>
        <v/>
      </c>
      <c r="O24" s="15">
        <f>O20*Hypothèses!$D$13*$C$4</f>
        <v/>
      </c>
      <c r="P24" s="15">
        <f>P20*Hypothèses!$D$13*$C$4</f>
        <v/>
      </c>
      <c r="Q24" s="15">
        <f>Q20*Hypothèses!$D$13*$C$4</f>
        <v/>
      </c>
      <c r="R24" s="15">
        <f>R20*Hypothèses!$D$13*$C$4</f>
        <v/>
      </c>
      <c r="S24" s="15">
        <f>S20*Hypothèses!$D$13*$C$4</f>
        <v/>
      </c>
      <c r="T24" s="15">
        <f>T20*Hypothèses!$D$13*$C$4</f>
        <v/>
      </c>
      <c r="U24" s="15">
        <f>U20*Hypothèses!$D$13*$C$4</f>
        <v/>
      </c>
      <c r="V24" s="15">
        <f>V20*Hypothèses!$D$13*$C$4</f>
        <v/>
      </c>
      <c r="W24" s="15">
        <f>W20*Hypothèses!$D$13*$C$4</f>
        <v/>
      </c>
      <c r="X24" s="15">
        <f>X20*Hypothèses!$D$13*$C$4</f>
        <v/>
      </c>
      <c r="Y24" s="15">
        <f>Y20*Hypothèses!$D$13*$C$4</f>
        <v/>
      </c>
      <c r="Z24" s="15">
        <f>Z20*Hypothèses!$D$13*$C$4</f>
        <v/>
      </c>
      <c r="AA24" s="15">
        <f>AA20*Hypothèses!$D$13*$C$4</f>
        <v/>
      </c>
      <c r="AB24" s="15">
        <f>AB20*Hypothèses!$D$13*$C$4</f>
        <v/>
      </c>
      <c r="AC24" s="15">
        <f>AC20*Hypothèses!$D$13*$C$4</f>
        <v/>
      </c>
      <c r="AD24" s="15">
        <f>AD20*Hypothèses!$D$13*$C$4</f>
        <v/>
      </c>
      <c r="AE24" s="15">
        <f>AE20*Hypothèses!$D$13*$C$4</f>
        <v/>
      </c>
      <c r="AF24" s="15">
        <f>AF20*Hypothèses!$D$13*$C$4</f>
        <v/>
      </c>
      <c r="AG24" s="15">
        <f>AG20*Hypothèses!$D$13*$C$4</f>
        <v/>
      </c>
      <c r="AH24" s="15">
        <f>AH20*Hypothèses!$D$13*$C$4</f>
        <v/>
      </c>
      <c r="AI24" s="15">
        <f>AI20*Hypothèses!$D$13*$C$4</f>
        <v/>
      </c>
      <c r="AJ24" s="15">
        <f>AJ20*Hypothèses!$D$13*$C$4</f>
        <v/>
      </c>
      <c r="AK24" s="15">
        <f>AK20*Hypothèses!$D$13*$C$4</f>
        <v/>
      </c>
      <c r="AL24" s="15">
        <f>AL20*Hypothèses!$D$13*$C$4</f>
        <v/>
      </c>
      <c r="AN24" s="15">
        <f>SUM(C24:N24)</f>
        <v/>
      </c>
      <c r="AO24" s="15">
        <f>SUM(O24:Z24)</f>
        <v/>
      </c>
      <c r="AP24" s="15">
        <f>SUM(AA24:AL24)</f>
        <v/>
      </c>
    </row>
    <row r="25">
      <c r="A25" s="9" t="inlineStr">
        <is>
          <t>Facturation Family TTC</t>
        </is>
      </c>
      <c r="B25" s="4" t="inlineStr">
        <is>
          <t>€ TTC</t>
        </is>
      </c>
      <c r="C25" s="15">
        <f>C21*Hypothèses!$D$14*$C$4</f>
        <v/>
      </c>
      <c r="D25" s="15">
        <f>D21*Hypothèses!$D$14*$C$4</f>
        <v/>
      </c>
      <c r="E25" s="15">
        <f>E21*Hypothèses!$D$14*$C$4</f>
        <v/>
      </c>
      <c r="F25" s="15">
        <f>F21*Hypothèses!$D$14*$C$4</f>
        <v/>
      </c>
      <c r="G25" s="15">
        <f>G21*Hypothèses!$D$14*$C$4</f>
        <v/>
      </c>
      <c r="H25" s="15">
        <f>H21*Hypothèses!$D$14*$C$4</f>
        <v/>
      </c>
      <c r="I25" s="15">
        <f>I21*Hypothèses!$D$14*$C$4</f>
        <v/>
      </c>
      <c r="J25" s="15">
        <f>J21*Hypothèses!$D$14*$C$4</f>
        <v/>
      </c>
      <c r="K25" s="15">
        <f>K21*Hypothèses!$D$14*$C$4</f>
        <v/>
      </c>
      <c r="L25" s="15">
        <f>L21*Hypothèses!$D$14*$C$4</f>
        <v/>
      </c>
      <c r="M25" s="15">
        <f>M21*Hypothèses!$D$14*$C$4</f>
        <v/>
      </c>
      <c r="N25" s="15">
        <f>N21*Hypothèses!$D$14*$C$4</f>
        <v/>
      </c>
      <c r="O25" s="15">
        <f>O21*Hypothèses!$D$14*$C$4</f>
        <v/>
      </c>
      <c r="P25" s="15">
        <f>P21*Hypothèses!$D$14*$C$4</f>
        <v/>
      </c>
      <c r="Q25" s="15">
        <f>Q21*Hypothèses!$D$14*$C$4</f>
        <v/>
      </c>
      <c r="R25" s="15">
        <f>R21*Hypothèses!$D$14*$C$4</f>
        <v/>
      </c>
      <c r="S25" s="15">
        <f>S21*Hypothèses!$D$14*$C$4</f>
        <v/>
      </c>
      <c r="T25" s="15">
        <f>T21*Hypothèses!$D$14*$C$4</f>
        <v/>
      </c>
      <c r="U25" s="15">
        <f>U21*Hypothèses!$D$14*$C$4</f>
        <v/>
      </c>
      <c r="V25" s="15">
        <f>V21*Hypothèses!$D$14*$C$4</f>
        <v/>
      </c>
      <c r="W25" s="15">
        <f>W21*Hypothèses!$D$14*$C$4</f>
        <v/>
      </c>
      <c r="X25" s="15">
        <f>X21*Hypothèses!$D$14*$C$4</f>
        <v/>
      </c>
      <c r="Y25" s="15">
        <f>Y21*Hypothèses!$D$14*$C$4</f>
        <v/>
      </c>
      <c r="Z25" s="15">
        <f>Z21*Hypothèses!$D$14*$C$4</f>
        <v/>
      </c>
      <c r="AA25" s="15">
        <f>AA21*Hypothèses!$D$14*$C$4</f>
        <v/>
      </c>
      <c r="AB25" s="15">
        <f>AB21*Hypothèses!$D$14*$C$4</f>
        <v/>
      </c>
      <c r="AC25" s="15">
        <f>AC21*Hypothèses!$D$14*$C$4</f>
        <v/>
      </c>
      <c r="AD25" s="15">
        <f>AD21*Hypothèses!$D$14*$C$4</f>
        <v/>
      </c>
      <c r="AE25" s="15">
        <f>AE21*Hypothèses!$D$14*$C$4</f>
        <v/>
      </c>
      <c r="AF25" s="15">
        <f>AF21*Hypothèses!$D$14*$C$4</f>
        <v/>
      </c>
      <c r="AG25" s="15">
        <f>AG21*Hypothèses!$D$14*$C$4</f>
        <v/>
      </c>
      <c r="AH25" s="15">
        <f>AH21*Hypothèses!$D$14*$C$4</f>
        <v/>
      </c>
      <c r="AI25" s="15">
        <f>AI21*Hypothèses!$D$14*$C$4</f>
        <v/>
      </c>
      <c r="AJ25" s="15">
        <f>AJ21*Hypothèses!$D$14*$C$4</f>
        <v/>
      </c>
      <c r="AK25" s="15">
        <f>AK21*Hypothèses!$D$14*$C$4</f>
        <v/>
      </c>
      <c r="AL25" s="15">
        <f>AL21*Hypothèses!$D$14*$C$4</f>
        <v/>
      </c>
      <c r="AN25" s="15">
        <f>SUM(C25:N25)</f>
        <v/>
      </c>
      <c r="AO25" s="15">
        <f>SUM(O25:Z25)</f>
        <v/>
      </c>
      <c r="AP25" s="15">
        <f>SUM(AA25:AL25)</f>
        <v/>
      </c>
    </row>
    <row r="26">
      <c r="A26" s="2" t="inlineStr">
        <is>
          <t>Facturation totale TTC (MRR TTC)</t>
        </is>
      </c>
      <c r="B26" s="4" t="inlineStr">
        <is>
          <t>€ TTC</t>
        </is>
      </c>
      <c r="C26" s="40">
        <f>C23+C24+C25</f>
        <v/>
      </c>
      <c r="D26" s="40">
        <f>D23+D24+D25</f>
        <v/>
      </c>
      <c r="E26" s="40">
        <f>E23+E24+E25</f>
        <v/>
      </c>
      <c r="F26" s="40">
        <f>F23+F24+F25</f>
        <v/>
      </c>
      <c r="G26" s="40">
        <f>G23+G24+G25</f>
        <v/>
      </c>
      <c r="H26" s="40">
        <f>H23+H24+H25</f>
        <v/>
      </c>
      <c r="I26" s="40">
        <f>I23+I24+I25</f>
        <v/>
      </c>
      <c r="J26" s="40">
        <f>J23+J24+J25</f>
        <v/>
      </c>
      <c r="K26" s="40">
        <f>K23+K24+K25</f>
        <v/>
      </c>
      <c r="L26" s="40">
        <f>L23+L24+L25</f>
        <v/>
      </c>
      <c r="M26" s="40">
        <f>M23+M24+M25</f>
        <v/>
      </c>
      <c r="N26" s="40">
        <f>N23+N24+N25</f>
        <v/>
      </c>
      <c r="O26" s="40">
        <f>O23+O24+O25</f>
        <v/>
      </c>
      <c r="P26" s="40">
        <f>P23+P24+P25</f>
        <v/>
      </c>
      <c r="Q26" s="40">
        <f>Q23+Q24+Q25</f>
        <v/>
      </c>
      <c r="R26" s="40">
        <f>R23+R24+R25</f>
        <v/>
      </c>
      <c r="S26" s="40">
        <f>S23+S24+S25</f>
        <v/>
      </c>
      <c r="T26" s="40">
        <f>T23+T24+T25</f>
        <v/>
      </c>
      <c r="U26" s="40">
        <f>U23+U24+U25</f>
        <v/>
      </c>
      <c r="V26" s="40">
        <f>V23+V24+V25</f>
        <v/>
      </c>
      <c r="W26" s="40">
        <f>W23+W24+W25</f>
        <v/>
      </c>
      <c r="X26" s="40">
        <f>X23+X24+X25</f>
        <v/>
      </c>
      <c r="Y26" s="40">
        <f>Y23+Y24+Y25</f>
        <v/>
      </c>
      <c r="Z26" s="40">
        <f>Z23+Z24+Z25</f>
        <v/>
      </c>
      <c r="AA26" s="40">
        <f>AA23+AA24+AA25</f>
        <v/>
      </c>
      <c r="AB26" s="40">
        <f>AB23+AB24+AB25</f>
        <v/>
      </c>
      <c r="AC26" s="40">
        <f>AC23+AC24+AC25</f>
        <v/>
      </c>
      <c r="AD26" s="40">
        <f>AD23+AD24+AD25</f>
        <v/>
      </c>
      <c r="AE26" s="40">
        <f>AE23+AE24+AE25</f>
        <v/>
      </c>
      <c r="AF26" s="40">
        <f>AF23+AF24+AF25</f>
        <v/>
      </c>
      <c r="AG26" s="40">
        <f>AG23+AG24+AG25</f>
        <v/>
      </c>
      <c r="AH26" s="40">
        <f>AH23+AH24+AH25</f>
        <v/>
      </c>
      <c r="AI26" s="40">
        <f>AI23+AI24+AI25</f>
        <v/>
      </c>
      <c r="AJ26" s="40">
        <f>AJ23+AJ24+AJ25</f>
        <v/>
      </c>
      <c r="AK26" s="40">
        <f>AK23+AK24+AK25</f>
        <v/>
      </c>
      <c r="AL26" s="40">
        <f>AL23+AL24+AL25</f>
        <v/>
      </c>
      <c r="AN26" s="40">
        <f>SUM(C26:N26)</f>
        <v/>
      </c>
      <c r="AO26" s="40">
        <f>SUM(O26:Z26)</f>
        <v/>
      </c>
      <c r="AP26" s="40">
        <f>SUM(AA26:AL26)</f>
        <v/>
      </c>
    </row>
    <row r="27">
      <c r="A27" s="9" t="inlineStr">
        <is>
          <t>TVA collectée</t>
        </is>
      </c>
      <c r="B27" s="4" t="inlineStr">
        <is>
          <t>€</t>
        </is>
      </c>
      <c r="C27" s="15">
        <f>C26*Hypothèses!$D$15/(1+Hypothèses!$D$15)</f>
        <v/>
      </c>
      <c r="D27" s="15">
        <f>D26*Hypothèses!$D$15/(1+Hypothèses!$D$15)</f>
        <v/>
      </c>
      <c r="E27" s="15">
        <f>E26*Hypothèses!$D$15/(1+Hypothèses!$D$15)</f>
        <v/>
      </c>
      <c r="F27" s="15">
        <f>F26*Hypothèses!$D$15/(1+Hypothèses!$D$15)</f>
        <v/>
      </c>
      <c r="G27" s="15">
        <f>G26*Hypothèses!$D$15/(1+Hypothèses!$D$15)</f>
        <v/>
      </c>
      <c r="H27" s="15">
        <f>H26*Hypothèses!$D$15/(1+Hypothèses!$D$15)</f>
        <v/>
      </c>
      <c r="I27" s="15">
        <f>I26*Hypothèses!$D$15/(1+Hypothèses!$D$15)</f>
        <v/>
      </c>
      <c r="J27" s="15">
        <f>J26*Hypothèses!$D$15/(1+Hypothèses!$D$15)</f>
        <v/>
      </c>
      <c r="K27" s="15">
        <f>K26*Hypothèses!$D$15/(1+Hypothèses!$D$15)</f>
        <v/>
      </c>
      <c r="L27" s="15">
        <f>L26*Hypothèses!$D$15/(1+Hypothèses!$D$15)</f>
        <v/>
      </c>
      <c r="M27" s="15">
        <f>M26*Hypothèses!$D$15/(1+Hypothèses!$D$15)</f>
        <v/>
      </c>
      <c r="N27" s="15">
        <f>N26*Hypothèses!$D$15/(1+Hypothèses!$D$15)</f>
        <v/>
      </c>
      <c r="O27" s="15">
        <f>O26*Hypothèses!$D$15/(1+Hypothèses!$D$15)</f>
        <v/>
      </c>
      <c r="P27" s="15">
        <f>P26*Hypothèses!$D$15/(1+Hypothèses!$D$15)</f>
        <v/>
      </c>
      <c r="Q27" s="15">
        <f>Q26*Hypothèses!$D$15/(1+Hypothèses!$D$15)</f>
        <v/>
      </c>
      <c r="R27" s="15">
        <f>R26*Hypothèses!$D$15/(1+Hypothèses!$D$15)</f>
        <v/>
      </c>
      <c r="S27" s="15">
        <f>S26*Hypothèses!$D$15/(1+Hypothèses!$D$15)</f>
        <v/>
      </c>
      <c r="T27" s="15">
        <f>T26*Hypothèses!$D$15/(1+Hypothèses!$D$15)</f>
        <v/>
      </c>
      <c r="U27" s="15">
        <f>U26*Hypothèses!$D$15/(1+Hypothèses!$D$15)</f>
        <v/>
      </c>
      <c r="V27" s="15">
        <f>V26*Hypothèses!$D$15/(1+Hypothèses!$D$15)</f>
        <v/>
      </c>
      <c r="W27" s="15">
        <f>W26*Hypothèses!$D$15/(1+Hypothèses!$D$15)</f>
        <v/>
      </c>
      <c r="X27" s="15">
        <f>X26*Hypothèses!$D$15/(1+Hypothèses!$D$15)</f>
        <v/>
      </c>
      <c r="Y27" s="15">
        <f>Y26*Hypothèses!$D$15/(1+Hypothèses!$D$15)</f>
        <v/>
      </c>
      <c r="Z27" s="15">
        <f>Z26*Hypothèses!$D$15/(1+Hypothèses!$D$15)</f>
        <v/>
      </c>
      <c r="AA27" s="15">
        <f>AA26*Hypothèses!$D$15/(1+Hypothèses!$D$15)</f>
        <v/>
      </c>
      <c r="AB27" s="15">
        <f>AB26*Hypothèses!$D$15/(1+Hypothèses!$D$15)</f>
        <v/>
      </c>
      <c r="AC27" s="15">
        <f>AC26*Hypothèses!$D$15/(1+Hypothèses!$D$15)</f>
        <v/>
      </c>
      <c r="AD27" s="15">
        <f>AD26*Hypothèses!$D$15/(1+Hypothèses!$D$15)</f>
        <v/>
      </c>
      <c r="AE27" s="15">
        <f>AE26*Hypothèses!$D$15/(1+Hypothèses!$D$15)</f>
        <v/>
      </c>
      <c r="AF27" s="15">
        <f>AF26*Hypothèses!$D$15/(1+Hypothèses!$D$15)</f>
        <v/>
      </c>
      <c r="AG27" s="15">
        <f>AG26*Hypothèses!$D$15/(1+Hypothèses!$D$15)</f>
        <v/>
      </c>
      <c r="AH27" s="15">
        <f>AH26*Hypothèses!$D$15/(1+Hypothèses!$D$15)</f>
        <v/>
      </c>
      <c r="AI27" s="15">
        <f>AI26*Hypothèses!$D$15/(1+Hypothèses!$D$15)</f>
        <v/>
      </c>
      <c r="AJ27" s="15">
        <f>AJ26*Hypothèses!$D$15/(1+Hypothèses!$D$15)</f>
        <v/>
      </c>
      <c r="AK27" s="15">
        <f>AK26*Hypothèses!$D$15/(1+Hypothèses!$D$15)</f>
        <v/>
      </c>
      <c r="AL27" s="15">
        <f>AL26*Hypothèses!$D$15/(1+Hypothèses!$D$15)</f>
        <v/>
      </c>
      <c r="AN27" s="15">
        <f>SUM(C27:N27)</f>
        <v/>
      </c>
      <c r="AO27" s="15">
        <f>SUM(O27:Z27)</f>
        <v/>
      </c>
      <c r="AP27" s="15">
        <f>SUM(AA27:AL27)</f>
        <v/>
      </c>
    </row>
    <row r="28">
      <c r="A28" s="2" t="inlineStr">
        <is>
          <t>Chiffre d'affaires HT</t>
        </is>
      </c>
      <c r="B28" s="4" t="inlineStr">
        <is>
          <t>€ HT</t>
        </is>
      </c>
      <c r="C28" s="40">
        <f>C26-C27</f>
        <v/>
      </c>
      <c r="D28" s="40">
        <f>D26-D27</f>
        <v/>
      </c>
      <c r="E28" s="40">
        <f>E26-E27</f>
        <v/>
      </c>
      <c r="F28" s="40">
        <f>F26-F27</f>
        <v/>
      </c>
      <c r="G28" s="40">
        <f>G26-G27</f>
        <v/>
      </c>
      <c r="H28" s="40">
        <f>H26-H27</f>
        <v/>
      </c>
      <c r="I28" s="40">
        <f>I26-I27</f>
        <v/>
      </c>
      <c r="J28" s="40">
        <f>J26-J27</f>
        <v/>
      </c>
      <c r="K28" s="40">
        <f>K26-K27</f>
        <v/>
      </c>
      <c r="L28" s="40">
        <f>L26-L27</f>
        <v/>
      </c>
      <c r="M28" s="40">
        <f>M26-M27</f>
        <v/>
      </c>
      <c r="N28" s="40">
        <f>N26-N27</f>
        <v/>
      </c>
      <c r="O28" s="40">
        <f>O26-O27</f>
        <v/>
      </c>
      <c r="P28" s="40">
        <f>P26-P27</f>
        <v/>
      </c>
      <c r="Q28" s="40">
        <f>Q26-Q27</f>
        <v/>
      </c>
      <c r="R28" s="40">
        <f>R26-R27</f>
        <v/>
      </c>
      <c r="S28" s="40">
        <f>S26-S27</f>
        <v/>
      </c>
      <c r="T28" s="40">
        <f>T26-T27</f>
        <v/>
      </c>
      <c r="U28" s="40">
        <f>U26-U27</f>
        <v/>
      </c>
      <c r="V28" s="40">
        <f>V26-V27</f>
        <v/>
      </c>
      <c r="W28" s="40">
        <f>W26-W27</f>
        <v/>
      </c>
      <c r="X28" s="40">
        <f>X26-X27</f>
        <v/>
      </c>
      <c r="Y28" s="40">
        <f>Y26-Y27</f>
        <v/>
      </c>
      <c r="Z28" s="40">
        <f>Z26-Z27</f>
        <v/>
      </c>
      <c r="AA28" s="40">
        <f>AA26-AA27</f>
        <v/>
      </c>
      <c r="AB28" s="40">
        <f>AB26-AB27</f>
        <v/>
      </c>
      <c r="AC28" s="40">
        <f>AC26-AC27</f>
        <v/>
      </c>
      <c r="AD28" s="40">
        <f>AD26-AD27</f>
        <v/>
      </c>
      <c r="AE28" s="40">
        <f>AE26-AE27</f>
        <v/>
      </c>
      <c r="AF28" s="40">
        <f>AF26-AF27</f>
        <v/>
      </c>
      <c r="AG28" s="40">
        <f>AG26-AG27</f>
        <v/>
      </c>
      <c r="AH28" s="40">
        <f>AH26-AH27</f>
        <v/>
      </c>
      <c r="AI28" s="40">
        <f>AI26-AI27</f>
        <v/>
      </c>
      <c r="AJ28" s="40">
        <f>AJ26-AJ27</f>
        <v/>
      </c>
      <c r="AK28" s="40">
        <f>AK26-AK27</f>
        <v/>
      </c>
      <c r="AL28" s="40">
        <f>AL26-AL27</f>
        <v/>
      </c>
      <c r="AN28" s="40">
        <f>SUM(C28:N28)</f>
        <v/>
      </c>
      <c r="AO28" s="40">
        <f>SUM(O28:Z28)</f>
        <v/>
      </c>
      <c r="AP28" s="40">
        <f>SUM(AA28:AL28)</f>
        <v/>
      </c>
    </row>
    <row r="29">
      <c r="A29" s="9" t="inlineStr">
        <is>
          <t>Impayés (TTC)</t>
        </is>
      </c>
      <c r="B29" s="4" t="inlineStr">
        <is>
          <t>€ TTC</t>
        </is>
      </c>
      <c r="C29" s="15">
        <f>C26*Hypothèses!$D$27</f>
        <v/>
      </c>
      <c r="D29" s="15">
        <f>D26*Hypothèses!$D$27</f>
        <v/>
      </c>
      <c r="E29" s="15">
        <f>E26*Hypothèses!$D$27</f>
        <v/>
      </c>
      <c r="F29" s="15">
        <f>F26*Hypothèses!$D$27</f>
        <v/>
      </c>
      <c r="G29" s="15">
        <f>G26*Hypothèses!$D$27</f>
        <v/>
      </c>
      <c r="H29" s="15">
        <f>H26*Hypothèses!$D$27</f>
        <v/>
      </c>
      <c r="I29" s="15">
        <f>I26*Hypothèses!$D$27</f>
        <v/>
      </c>
      <c r="J29" s="15">
        <f>J26*Hypothèses!$D$27</f>
        <v/>
      </c>
      <c r="K29" s="15">
        <f>K26*Hypothèses!$D$27</f>
        <v/>
      </c>
      <c r="L29" s="15">
        <f>L26*Hypothèses!$D$27</f>
        <v/>
      </c>
      <c r="M29" s="15">
        <f>M26*Hypothèses!$D$27</f>
        <v/>
      </c>
      <c r="N29" s="15">
        <f>N26*Hypothèses!$D$27</f>
        <v/>
      </c>
      <c r="O29" s="15">
        <f>O26*Hypothèses!$D$27</f>
        <v/>
      </c>
      <c r="P29" s="15">
        <f>P26*Hypothèses!$D$27</f>
        <v/>
      </c>
      <c r="Q29" s="15">
        <f>Q26*Hypothèses!$D$27</f>
        <v/>
      </c>
      <c r="R29" s="15">
        <f>R26*Hypothèses!$D$27</f>
        <v/>
      </c>
      <c r="S29" s="15">
        <f>S26*Hypothèses!$D$27</f>
        <v/>
      </c>
      <c r="T29" s="15">
        <f>T26*Hypothèses!$D$27</f>
        <v/>
      </c>
      <c r="U29" s="15">
        <f>U26*Hypothèses!$D$27</f>
        <v/>
      </c>
      <c r="V29" s="15">
        <f>V26*Hypothèses!$D$27</f>
        <v/>
      </c>
      <c r="W29" s="15">
        <f>W26*Hypothèses!$D$27</f>
        <v/>
      </c>
      <c r="X29" s="15">
        <f>X26*Hypothèses!$D$27</f>
        <v/>
      </c>
      <c r="Y29" s="15">
        <f>Y26*Hypothèses!$D$27</f>
        <v/>
      </c>
      <c r="Z29" s="15">
        <f>Z26*Hypothèses!$D$27</f>
        <v/>
      </c>
      <c r="AA29" s="15">
        <f>AA26*Hypothèses!$D$27</f>
        <v/>
      </c>
      <c r="AB29" s="15">
        <f>AB26*Hypothèses!$D$27</f>
        <v/>
      </c>
      <c r="AC29" s="15">
        <f>AC26*Hypothèses!$D$27</f>
        <v/>
      </c>
      <c r="AD29" s="15">
        <f>AD26*Hypothèses!$D$27</f>
        <v/>
      </c>
      <c r="AE29" s="15">
        <f>AE26*Hypothèses!$D$27</f>
        <v/>
      </c>
      <c r="AF29" s="15">
        <f>AF26*Hypothèses!$D$27</f>
        <v/>
      </c>
      <c r="AG29" s="15">
        <f>AG26*Hypothèses!$D$27</f>
        <v/>
      </c>
      <c r="AH29" s="15">
        <f>AH26*Hypothèses!$D$27</f>
        <v/>
      </c>
      <c r="AI29" s="15">
        <f>AI26*Hypothèses!$D$27</f>
        <v/>
      </c>
      <c r="AJ29" s="15">
        <f>AJ26*Hypothèses!$D$27</f>
        <v/>
      </c>
      <c r="AK29" s="15">
        <f>AK26*Hypothèses!$D$27</f>
        <v/>
      </c>
      <c r="AL29" s="15">
        <f>AL26*Hypothèses!$D$27</f>
        <v/>
      </c>
      <c r="AN29" s="15">
        <f>SUM(C29:N29)</f>
        <v/>
      </c>
      <c r="AO29" s="15">
        <f>SUM(O29:Z29)</f>
        <v/>
      </c>
      <c r="AP29" s="15">
        <f>SUM(AA29:AL29)</f>
        <v/>
      </c>
    </row>
    <row r="30">
      <c r="A30" s="9" t="inlineStr">
        <is>
          <t>Frais de paiement</t>
        </is>
      </c>
      <c r="B30" s="4" t="inlineStr">
        <is>
          <t>€</t>
        </is>
      </c>
      <c r="C30" s="15">
        <f>(C26-C29)*Hypothèses!$D$28+C18*Hypothèses!$D$29</f>
        <v/>
      </c>
      <c r="D30" s="15">
        <f>(D26-D29)*Hypothèses!$D$28+D18*Hypothèses!$D$29</f>
        <v/>
      </c>
      <c r="E30" s="15">
        <f>(E26-E29)*Hypothèses!$D$28+E18*Hypothèses!$D$29</f>
        <v/>
      </c>
      <c r="F30" s="15">
        <f>(F26-F29)*Hypothèses!$D$28+F18*Hypothèses!$D$29</f>
        <v/>
      </c>
      <c r="G30" s="15">
        <f>(G26-G29)*Hypothèses!$D$28+G18*Hypothèses!$D$29</f>
        <v/>
      </c>
      <c r="H30" s="15">
        <f>(H26-H29)*Hypothèses!$D$28+H18*Hypothèses!$D$29</f>
        <v/>
      </c>
      <c r="I30" s="15">
        <f>(I26-I29)*Hypothèses!$D$28+I18*Hypothèses!$D$29</f>
        <v/>
      </c>
      <c r="J30" s="15">
        <f>(J26-J29)*Hypothèses!$D$28+J18*Hypothèses!$D$29</f>
        <v/>
      </c>
      <c r="K30" s="15">
        <f>(K26-K29)*Hypothèses!$D$28+K18*Hypothèses!$D$29</f>
        <v/>
      </c>
      <c r="L30" s="15">
        <f>(L26-L29)*Hypothèses!$D$28+L18*Hypothèses!$D$29</f>
        <v/>
      </c>
      <c r="M30" s="15">
        <f>(M26-M29)*Hypothèses!$D$28+M18*Hypothèses!$D$29</f>
        <v/>
      </c>
      <c r="N30" s="15">
        <f>(N26-N29)*Hypothèses!$D$28+N18*Hypothèses!$D$29</f>
        <v/>
      </c>
      <c r="O30" s="15">
        <f>(O26-O29)*Hypothèses!$D$28+O18*Hypothèses!$D$29</f>
        <v/>
      </c>
      <c r="P30" s="15">
        <f>(P26-P29)*Hypothèses!$D$28+P18*Hypothèses!$D$29</f>
        <v/>
      </c>
      <c r="Q30" s="15">
        <f>(Q26-Q29)*Hypothèses!$D$28+Q18*Hypothèses!$D$29</f>
        <v/>
      </c>
      <c r="R30" s="15">
        <f>(R26-R29)*Hypothèses!$D$28+R18*Hypothèses!$D$29</f>
        <v/>
      </c>
      <c r="S30" s="15">
        <f>(S26-S29)*Hypothèses!$D$28+S18*Hypothèses!$D$29</f>
        <v/>
      </c>
      <c r="T30" s="15">
        <f>(T26-T29)*Hypothèses!$D$28+T18*Hypothèses!$D$29</f>
        <v/>
      </c>
      <c r="U30" s="15">
        <f>(U26-U29)*Hypothèses!$D$28+U18*Hypothèses!$D$29</f>
        <v/>
      </c>
      <c r="V30" s="15">
        <f>(V26-V29)*Hypothèses!$D$28+V18*Hypothèses!$D$29</f>
        <v/>
      </c>
      <c r="W30" s="15">
        <f>(W26-W29)*Hypothèses!$D$28+W18*Hypothèses!$D$29</f>
        <v/>
      </c>
      <c r="X30" s="15">
        <f>(X26-X29)*Hypothèses!$D$28+X18*Hypothèses!$D$29</f>
        <v/>
      </c>
      <c r="Y30" s="15">
        <f>(Y26-Y29)*Hypothèses!$D$28+Y18*Hypothèses!$D$29</f>
        <v/>
      </c>
      <c r="Z30" s="15">
        <f>(Z26-Z29)*Hypothèses!$D$28+Z18*Hypothèses!$D$29</f>
        <v/>
      </c>
      <c r="AA30" s="15">
        <f>(AA26-AA29)*Hypothèses!$D$28+AA18*Hypothèses!$D$29</f>
        <v/>
      </c>
      <c r="AB30" s="15">
        <f>(AB26-AB29)*Hypothèses!$D$28+AB18*Hypothèses!$D$29</f>
        <v/>
      </c>
      <c r="AC30" s="15">
        <f>(AC26-AC29)*Hypothèses!$D$28+AC18*Hypothèses!$D$29</f>
        <v/>
      </c>
      <c r="AD30" s="15">
        <f>(AD26-AD29)*Hypothèses!$D$28+AD18*Hypothèses!$D$29</f>
        <v/>
      </c>
      <c r="AE30" s="15">
        <f>(AE26-AE29)*Hypothèses!$D$28+AE18*Hypothèses!$D$29</f>
        <v/>
      </c>
      <c r="AF30" s="15">
        <f>(AF26-AF29)*Hypothèses!$D$28+AF18*Hypothèses!$D$29</f>
        <v/>
      </c>
      <c r="AG30" s="15">
        <f>(AG26-AG29)*Hypothèses!$D$28+AG18*Hypothèses!$D$29</f>
        <v/>
      </c>
      <c r="AH30" s="15">
        <f>(AH26-AH29)*Hypothèses!$D$28+AH18*Hypothèses!$D$29</f>
        <v/>
      </c>
      <c r="AI30" s="15">
        <f>(AI26-AI29)*Hypothèses!$D$28+AI18*Hypothèses!$D$29</f>
        <v/>
      </c>
      <c r="AJ30" s="15">
        <f>(AJ26-AJ29)*Hypothèses!$D$28+AJ18*Hypothèses!$D$29</f>
        <v/>
      </c>
      <c r="AK30" s="15">
        <f>(AK26-AK29)*Hypothèses!$D$28+AK18*Hypothèses!$D$29</f>
        <v/>
      </c>
      <c r="AL30" s="15">
        <f>(AL26-AL29)*Hypothèses!$D$28+AL18*Hypothèses!$D$29</f>
        <v/>
      </c>
      <c r="AN30" s="15">
        <f>SUM(C30:N30)</f>
        <v/>
      </c>
      <c r="AO30" s="15">
        <f>SUM(O30:Z30)</f>
        <v/>
      </c>
      <c r="AP30" s="15">
        <f>SUM(AA30:AL30)</f>
        <v/>
      </c>
    </row>
    <row r="31">
      <c r="A31" s="2" t="inlineStr">
        <is>
          <t>Encaissements nets TTC</t>
        </is>
      </c>
      <c r="B31" s="4" t="inlineStr">
        <is>
          <t>€ TTC</t>
        </is>
      </c>
      <c r="C31" s="40">
        <f>C26-C29-C30</f>
        <v/>
      </c>
      <c r="D31" s="40">
        <f>D26-D29-D30</f>
        <v/>
      </c>
      <c r="E31" s="40">
        <f>E26-E29-E30</f>
        <v/>
      </c>
      <c r="F31" s="40">
        <f>F26-F29-F30</f>
        <v/>
      </c>
      <c r="G31" s="40">
        <f>G26-G29-G30</f>
        <v/>
      </c>
      <c r="H31" s="40">
        <f>H26-H29-H30</f>
        <v/>
      </c>
      <c r="I31" s="40">
        <f>I26-I29-I30</f>
        <v/>
      </c>
      <c r="J31" s="40">
        <f>J26-J29-J30</f>
        <v/>
      </c>
      <c r="K31" s="40">
        <f>K26-K29-K30</f>
        <v/>
      </c>
      <c r="L31" s="40">
        <f>L26-L29-L30</f>
        <v/>
      </c>
      <c r="M31" s="40">
        <f>M26-M29-M30</f>
        <v/>
      </c>
      <c r="N31" s="40">
        <f>N26-N29-N30</f>
        <v/>
      </c>
      <c r="O31" s="40">
        <f>O26-O29-O30</f>
        <v/>
      </c>
      <c r="P31" s="40">
        <f>P26-P29-P30</f>
        <v/>
      </c>
      <c r="Q31" s="40">
        <f>Q26-Q29-Q30</f>
        <v/>
      </c>
      <c r="R31" s="40">
        <f>R26-R29-R30</f>
        <v/>
      </c>
      <c r="S31" s="40">
        <f>S26-S29-S30</f>
        <v/>
      </c>
      <c r="T31" s="40">
        <f>T26-T29-T30</f>
        <v/>
      </c>
      <c r="U31" s="40">
        <f>U26-U29-U30</f>
        <v/>
      </c>
      <c r="V31" s="40">
        <f>V26-V29-V30</f>
        <v/>
      </c>
      <c r="W31" s="40">
        <f>W26-W29-W30</f>
        <v/>
      </c>
      <c r="X31" s="40">
        <f>X26-X29-X30</f>
        <v/>
      </c>
      <c r="Y31" s="40">
        <f>Y26-Y29-Y30</f>
        <v/>
      </c>
      <c r="Z31" s="40">
        <f>Z26-Z29-Z30</f>
        <v/>
      </c>
      <c r="AA31" s="40">
        <f>AA26-AA29-AA30</f>
        <v/>
      </c>
      <c r="AB31" s="40">
        <f>AB26-AB29-AB30</f>
        <v/>
      </c>
      <c r="AC31" s="40">
        <f>AC26-AC29-AC30</f>
        <v/>
      </c>
      <c r="AD31" s="40">
        <f>AD26-AD29-AD30</f>
        <v/>
      </c>
      <c r="AE31" s="40">
        <f>AE26-AE29-AE30</f>
        <v/>
      </c>
      <c r="AF31" s="40">
        <f>AF26-AF29-AF30</f>
        <v/>
      </c>
      <c r="AG31" s="40">
        <f>AG26-AG29-AG30</f>
        <v/>
      </c>
      <c r="AH31" s="40">
        <f>AH26-AH29-AH30</f>
        <v/>
      </c>
      <c r="AI31" s="40">
        <f>AI26-AI29-AI30</f>
        <v/>
      </c>
      <c r="AJ31" s="40">
        <f>AJ26-AJ29-AJ30</f>
        <v/>
      </c>
      <c r="AK31" s="40">
        <f>AK26-AK29-AK30</f>
        <v/>
      </c>
      <c r="AL31" s="40">
        <f>AL26-AL29-AL30</f>
        <v/>
      </c>
      <c r="AN31" s="40">
        <f>SUM(C31:N31)</f>
        <v/>
      </c>
      <c r="AO31" s="40">
        <f>SUM(O31:Z31)</f>
        <v/>
      </c>
      <c r="AP31" s="40">
        <f>SUM(AA31:AL31)</f>
        <v/>
      </c>
    </row>
    <row r="32">
      <c r="A32" s="8" t="inlineStr">
        <is>
          <t>Coûts variables</t>
        </is>
      </c>
    </row>
    <row r="33">
      <c r="A33" s="9" t="inlineStr">
        <is>
          <t>Coût IA et outils (missions × coût par mission)</t>
        </is>
      </c>
      <c r="B33" s="4" t="inlineStr">
        <is>
          <t>€ HT</t>
        </is>
      </c>
      <c r="C33" s="15">
        <f>(C19*Hypothèses!$D$31+C20*Hypothèses!$D$32+C21*Hypothèses!$D$33)*Hypothèses!$D$34*$F$4</f>
        <v/>
      </c>
      <c r="D33" s="15">
        <f>(D19*Hypothèses!$D$31+D20*Hypothèses!$D$32+D21*Hypothèses!$D$33)*Hypothèses!$D$34*$F$4</f>
        <v/>
      </c>
      <c r="E33" s="15">
        <f>(E19*Hypothèses!$D$31+E20*Hypothèses!$D$32+E21*Hypothèses!$D$33)*Hypothèses!$D$34*$F$4</f>
        <v/>
      </c>
      <c r="F33" s="15">
        <f>(F19*Hypothèses!$D$31+F20*Hypothèses!$D$32+F21*Hypothèses!$D$33)*Hypothèses!$D$34*$F$4</f>
        <v/>
      </c>
      <c r="G33" s="15">
        <f>(G19*Hypothèses!$D$31+G20*Hypothèses!$D$32+G21*Hypothèses!$D$33)*Hypothèses!$D$34*$F$4</f>
        <v/>
      </c>
      <c r="H33" s="15">
        <f>(H19*Hypothèses!$D$31+H20*Hypothèses!$D$32+H21*Hypothèses!$D$33)*Hypothèses!$D$34*$F$4</f>
        <v/>
      </c>
      <c r="I33" s="15">
        <f>(I19*Hypothèses!$D$31+I20*Hypothèses!$D$32+I21*Hypothèses!$D$33)*Hypothèses!$D$34*$F$4</f>
        <v/>
      </c>
      <c r="J33" s="15">
        <f>(J19*Hypothèses!$D$31+J20*Hypothèses!$D$32+J21*Hypothèses!$D$33)*Hypothèses!$D$34*$F$4</f>
        <v/>
      </c>
      <c r="K33" s="15">
        <f>(K19*Hypothèses!$D$31+K20*Hypothèses!$D$32+K21*Hypothèses!$D$33)*Hypothèses!$D$34*$F$4</f>
        <v/>
      </c>
      <c r="L33" s="15">
        <f>(L19*Hypothèses!$D$31+L20*Hypothèses!$D$32+L21*Hypothèses!$D$33)*Hypothèses!$D$34*$F$4</f>
        <v/>
      </c>
      <c r="M33" s="15">
        <f>(M19*Hypothèses!$D$31+M20*Hypothèses!$D$32+M21*Hypothèses!$D$33)*Hypothèses!$D$34*$F$4</f>
        <v/>
      </c>
      <c r="N33" s="15">
        <f>(N19*Hypothèses!$D$31+N20*Hypothèses!$D$32+N21*Hypothèses!$D$33)*Hypothèses!$D$34*$F$4</f>
        <v/>
      </c>
      <c r="O33" s="15">
        <f>(O19*Hypothèses!$D$31+O20*Hypothèses!$D$32+O21*Hypothèses!$D$33)*Hypothèses!$D$34*$F$4</f>
        <v/>
      </c>
      <c r="P33" s="15">
        <f>(P19*Hypothèses!$D$31+P20*Hypothèses!$D$32+P21*Hypothèses!$D$33)*Hypothèses!$D$34*$F$4</f>
        <v/>
      </c>
      <c r="Q33" s="15">
        <f>(Q19*Hypothèses!$D$31+Q20*Hypothèses!$D$32+Q21*Hypothèses!$D$33)*Hypothèses!$D$34*$F$4</f>
        <v/>
      </c>
      <c r="R33" s="15">
        <f>(R19*Hypothèses!$D$31+R20*Hypothèses!$D$32+R21*Hypothèses!$D$33)*Hypothèses!$D$34*$F$4</f>
        <v/>
      </c>
      <c r="S33" s="15">
        <f>(S19*Hypothèses!$D$31+S20*Hypothèses!$D$32+S21*Hypothèses!$D$33)*Hypothèses!$D$34*$F$4</f>
        <v/>
      </c>
      <c r="T33" s="15">
        <f>(T19*Hypothèses!$D$31+T20*Hypothèses!$D$32+T21*Hypothèses!$D$33)*Hypothèses!$D$34*$F$4</f>
        <v/>
      </c>
      <c r="U33" s="15">
        <f>(U19*Hypothèses!$D$31+U20*Hypothèses!$D$32+U21*Hypothèses!$D$33)*Hypothèses!$D$34*$F$4</f>
        <v/>
      </c>
      <c r="V33" s="15">
        <f>(V19*Hypothèses!$D$31+V20*Hypothèses!$D$32+V21*Hypothèses!$D$33)*Hypothèses!$D$34*$F$4</f>
        <v/>
      </c>
      <c r="W33" s="15">
        <f>(W19*Hypothèses!$D$31+W20*Hypothèses!$D$32+W21*Hypothèses!$D$33)*Hypothèses!$D$34*$F$4</f>
        <v/>
      </c>
      <c r="X33" s="15">
        <f>(X19*Hypothèses!$D$31+X20*Hypothèses!$D$32+X21*Hypothèses!$D$33)*Hypothèses!$D$34*$F$4</f>
        <v/>
      </c>
      <c r="Y33" s="15">
        <f>(Y19*Hypothèses!$D$31+Y20*Hypothèses!$D$32+Y21*Hypothèses!$D$33)*Hypothèses!$D$34*$F$4</f>
        <v/>
      </c>
      <c r="Z33" s="15">
        <f>(Z19*Hypothèses!$D$31+Z20*Hypothèses!$D$32+Z21*Hypothèses!$D$33)*Hypothèses!$D$34*$F$4</f>
        <v/>
      </c>
      <c r="AA33" s="15">
        <f>(AA19*Hypothèses!$D$31+AA20*Hypothèses!$D$32+AA21*Hypothèses!$D$33)*Hypothèses!$D$34*$F$4</f>
        <v/>
      </c>
      <c r="AB33" s="15">
        <f>(AB19*Hypothèses!$D$31+AB20*Hypothèses!$D$32+AB21*Hypothèses!$D$33)*Hypothèses!$D$34*$F$4</f>
        <v/>
      </c>
      <c r="AC33" s="15">
        <f>(AC19*Hypothèses!$D$31+AC20*Hypothèses!$D$32+AC21*Hypothèses!$D$33)*Hypothèses!$D$34*$F$4</f>
        <v/>
      </c>
      <c r="AD33" s="15">
        <f>(AD19*Hypothèses!$D$31+AD20*Hypothèses!$D$32+AD21*Hypothèses!$D$33)*Hypothèses!$D$34*$F$4</f>
        <v/>
      </c>
      <c r="AE33" s="15">
        <f>(AE19*Hypothèses!$D$31+AE20*Hypothèses!$D$32+AE21*Hypothèses!$D$33)*Hypothèses!$D$34*$F$4</f>
        <v/>
      </c>
      <c r="AF33" s="15">
        <f>(AF19*Hypothèses!$D$31+AF20*Hypothèses!$D$32+AF21*Hypothèses!$D$33)*Hypothèses!$D$34*$F$4</f>
        <v/>
      </c>
      <c r="AG33" s="15">
        <f>(AG19*Hypothèses!$D$31+AG20*Hypothèses!$D$32+AG21*Hypothèses!$D$33)*Hypothèses!$D$34*$F$4</f>
        <v/>
      </c>
      <c r="AH33" s="15">
        <f>(AH19*Hypothèses!$D$31+AH20*Hypothèses!$D$32+AH21*Hypothèses!$D$33)*Hypothèses!$D$34*$F$4</f>
        <v/>
      </c>
      <c r="AI33" s="15">
        <f>(AI19*Hypothèses!$D$31+AI20*Hypothèses!$D$32+AI21*Hypothèses!$D$33)*Hypothèses!$D$34*$F$4</f>
        <v/>
      </c>
      <c r="AJ33" s="15">
        <f>(AJ19*Hypothèses!$D$31+AJ20*Hypothèses!$D$32+AJ21*Hypothèses!$D$33)*Hypothèses!$D$34*$F$4</f>
        <v/>
      </c>
      <c r="AK33" s="15">
        <f>(AK19*Hypothèses!$D$31+AK20*Hypothèses!$D$32+AK21*Hypothèses!$D$33)*Hypothèses!$D$34*$F$4</f>
        <v/>
      </c>
      <c r="AL33" s="15">
        <f>(AL19*Hypothèses!$D$31+AL20*Hypothèses!$D$32+AL21*Hypothèses!$D$33)*Hypothèses!$D$34*$F$4</f>
        <v/>
      </c>
      <c r="AN33" s="15">
        <f>SUM(C33:N33)</f>
        <v/>
      </c>
      <c r="AO33" s="15">
        <f>SUM(O33:Z33)</f>
        <v/>
      </c>
      <c r="AP33" s="15">
        <f>SUM(AA33:AL33)</f>
        <v/>
      </c>
    </row>
    <row r="34">
      <c r="A34" s="9" t="inlineStr">
        <is>
          <t>Hébergement, stockage, connecteurs</t>
        </is>
      </c>
      <c r="B34" s="4" t="inlineStr">
        <is>
          <t>€ HT</t>
        </is>
      </c>
      <c r="C34" s="15">
        <f>C18*Hypothèses!$D$35</f>
        <v/>
      </c>
      <c r="D34" s="15">
        <f>D18*Hypothèses!$D$35</f>
        <v/>
      </c>
      <c r="E34" s="15">
        <f>E18*Hypothèses!$D$35</f>
        <v/>
      </c>
      <c r="F34" s="15">
        <f>F18*Hypothèses!$D$35</f>
        <v/>
      </c>
      <c r="G34" s="15">
        <f>G18*Hypothèses!$D$35</f>
        <v/>
      </c>
      <c r="H34" s="15">
        <f>H18*Hypothèses!$D$35</f>
        <v/>
      </c>
      <c r="I34" s="15">
        <f>I18*Hypothèses!$D$35</f>
        <v/>
      </c>
      <c r="J34" s="15">
        <f>J18*Hypothèses!$D$35</f>
        <v/>
      </c>
      <c r="K34" s="15">
        <f>K18*Hypothèses!$D$35</f>
        <v/>
      </c>
      <c r="L34" s="15">
        <f>L18*Hypothèses!$D$35</f>
        <v/>
      </c>
      <c r="M34" s="15">
        <f>M18*Hypothèses!$D$35</f>
        <v/>
      </c>
      <c r="N34" s="15">
        <f>N18*Hypothèses!$D$35</f>
        <v/>
      </c>
      <c r="O34" s="15">
        <f>O18*Hypothèses!$D$35</f>
        <v/>
      </c>
      <c r="P34" s="15">
        <f>P18*Hypothèses!$D$35</f>
        <v/>
      </c>
      <c r="Q34" s="15">
        <f>Q18*Hypothèses!$D$35</f>
        <v/>
      </c>
      <c r="R34" s="15">
        <f>R18*Hypothèses!$D$35</f>
        <v/>
      </c>
      <c r="S34" s="15">
        <f>S18*Hypothèses!$D$35</f>
        <v/>
      </c>
      <c r="T34" s="15">
        <f>T18*Hypothèses!$D$35</f>
        <v/>
      </c>
      <c r="U34" s="15">
        <f>U18*Hypothèses!$D$35</f>
        <v/>
      </c>
      <c r="V34" s="15">
        <f>V18*Hypothèses!$D$35</f>
        <v/>
      </c>
      <c r="W34" s="15">
        <f>W18*Hypothèses!$D$35</f>
        <v/>
      </c>
      <c r="X34" s="15">
        <f>X18*Hypothèses!$D$35</f>
        <v/>
      </c>
      <c r="Y34" s="15">
        <f>Y18*Hypothèses!$D$35</f>
        <v/>
      </c>
      <c r="Z34" s="15">
        <f>Z18*Hypothèses!$D$35</f>
        <v/>
      </c>
      <c r="AA34" s="15">
        <f>AA18*Hypothèses!$D$35</f>
        <v/>
      </c>
      <c r="AB34" s="15">
        <f>AB18*Hypothèses!$D$35</f>
        <v/>
      </c>
      <c r="AC34" s="15">
        <f>AC18*Hypothèses!$D$35</f>
        <v/>
      </c>
      <c r="AD34" s="15">
        <f>AD18*Hypothèses!$D$35</f>
        <v/>
      </c>
      <c r="AE34" s="15">
        <f>AE18*Hypothèses!$D$35</f>
        <v/>
      </c>
      <c r="AF34" s="15">
        <f>AF18*Hypothèses!$D$35</f>
        <v/>
      </c>
      <c r="AG34" s="15">
        <f>AG18*Hypothèses!$D$35</f>
        <v/>
      </c>
      <c r="AH34" s="15">
        <f>AH18*Hypothèses!$D$35</f>
        <v/>
      </c>
      <c r="AI34" s="15">
        <f>AI18*Hypothèses!$D$35</f>
        <v/>
      </c>
      <c r="AJ34" s="15">
        <f>AJ18*Hypothèses!$D$35</f>
        <v/>
      </c>
      <c r="AK34" s="15">
        <f>AK18*Hypothèses!$D$35</f>
        <v/>
      </c>
      <c r="AL34" s="15">
        <f>AL18*Hypothèses!$D$35</f>
        <v/>
      </c>
      <c r="AN34" s="15">
        <f>SUM(C34:N34)</f>
        <v/>
      </c>
      <c r="AO34" s="15">
        <f>SUM(O34:Z34)</f>
        <v/>
      </c>
      <c r="AP34" s="15">
        <f>SUM(AA34:AL34)</f>
        <v/>
      </c>
    </row>
    <row r="35">
      <c r="A35" s="9" t="inlineStr">
        <is>
          <t>Support humain</t>
        </is>
      </c>
      <c r="B35" s="4" t="inlineStr">
        <is>
          <t>€ HT</t>
        </is>
      </c>
      <c r="C35" s="15">
        <f>C18*Hypothèses!$D$36</f>
        <v/>
      </c>
      <c r="D35" s="15">
        <f>D18*Hypothèses!$D$36</f>
        <v/>
      </c>
      <c r="E35" s="15">
        <f>E18*Hypothèses!$D$36</f>
        <v/>
      </c>
      <c r="F35" s="15">
        <f>F18*Hypothèses!$D$36</f>
        <v/>
      </c>
      <c r="G35" s="15">
        <f>G18*Hypothèses!$D$36</f>
        <v/>
      </c>
      <c r="H35" s="15">
        <f>H18*Hypothèses!$D$36</f>
        <v/>
      </c>
      <c r="I35" s="15">
        <f>I18*Hypothèses!$D$36</f>
        <v/>
      </c>
      <c r="J35" s="15">
        <f>J18*Hypothèses!$D$36</f>
        <v/>
      </c>
      <c r="K35" s="15">
        <f>K18*Hypothèses!$D$36</f>
        <v/>
      </c>
      <c r="L35" s="15">
        <f>L18*Hypothèses!$D$36</f>
        <v/>
      </c>
      <c r="M35" s="15">
        <f>M18*Hypothèses!$D$36</f>
        <v/>
      </c>
      <c r="N35" s="15">
        <f>N18*Hypothèses!$D$36</f>
        <v/>
      </c>
      <c r="O35" s="15">
        <f>O18*Hypothèses!$D$36</f>
        <v/>
      </c>
      <c r="P35" s="15">
        <f>P18*Hypothèses!$D$36</f>
        <v/>
      </c>
      <c r="Q35" s="15">
        <f>Q18*Hypothèses!$D$36</f>
        <v/>
      </c>
      <c r="R35" s="15">
        <f>R18*Hypothèses!$D$36</f>
        <v/>
      </c>
      <c r="S35" s="15">
        <f>S18*Hypothèses!$D$36</f>
        <v/>
      </c>
      <c r="T35" s="15">
        <f>T18*Hypothèses!$D$36</f>
        <v/>
      </c>
      <c r="U35" s="15">
        <f>U18*Hypothèses!$D$36</f>
        <v/>
      </c>
      <c r="V35" s="15">
        <f>V18*Hypothèses!$D$36</f>
        <v/>
      </c>
      <c r="W35" s="15">
        <f>W18*Hypothèses!$D$36</f>
        <v/>
      </c>
      <c r="X35" s="15">
        <f>X18*Hypothèses!$D$36</f>
        <v/>
      </c>
      <c r="Y35" s="15">
        <f>Y18*Hypothèses!$D$36</f>
        <v/>
      </c>
      <c r="Z35" s="15">
        <f>Z18*Hypothèses!$D$36</f>
        <v/>
      </c>
      <c r="AA35" s="15">
        <f>AA18*Hypothèses!$D$36</f>
        <v/>
      </c>
      <c r="AB35" s="15">
        <f>AB18*Hypothèses!$D$36</f>
        <v/>
      </c>
      <c r="AC35" s="15">
        <f>AC18*Hypothèses!$D$36</f>
        <v/>
      </c>
      <c r="AD35" s="15">
        <f>AD18*Hypothèses!$D$36</f>
        <v/>
      </c>
      <c r="AE35" s="15">
        <f>AE18*Hypothèses!$D$36</f>
        <v/>
      </c>
      <c r="AF35" s="15">
        <f>AF18*Hypothèses!$D$36</f>
        <v/>
      </c>
      <c r="AG35" s="15">
        <f>AG18*Hypothèses!$D$36</f>
        <v/>
      </c>
      <c r="AH35" s="15">
        <f>AH18*Hypothèses!$D$36</f>
        <v/>
      </c>
      <c r="AI35" s="15">
        <f>AI18*Hypothèses!$D$36</f>
        <v/>
      </c>
      <c r="AJ35" s="15">
        <f>AJ18*Hypothèses!$D$36</f>
        <v/>
      </c>
      <c r="AK35" s="15">
        <f>AK18*Hypothèses!$D$36</f>
        <v/>
      </c>
      <c r="AL35" s="15">
        <f>AL18*Hypothèses!$D$36</f>
        <v/>
      </c>
      <c r="AN35" s="15">
        <f>SUM(C35:N35)</f>
        <v/>
      </c>
      <c r="AO35" s="15">
        <f>SUM(O35:Z35)</f>
        <v/>
      </c>
      <c r="AP35" s="15">
        <f>SUM(AA35:AL35)</f>
        <v/>
      </c>
    </row>
    <row r="36">
      <c r="A36" s="2" t="inlineStr">
        <is>
          <t>Total coûts variables</t>
        </is>
      </c>
      <c r="B36" s="4" t="inlineStr">
        <is>
          <t>€ HT</t>
        </is>
      </c>
      <c r="C36" s="40">
        <f>C33+C34+C35</f>
        <v/>
      </c>
      <c r="D36" s="40">
        <f>D33+D34+D35</f>
        <v/>
      </c>
      <c r="E36" s="40">
        <f>E33+E34+E35</f>
        <v/>
      </c>
      <c r="F36" s="40">
        <f>F33+F34+F35</f>
        <v/>
      </c>
      <c r="G36" s="40">
        <f>G33+G34+G35</f>
        <v/>
      </c>
      <c r="H36" s="40">
        <f>H33+H34+H35</f>
        <v/>
      </c>
      <c r="I36" s="40">
        <f>I33+I34+I35</f>
        <v/>
      </c>
      <c r="J36" s="40">
        <f>J33+J34+J35</f>
        <v/>
      </c>
      <c r="K36" s="40">
        <f>K33+K34+K35</f>
        <v/>
      </c>
      <c r="L36" s="40">
        <f>L33+L34+L35</f>
        <v/>
      </c>
      <c r="M36" s="40">
        <f>M33+M34+M35</f>
        <v/>
      </c>
      <c r="N36" s="40">
        <f>N33+N34+N35</f>
        <v/>
      </c>
      <c r="O36" s="40">
        <f>O33+O34+O35</f>
        <v/>
      </c>
      <c r="P36" s="40">
        <f>P33+P34+P35</f>
        <v/>
      </c>
      <c r="Q36" s="40">
        <f>Q33+Q34+Q35</f>
        <v/>
      </c>
      <c r="R36" s="40">
        <f>R33+R34+R35</f>
        <v/>
      </c>
      <c r="S36" s="40">
        <f>S33+S34+S35</f>
        <v/>
      </c>
      <c r="T36" s="40">
        <f>T33+T34+T35</f>
        <v/>
      </c>
      <c r="U36" s="40">
        <f>U33+U34+U35</f>
        <v/>
      </c>
      <c r="V36" s="40">
        <f>V33+V34+V35</f>
        <v/>
      </c>
      <c r="W36" s="40">
        <f>W33+W34+W35</f>
        <v/>
      </c>
      <c r="X36" s="40">
        <f>X33+X34+X35</f>
        <v/>
      </c>
      <c r="Y36" s="40">
        <f>Y33+Y34+Y35</f>
        <v/>
      </c>
      <c r="Z36" s="40">
        <f>Z33+Z34+Z35</f>
        <v/>
      </c>
      <c r="AA36" s="40">
        <f>AA33+AA34+AA35</f>
        <v/>
      </c>
      <c r="AB36" s="40">
        <f>AB33+AB34+AB35</f>
        <v/>
      </c>
      <c r="AC36" s="40">
        <f>AC33+AC34+AC35</f>
        <v/>
      </c>
      <c r="AD36" s="40">
        <f>AD33+AD34+AD35</f>
        <v/>
      </c>
      <c r="AE36" s="40">
        <f>AE33+AE34+AE35</f>
        <v/>
      </c>
      <c r="AF36" s="40">
        <f>AF33+AF34+AF35</f>
        <v/>
      </c>
      <c r="AG36" s="40">
        <f>AG33+AG34+AG35</f>
        <v/>
      </c>
      <c r="AH36" s="40">
        <f>AH33+AH34+AH35</f>
        <v/>
      </c>
      <c r="AI36" s="40">
        <f>AI33+AI34+AI35</f>
        <v/>
      </c>
      <c r="AJ36" s="40">
        <f>AJ33+AJ34+AJ35</f>
        <v/>
      </c>
      <c r="AK36" s="40">
        <f>AK33+AK34+AK35</f>
        <v/>
      </c>
      <c r="AL36" s="40">
        <f>AL33+AL34+AL35</f>
        <v/>
      </c>
      <c r="AN36" s="40">
        <f>SUM(C36:N36)</f>
        <v/>
      </c>
      <c r="AO36" s="40">
        <f>SUM(O36:Z36)</f>
        <v/>
      </c>
      <c r="AP36" s="40">
        <f>SUM(AA36:AL36)</f>
        <v/>
      </c>
    </row>
    <row r="37">
      <c r="A37" s="2" t="inlineStr">
        <is>
          <t>Marge sur coûts variables (CA HT − variables − frais − impayés HT)</t>
        </is>
      </c>
      <c r="B37" s="4" t="inlineStr">
        <is>
          <t>€ HT</t>
        </is>
      </c>
      <c r="C37" s="40">
        <f>C28-C36-C30-C29/(1+Hypothèses!$D$15)</f>
        <v/>
      </c>
      <c r="D37" s="40">
        <f>D28-D36-D30-D29/(1+Hypothèses!$D$15)</f>
        <v/>
      </c>
      <c r="E37" s="40">
        <f>E28-E36-E30-E29/(1+Hypothèses!$D$15)</f>
        <v/>
      </c>
      <c r="F37" s="40">
        <f>F28-F36-F30-F29/(1+Hypothèses!$D$15)</f>
        <v/>
      </c>
      <c r="G37" s="40">
        <f>G28-G36-G30-G29/(1+Hypothèses!$D$15)</f>
        <v/>
      </c>
      <c r="H37" s="40">
        <f>H28-H36-H30-H29/(1+Hypothèses!$D$15)</f>
        <v/>
      </c>
      <c r="I37" s="40">
        <f>I28-I36-I30-I29/(1+Hypothèses!$D$15)</f>
        <v/>
      </c>
      <c r="J37" s="40">
        <f>J28-J36-J30-J29/(1+Hypothèses!$D$15)</f>
        <v/>
      </c>
      <c r="K37" s="40">
        <f>K28-K36-K30-K29/(1+Hypothèses!$D$15)</f>
        <v/>
      </c>
      <c r="L37" s="40">
        <f>L28-L36-L30-L29/(1+Hypothèses!$D$15)</f>
        <v/>
      </c>
      <c r="M37" s="40">
        <f>M28-M36-M30-M29/(1+Hypothèses!$D$15)</f>
        <v/>
      </c>
      <c r="N37" s="40">
        <f>N28-N36-N30-N29/(1+Hypothèses!$D$15)</f>
        <v/>
      </c>
      <c r="O37" s="40">
        <f>O28-O36-O30-O29/(1+Hypothèses!$D$15)</f>
        <v/>
      </c>
      <c r="P37" s="40">
        <f>P28-P36-P30-P29/(1+Hypothèses!$D$15)</f>
        <v/>
      </c>
      <c r="Q37" s="40">
        <f>Q28-Q36-Q30-Q29/(1+Hypothèses!$D$15)</f>
        <v/>
      </c>
      <c r="R37" s="40">
        <f>R28-R36-R30-R29/(1+Hypothèses!$D$15)</f>
        <v/>
      </c>
      <c r="S37" s="40">
        <f>S28-S36-S30-S29/(1+Hypothèses!$D$15)</f>
        <v/>
      </c>
      <c r="T37" s="40">
        <f>T28-T36-T30-T29/(1+Hypothèses!$D$15)</f>
        <v/>
      </c>
      <c r="U37" s="40">
        <f>U28-U36-U30-U29/(1+Hypothèses!$D$15)</f>
        <v/>
      </c>
      <c r="V37" s="40">
        <f>V28-V36-V30-V29/(1+Hypothèses!$D$15)</f>
        <v/>
      </c>
      <c r="W37" s="40">
        <f>W28-W36-W30-W29/(1+Hypothèses!$D$15)</f>
        <v/>
      </c>
      <c r="X37" s="40">
        <f>X28-X36-X30-X29/(1+Hypothèses!$D$15)</f>
        <v/>
      </c>
      <c r="Y37" s="40">
        <f>Y28-Y36-Y30-Y29/(1+Hypothèses!$D$15)</f>
        <v/>
      </c>
      <c r="Z37" s="40">
        <f>Z28-Z36-Z30-Z29/(1+Hypothèses!$D$15)</f>
        <v/>
      </c>
      <c r="AA37" s="40">
        <f>AA28-AA36-AA30-AA29/(1+Hypothèses!$D$15)</f>
        <v/>
      </c>
      <c r="AB37" s="40">
        <f>AB28-AB36-AB30-AB29/(1+Hypothèses!$D$15)</f>
        <v/>
      </c>
      <c r="AC37" s="40">
        <f>AC28-AC36-AC30-AC29/(1+Hypothèses!$D$15)</f>
        <v/>
      </c>
      <c r="AD37" s="40">
        <f>AD28-AD36-AD30-AD29/(1+Hypothèses!$D$15)</f>
        <v/>
      </c>
      <c r="AE37" s="40">
        <f>AE28-AE36-AE30-AE29/(1+Hypothèses!$D$15)</f>
        <v/>
      </c>
      <c r="AF37" s="40">
        <f>AF28-AF36-AF30-AF29/(1+Hypothèses!$D$15)</f>
        <v/>
      </c>
      <c r="AG37" s="40">
        <f>AG28-AG36-AG30-AG29/(1+Hypothèses!$D$15)</f>
        <v/>
      </c>
      <c r="AH37" s="40">
        <f>AH28-AH36-AH30-AH29/(1+Hypothèses!$D$15)</f>
        <v/>
      </c>
      <c r="AI37" s="40">
        <f>AI28-AI36-AI30-AI29/(1+Hypothèses!$D$15)</f>
        <v/>
      </c>
      <c r="AJ37" s="40">
        <f>AJ28-AJ36-AJ30-AJ29/(1+Hypothèses!$D$15)</f>
        <v/>
      </c>
      <c r="AK37" s="40">
        <f>AK28-AK36-AK30-AK29/(1+Hypothèses!$D$15)</f>
        <v/>
      </c>
      <c r="AL37" s="40">
        <f>AL28-AL36-AL30-AL29/(1+Hypothèses!$D$15)</f>
        <v/>
      </c>
      <c r="AN37" s="40">
        <f>SUM(C37:N37)</f>
        <v/>
      </c>
      <c r="AO37" s="40">
        <f>SUM(O37:Z37)</f>
        <v/>
      </c>
      <c r="AP37" s="40">
        <f>SUM(AA37:AL37)</f>
        <v/>
      </c>
    </row>
    <row r="38">
      <c r="A38" s="8" t="inlineStr">
        <is>
          <t>Acquisition et coûts fixes</t>
        </is>
      </c>
    </row>
    <row r="39">
      <c r="A39" s="9" t="inlineStr">
        <is>
          <t>Dépenses d'acquisition</t>
        </is>
      </c>
      <c r="B39" s="4" t="inlineStr">
        <is>
          <t>€ HT</t>
        </is>
      </c>
      <c r="C39" s="15">
        <f>C11</f>
        <v/>
      </c>
      <c r="D39" s="15">
        <f>D11</f>
        <v/>
      </c>
      <c r="E39" s="15">
        <f>E11</f>
        <v/>
      </c>
      <c r="F39" s="15">
        <f>F11</f>
        <v/>
      </c>
      <c r="G39" s="15">
        <f>G11</f>
        <v/>
      </c>
      <c r="H39" s="15">
        <f>H11</f>
        <v/>
      </c>
      <c r="I39" s="15">
        <f>I11</f>
        <v/>
      </c>
      <c r="J39" s="15">
        <f>J11</f>
        <v/>
      </c>
      <c r="K39" s="15">
        <f>K11</f>
        <v/>
      </c>
      <c r="L39" s="15">
        <f>L11</f>
        <v/>
      </c>
      <c r="M39" s="15">
        <f>M11</f>
        <v/>
      </c>
      <c r="N39" s="15">
        <f>N11</f>
        <v/>
      </c>
      <c r="O39" s="15">
        <f>O11</f>
        <v/>
      </c>
      <c r="P39" s="15">
        <f>P11</f>
        <v/>
      </c>
      <c r="Q39" s="15">
        <f>Q11</f>
        <v/>
      </c>
      <c r="R39" s="15">
        <f>R11</f>
        <v/>
      </c>
      <c r="S39" s="15">
        <f>S11</f>
        <v/>
      </c>
      <c r="T39" s="15">
        <f>T11</f>
        <v/>
      </c>
      <c r="U39" s="15">
        <f>U11</f>
        <v/>
      </c>
      <c r="V39" s="15">
        <f>V11</f>
        <v/>
      </c>
      <c r="W39" s="15">
        <f>W11</f>
        <v/>
      </c>
      <c r="X39" s="15">
        <f>X11</f>
        <v/>
      </c>
      <c r="Y39" s="15">
        <f>Y11</f>
        <v/>
      </c>
      <c r="Z39" s="15">
        <f>Z11</f>
        <v/>
      </c>
      <c r="AA39" s="15">
        <f>AA11</f>
        <v/>
      </c>
      <c r="AB39" s="15">
        <f>AB11</f>
        <v/>
      </c>
      <c r="AC39" s="15">
        <f>AC11</f>
        <v/>
      </c>
      <c r="AD39" s="15">
        <f>AD11</f>
        <v/>
      </c>
      <c r="AE39" s="15">
        <f>AE11</f>
        <v/>
      </c>
      <c r="AF39" s="15">
        <f>AF11</f>
        <v/>
      </c>
      <c r="AG39" s="15">
        <f>AG11</f>
        <v/>
      </c>
      <c r="AH39" s="15">
        <f>AH11</f>
        <v/>
      </c>
      <c r="AI39" s="15">
        <f>AI11</f>
        <v/>
      </c>
      <c r="AJ39" s="15">
        <f>AJ11</f>
        <v/>
      </c>
      <c r="AK39" s="15">
        <f>AK11</f>
        <v/>
      </c>
      <c r="AL39" s="15">
        <f>AL11</f>
        <v/>
      </c>
      <c r="AN39" s="15">
        <f>SUM(C39:N39)</f>
        <v/>
      </c>
      <c r="AO39" s="15">
        <f>SUM(O39:Z39)</f>
        <v/>
      </c>
      <c r="AP39" s="15">
        <f>SUM(AA39:AL39)</f>
        <v/>
      </c>
    </row>
    <row r="40">
      <c r="A40" s="9" t="inlineStr">
        <is>
          <t>Rémunération des fondateurs</t>
        </is>
      </c>
      <c r="B40" s="4" t="inlineStr">
        <is>
          <t>€ HT</t>
        </is>
      </c>
      <c r="C40" s="15">
        <f>IF(C7&gt;=Hypothèses!$D$39,Hypothèses!$D$38*Hypothèses!$D$40,0)*$G$4</f>
        <v/>
      </c>
      <c r="D40" s="15">
        <f>IF(D7&gt;=Hypothèses!$D$39,Hypothèses!$D$38*Hypothèses!$D$40,0)*$G$4</f>
        <v/>
      </c>
      <c r="E40" s="15">
        <f>IF(E7&gt;=Hypothèses!$D$39,Hypothèses!$D$38*Hypothèses!$D$40,0)*$G$4</f>
        <v/>
      </c>
      <c r="F40" s="15">
        <f>IF(F7&gt;=Hypothèses!$D$39,Hypothèses!$D$38*Hypothèses!$D$40,0)*$G$4</f>
        <v/>
      </c>
      <c r="G40" s="15">
        <f>IF(G7&gt;=Hypothèses!$D$39,Hypothèses!$D$38*Hypothèses!$D$40,0)*$G$4</f>
        <v/>
      </c>
      <c r="H40" s="15">
        <f>IF(H7&gt;=Hypothèses!$D$39,Hypothèses!$D$38*Hypothèses!$D$40,0)*$G$4</f>
        <v/>
      </c>
      <c r="I40" s="15">
        <f>IF(I7&gt;=Hypothèses!$D$39,Hypothèses!$D$38*Hypothèses!$D$40,0)*$G$4</f>
        <v/>
      </c>
      <c r="J40" s="15">
        <f>IF(J7&gt;=Hypothèses!$D$39,Hypothèses!$D$38*Hypothèses!$D$40,0)*$G$4</f>
        <v/>
      </c>
      <c r="K40" s="15">
        <f>IF(K7&gt;=Hypothèses!$D$39,Hypothèses!$D$38*Hypothèses!$D$40,0)*$G$4</f>
        <v/>
      </c>
      <c r="L40" s="15">
        <f>IF(L7&gt;=Hypothèses!$D$39,Hypothèses!$D$38*Hypothèses!$D$40,0)*$G$4</f>
        <v/>
      </c>
      <c r="M40" s="15">
        <f>IF(M7&gt;=Hypothèses!$D$39,Hypothèses!$D$38*Hypothèses!$D$40,0)*$G$4</f>
        <v/>
      </c>
      <c r="N40" s="15">
        <f>IF(N7&gt;=Hypothèses!$D$39,Hypothèses!$D$38*Hypothèses!$D$40,0)*$G$4</f>
        <v/>
      </c>
      <c r="O40" s="15">
        <f>IF(O7&gt;=Hypothèses!$D$39,Hypothèses!$D$38*Hypothèses!$D$40,0)*$G$4</f>
        <v/>
      </c>
      <c r="P40" s="15">
        <f>IF(P7&gt;=Hypothèses!$D$39,Hypothèses!$D$38*Hypothèses!$D$40,0)*$G$4</f>
        <v/>
      </c>
      <c r="Q40" s="15">
        <f>IF(Q7&gt;=Hypothèses!$D$39,Hypothèses!$D$38*Hypothèses!$D$40,0)*$G$4</f>
        <v/>
      </c>
      <c r="R40" s="15">
        <f>IF(R7&gt;=Hypothèses!$D$39,Hypothèses!$D$38*Hypothèses!$D$40,0)*$G$4</f>
        <v/>
      </c>
      <c r="S40" s="15">
        <f>IF(S7&gt;=Hypothèses!$D$39,Hypothèses!$D$38*Hypothèses!$D$40,0)*$G$4</f>
        <v/>
      </c>
      <c r="T40" s="15">
        <f>IF(T7&gt;=Hypothèses!$D$39,Hypothèses!$D$38*Hypothèses!$D$40,0)*$G$4</f>
        <v/>
      </c>
      <c r="U40" s="15">
        <f>IF(U7&gt;=Hypothèses!$D$39,Hypothèses!$D$38*Hypothèses!$D$40,0)*$G$4</f>
        <v/>
      </c>
      <c r="V40" s="15">
        <f>IF(V7&gt;=Hypothèses!$D$39,Hypothèses!$D$38*Hypothèses!$D$40,0)*$G$4</f>
        <v/>
      </c>
      <c r="W40" s="15">
        <f>IF(W7&gt;=Hypothèses!$D$39,Hypothèses!$D$38*Hypothèses!$D$40,0)*$G$4</f>
        <v/>
      </c>
      <c r="X40" s="15">
        <f>IF(X7&gt;=Hypothèses!$D$39,Hypothèses!$D$38*Hypothèses!$D$40,0)*$G$4</f>
        <v/>
      </c>
      <c r="Y40" s="15">
        <f>IF(Y7&gt;=Hypothèses!$D$39,Hypothèses!$D$38*Hypothèses!$D$40,0)*$G$4</f>
        <v/>
      </c>
      <c r="Z40" s="15">
        <f>IF(Z7&gt;=Hypothèses!$D$39,Hypothèses!$D$38*Hypothèses!$D$40,0)*$G$4</f>
        <v/>
      </c>
      <c r="AA40" s="15">
        <f>IF(AA7&gt;=Hypothèses!$D$39,Hypothèses!$D$38*Hypothèses!$D$40,0)*$G$4</f>
        <v/>
      </c>
      <c r="AB40" s="15">
        <f>IF(AB7&gt;=Hypothèses!$D$39,Hypothèses!$D$38*Hypothèses!$D$40,0)*$G$4</f>
        <v/>
      </c>
      <c r="AC40" s="15">
        <f>IF(AC7&gt;=Hypothèses!$D$39,Hypothèses!$D$38*Hypothèses!$D$40,0)*$G$4</f>
        <v/>
      </c>
      <c r="AD40" s="15">
        <f>IF(AD7&gt;=Hypothèses!$D$39,Hypothèses!$D$38*Hypothèses!$D$40,0)*$G$4</f>
        <v/>
      </c>
      <c r="AE40" s="15">
        <f>IF(AE7&gt;=Hypothèses!$D$39,Hypothèses!$D$38*Hypothèses!$D$40,0)*$G$4</f>
        <v/>
      </c>
      <c r="AF40" s="15">
        <f>IF(AF7&gt;=Hypothèses!$D$39,Hypothèses!$D$38*Hypothèses!$D$40,0)*$G$4</f>
        <v/>
      </c>
      <c r="AG40" s="15">
        <f>IF(AG7&gt;=Hypothèses!$D$39,Hypothèses!$D$38*Hypothèses!$D$40,0)*$G$4</f>
        <v/>
      </c>
      <c r="AH40" s="15">
        <f>IF(AH7&gt;=Hypothèses!$D$39,Hypothèses!$D$38*Hypothèses!$D$40,0)*$G$4</f>
        <v/>
      </c>
      <c r="AI40" s="15">
        <f>IF(AI7&gt;=Hypothèses!$D$39,Hypothèses!$D$38*Hypothèses!$D$40,0)*$G$4</f>
        <v/>
      </c>
      <c r="AJ40" s="15">
        <f>IF(AJ7&gt;=Hypothèses!$D$39,Hypothèses!$D$38*Hypothèses!$D$40,0)*$G$4</f>
        <v/>
      </c>
      <c r="AK40" s="15">
        <f>IF(AK7&gt;=Hypothèses!$D$39,Hypothèses!$D$38*Hypothèses!$D$40,0)*$G$4</f>
        <v/>
      </c>
      <c r="AL40" s="15">
        <f>IF(AL7&gt;=Hypothèses!$D$39,Hypothèses!$D$38*Hypothèses!$D$40,0)*$G$4</f>
        <v/>
      </c>
      <c r="AN40" s="15">
        <f>SUM(C40:N40)</f>
        <v/>
      </c>
      <c r="AO40" s="15">
        <f>SUM(O40:Z40)</f>
        <v/>
      </c>
      <c r="AP40" s="15">
        <f>SUM(AA40:AL40)</f>
        <v/>
      </c>
    </row>
    <row r="41">
      <c r="A41" s="9" t="inlineStr">
        <is>
          <t>Salarié 1 (growth / customer success)</t>
        </is>
      </c>
      <c r="B41" s="4" t="inlineStr">
        <is>
          <t>€ HT</t>
        </is>
      </c>
      <c r="C41" s="15">
        <f>IF(C7&gt;=Hypothèses!$D$41,Hypothèses!$D$42,0)*$G$4</f>
        <v/>
      </c>
      <c r="D41" s="15">
        <f>IF(D7&gt;=Hypothèses!$D$41,Hypothèses!$D$42,0)*$G$4</f>
        <v/>
      </c>
      <c r="E41" s="15">
        <f>IF(E7&gt;=Hypothèses!$D$41,Hypothèses!$D$42,0)*$G$4</f>
        <v/>
      </c>
      <c r="F41" s="15">
        <f>IF(F7&gt;=Hypothèses!$D$41,Hypothèses!$D$42,0)*$G$4</f>
        <v/>
      </c>
      <c r="G41" s="15">
        <f>IF(G7&gt;=Hypothèses!$D$41,Hypothèses!$D$42,0)*$G$4</f>
        <v/>
      </c>
      <c r="H41" s="15">
        <f>IF(H7&gt;=Hypothèses!$D$41,Hypothèses!$D$42,0)*$G$4</f>
        <v/>
      </c>
      <c r="I41" s="15">
        <f>IF(I7&gt;=Hypothèses!$D$41,Hypothèses!$D$42,0)*$G$4</f>
        <v/>
      </c>
      <c r="J41" s="15">
        <f>IF(J7&gt;=Hypothèses!$D$41,Hypothèses!$D$42,0)*$G$4</f>
        <v/>
      </c>
      <c r="K41" s="15">
        <f>IF(K7&gt;=Hypothèses!$D$41,Hypothèses!$D$42,0)*$G$4</f>
        <v/>
      </c>
      <c r="L41" s="15">
        <f>IF(L7&gt;=Hypothèses!$D$41,Hypothèses!$D$42,0)*$G$4</f>
        <v/>
      </c>
      <c r="M41" s="15">
        <f>IF(M7&gt;=Hypothèses!$D$41,Hypothèses!$D$42,0)*$G$4</f>
        <v/>
      </c>
      <c r="N41" s="15">
        <f>IF(N7&gt;=Hypothèses!$D$41,Hypothèses!$D$42,0)*$G$4</f>
        <v/>
      </c>
      <c r="O41" s="15">
        <f>IF(O7&gt;=Hypothèses!$D$41,Hypothèses!$D$42,0)*$G$4</f>
        <v/>
      </c>
      <c r="P41" s="15">
        <f>IF(P7&gt;=Hypothèses!$D$41,Hypothèses!$D$42,0)*$G$4</f>
        <v/>
      </c>
      <c r="Q41" s="15">
        <f>IF(Q7&gt;=Hypothèses!$D$41,Hypothèses!$D$42,0)*$G$4</f>
        <v/>
      </c>
      <c r="R41" s="15">
        <f>IF(R7&gt;=Hypothèses!$D$41,Hypothèses!$D$42,0)*$G$4</f>
        <v/>
      </c>
      <c r="S41" s="15">
        <f>IF(S7&gt;=Hypothèses!$D$41,Hypothèses!$D$42,0)*$G$4</f>
        <v/>
      </c>
      <c r="T41" s="15">
        <f>IF(T7&gt;=Hypothèses!$D$41,Hypothèses!$D$42,0)*$G$4</f>
        <v/>
      </c>
      <c r="U41" s="15">
        <f>IF(U7&gt;=Hypothèses!$D$41,Hypothèses!$D$42,0)*$G$4</f>
        <v/>
      </c>
      <c r="V41" s="15">
        <f>IF(V7&gt;=Hypothèses!$D$41,Hypothèses!$D$42,0)*$G$4</f>
        <v/>
      </c>
      <c r="W41" s="15">
        <f>IF(W7&gt;=Hypothèses!$D$41,Hypothèses!$D$42,0)*$G$4</f>
        <v/>
      </c>
      <c r="X41" s="15">
        <f>IF(X7&gt;=Hypothèses!$D$41,Hypothèses!$D$42,0)*$G$4</f>
        <v/>
      </c>
      <c r="Y41" s="15">
        <f>IF(Y7&gt;=Hypothèses!$D$41,Hypothèses!$D$42,0)*$G$4</f>
        <v/>
      </c>
      <c r="Z41" s="15">
        <f>IF(Z7&gt;=Hypothèses!$D$41,Hypothèses!$D$42,0)*$G$4</f>
        <v/>
      </c>
      <c r="AA41" s="15">
        <f>IF(AA7&gt;=Hypothèses!$D$41,Hypothèses!$D$42,0)*$G$4</f>
        <v/>
      </c>
      <c r="AB41" s="15">
        <f>IF(AB7&gt;=Hypothèses!$D$41,Hypothèses!$D$42,0)*$G$4</f>
        <v/>
      </c>
      <c r="AC41" s="15">
        <f>IF(AC7&gt;=Hypothèses!$D$41,Hypothèses!$D$42,0)*$G$4</f>
        <v/>
      </c>
      <c r="AD41" s="15">
        <f>IF(AD7&gt;=Hypothèses!$D$41,Hypothèses!$D$42,0)*$G$4</f>
        <v/>
      </c>
      <c r="AE41" s="15">
        <f>IF(AE7&gt;=Hypothèses!$D$41,Hypothèses!$D$42,0)*$G$4</f>
        <v/>
      </c>
      <c r="AF41" s="15">
        <f>IF(AF7&gt;=Hypothèses!$D$41,Hypothèses!$D$42,0)*$G$4</f>
        <v/>
      </c>
      <c r="AG41" s="15">
        <f>IF(AG7&gt;=Hypothèses!$D$41,Hypothèses!$D$42,0)*$G$4</f>
        <v/>
      </c>
      <c r="AH41" s="15">
        <f>IF(AH7&gt;=Hypothèses!$D$41,Hypothèses!$D$42,0)*$G$4</f>
        <v/>
      </c>
      <c r="AI41" s="15">
        <f>IF(AI7&gt;=Hypothèses!$D$41,Hypothèses!$D$42,0)*$G$4</f>
        <v/>
      </c>
      <c r="AJ41" s="15">
        <f>IF(AJ7&gt;=Hypothèses!$D$41,Hypothèses!$D$42,0)*$G$4</f>
        <v/>
      </c>
      <c r="AK41" s="15">
        <f>IF(AK7&gt;=Hypothèses!$D$41,Hypothèses!$D$42,0)*$G$4</f>
        <v/>
      </c>
      <c r="AL41" s="15">
        <f>IF(AL7&gt;=Hypothèses!$D$41,Hypothèses!$D$42,0)*$G$4</f>
        <v/>
      </c>
      <c r="AN41" s="15">
        <f>SUM(C41:N41)</f>
        <v/>
      </c>
      <c r="AO41" s="15">
        <f>SUM(O41:Z41)</f>
        <v/>
      </c>
      <c r="AP41" s="15">
        <f>SUM(AA41:AL41)</f>
        <v/>
      </c>
    </row>
    <row r="42">
      <c r="A42" s="9" t="inlineStr">
        <is>
          <t>Salarié 2 (ingénieur)</t>
        </is>
      </c>
      <c r="B42" s="4" t="inlineStr">
        <is>
          <t>€ HT</t>
        </is>
      </c>
      <c r="C42" s="15">
        <f>IF(C7&gt;=Hypothèses!$D$43,Hypothèses!$D$44,0)*$G$4</f>
        <v/>
      </c>
      <c r="D42" s="15">
        <f>IF(D7&gt;=Hypothèses!$D$43,Hypothèses!$D$44,0)*$G$4</f>
        <v/>
      </c>
      <c r="E42" s="15">
        <f>IF(E7&gt;=Hypothèses!$D$43,Hypothèses!$D$44,0)*$G$4</f>
        <v/>
      </c>
      <c r="F42" s="15">
        <f>IF(F7&gt;=Hypothèses!$D$43,Hypothèses!$D$44,0)*$G$4</f>
        <v/>
      </c>
      <c r="G42" s="15">
        <f>IF(G7&gt;=Hypothèses!$D$43,Hypothèses!$D$44,0)*$G$4</f>
        <v/>
      </c>
      <c r="H42" s="15">
        <f>IF(H7&gt;=Hypothèses!$D$43,Hypothèses!$D$44,0)*$G$4</f>
        <v/>
      </c>
      <c r="I42" s="15">
        <f>IF(I7&gt;=Hypothèses!$D$43,Hypothèses!$D$44,0)*$G$4</f>
        <v/>
      </c>
      <c r="J42" s="15">
        <f>IF(J7&gt;=Hypothèses!$D$43,Hypothèses!$D$44,0)*$G$4</f>
        <v/>
      </c>
      <c r="K42" s="15">
        <f>IF(K7&gt;=Hypothèses!$D$43,Hypothèses!$D$44,0)*$G$4</f>
        <v/>
      </c>
      <c r="L42" s="15">
        <f>IF(L7&gt;=Hypothèses!$D$43,Hypothèses!$D$44,0)*$G$4</f>
        <v/>
      </c>
      <c r="M42" s="15">
        <f>IF(M7&gt;=Hypothèses!$D$43,Hypothèses!$D$44,0)*$G$4</f>
        <v/>
      </c>
      <c r="N42" s="15">
        <f>IF(N7&gt;=Hypothèses!$D$43,Hypothèses!$D$44,0)*$G$4</f>
        <v/>
      </c>
      <c r="O42" s="15">
        <f>IF(O7&gt;=Hypothèses!$D$43,Hypothèses!$D$44,0)*$G$4</f>
        <v/>
      </c>
      <c r="P42" s="15">
        <f>IF(P7&gt;=Hypothèses!$D$43,Hypothèses!$D$44,0)*$G$4</f>
        <v/>
      </c>
      <c r="Q42" s="15">
        <f>IF(Q7&gt;=Hypothèses!$D$43,Hypothèses!$D$44,0)*$G$4</f>
        <v/>
      </c>
      <c r="R42" s="15">
        <f>IF(R7&gt;=Hypothèses!$D$43,Hypothèses!$D$44,0)*$G$4</f>
        <v/>
      </c>
      <c r="S42" s="15">
        <f>IF(S7&gt;=Hypothèses!$D$43,Hypothèses!$D$44,0)*$G$4</f>
        <v/>
      </c>
      <c r="T42" s="15">
        <f>IF(T7&gt;=Hypothèses!$D$43,Hypothèses!$D$44,0)*$G$4</f>
        <v/>
      </c>
      <c r="U42" s="15">
        <f>IF(U7&gt;=Hypothèses!$D$43,Hypothèses!$D$44,0)*$G$4</f>
        <v/>
      </c>
      <c r="V42" s="15">
        <f>IF(V7&gt;=Hypothèses!$D$43,Hypothèses!$D$44,0)*$G$4</f>
        <v/>
      </c>
      <c r="W42" s="15">
        <f>IF(W7&gt;=Hypothèses!$D$43,Hypothèses!$D$44,0)*$G$4</f>
        <v/>
      </c>
      <c r="X42" s="15">
        <f>IF(X7&gt;=Hypothèses!$D$43,Hypothèses!$D$44,0)*$G$4</f>
        <v/>
      </c>
      <c r="Y42" s="15">
        <f>IF(Y7&gt;=Hypothèses!$D$43,Hypothèses!$D$44,0)*$G$4</f>
        <v/>
      </c>
      <c r="Z42" s="15">
        <f>IF(Z7&gt;=Hypothèses!$D$43,Hypothèses!$D$44,0)*$G$4</f>
        <v/>
      </c>
      <c r="AA42" s="15">
        <f>IF(AA7&gt;=Hypothèses!$D$43,Hypothèses!$D$44,0)*$G$4</f>
        <v/>
      </c>
      <c r="AB42" s="15">
        <f>IF(AB7&gt;=Hypothèses!$D$43,Hypothèses!$D$44,0)*$G$4</f>
        <v/>
      </c>
      <c r="AC42" s="15">
        <f>IF(AC7&gt;=Hypothèses!$D$43,Hypothèses!$D$44,0)*$G$4</f>
        <v/>
      </c>
      <c r="AD42" s="15">
        <f>IF(AD7&gt;=Hypothèses!$D$43,Hypothèses!$D$44,0)*$G$4</f>
        <v/>
      </c>
      <c r="AE42" s="15">
        <f>IF(AE7&gt;=Hypothèses!$D$43,Hypothèses!$D$44,0)*$G$4</f>
        <v/>
      </c>
      <c r="AF42" s="15">
        <f>IF(AF7&gt;=Hypothèses!$D$43,Hypothèses!$D$44,0)*$G$4</f>
        <v/>
      </c>
      <c r="AG42" s="15">
        <f>IF(AG7&gt;=Hypothèses!$D$43,Hypothèses!$D$44,0)*$G$4</f>
        <v/>
      </c>
      <c r="AH42" s="15">
        <f>IF(AH7&gt;=Hypothèses!$D$43,Hypothèses!$D$44,0)*$G$4</f>
        <v/>
      </c>
      <c r="AI42" s="15">
        <f>IF(AI7&gt;=Hypothèses!$D$43,Hypothèses!$D$44,0)*$G$4</f>
        <v/>
      </c>
      <c r="AJ42" s="15">
        <f>IF(AJ7&gt;=Hypothèses!$D$43,Hypothèses!$D$44,0)*$G$4</f>
        <v/>
      </c>
      <c r="AK42" s="15">
        <f>IF(AK7&gt;=Hypothèses!$D$43,Hypothèses!$D$44,0)*$G$4</f>
        <v/>
      </c>
      <c r="AL42" s="15">
        <f>IF(AL7&gt;=Hypothèses!$D$43,Hypothèses!$D$44,0)*$G$4</f>
        <v/>
      </c>
      <c r="AN42" s="15">
        <f>SUM(C42:N42)</f>
        <v/>
      </c>
      <c r="AO42" s="15">
        <f>SUM(O42:Z42)</f>
        <v/>
      </c>
      <c r="AP42" s="15">
        <f>SUM(AA42:AL42)</f>
        <v/>
      </c>
    </row>
    <row r="43">
      <c r="A43" s="9" t="inlineStr">
        <is>
          <t>Développement MVP externe (étalé jusqu'au lancement)</t>
        </is>
      </c>
      <c r="B43" s="4" t="inlineStr">
        <is>
          <t>€ HT</t>
        </is>
      </c>
      <c r="C43" s="15">
        <f>IF(C7&lt;$B$5,Hypothèses!$D$45/MAX(1,$B$5-1),0)</f>
        <v/>
      </c>
      <c r="D43" s="15">
        <f>IF(D7&lt;$B$5,Hypothèses!$D$45/MAX(1,$B$5-1),0)</f>
        <v/>
      </c>
      <c r="E43" s="15">
        <f>IF(E7&lt;$B$5,Hypothèses!$D$45/MAX(1,$B$5-1),0)</f>
        <v/>
      </c>
      <c r="F43" s="15">
        <f>IF(F7&lt;$B$5,Hypothèses!$D$45/MAX(1,$B$5-1),0)</f>
        <v/>
      </c>
      <c r="G43" s="15">
        <f>IF(G7&lt;$B$5,Hypothèses!$D$45/MAX(1,$B$5-1),0)</f>
        <v/>
      </c>
      <c r="H43" s="15">
        <f>IF(H7&lt;$B$5,Hypothèses!$D$45/MAX(1,$B$5-1),0)</f>
        <v/>
      </c>
      <c r="I43" s="15">
        <f>IF(I7&lt;$B$5,Hypothèses!$D$45/MAX(1,$B$5-1),0)</f>
        <v/>
      </c>
      <c r="J43" s="15">
        <f>IF(J7&lt;$B$5,Hypothèses!$D$45/MAX(1,$B$5-1),0)</f>
        <v/>
      </c>
      <c r="K43" s="15">
        <f>IF(K7&lt;$B$5,Hypothèses!$D$45/MAX(1,$B$5-1),0)</f>
        <v/>
      </c>
      <c r="L43" s="15">
        <f>IF(L7&lt;$B$5,Hypothèses!$D$45/MAX(1,$B$5-1),0)</f>
        <v/>
      </c>
      <c r="M43" s="15">
        <f>IF(M7&lt;$B$5,Hypothèses!$D$45/MAX(1,$B$5-1),0)</f>
        <v/>
      </c>
      <c r="N43" s="15">
        <f>IF(N7&lt;$B$5,Hypothèses!$D$45/MAX(1,$B$5-1),0)</f>
        <v/>
      </c>
      <c r="O43" s="15">
        <f>IF(O7&lt;$B$5,Hypothèses!$D$45/MAX(1,$B$5-1),0)</f>
        <v/>
      </c>
      <c r="P43" s="15">
        <f>IF(P7&lt;$B$5,Hypothèses!$D$45/MAX(1,$B$5-1),0)</f>
        <v/>
      </c>
      <c r="Q43" s="15">
        <f>IF(Q7&lt;$B$5,Hypothèses!$D$45/MAX(1,$B$5-1),0)</f>
        <v/>
      </c>
      <c r="R43" s="15">
        <f>IF(R7&lt;$B$5,Hypothèses!$D$45/MAX(1,$B$5-1),0)</f>
        <v/>
      </c>
      <c r="S43" s="15">
        <f>IF(S7&lt;$B$5,Hypothèses!$D$45/MAX(1,$B$5-1),0)</f>
        <v/>
      </c>
      <c r="T43" s="15">
        <f>IF(T7&lt;$B$5,Hypothèses!$D$45/MAX(1,$B$5-1),0)</f>
        <v/>
      </c>
      <c r="U43" s="15">
        <f>IF(U7&lt;$B$5,Hypothèses!$D$45/MAX(1,$B$5-1),0)</f>
        <v/>
      </c>
      <c r="V43" s="15">
        <f>IF(V7&lt;$B$5,Hypothèses!$D$45/MAX(1,$B$5-1),0)</f>
        <v/>
      </c>
      <c r="W43" s="15">
        <f>IF(W7&lt;$B$5,Hypothèses!$D$45/MAX(1,$B$5-1),0)</f>
        <v/>
      </c>
      <c r="X43" s="15">
        <f>IF(X7&lt;$B$5,Hypothèses!$D$45/MAX(1,$B$5-1),0)</f>
        <v/>
      </c>
      <c r="Y43" s="15">
        <f>IF(Y7&lt;$B$5,Hypothèses!$D$45/MAX(1,$B$5-1),0)</f>
        <v/>
      </c>
      <c r="Z43" s="15">
        <f>IF(Z7&lt;$B$5,Hypothèses!$D$45/MAX(1,$B$5-1),0)</f>
        <v/>
      </c>
      <c r="AA43" s="15">
        <f>IF(AA7&lt;$B$5,Hypothèses!$D$45/MAX(1,$B$5-1),0)</f>
        <v/>
      </c>
      <c r="AB43" s="15">
        <f>IF(AB7&lt;$B$5,Hypothèses!$D$45/MAX(1,$B$5-1),0)</f>
        <v/>
      </c>
      <c r="AC43" s="15">
        <f>IF(AC7&lt;$B$5,Hypothèses!$D$45/MAX(1,$B$5-1),0)</f>
        <v/>
      </c>
      <c r="AD43" s="15">
        <f>IF(AD7&lt;$B$5,Hypothèses!$D$45/MAX(1,$B$5-1),0)</f>
        <v/>
      </c>
      <c r="AE43" s="15">
        <f>IF(AE7&lt;$B$5,Hypothèses!$D$45/MAX(1,$B$5-1),0)</f>
        <v/>
      </c>
      <c r="AF43" s="15">
        <f>IF(AF7&lt;$B$5,Hypothèses!$D$45/MAX(1,$B$5-1),0)</f>
        <v/>
      </c>
      <c r="AG43" s="15">
        <f>IF(AG7&lt;$B$5,Hypothèses!$D$45/MAX(1,$B$5-1),0)</f>
        <v/>
      </c>
      <c r="AH43" s="15">
        <f>IF(AH7&lt;$B$5,Hypothèses!$D$45/MAX(1,$B$5-1),0)</f>
        <v/>
      </c>
      <c r="AI43" s="15">
        <f>IF(AI7&lt;$B$5,Hypothèses!$D$45/MAX(1,$B$5-1),0)</f>
        <v/>
      </c>
      <c r="AJ43" s="15">
        <f>IF(AJ7&lt;$B$5,Hypothèses!$D$45/MAX(1,$B$5-1),0)</f>
        <v/>
      </c>
      <c r="AK43" s="15">
        <f>IF(AK7&lt;$B$5,Hypothèses!$D$45/MAX(1,$B$5-1),0)</f>
        <v/>
      </c>
      <c r="AL43" s="15">
        <f>IF(AL7&lt;$B$5,Hypothèses!$D$45/MAX(1,$B$5-1),0)</f>
        <v/>
      </c>
      <c r="AN43" s="15">
        <f>SUM(C43:N43)</f>
        <v/>
      </c>
      <c r="AO43" s="15">
        <f>SUM(O43:Z43)</f>
        <v/>
      </c>
      <c r="AP43" s="15">
        <f>SUM(AA43:AL43)</f>
        <v/>
      </c>
    </row>
    <row r="44">
      <c r="A44" s="9" t="inlineStr">
        <is>
          <t>Outils et SaaS</t>
        </is>
      </c>
      <c r="B44" s="4" t="inlineStr">
        <is>
          <t>€ HT</t>
        </is>
      </c>
      <c r="C44" s="15">
        <f>Hypothèses!$D$46*$G$4</f>
        <v/>
      </c>
      <c r="D44" s="15">
        <f>Hypothèses!$D$46*$G$4</f>
        <v/>
      </c>
      <c r="E44" s="15">
        <f>Hypothèses!$D$46*$G$4</f>
        <v/>
      </c>
      <c r="F44" s="15">
        <f>Hypothèses!$D$46*$G$4</f>
        <v/>
      </c>
      <c r="G44" s="15">
        <f>Hypothèses!$D$46*$G$4</f>
        <v/>
      </c>
      <c r="H44" s="15">
        <f>Hypothèses!$D$46*$G$4</f>
        <v/>
      </c>
      <c r="I44" s="15">
        <f>Hypothèses!$D$46*$G$4</f>
        <v/>
      </c>
      <c r="J44" s="15">
        <f>Hypothèses!$D$46*$G$4</f>
        <v/>
      </c>
      <c r="K44" s="15">
        <f>Hypothèses!$D$46*$G$4</f>
        <v/>
      </c>
      <c r="L44" s="15">
        <f>Hypothèses!$D$46*$G$4</f>
        <v/>
      </c>
      <c r="M44" s="15">
        <f>Hypothèses!$D$46*$G$4</f>
        <v/>
      </c>
      <c r="N44" s="15">
        <f>Hypothèses!$D$46*$G$4</f>
        <v/>
      </c>
      <c r="O44" s="15">
        <f>Hypothèses!$D$46*$G$4</f>
        <v/>
      </c>
      <c r="P44" s="15">
        <f>Hypothèses!$D$46*$G$4</f>
        <v/>
      </c>
      <c r="Q44" s="15">
        <f>Hypothèses!$D$46*$G$4</f>
        <v/>
      </c>
      <c r="R44" s="15">
        <f>Hypothèses!$D$46*$G$4</f>
        <v/>
      </c>
      <c r="S44" s="15">
        <f>Hypothèses!$D$46*$G$4</f>
        <v/>
      </c>
      <c r="T44" s="15">
        <f>Hypothèses!$D$46*$G$4</f>
        <v/>
      </c>
      <c r="U44" s="15">
        <f>Hypothèses!$D$46*$G$4</f>
        <v/>
      </c>
      <c r="V44" s="15">
        <f>Hypothèses!$D$46*$G$4</f>
        <v/>
      </c>
      <c r="W44" s="15">
        <f>Hypothèses!$D$46*$G$4</f>
        <v/>
      </c>
      <c r="X44" s="15">
        <f>Hypothèses!$D$46*$G$4</f>
        <v/>
      </c>
      <c r="Y44" s="15">
        <f>Hypothèses!$D$46*$G$4</f>
        <v/>
      </c>
      <c r="Z44" s="15">
        <f>Hypothèses!$D$46*$G$4</f>
        <v/>
      </c>
      <c r="AA44" s="15">
        <f>Hypothèses!$D$46*$G$4</f>
        <v/>
      </c>
      <c r="AB44" s="15">
        <f>Hypothèses!$D$46*$G$4</f>
        <v/>
      </c>
      <c r="AC44" s="15">
        <f>Hypothèses!$D$46*$G$4</f>
        <v/>
      </c>
      <c r="AD44" s="15">
        <f>Hypothèses!$D$46*$G$4</f>
        <v/>
      </c>
      <c r="AE44" s="15">
        <f>Hypothèses!$D$46*$G$4</f>
        <v/>
      </c>
      <c r="AF44" s="15">
        <f>Hypothèses!$D$46*$G$4</f>
        <v/>
      </c>
      <c r="AG44" s="15">
        <f>Hypothèses!$D$46*$G$4</f>
        <v/>
      </c>
      <c r="AH44" s="15">
        <f>Hypothèses!$D$46*$G$4</f>
        <v/>
      </c>
      <c r="AI44" s="15">
        <f>Hypothèses!$D$46*$G$4</f>
        <v/>
      </c>
      <c r="AJ44" s="15">
        <f>Hypothèses!$D$46*$G$4</f>
        <v/>
      </c>
      <c r="AK44" s="15">
        <f>Hypothèses!$D$46*$G$4</f>
        <v/>
      </c>
      <c r="AL44" s="15">
        <f>Hypothèses!$D$46*$G$4</f>
        <v/>
      </c>
      <c r="AN44" s="15">
        <f>SUM(C44:N44)</f>
        <v/>
      </c>
      <c r="AO44" s="15">
        <f>SUM(O44:Z44)</f>
        <v/>
      </c>
      <c r="AP44" s="15">
        <f>SUM(AA44:AL44)</f>
        <v/>
      </c>
    </row>
    <row r="45">
      <c r="A45" s="9" t="inlineStr">
        <is>
          <t>Juridique et comptabilité</t>
        </is>
      </c>
      <c r="B45" s="4" t="inlineStr">
        <is>
          <t>€ HT</t>
        </is>
      </c>
      <c r="C45" s="15">
        <f>Hypothèses!$D$47*$G$4</f>
        <v/>
      </c>
      <c r="D45" s="15">
        <f>Hypothèses!$D$47*$G$4</f>
        <v/>
      </c>
      <c r="E45" s="15">
        <f>Hypothèses!$D$47*$G$4</f>
        <v/>
      </c>
      <c r="F45" s="15">
        <f>Hypothèses!$D$47*$G$4</f>
        <v/>
      </c>
      <c r="G45" s="15">
        <f>Hypothèses!$D$47*$G$4</f>
        <v/>
      </c>
      <c r="H45" s="15">
        <f>Hypothèses!$D$47*$G$4</f>
        <v/>
      </c>
      <c r="I45" s="15">
        <f>Hypothèses!$D$47*$G$4</f>
        <v/>
      </c>
      <c r="J45" s="15">
        <f>Hypothèses!$D$47*$G$4</f>
        <v/>
      </c>
      <c r="K45" s="15">
        <f>Hypothèses!$D$47*$G$4</f>
        <v/>
      </c>
      <c r="L45" s="15">
        <f>Hypothèses!$D$47*$G$4</f>
        <v/>
      </c>
      <c r="M45" s="15">
        <f>Hypothèses!$D$47*$G$4</f>
        <v/>
      </c>
      <c r="N45" s="15">
        <f>Hypothèses!$D$47*$G$4</f>
        <v/>
      </c>
      <c r="O45" s="15">
        <f>Hypothèses!$D$47*$G$4</f>
        <v/>
      </c>
      <c r="P45" s="15">
        <f>Hypothèses!$D$47*$G$4</f>
        <v/>
      </c>
      <c r="Q45" s="15">
        <f>Hypothèses!$D$47*$G$4</f>
        <v/>
      </c>
      <c r="R45" s="15">
        <f>Hypothèses!$D$47*$G$4</f>
        <v/>
      </c>
      <c r="S45" s="15">
        <f>Hypothèses!$D$47*$G$4</f>
        <v/>
      </c>
      <c r="T45" s="15">
        <f>Hypothèses!$D$47*$G$4</f>
        <v/>
      </c>
      <c r="U45" s="15">
        <f>Hypothèses!$D$47*$G$4</f>
        <v/>
      </c>
      <c r="V45" s="15">
        <f>Hypothèses!$D$47*$G$4</f>
        <v/>
      </c>
      <c r="W45" s="15">
        <f>Hypothèses!$D$47*$G$4</f>
        <v/>
      </c>
      <c r="X45" s="15">
        <f>Hypothèses!$D$47*$G$4</f>
        <v/>
      </c>
      <c r="Y45" s="15">
        <f>Hypothèses!$D$47*$G$4</f>
        <v/>
      </c>
      <c r="Z45" s="15">
        <f>Hypothèses!$D$47*$G$4</f>
        <v/>
      </c>
      <c r="AA45" s="15">
        <f>Hypothèses!$D$47*$G$4</f>
        <v/>
      </c>
      <c r="AB45" s="15">
        <f>Hypothèses!$D$47*$G$4</f>
        <v/>
      </c>
      <c r="AC45" s="15">
        <f>Hypothèses!$D$47*$G$4</f>
        <v/>
      </c>
      <c r="AD45" s="15">
        <f>Hypothèses!$D$47*$G$4</f>
        <v/>
      </c>
      <c r="AE45" s="15">
        <f>Hypothèses!$D$47*$G$4</f>
        <v/>
      </c>
      <c r="AF45" s="15">
        <f>Hypothèses!$D$47*$G$4</f>
        <v/>
      </c>
      <c r="AG45" s="15">
        <f>Hypothèses!$D$47*$G$4</f>
        <v/>
      </c>
      <c r="AH45" s="15">
        <f>Hypothèses!$D$47*$G$4</f>
        <v/>
      </c>
      <c r="AI45" s="15">
        <f>Hypothèses!$D$47*$G$4</f>
        <v/>
      </c>
      <c r="AJ45" s="15">
        <f>Hypothèses!$D$47*$G$4</f>
        <v/>
      </c>
      <c r="AK45" s="15">
        <f>Hypothèses!$D$47*$G$4</f>
        <v/>
      </c>
      <c r="AL45" s="15">
        <f>Hypothèses!$D$47*$G$4</f>
        <v/>
      </c>
      <c r="AN45" s="15">
        <f>SUM(C45:N45)</f>
        <v/>
      </c>
      <c r="AO45" s="15">
        <f>SUM(O45:Z45)</f>
        <v/>
      </c>
      <c r="AP45" s="15">
        <f>SUM(AA45:AL45)</f>
        <v/>
      </c>
    </row>
    <row r="46">
      <c r="A46" s="9" t="inlineStr">
        <is>
          <t>Assurance RC pro</t>
        </is>
      </c>
      <c r="B46" s="4" t="inlineStr">
        <is>
          <t>€</t>
        </is>
      </c>
      <c r="C46" s="15">
        <f>C9*Hypothèses!$D$48*$G$4</f>
        <v/>
      </c>
      <c r="D46" s="15">
        <f>D9*Hypothèses!$D$48*$G$4</f>
        <v/>
      </c>
      <c r="E46" s="15">
        <f>E9*Hypothèses!$D$48*$G$4</f>
        <v/>
      </c>
      <c r="F46" s="15">
        <f>F9*Hypothèses!$D$48*$G$4</f>
        <v/>
      </c>
      <c r="G46" s="15">
        <f>G9*Hypothèses!$D$48*$G$4</f>
        <v/>
      </c>
      <c r="H46" s="15">
        <f>H9*Hypothèses!$D$48*$G$4</f>
        <v/>
      </c>
      <c r="I46" s="15">
        <f>I9*Hypothèses!$D$48*$G$4</f>
        <v/>
      </c>
      <c r="J46" s="15">
        <f>J9*Hypothèses!$D$48*$G$4</f>
        <v/>
      </c>
      <c r="K46" s="15">
        <f>K9*Hypothèses!$D$48*$G$4</f>
        <v/>
      </c>
      <c r="L46" s="15">
        <f>L9*Hypothèses!$D$48*$G$4</f>
        <v/>
      </c>
      <c r="M46" s="15">
        <f>M9*Hypothèses!$D$48*$G$4</f>
        <v/>
      </c>
      <c r="N46" s="15">
        <f>N9*Hypothèses!$D$48*$G$4</f>
        <v/>
      </c>
      <c r="O46" s="15">
        <f>O9*Hypothèses!$D$48*$G$4</f>
        <v/>
      </c>
      <c r="P46" s="15">
        <f>P9*Hypothèses!$D$48*$G$4</f>
        <v/>
      </c>
      <c r="Q46" s="15">
        <f>Q9*Hypothèses!$D$48*$G$4</f>
        <v/>
      </c>
      <c r="R46" s="15">
        <f>R9*Hypothèses!$D$48*$G$4</f>
        <v/>
      </c>
      <c r="S46" s="15">
        <f>S9*Hypothèses!$D$48*$G$4</f>
        <v/>
      </c>
      <c r="T46" s="15">
        <f>T9*Hypothèses!$D$48*$G$4</f>
        <v/>
      </c>
      <c r="U46" s="15">
        <f>U9*Hypothèses!$D$48*$G$4</f>
        <v/>
      </c>
      <c r="V46" s="15">
        <f>V9*Hypothèses!$D$48*$G$4</f>
        <v/>
      </c>
      <c r="W46" s="15">
        <f>W9*Hypothèses!$D$48*$G$4</f>
        <v/>
      </c>
      <c r="X46" s="15">
        <f>X9*Hypothèses!$D$48*$G$4</f>
        <v/>
      </c>
      <c r="Y46" s="15">
        <f>Y9*Hypothèses!$D$48*$G$4</f>
        <v/>
      </c>
      <c r="Z46" s="15">
        <f>Z9*Hypothèses!$D$48*$G$4</f>
        <v/>
      </c>
      <c r="AA46" s="15">
        <f>AA9*Hypothèses!$D$48*$G$4</f>
        <v/>
      </c>
      <c r="AB46" s="15">
        <f>AB9*Hypothèses!$D$48*$G$4</f>
        <v/>
      </c>
      <c r="AC46" s="15">
        <f>AC9*Hypothèses!$D$48*$G$4</f>
        <v/>
      </c>
      <c r="AD46" s="15">
        <f>AD9*Hypothèses!$D$48*$G$4</f>
        <v/>
      </c>
      <c r="AE46" s="15">
        <f>AE9*Hypothèses!$D$48*$G$4</f>
        <v/>
      </c>
      <c r="AF46" s="15">
        <f>AF9*Hypothèses!$D$48*$G$4</f>
        <v/>
      </c>
      <c r="AG46" s="15">
        <f>AG9*Hypothèses!$D$48*$G$4</f>
        <v/>
      </c>
      <c r="AH46" s="15">
        <f>AH9*Hypothèses!$D$48*$G$4</f>
        <v/>
      </c>
      <c r="AI46" s="15">
        <f>AI9*Hypothèses!$D$48*$G$4</f>
        <v/>
      </c>
      <c r="AJ46" s="15">
        <f>AJ9*Hypothèses!$D$48*$G$4</f>
        <v/>
      </c>
      <c r="AK46" s="15">
        <f>AK9*Hypothèses!$D$48*$G$4</f>
        <v/>
      </c>
      <c r="AL46" s="15">
        <f>AL9*Hypothèses!$D$48*$G$4</f>
        <v/>
      </c>
      <c r="AN46" s="15">
        <f>SUM(C46:N46)</f>
        <v/>
      </c>
      <c r="AO46" s="15">
        <f>SUM(O46:Z46)</f>
        <v/>
      </c>
      <c r="AP46" s="15">
        <f>SUM(AA46:AL46)</f>
        <v/>
      </c>
    </row>
    <row r="47">
      <c r="A47" s="9" t="inlineStr">
        <is>
          <t>Marketing fixe</t>
        </is>
      </c>
      <c r="B47" s="4" t="inlineStr">
        <is>
          <t>€ HT</t>
        </is>
      </c>
      <c r="C47" s="15">
        <f>C9*Hypothèses!$D$49*$G$4</f>
        <v/>
      </c>
      <c r="D47" s="15">
        <f>D9*Hypothèses!$D$49*$G$4</f>
        <v/>
      </c>
      <c r="E47" s="15">
        <f>E9*Hypothèses!$D$49*$G$4</f>
        <v/>
      </c>
      <c r="F47" s="15">
        <f>F9*Hypothèses!$D$49*$G$4</f>
        <v/>
      </c>
      <c r="G47" s="15">
        <f>G9*Hypothèses!$D$49*$G$4</f>
        <v/>
      </c>
      <c r="H47" s="15">
        <f>H9*Hypothèses!$D$49*$G$4</f>
        <v/>
      </c>
      <c r="I47" s="15">
        <f>I9*Hypothèses!$D$49*$G$4</f>
        <v/>
      </c>
      <c r="J47" s="15">
        <f>J9*Hypothèses!$D$49*$G$4</f>
        <v/>
      </c>
      <c r="K47" s="15">
        <f>K9*Hypothèses!$D$49*$G$4</f>
        <v/>
      </c>
      <c r="L47" s="15">
        <f>L9*Hypothèses!$D$49*$G$4</f>
        <v/>
      </c>
      <c r="M47" s="15">
        <f>M9*Hypothèses!$D$49*$G$4</f>
        <v/>
      </c>
      <c r="N47" s="15">
        <f>N9*Hypothèses!$D$49*$G$4</f>
        <v/>
      </c>
      <c r="O47" s="15">
        <f>O9*Hypothèses!$D$49*$G$4</f>
        <v/>
      </c>
      <c r="P47" s="15">
        <f>P9*Hypothèses!$D$49*$G$4</f>
        <v/>
      </c>
      <c r="Q47" s="15">
        <f>Q9*Hypothèses!$D$49*$G$4</f>
        <v/>
      </c>
      <c r="R47" s="15">
        <f>R9*Hypothèses!$D$49*$G$4</f>
        <v/>
      </c>
      <c r="S47" s="15">
        <f>S9*Hypothèses!$D$49*$G$4</f>
        <v/>
      </c>
      <c r="T47" s="15">
        <f>T9*Hypothèses!$D$49*$G$4</f>
        <v/>
      </c>
      <c r="U47" s="15">
        <f>U9*Hypothèses!$D$49*$G$4</f>
        <v/>
      </c>
      <c r="V47" s="15">
        <f>V9*Hypothèses!$D$49*$G$4</f>
        <v/>
      </c>
      <c r="W47" s="15">
        <f>W9*Hypothèses!$D$49*$G$4</f>
        <v/>
      </c>
      <c r="X47" s="15">
        <f>X9*Hypothèses!$D$49*$G$4</f>
        <v/>
      </c>
      <c r="Y47" s="15">
        <f>Y9*Hypothèses!$D$49*$G$4</f>
        <v/>
      </c>
      <c r="Z47" s="15">
        <f>Z9*Hypothèses!$D$49*$G$4</f>
        <v/>
      </c>
      <c r="AA47" s="15">
        <f>AA9*Hypothèses!$D$49*$G$4</f>
        <v/>
      </c>
      <c r="AB47" s="15">
        <f>AB9*Hypothèses!$D$49*$G$4</f>
        <v/>
      </c>
      <c r="AC47" s="15">
        <f>AC9*Hypothèses!$D$49*$G$4</f>
        <v/>
      </c>
      <c r="AD47" s="15">
        <f>AD9*Hypothèses!$D$49*$G$4</f>
        <v/>
      </c>
      <c r="AE47" s="15">
        <f>AE9*Hypothèses!$D$49*$G$4</f>
        <v/>
      </c>
      <c r="AF47" s="15">
        <f>AF9*Hypothèses!$D$49*$G$4</f>
        <v/>
      </c>
      <c r="AG47" s="15">
        <f>AG9*Hypothèses!$D$49*$G$4</f>
        <v/>
      </c>
      <c r="AH47" s="15">
        <f>AH9*Hypothèses!$D$49*$G$4</f>
        <v/>
      </c>
      <c r="AI47" s="15">
        <f>AI9*Hypothèses!$D$49*$G$4</f>
        <v/>
      </c>
      <c r="AJ47" s="15">
        <f>AJ9*Hypothèses!$D$49*$G$4</f>
        <v/>
      </c>
      <c r="AK47" s="15">
        <f>AK9*Hypothèses!$D$49*$G$4</f>
        <v/>
      </c>
      <c r="AL47" s="15">
        <f>AL9*Hypothèses!$D$49*$G$4</f>
        <v/>
      </c>
      <c r="AN47" s="15">
        <f>SUM(C47:N47)</f>
        <v/>
      </c>
      <c r="AO47" s="15">
        <f>SUM(O47:Z47)</f>
        <v/>
      </c>
      <c r="AP47" s="15">
        <f>SUM(AA47:AL47)</f>
        <v/>
      </c>
    </row>
    <row r="48">
      <c r="A48" s="9" t="inlineStr">
        <is>
          <t>Frais généraux</t>
        </is>
      </c>
      <c r="B48" s="4" t="inlineStr">
        <is>
          <t>€ HT</t>
        </is>
      </c>
      <c r="C48" s="15">
        <f>Hypothèses!$D$50*$G$4</f>
        <v/>
      </c>
      <c r="D48" s="15">
        <f>Hypothèses!$D$50*$G$4</f>
        <v/>
      </c>
      <c r="E48" s="15">
        <f>Hypothèses!$D$50*$G$4</f>
        <v/>
      </c>
      <c r="F48" s="15">
        <f>Hypothèses!$D$50*$G$4</f>
        <v/>
      </c>
      <c r="G48" s="15">
        <f>Hypothèses!$D$50*$G$4</f>
        <v/>
      </c>
      <c r="H48" s="15">
        <f>Hypothèses!$D$50*$G$4</f>
        <v/>
      </c>
      <c r="I48" s="15">
        <f>Hypothèses!$D$50*$G$4</f>
        <v/>
      </c>
      <c r="J48" s="15">
        <f>Hypothèses!$D$50*$G$4</f>
        <v/>
      </c>
      <c r="K48" s="15">
        <f>Hypothèses!$D$50*$G$4</f>
        <v/>
      </c>
      <c r="L48" s="15">
        <f>Hypothèses!$D$50*$G$4</f>
        <v/>
      </c>
      <c r="M48" s="15">
        <f>Hypothèses!$D$50*$G$4</f>
        <v/>
      </c>
      <c r="N48" s="15">
        <f>Hypothèses!$D$50*$G$4</f>
        <v/>
      </c>
      <c r="O48" s="15">
        <f>Hypothèses!$D$50*$G$4</f>
        <v/>
      </c>
      <c r="P48" s="15">
        <f>Hypothèses!$D$50*$G$4</f>
        <v/>
      </c>
      <c r="Q48" s="15">
        <f>Hypothèses!$D$50*$G$4</f>
        <v/>
      </c>
      <c r="R48" s="15">
        <f>Hypothèses!$D$50*$G$4</f>
        <v/>
      </c>
      <c r="S48" s="15">
        <f>Hypothèses!$D$50*$G$4</f>
        <v/>
      </c>
      <c r="T48" s="15">
        <f>Hypothèses!$D$50*$G$4</f>
        <v/>
      </c>
      <c r="U48" s="15">
        <f>Hypothèses!$D$50*$G$4</f>
        <v/>
      </c>
      <c r="V48" s="15">
        <f>Hypothèses!$D$50*$G$4</f>
        <v/>
      </c>
      <c r="W48" s="15">
        <f>Hypothèses!$D$50*$G$4</f>
        <v/>
      </c>
      <c r="X48" s="15">
        <f>Hypothèses!$D$50*$G$4</f>
        <v/>
      </c>
      <c r="Y48" s="15">
        <f>Hypothèses!$D$50*$G$4</f>
        <v/>
      </c>
      <c r="Z48" s="15">
        <f>Hypothèses!$D$50*$G$4</f>
        <v/>
      </c>
      <c r="AA48" s="15">
        <f>Hypothèses!$D$50*$G$4</f>
        <v/>
      </c>
      <c r="AB48" s="15">
        <f>Hypothèses!$D$50*$G$4</f>
        <v/>
      </c>
      <c r="AC48" s="15">
        <f>Hypothèses!$D$50*$G$4</f>
        <v/>
      </c>
      <c r="AD48" s="15">
        <f>Hypothèses!$D$50*$G$4</f>
        <v/>
      </c>
      <c r="AE48" s="15">
        <f>Hypothèses!$D$50*$G$4</f>
        <v/>
      </c>
      <c r="AF48" s="15">
        <f>Hypothèses!$D$50*$G$4</f>
        <v/>
      </c>
      <c r="AG48" s="15">
        <f>Hypothèses!$D$50*$G$4</f>
        <v/>
      </c>
      <c r="AH48" s="15">
        <f>Hypothèses!$D$50*$G$4</f>
        <v/>
      </c>
      <c r="AI48" s="15">
        <f>Hypothèses!$D$50*$G$4</f>
        <v/>
      </c>
      <c r="AJ48" s="15">
        <f>Hypothèses!$D$50*$G$4</f>
        <v/>
      </c>
      <c r="AK48" s="15">
        <f>Hypothèses!$D$50*$G$4</f>
        <v/>
      </c>
      <c r="AL48" s="15">
        <f>Hypothèses!$D$50*$G$4</f>
        <v/>
      </c>
      <c r="AN48" s="15">
        <f>SUM(C48:N48)</f>
        <v/>
      </c>
      <c r="AO48" s="15">
        <f>SUM(O48:Z48)</f>
        <v/>
      </c>
      <c r="AP48" s="15">
        <f>SUM(AA48:AL48)</f>
        <v/>
      </c>
    </row>
    <row r="49">
      <c r="A49" s="9" t="inlineStr">
        <is>
          <t>Audit de sécurité (annuel, à partir du lancement)</t>
        </is>
      </c>
      <c r="B49" s="4" t="inlineStr">
        <is>
          <t>€ HT</t>
        </is>
      </c>
      <c r="C49" s="15">
        <f>IF(AND(C9=1,MOD(C7-$B$5,12)=0),Hypothèses!$D$51,0)*$G$4</f>
        <v/>
      </c>
      <c r="D49" s="15">
        <f>IF(AND(D9=1,MOD(D7-$B$5,12)=0),Hypothèses!$D$51,0)*$G$4</f>
        <v/>
      </c>
      <c r="E49" s="15">
        <f>IF(AND(E9=1,MOD(E7-$B$5,12)=0),Hypothèses!$D$51,0)*$G$4</f>
        <v/>
      </c>
      <c r="F49" s="15">
        <f>IF(AND(F9=1,MOD(F7-$B$5,12)=0),Hypothèses!$D$51,0)*$G$4</f>
        <v/>
      </c>
      <c r="G49" s="15">
        <f>IF(AND(G9=1,MOD(G7-$B$5,12)=0),Hypothèses!$D$51,0)*$G$4</f>
        <v/>
      </c>
      <c r="H49" s="15">
        <f>IF(AND(H9=1,MOD(H7-$B$5,12)=0),Hypothèses!$D$51,0)*$G$4</f>
        <v/>
      </c>
      <c r="I49" s="15">
        <f>IF(AND(I9=1,MOD(I7-$B$5,12)=0),Hypothèses!$D$51,0)*$G$4</f>
        <v/>
      </c>
      <c r="J49" s="15">
        <f>IF(AND(J9=1,MOD(J7-$B$5,12)=0),Hypothèses!$D$51,0)*$G$4</f>
        <v/>
      </c>
      <c r="K49" s="15">
        <f>IF(AND(K9=1,MOD(K7-$B$5,12)=0),Hypothèses!$D$51,0)*$G$4</f>
        <v/>
      </c>
      <c r="L49" s="15">
        <f>IF(AND(L9=1,MOD(L7-$B$5,12)=0),Hypothèses!$D$51,0)*$G$4</f>
        <v/>
      </c>
      <c r="M49" s="15">
        <f>IF(AND(M9=1,MOD(M7-$B$5,12)=0),Hypothèses!$D$51,0)*$G$4</f>
        <v/>
      </c>
      <c r="N49" s="15">
        <f>IF(AND(N9=1,MOD(N7-$B$5,12)=0),Hypothèses!$D$51,0)*$G$4</f>
        <v/>
      </c>
      <c r="O49" s="15">
        <f>IF(AND(O9=1,MOD(O7-$B$5,12)=0),Hypothèses!$D$51,0)*$G$4</f>
        <v/>
      </c>
      <c r="P49" s="15">
        <f>IF(AND(P9=1,MOD(P7-$B$5,12)=0),Hypothèses!$D$51,0)*$G$4</f>
        <v/>
      </c>
      <c r="Q49" s="15">
        <f>IF(AND(Q9=1,MOD(Q7-$B$5,12)=0),Hypothèses!$D$51,0)*$G$4</f>
        <v/>
      </c>
      <c r="R49" s="15">
        <f>IF(AND(R9=1,MOD(R7-$B$5,12)=0),Hypothèses!$D$51,0)*$G$4</f>
        <v/>
      </c>
      <c r="S49" s="15">
        <f>IF(AND(S9=1,MOD(S7-$B$5,12)=0),Hypothèses!$D$51,0)*$G$4</f>
        <v/>
      </c>
      <c r="T49" s="15">
        <f>IF(AND(T9=1,MOD(T7-$B$5,12)=0),Hypothèses!$D$51,0)*$G$4</f>
        <v/>
      </c>
      <c r="U49" s="15">
        <f>IF(AND(U9=1,MOD(U7-$B$5,12)=0),Hypothèses!$D$51,0)*$G$4</f>
        <v/>
      </c>
      <c r="V49" s="15">
        <f>IF(AND(V9=1,MOD(V7-$B$5,12)=0),Hypothèses!$D$51,0)*$G$4</f>
        <v/>
      </c>
      <c r="W49" s="15">
        <f>IF(AND(W9=1,MOD(W7-$B$5,12)=0),Hypothèses!$D$51,0)*$G$4</f>
        <v/>
      </c>
      <c r="X49" s="15">
        <f>IF(AND(X9=1,MOD(X7-$B$5,12)=0),Hypothèses!$D$51,0)*$G$4</f>
        <v/>
      </c>
      <c r="Y49" s="15">
        <f>IF(AND(Y9=1,MOD(Y7-$B$5,12)=0),Hypothèses!$D$51,0)*$G$4</f>
        <v/>
      </c>
      <c r="Z49" s="15">
        <f>IF(AND(Z9=1,MOD(Z7-$B$5,12)=0),Hypothèses!$D$51,0)*$G$4</f>
        <v/>
      </c>
      <c r="AA49" s="15">
        <f>IF(AND(AA9=1,MOD(AA7-$B$5,12)=0),Hypothèses!$D$51,0)*$G$4</f>
        <v/>
      </c>
      <c r="AB49" s="15">
        <f>IF(AND(AB9=1,MOD(AB7-$B$5,12)=0),Hypothèses!$D$51,0)*$G$4</f>
        <v/>
      </c>
      <c r="AC49" s="15">
        <f>IF(AND(AC9=1,MOD(AC7-$B$5,12)=0),Hypothèses!$D$51,0)*$G$4</f>
        <v/>
      </c>
      <c r="AD49" s="15">
        <f>IF(AND(AD9=1,MOD(AD7-$B$5,12)=0),Hypothèses!$D$51,0)*$G$4</f>
        <v/>
      </c>
      <c r="AE49" s="15">
        <f>IF(AND(AE9=1,MOD(AE7-$B$5,12)=0),Hypothèses!$D$51,0)*$G$4</f>
        <v/>
      </c>
      <c r="AF49" s="15">
        <f>IF(AND(AF9=1,MOD(AF7-$B$5,12)=0),Hypothèses!$D$51,0)*$G$4</f>
        <v/>
      </c>
      <c r="AG49" s="15">
        <f>IF(AND(AG9=1,MOD(AG7-$B$5,12)=0),Hypothèses!$D$51,0)*$G$4</f>
        <v/>
      </c>
      <c r="AH49" s="15">
        <f>IF(AND(AH9=1,MOD(AH7-$B$5,12)=0),Hypothèses!$D$51,0)*$G$4</f>
        <v/>
      </c>
      <c r="AI49" s="15">
        <f>IF(AND(AI9=1,MOD(AI7-$B$5,12)=0),Hypothèses!$D$51,0)*$G$4</f>
        <v/>
      </c>
      <c r="AJ49" s="15">
        <f>IF(AND(AJ9=1,MOD(AJ7-$B$5,12)=0),Hypothèses!$D$51,0)*$G$4</f>
        <v/>
      </c>
      <c r="AK49" s="15">
        <f>IF(AND(AK9=1,MOD(AK7-$B$5,12)=0),Hypothèses!$D$51,0)*$G$4</f>
        <v/>
      </c>
      <c r="AL49" s="15">
        <f>IF(AND(AL9=1,MOD(AL7-$B$5,12)=0),Hypothèses!$D$51,0)*$G$4</f>
        <v/>
      </c>
      <c r="AN49" s="15">
        <f>SUM(C49:N49)</f>
        <v/>
      </c>
      <c r="AO49" s="15">
        <f>SUM(O49:Z49)</f>
        <v/>
      </c>
      <c r="AP49" s="15">
        <f>SUM(AA49:AL49)</f>
        <v/>
      </c>
    </row>
    <row r="50">
      <c r="A50" s="9" t="inlineStr">
        <is>
          <t>Frais de constitution</t>
        </is>
      </c>
      <c r="B50" s="4" t="inlineStr">
        <is>
          <t>€ HT</t>
        </is>
      </c>
      <c r="C50" s="15">
        <f>IF(C7=2,Hypothèses!$D$52,0)</f>
        <v/>
      </c>
      <c r="D50" s="15">
        <f>IF(D7=2,Hypothèses!$D$52,0)</f>
        <v/>
      </c>
      <c r="E50" s="15">
        <f>IF(E7=2,Hypothèses!$D$52,0)</f>
        <v/>
      </c>
      <c r="F50" s="15">
        <f>IF(F7=2,Hypothèses!$D$52,0)</f>
        <v/>
      </c>
      <c r="G50" s="15">
        <f>IF(G7=2,Hypothèses!$D$52,0)</f>
        <v/>
      </c>
      <c r="H50" s="15">
        <f>IF(H7=2,Hypothèses!$D$52,0)</f>
        <v/>
      </c>
      <c r="I50" s="15">
        <f>IF(I7=2,Hypothèses!$D$52,0)</f>
        <v/>
      </c>
      <c r="J50" s="15">
        <f>IF(J7=2,Hypothèses!$D$52,0)</f>
        <v/>
      </c>
      <c r="K50" s="15">
        <f>IF(K7=2,Hypothèses!$D$52,0)</f>
        <v/>
      </c>
      <c r="L50" s="15">
        <f>IF(L7=2,Hypothèses!$D$52,0)</f>
        <v/>
      </c>
      <c r="M50" s="15">
        <f>IF(M7=2,Hypothèses!$D$52,0)</f>
        <v/>
      </c>
      <c r="N50" s="15">
        <f>IF(N7=2,Hypothèses!$D$52,0)</f>
        <v/>
      </c>
      <c r="O50" s="15">
        <f>IF(O7=2,Hypothèses!$D$52,0)</f>
        <v/>
      </c>
      <c r="P50" s="15">
        <f>IF(P7=2,Hypothèses!$D$52,0)</f>
        <v/>
      </c>
      <c r="Q50" s="15">
        <f>IF(Q7=2,Hypothèses!$D$52,0)</f>
        <v/>
      </c>
      <c r="R50" s="15">
        <f>IF(R7=2,Hypothèses!$D$52,0)</f>
        <v/>
      </c>
      <c r="S50" s="15">
        <f>IF(S7=2,Hypothèses!$D$52,0)</f>
        <v/>
      </c>
      <c r="T50" s="15">
        <f>IF(T7=2,Hypothèses!$D$52,0)</f>
        <v/>
      </c>
      <c r="U50" s="15">
        <f>IF(U7=2,Hypothèses!$D$52,0)</f>
        <v/>
      </c>
      <c r="V50" s="15">
        <f>IF(V7=2,Hypothèses!$D$52,0)</f>
        <v/>
      </c>
      <c r="W50" s="15">
        <f>IF(W7=2,Hypothèses!$D$52,0)</f>
        <v/>
      </c>
      <c r="X50" s="15">
        <f>IF(X7=2,Hypothèses!$D$52,0)</f>
        <v/>
      </c>
      <c r="Y50" s="15">
        <f>IF(Y7=2,Hypothèses!$D$52,0)</f>
        <v/>
      </c>
      <c r="Z50" s="15">
        <f>IF(Z7=2,Hypothèses!$D$52,0)</f>
        <v/>
      </c>
      <c r="AA50" s="15">
        <f>IF(AA7=2,Hypothèses!$D$52,0)</f>
        <v/>
      </c>
      <c r="AB50" s="15">
        <f>IF(AB7=2,Hypothèses!$D$52,0)</f>
        <v/>
      </c>
      <c r="AC50" s="15">
        <f>IF(AC7=2,Hypothèses!$D$52,0)</f>
        <v/>
      </c>
      <c r="AD50" s="15">
        <f>IF(AD7=2,Hypothèses!$D$52,0)</f>
        <v/>
      </c>
      <c r="AE50" s="15">
        <f>IF(AE7=2,Hypothèses!$D$52,0)</f>
        <v/>
      </c>
      <c r="AF50" s="15">
        <f>IF(AF7=2,Hypothèses!$D$52,0)</f>
        <v/>
      </c>
      <c r="AG50" s="15">
        <f>IF(AG7=2,Hypothèses!$D$52,0)</f>
        <v/>
      </c>
      <c r="AH50" s="15">
        <f>IF(AH7=2,Hypothèses!$D$52,0)</f>
        <v/>
      </c>
      <c r="AI50" s="15">
        <f>IF(AI7=2,Hypothèses!$D$52,0)</f>
        <v/>
      </c>
      <c r="AJ50" s="15">
        <f>IF(AJ7=2,Hypothèses!$D$52,0)</f>
        <v/>
      </c>
      <c r="AK50" s="15">
        <f>IF(AK7=2,Hypothèses!$D$52,0)</f>
        <v/>
      </c>
      <c r="AL50" s="15">
        <f>IF(AL7=2,Hypothèses!$D$52,0)</f>
        <v/>
      </c>
      <c r="AN50" s="15">
        <f>SUM(C50:N50)</f>
        <v/>
      </c>
      <c r="AO50" s="15">
        <f>SUM(O50:Z50)</f>
        <v/>
      </c>
      <c r="AP50" s="15">
        <f>SUM(AA50:AL50)</f>
        <v/>
      </c>
    </row>
    <row r="51">
      <c r="A51" s="2" t="inlineStr">
        <is>
          <t>Total coûts fixes</t>
        </is>
      </c>
      <c r="B51" s="4" t="inlineStr">
        <is>
          <t>€ HT</t>
        </is>
      </c>
      <c r="C51" s="40">
        <f>SUM(C40:C50)</f>
        <v/>
      </c>
      <c r="D51" s="40">
        <f>SUM(D40:D50)</f>
        <v/>
      </c>
      <c r="E51" s="40">
        <f>SUM(E40:E50)</f>
        <v/>
      </c>
      <c r="F51" s="40">
        <f>SUM(F40:F50)</f>
        <v/>
      </c>
      <c r="G51" s="40">
        <f>SUM(G40:G50)</f>
        <v/>
      </c>
      <c r="H51" s="40">
        <f>SUM(H40:H50)</f>
        <v/>
      </c>
      <c r="I51" s="40">
        <f>SUM(I40:I50)</f>
        <v/>
      </c>
      <c r="J51" s="40">
        <f>SUM(J40:J50)</f>
        <v/>
      </c>
      <c r="K51" s="40">
        <f>SUM(K40:K50)</f>
        <v/>
      </c>
      <c r="L51" s="40">
        <f>SUM(L40:L50)</f>
        <v/>
      </c>
      <c r="M51" s="40">
        <f>SUM(M40:M50)</f>
        <v/>
      </c>
      <c r="N51" s="40">
        <f>SUM(N40:N50)</f>
        <v/>
      </c>
      <c r="O51" s="40">
        <f>SUM(O40:O50)</f>
        <v/>
      </c>
      <c r="P51" s="40">
        <f>SUM(P40:P50)</f>
        <v/>
      </c>
      <c r="Q51" s="40">
        <f>SUM(Q40:Q50)</f>
        <v/>
      </c>
      <c r="R51" s="40">
        <f>SUM(R40:R50)</f>
        <v/>
      </c>
      <c r="S51" s="40">
        <f>SUM(S40:S50)</f>
        <v/>
      </c>
      <c r="T51" s="40">
        <f>SUM(T40:T50)</f>
        <v/>
      </c>
      <c r="U51" s="40">
        <f>SUM(U40:U50)</f>
        <v/>
      </c>
      <c r="V51" s="40">
        <f>SUM(V40:V50)</f>
        <v/>
      </c>
      <c r="W51" s="40">
        <f>SUM(W40:W50)</f>
        <v/>
      </c>
      <c r="X51" s="40">
        <f>SUM(X40:X50)</f>
        <v/>
      </c>
      <c r="Y51" s="40">
        <f>SUM(Y40:Y50)</f>
        <v/>
      </c>
      <c r="Z51" s="40">
        <f>SUM(Z40:Z50)</f>
        <v/>
      </c>
      <c r="AA51" s="40">
        <f>SUM(AA40:AA50)</f>
        <v/>
      </c>
      <c r="AB51" s="40">
        <f>SUM(AB40:AB50)</f>
        <v/>
      </c>
      <c r="AC51" s="40">
        <f>SUM(AC40:AC50)</f>
        <v/>
      </c>
      <c r="AD51" s="40">
        <f>SUM(AD40:AD50)</f>
        <v/>
      </c>
      <c r="AE51" s="40">
        <f>SUM(AE40:AE50)</f>
        <v/>
      </c>
      <c r="AF51" s="40">
        <f>SUM(AF40:AF50)</f>
        <v/>
      </c>
      <c r="AG51" s="40">
        <f>SUM(AG40:AG50)</f>
        <v/>
      </c>
      <c r="AH51" s="40">
        <f>SUM(AH40:AH50)</f>
        <v/>
      </c>
      <c r="AI51" s="40">
        <f>SUM(AI40:AI50)</f>
        <v/>
      </c>
      <c r="AJ51" s="40">
        <f>SUM(AJ40:AJ50)</f>
        <v/>
      </c>
      <c r="AK51" s="40">
        <f>SUM(AK40:AK50)</f>
        <v/>
      </c>
      <c r="AL51" s="40">
        <f>SUM(AL40:AL50)</f>
        <v/>
      </c>
      <c r="AN51" s="40">
        <f>SUM(C51:N51)</f>
        <v/>
      </c>
      <c r="AO51" s="40">
        <f>SUM(O51:Z51)</f>
        <v/>
      </c>
      <c r="AP51" s="40">
        <f>SUM(AA51:AL51)</f>
        <v/>
      </c>
    </row>
    <row r="52">
      <c r="A52" s="2" t="inlineStr">
        <is>
          <t>EBITDA (marge variable − acquisition − fixes)</t>
        </is>
      </c>
      <c r="B52" s="4" t="inlineStr">
        <is>
          <t>€ HT</t>
        </is>
      </c>
      <c r="C52" s="40">
        <f>C37-C39-C51</f>
        <v/>
      </c>
      <c r="D52" s="40">
        <f>D37-D39-D51</f>
        <v/>
      </c>
      <c r="E52" s="40">
        <f>E37-E39-E51</f>
        <v/>
      </c>
      <c r="F52" s="40">
        <f>F37-F39-F51</f>
        <v/>
      </c>
      <c r="G52" s="40">
        <f>G37-G39-G51</f>
        <v/>
      </c>
      <c r="H52" s="40">
        <f>H37-H39-H51</f>
        <v/>
      </c>
      <c r="I52" s="40">
        <f>I37-I39-I51</f>
        <v/>
      </c>
      <c r="J52" s="40">
        <f>J37-J39-J51</f>
        <v/>
      </c>
      <c r="K52" s="40">
        <f>K37-K39-K51</f>
        <v/>
      </c>
      <c r="L52" s="40">
        <f>L37-L39-L51</f>
        <v/>
      </c>
      <c r="M52" s="40">
        <f>M37-M39-M51</f>
        <v/>
      </c>
      <c r="N52" s="40">
        <f>N37-N39-N51</f>
        <v/>
      </c>
      <c r="O52" s="40">
        <f>O37-O39-O51</f>
        <v/>
      </c>
      <c r="P52" s="40">
        <f>P37-P39-P51</f>
        <v/>
      </c>
      <c r="Q52" s="40">
        <f>Q37-Q39-Q51</f>
        <v/>
      </c>
      <c r="R52" s="40">
        <f>R37-R39-R51</f>
        <v/>
      </c>
      <c r="S52" s="40">
        <f>S37-S39-S51</f>
        <v/>
      </c>
      <c r="T52" s="40">
        <f>T37-T39-T51</f>
        <v/>
      </c>
      <c r="U52" s="40">
        <f>U37-U39-U51</f>
        <v/>
      </c>
      <c r="V52" s="40">
        <f>V37-V39-V51</f>
        <v/>
      </c>
      <c r="W52" s="40">
        <f>W37-W39-W51</f>
        <v/>
      </c>
      <c r="X52" s="40">
        <f>X37-X39-X51</f>
        <v/>
      </c>
      <c r="Y52" s="40">
        <f>Y37-Y39-Y51</f>
        <v/>
      </c>
      <c r="Z52" s="40">
        <f>Z37-Z39-Z51</f>
        <v/>
      </c>
      <c r="AA52" s="40">
        <f>AA37-AA39-AA51</f>
        <v/>
      </c>
      <c r="AB52" s="40">
        <f>AB37-AB39-AB51</f>
        <v/>
      </c>
      <c r="AC52" s="40">
        <f>AC37-AC39-AC51</f>
        <v/>
      </c>
      <c r="AD52" s="40">
        <f>AD37-AD39-AD51</f>
        <v/>
      </c>
      <c r="AE52" s="40">
        <f>AE37-AE39-AE51</f>
        <v/>
      </c>
      <c r="AF52" s="40">
        <f>AF37-AF39-AF51</f>
        <v/>
      </c>
      <c r="AG52" s="40">
        <f>AG37-AG39-AG51</f>
        <v/>
      </c>
      <c r="AH52" s="40">
        <f>AH37-AH39-AH51</f>
        <v/>
      </c>
      <c r="AI52" s="40">
        <f>AI37-AI39-AI51</f>
        <v/>
      </c>
      <c r="AJ52" s="40">
        <f>AJ37-AJ39-AJ51</f>
        <v/>
      </c>
      <c r="AK52" s="40">
        <f>AK37-AK39-AK51</f>
        <v/>
      </c>
      <c r="AL52" s="40">
        <f>AL37-AL39-AL51</f>
        <v/>
      </c>
      <c r="AN52" s="40">
        <f>SUM(C52:N52)</f>
        <v/>
      </c>
      <c r="AO52" s="40">
        <f>SUM(O52:Z52)</f>
        <v/>
      </c>
      <c r="AP52" s="40">
        <f>SUM(AA52:AL52)</f>
        <v/>
      </c>
    </row>
    <row r="53">
      <c r="A53" s="9" t="inlineStr">
        <is>
          <t>EBITDA positif ? (1 = oui)</t>
        </is>
      </c>
      <c r="B53" s="4" t="inlineStr">
        <is>
          <t>0/1</t>
        </is>
      </c>
      <c r="C53" s="13">
        <f>IF(C52&gt;0,1,0)</f>
        <v/>
      </c>
      <c r="D53" s="13">
        <f>IF(D52&gt;0,1,0)</f>
        <v/>
      </c>
      <c r="E53" s="13">
        <f>IF(E52&gt;0,1,0)</f>
        <v/>
      </c>
      <c r="F53" s="13">
        <f>IF(F52&gt;0,1,0)</f>
        <v/>
      </c>
      <c r="G53" s="13">
        <f>IF(G52&gt;0,1,0)</f>
        <v/>
      </c>
      <c r="H53" s="13">
        <f>IF(H52&gt;0,1,0)</f>
        <v/>
      </c>
      <c r="I53" s="13">
        <f>IF(I52&gt;0,1,0)</f>
        <v/>
      </c>
      <c r="J53" s="13">
        <f>IF(J52&gt;0,1,0)</f>
        <v/>
      </c>
      <c r="K53" s="13">
        <f>IF(K52&gt;0,1,0)</f>
        <v/>
      </c>
      <c r="L53" s="13">
        <f>IF(L52&gt;0,1,0)</f>
        <v/>
      </c>
      <c r="M53" s="13">
        <f>IF(M52&gt;0,1,0)</f>
        <v/>
      </c>
      <c r="N53" s="13">
        <f>IF(N52&gt;0,1,0)</f>
        <v/>
      </c>
      <c r="O53" s="13">
        <f>IF(O52&gt;0,1,0)</f>
        <v/>
      </c>
      <c r="P53" s="13">
        <f>IF(P52&gt;0,1,0)</f>
        <v/>
      </c>
      <c r="Q53" s="13">
        <f>IF(Q52&gt;0,1,0)</f>
        <v/>
      </c>
      <c r="R53" s="13">
        <f>IF(R52&gt;0,1,0)</f>
        <v/>
      </c>
      <c r="S53" s="13">
        <f>IF(S52&gt;0,1,0)</f>
        <v/>
      </c>
      <c r="T53" s="13">
        <f>IF(T52&gt;0,1,0)</f>
        <v/>
      </c>
      <c r="U53" s="13">
        <f>IF(U52&gt;0,1,0)</f>
        <v/>
      </c>
      <c r="V53" s="13">
        <f>IF(V52&gt;0,1,0)</f>
        <v/>
      </c>
      <c r="W53" s="13">
        <f>IF(W52&gt;0,1,0)</f>
        <v/>
      </c>
      <c r="X53" s="13">
        <f>IF(X52&gt;0,1,0)</f>
        <v/>
      </c>
      <c r="Y53" s="13">
        <f>IF(Y52&gt;0,1,0)</f>
        <v/>
      </c>
      <c r="Z53" s="13">
        <f>IF(Z52&gt;0,1,0)</f>
        <v/>
      </c>
      <c r="AA53" s="13">
        <f>IF(AA52&gt;0,1,0)</f>
        <v/>
      </c>
      <c r="AB53" s="13">
        <f>IF(AB52&gt;0,1,0)</f>
        <v/>
      </c>
      <c r="AC53" s="13">
        <f>IF(AC52&gt;0,1,0)</f>
        <v/>
      </c>
      <c r="AD53" s="13">
        <f>IF(AD52&gt;0,1,0)</f>
        <v/>
      </c>
      <c r="AE53" s="13">
        <f>IF(AE52&gt;0,1,0)</f>
        <v/>
      </c>
      <c r="AF53" s="13">
        <f>IF(AF52&gt;0,1,0)</f>
        <v/>
      </c>
      <c r="AG53" s="13">
        <f>IF(AG52&gt;0,1,0)</f>
        <v/>
      </c>
      <c r="AH53" s="13">
        <f>IF(AH52&gt;0,1,0)</f>
        <v/>
      </c>
      <c r="AI53" s="13">
        <f>IF(AI52&gt;0,1,0)</f>
        <v/>
      </c>
      <c r="AJ53" s="13">
        <f>IF(AJ52&gt;0,1,0)</f>
        <v/>
      </c>
      <c r="AK53" s="13">
        <f>IF(AK52&gt;0,1,0)</f>
        <v/>
      </c>
      <c r="AL53" s="13">
        <f>IF(AL52&gt;0,1,0)</f>
        <v/>
      </c>
    </row>
    <row r="54">
      <c r="A54" s="8" t="inlineStr">
        <is>
          <t>Trésorerie</t>
        </is>
      </c>
    </row>
    <row r="55">
      <c r="A55" s="9" t="inlineStr">
        <is>
          <t>TVA collectée reversée (mois suivant)</t>
        </is>
      </c>
      <c r="B55" s="4" t="inlineStr">
        <is>
          <t>€</t>
        </is>
      </c>
      <c r="C55" s="15">
        <f>0</f>
        <v/>
      </c>
      <c r="D55" s="15">
        <f>C27</f>
        <v/>
      </c>
      <c r="E55" s="15">
        <f>D27</f>
        <v/>
      </c>
      <c r="F55" s="15">
        <f>E27</f>
        <v/>
      </c>
      <c r="G55" s="15">
        <f>F27</f>
        <v/>
      </c>
      <c r="H55" s="15">
        <f>G27</f>
        <v/>
      </c>
      <c r="I55" s="15">
        <f>H27</f>
        <v/>
      </c>
      <c r="J55" s="15">
        <f>I27</f>
        <v/>
      </c>
      <c r="K55" s="15">
        <f>J27</f>
        <v/>
      </c>
      <c r="L55" s="15">
        <f>K27</f>
        <v/>
      </c>
      <c r="M55" s="15">
        <f>L27</f>
        <v/>
      </c>
      <c r="N55" s="15">
        <f>M27</f>
        <v/>
      </c>
      <c r="O55" s="15">
        <f>N27</f>
        <v/>
      </c>
      <c r="P55" s="15">
        <f>O27</f>
        <v/>
      </c>
      <c r="Q55" s="15">
        <f>P27</f>
        <v/>
      </c>
      <c r="R55" s="15">
        <f>Q27</f>
        <v/>
      </c>
      <c r="S55" s="15">
        <f>R27</f>
        <v/>
      </c>
      <c r="T55" s="15">
        <f>S27</f>
        <v/>
      </c>
      <c r="U55" s="15">
        <f>T27</f>
        <v/>
      </c>
      <c r="V55" s="15">
        <f>U27</f>
        <v/>
      </c>
      <c r="W55" s="15">
        <f>V27</f>
        <v/>
      </c>
      <c r="X55" s="15">
        <f>W27</f>
        <v/>
      </c>
      <c r="Y55" s="15">
        <f>X27</f>
        <v/>
      </c>
      <c r="Z55" s="15">
        <f>Y27</f>
        <v/>
      </c>
      <c r="AA55" s="15">
        <f>Z27</f>
        <v/>
      </c>
      <c r="AB55" s="15">
        <f>AA27</f>
        <v/>
      </c>
      <c r="AC55" s="15">
        <f>AB27</f>
        <v/>
      </c>
      <c r="AD55" s="15">
        <f>AC27</f>
        <v/>
      </c>
      <c r="AE55" s="15">
        <f>AD27</f>
        <v/>
      </c>
      <c r="AF55" s="15">
        <f>AE27</f>
        <v/>
      </c>
      <c r="AG55" s="15">
        <f>AF27</f>
        <v/>
      </c>
      <c r="AH55" s="15">
        <f>AG27</f>
        <v/>
      </c>
      <c r="AI55" s="15">
        <f>AH27</f>
        <v/>
      </c>
      <c r="AJ55" s="15">
        <f>AI27</f>
        <v/>
      </c>
      <c r="AK55" s="15">
        <f>AJ27</f>
        <v/>
      </c>
      <c r="AL55" s="15">
        <f>AK27</f>
        <v/>
      </c>
      <c r="AN55" s="15">
        <f>SUM(C55:N55)</f>
        <v/>
      </c>
      <c r="AO55" s="15">
        <f>SUM(O55:Z55)</f>
        <v/>
      </c>
      <c r="AP55" s="15">
        <f>SUM(AA55:AL55)</f>
        <v/>
      </c>
    </row>
    <row r="56">
      <c r="A56" s="9" t="inlineStr">
        <is>
          <t>TVA déductible récupérée (mois suivant, coûts externes)</t>
        </is>
      </c>
      <c r="B56" s="4" t="inlineStr">
        <is>
          <t>€</t>
        </is>
      </c>
      <c r="C56" s="15">
        <f>0</f>
        <v/>
      </c>
      <c r="D56" s="15">
        <f>(C36+C39+C43+C44+C45+C47+C48+C49+C50)*Hypothèses!$D$15</f>
        <v/>
      </c>
      <c r="E56" s="15">
        <f>(D36+D39+D43+D44+D45+D47+D48+D49+D50)*Hypothèses!$D$15</f>
        <v/>
      </c>
      <c r="F56" s="15">
        <f>(E36+E39+E43+E44+E45+E47+E48+E49+E50)*Hypothèses!$D$15</f>
        <v/>
      </c>
      <c r="G56" s="15">
        <f>(F36+F39+F43+F44+F45+F47+F48+F49+F50)*Hypothèses!$D$15</f>
        <v/>
      </c>
      <c r="H56" s="15">
        <f>(G36+G39+G43+G44+G45+G47+G48+G49+G50)*Hypothèses!$D$15</f>
        <v/>
      </c>
      <c r="I56" s="15">
        <f>(H36+H39+H43+H44+H45+H47+H48+H49+H50)*Hypothèses!$D$15</f>
        <v/>
      </c>
      <c r="J56" s="15">
        <f>(I36+I39+I43+I44+I45+I47+I48+I49+I50)*Hypothèses!$D$15</f>
        <v/>
      </c>
      <c r="K56" s="15">
        <f>(J36+J39+J43+J44+J45+J47+J48+J49+J50)*Hypothèses!$D$15</f>
        <v/>
      </c>
      <c r="L56" s="15">
        <f>(K36+K39+K43+K44+K45+K47+K48+K49+K50)*Hypothèses!$D$15</f>
        <v/>
      </c>
      <c r="M56" s="15">
        <f>(L36+L39+L43+L44+L45+L47+L48+L49+L50)*Hypothèses!$D$15</f>
        <v/>
      </c>
      <c r="N56" s="15">
        <f>(M36+M39+M43+M44+M45+M47+M48+M49+M50)*Hypothèses!$D$15</f>
        <v/>
      </c>
      <c r="O56" s="15">
        <f>(N36+N39+N43+N44+N45+N47+N48+N49+N50)*Hypothèses!$D$15</f>
        <v/>
      </c>
      <c r="P56" s="15">
        <f>(O36+O39+O43+O44+O45+O47+O48+O49+O50)*Hypothèses!$D$15</f>
        <v/>
      </c>
      <c r="Q56" s="15">
        <f>(P36+P39+P43+P44+P45+P47+P48+P49+P50)*Hypothèses!$D$15</f>
        <v/>
      </c>
      <c r="R56" s="15">
        <f>(Q36+Q39+Q43+Q44+Q45+Q47+Q48+Q49+Q50)*Hypothèses!$D$15</f>
        <v/>
      </c>
      <c r="S56" s="15">
        <f>(R36+R39+R43+R44+R45+R47+R48+R49+R50)*Hypothèses!$D$15</f>
        <v/>
      </c>
      <c r="T56" s="15">
        <f>(S36+S39+S43+S44+S45+S47+S48+S49+S50)*Hypothèses!$D$15</f>
        <v/>
      </c>
      <c r="U56" s="15">
        <f>(T36+T39+T43+T44+T45+T47+T48+T49+T50)*Hypothèses!$D$15</f>
        <v/>
      </c>
      <c r="V56" s="15">
        <f>(U36+U39+U43+U44+U45+U47+U48+U49+U50)*Hypothèses!$D$15</f>
        <v/>
      </c>
      <c r="W56" s="15">
        <f>(V36+V39+V43+V44+V45+V47+V48+V49+V50)*Hypothèses!$D$15</f>
        <v/>
      </c>
      <c r="X56" s="15">
        <f>(W36+W39+W43+W44+W45+W47+W48+W49+W50)*Hypothèses!$D$15</f>
        <v/>
      </c>
      <c r="Y56" s="15">
        <f>(X36+X39+X43+X44+X45+X47+X48+X49+X50)*Hypothèses!$D$15</f>
        <v/>
      </c>
      <c r="Z56" s="15">
        <f>(Y36+Y39+Y43+Y44+Y45+Y47+Y48+Y49+Y50)*Hypothèses!$D$15</f>
        <v/>
      </c>
      <c r="AA56" s="15">
        <f>(Z36+Z39+Z43+Z44+Z45+Z47+Z48+Z49+Z50)*Hypothèses!$D$15</f>
        <v/>
      </c>
      <c r="AB56" s="15">
        <f>(AA36+AA39+AA43+AA44+AA45+AA47+AA48+AA49+AA50)*Hypothèses!$D$15</f>
        <v/>
      </c>
      <c r="AC56" s="15">
        <f>(AB36+AB39+AB43+AB44+AB45+AB47+AB48+AB49+AB50)*Hypothèses!$D$15</f>
        <v/>
      </c>
      <c r="AD56" s="15">
        <f>(AC36+AC39+AC43+AC44+AC45+AC47+AC48+AC49+AC50)*Hypothèses!$D$15</f>
        <v/>
      </c>
      <c r="AE56" s="15">
        <f>(AD36+AD39+AD43+AD44+AD45+AD47+AD48+AD49+AD50)*Hypothèses!$D$15</f>
        <v/>
      </c>
      <c r="AF56" s="15">
        <f>(AE36+AE39+AE43+AE44+AE45+AE47+AE48+AE49+AE50)*Hypothèses!$D$15</f>
        <v/>
      </c>
      <c r="AG56" s="15">
        <f>(AF36+AF39+AF43+AF44+AF45+AF47+AF48+AF49+AF50)*Hypothèses!$D$15</f>
        <v/>
      </c>
      <c r="AH56" s="15">
        <f>(AG36+AG39+AG43+AG44+AG45+AG47+AG48+AG49+AG50)*Hypothèses!$D$15</f>
        <v/>
      </c>
      <c r="AI56" s="15">
        <f>(AH36+AH39+AH43+AH44+AH45+AH47+AH48+AH49+AH50)*Hypothèses!$D$15</f>
        <v/>
      </c>
      <c r="AJ56" s="15">
        <f>(AI36+AI39+AI43+AI44+AI45+AI47+AI48+AI49+AI50)*Hypothèses!$D$15</f>
        <v/>
      </c>
      <c r="AK56" s="15">
        <f>(AJ36+AJ39+AJ43+AJ44+AJ45+AJ47+AJ48+AJ49+AJ50)*Hypothèses!$D$15</f>
        <v/>
      </c>
      <c r="AL56" s="15">
        <f>(AK36+AK39+AK43+AK44+AK45+AK47+AK48+AK49+AK50)*Hypothèses!$D$15</f>
        <v/>
      </c>
      <c r="AN56" s="15">
        <f>SUM(C56:N56)</f>
        <v/>
      </c>
      <c r="AO56" s="15">
        <f>SUM(O56:Z56)</f>
        <v/>
      </c>
      <c r="AP56" s="15">
        <f>SUM(AA56:AL56)</f>
        <v/>
      </c>
    </row>
    <row r="57">
      <c r="A57" s="9" t="inlineStr">
        <is>
          <t>Financement reçu</t>
        </is>
      </c>
      <c r="B57" s="4" t="inlineStr">
        <is>
          <t>€</t>
        </is>
      </c>
      <c r="C57" s="15">
        <f>Hypothèses!$D$56*(IF(C7=Hypothèses!$D$57,Hypothèses!$D$58,0)+IF(C7=Hypothèses!$D$59,Hypothèses!$D$60,0)+IF(C7=Hypothèses!$D$61,Hypothèses!$D$62,0))</f>
        <v/>
      </c>
      <c r="D57" s="15">
        <f>Hypothèses!$D$56*(IF(D7=Hypothèses!$D$57,Hypothèses!$D$58,0)+IF(D7=Hypothèses!$D$59,Hypothèses!$D$60,0)+IF(D7=Hypothèses!$D$61,Hypothèses!$D$62,0))</f>
        <v/>
      </c>
      <c r="E57" s="15">
        <f>Hypothèses!$D$56*(IF(E7=Hypothèses!$D$57,Hypothèses!$D$58,0)+IF(E7=Hypothèses!$D$59,Hypothèses!$D$60,0)+IF(E7=Hypothèses!$D$61,Hypothèses!$D$62,0))</f>
        <v/>
      </c>
      <c r="F57" s="15">
        <f>Hypothèses!$D$56*(IF(F7=Hypothèses!$D$57,Hypothèses!$D$58,0)+IF(F7=Hypothèses!$D$59,Hypothèses!$D$60,0)+IF(F7=Hypothèses!$D$61,Hypothèses!$D$62,0))</f>
        <v/>
      </c>
      <c r="G57" s="15">
        <f>Hypothèses!$D$56*(IF(G7=Hypothèses!$D$57,Hypothèses!$D$58,0)+IF(G7=Hypothèses!$D$59,Hypothèses!$D$60,0)+IF(G7=Hypothèses!$D$61,Hypothèses!$D$62,0))</f>
        <v/>
      </c>
      <c r="H57" s="15">
        <f>Hypothèses!$D$56*(IF(H7=Hypothèses!$D$57,Hypothèses!$D$58,0)+IF(H7=Hypothèses!$D$59,Hypothèses!$D$60,0)+IF(H7=Hypothèses!$D$61,Hypothèses!$D$62,0))</f>
        <v/>
      </c>
      <c r="I57" s="15">
        <f>Hypothèses!$D$56*(IF(I7=Hypothèses!$D$57,Hypothèses!$D$58,0)+IF(I7=Hypothèses!$D$59,Hypothèses!$D$60,0)+IF(I7=Hypothèses!$D$61,Hypothèses!$D$62,0))</f>
        <v/>
      </c>
      <c r="J57" s="15">
        <f>Hypothèses!$D$56*(IF(J7=Hypothèses!$D$57,Hypothèses!$D$58,0)+IF(J7=Hypothèses!$D$59,Hypothèses!$D$60,0)+IF(J7=Hypothèses!$D$61,Hypothèses!$D$62,0))</f>
        <v/>
      </c>
      <c r="K57" s="15">
        <f>Hypothèses!$D$56*(IF(K7=Hypothèses!$D$57,Hypothèses!$D$58,0)+IF(K7=Hypothèses!$D$59,Hypothèses!$D$60,0)+IF(K7=Hypothèses!$D$61,Hypothèses!$D$62,0))</f>
        <v/>
      </c>
      <c r="L57" s="15">
        <f>Hypothèses!$D$56*(IF(L7=Hypothèses!$D$57,Hypothèses!$D$58,0)+IF(L7=Hypothèses!$D$59,Hypothèses!$D$60,0)+IF(L7=Hypothèses!$D$61,Hypothèses!$D$62,0))</f>
        <v/>
      </c>
      <c r="M57" s="15">
        <f>Hypothèses!$D$56*(IF(M7=Hypothèses!$D$57,Hypothèses!$D$58,0)+IF(M7=Hypothèses!$D$59,Hypothèses!$D$60,0)+IF(M7=Hypothèses!$D$61,Hypothèses!$D$62,0))</f>
        <v/>
      </c>
      <c r="N57" s="15">
        <f>Hypothèses!$D$56*(IF(N7=Hypothèses!$D$57,Hypothèses!$D$58,0)+IF(N7=Hypothèses!$D$59,Hypothèses!$D$60,0)+IF(N7=Hypothèses!$D$61,Hypothèses!$D$62,0))</f>
        <v/>
      </c>
      <c r="O57" s="15">
        <f>Hypothèses!$D$56*(IF(O7=Hypothèses!$D$57,Hypothèses!$D$58,0)+IF(O7=Hypothèses!$D$59,Hypothèses!$D$60,0)+IF(O7=Hypothèses!$D$61,Hypothèses!$D$62,0))</f>
        <v/>
      </c>
      <c r="P57" s="15">
        <f>Hypothèses!$D$56*(IF(P7=Hypothèses!$D$57,Hypothèses!$D$58,0)+IF(P7=Hypothèses!$D$59,Hypothèses!$D$60,0)+IF(P7=Hypothèses!$D$61,Hypothèses!$D$62,0))</f>
        <v/>
      </c>
      <c r="Q57" s="15">
        <f>Hypothèses!$D$56*(IF(Q7=Hypothèses!$D$57,Hypothèses!$D$58,0)+IF(Q7=Hypothèses!$D$59,Hypothèses!$D$60,0)+IF(Q7=Hypothèses!$D$61,Hypothèses!$D$62,0))</f>
        <v/>
      </c>
      <c r="R57" s="15">
        <f>Hypothèses!$D$56*(IF(R7=Hypothèses!$D$57,Hypothèses!$D$58,0)+IF(R7=Hypothèses!$D$59,Hypothèses!$D$60,0)+IF(R7=Hypothèses!$D$61,Hypothèses!$D$62,0))</f>
        <v/>
      </c>
      <c r="S57" s="15">
        <f>Hypothèses!$D$56*(IF(S7=Hypothèses!$D$57,Hypothèses!$D$58,0)+IF(S7=Hypothèses!$D$59,Hypothèses!$D$60,0)+IF(S7=Hypothèses!$D$61,Hypothèses!$D$62,0))</f>
        <v/>
      </c>
      <c r="T57" s="15">
        <f>Hypothèses!$D$56*(IF(T7=Hypothèses!$D$57,Hypothèses!$D$58,0)+IF(T7=Hypothèses!$D$59,Hypothèses!$D$60,0)+IF(T7=Hypothèses!$D$61,Hypothèses!$D$62,0))</f>
        <v/>
      </c>
      <c r="U57" s="15">
        <f>Hypothèses!$D$56*(IF(U7=Hypothèses!$D$57,Hypothèses!$D$58,0)+IF(U7=Hypothèses!$D$59,Hypothèses!$D$60,0)+IF(U7=Hypothèses!$D$61,Hypothèses!$D$62,0))</f>
        <v/>
      </c>
      <c r="V57" s="15">
        <f>Hypothèses!$D$56*(IF(V7=Hypothèses!$D$57,Hypothèses!$D$58,0)+IF(V7=Hypothèses!$D$59,Hypothèses!$D$60,0)+IF(V7=Hypothèses!$D$61,Hypothèses!$D$62,0))</f>
        <v/>
      </c>
      <c r="W57" s="15">
        <f>Hypothèses!$D$56*(IF(W7=Hypothèses!$D$57,Hypothèses!$D$58,0)+IF(W7=Hypothèses!$D$59,Hypothèses!$D$60,0)+IF(W7=Hypothèses!$D$61,Hypothèses!$D$62,0))</f>
        <v/>
      </c>
      <c r="X57" s="15">
        <f>Hypothèses!$D$56*(IF(X7=Hypothèses!$D$57,Hypothèses!$D$58,0)+IF(X7=Hypothèses!$D$59,Hypothèses!$D$60,0)+IF(X7=Hypothèses!$D$61,Hypothèses!$D$62,0))</f>
        <v/>
      </c>
      <c r="Y57" s="15">
        <f>Hypothèses!$D$56*(IF(Y7=Hypothèses!$D$57,Hypothèses!$D$58,0)+IF(Y7=Hypothèses!$D$59,Hypothèses!$D$60,0)+IF(Y7=Hypothèses!$D$61,Hypothèses!$D$62,0))</f>
        <v/>
      </c>
      <c r="Z57" s="15">
        <f>Hypothèses!$D$56*(IF(Z7=Hypothèses!$D$57,Hypothèses!$D$58,0)+IF(Z7=Hypothèses!$D$59,Hypothèses!$D$60,0)+IF(Z7=Hypothèses!$D$61,Hypothèses!$D$62,0))</f>
        <v/>
      </c>
      <c r="AA57" s="15">
        <f>Hypothèses!$D$56*(IF(AA7=Hypothèses!$D$57,Hypothèses!$D$58,0)+IF(AA7=Hypothèses!$D$59,Hypothèses!$D$60,0)+IF(AA7=Hypothèses!$D$61,Hypothèses!$D$62,0))</f>
        <v/>
      </c>
      <c r="AB57" s="15">
        <f>Hypothèses!$D$56*(IF(AB7=Hypothèses!$D$57,Hypothèses!$D$58,0)+IF(AB7=Hypothèses!$D$59,Hypothèses!$D$60,0)+IF(AB7=Hypothèses!$D$61,Hypothèses!$D$62,0))</f>
        <v/>
      </c>
      <c r="AC57" s="15">
        <f>Hypothèses!$D$56*(IF(AC7=Hypothèses!$D$57,Hypothèses!$D$58,0)+IF(AC7=Hypothèses!$D$59,Hypothèses!$D$60,0)+IF(AC7=Hypothèses!$D$61,Hypothèses!$D$62,0))</f>
        <v/>
      </c>
      <c r="AD57" s="15">
        <f>Hypothèses!$D$56*(IF(AD7=Hypothèses!$D$57,Hypothèses!$D$58,0)+IF(AD7=Hypothèses!$D$59,Hypothèses!$D$60,0)+IF(AD7=Hypothèses!$D$61,Hypothèses!$D$62,0))</f>
        <v/>
      </c>
      <c r="AE57" s="15">
        <f>Hypothèses!$D$56*(IF(AE7=Hypothèses!$D$57,Hypothèses!$D$58,0)+IF(AE7=Hypothèses!$D$59,Hypothèses!$D$60,0)+IF(AE7=Hypothèses!$D$61,Hypothèses!$D$62,0))</f>
        <v/>
      </c>
      <c r="AF57" s="15">
        <f>Hypothèses!$D$56*(IF(AF7=Hypothèses!$D$57,Hypothèses!$D$58,0)+IF(AF7=Hypothèses!$D$59,Hypothèses!$D$60,0)+IF(AF7=Hypothèses!$D$61,Hypothèses!$D$62,0))</f>
        <v/>
      </c>
      <c r="AG57" s="15">
        <f>Hypothèses!$D$56*(IF(AG7=Hypothèses!$D$57,Hypothèses!$D$58,0)+IF(AG7=Hypothèses!$D$59,Hypothèses!$D$60,0)+IF(AG7=Hypothèses!$D$61,Hypothèses!$D$62,0))</f>
        <v/>
      </c>
      <c r="AH57" s="15">
        <f>Hypothèses!$D$56*(IF(AH7=Hypothèses!$D$57,Hypothèses!$D$58,0)+IF(AH7=Hypothèses!$D$59,Hypothèses!$D$60,0)+IF(AH7=Hypothèses!$D$61,Hypothèses!$D$62,0))</f>
        <v/>
      </c>
      <c r="AI57" s="15">
        <f>Hypothèses!$D$56*(IF(AI7=Hypothèses!$D$57,Hypothèses!$D$58,0)+IF(AI7=Hypothèses!$D$59,Hypothèses!$D$60,0)+IF(AI7=Hypothèses!$D$61,Hypothèses!$D$62,0))</f>
        <v/>
      </c>
      <c r="AJ57" s="15">
        <f>Hypothèses!$D$56*(IF(AJ7=Hypothèses!$D$57,Hypothèses!$D$58,0)+IF(AJ7=Hypothèses!$D$59,Hypothèses!$D$60,0)+IF(AJ7=Hypothèses!$D$61,Hypothèses!$D$62,0))</f>
        <v/>
      </c>
      <c r="AK57" s="15">
        <f>Hypothèses!$D$56*(IF(AK7=Hypothèses!$D$57,Hypothèses!$D$58,0)+IF(AK7=Hypothèses!$D$59,Hypothèses!$D$60,0)+IF(AK7=Hypothèses!$D$61,Hypothèses!$D$62,0))</f>
        <v/>
      </c>
      <c r="AL57" s="15">
        <f>Hypothèses!$D$56*(IF(AL7=Hypothèses!$D$57,Hypothèses!$D$58,0)+IF(AL7=Hypothèses!$D$59,Hypothèses!$D$60,0)+IF(AL7=Hypothèses!$D$61,Hypothèses!$D$62,0))</f>
        <v/>
      </c>
      <c r="AN57" s="15">
        <f>SUM(C57:N57)</f>
        <v/>
      </c>
      <c r="AO57" s="15">
        <f>SUM(O57:Z57)</f>
        <v/>
      </c>
      <c r="AP57" s="15">
        <f>SUM(AA57:AL57)</f>
        <v/>
      </c>
    </row>
    <row r="58">
      <c r="A58" s="9" t="inlineStr">
        <is>
          <t>Trésorerie d'ouverture</t>
        </is>
      </c>
      <c r="B58" s="4" t="inlineStr">
        <is>
          <t>€</t>
        </is>
      </c>
      <c r="C58" s="15">
        <f>Hypothèses!$D$54</f>
        <v/>
      </c>
      <c r="D58" s="15">
        <f>C60</f>
        <v/>
      </c>
      <c r="E58" s="15">
        <f>D60</f>
        <v/>
      </c>
      <c r="F58" s="15">
        <f>E60</f>
        <v/>
      </c>
      <c r="G58" s="15">
        <f>F60</f>
        <v/>
      </c>
      <c r="H58" s="15">
        <f>G60</f>
        <v/>
      </c>
      <c r="I58" s="15">
        <f>H60</f>
        <v/>
      </c>
      <c r="J58" s="15">
        <f>I60</f>
        <v/>
      </c>
      <c r="K58" s="15">
        <f>J60</f>
        <v/>
      </c>
      <c r="L58" s="15">
        <f>K60</f>
        <v/>
      </c>
      <c r="M58" s="15">
        <f>L60</f>
        <v/>
      </c>
      <c r="N58" s="15">
        <f>M60</f>
        <v/>
      </c>
      <c r="O58" s="15">
        <f>N60</f>
        <v/>
      </c>
      <c r="P58" s="15">
        <f>O60</f>
        <v/>
      </c>
      <c r="Q58" s="15">
        <f>P60</f>
        <v/>
      </c>
      <c r="R58" s="15">
        <f>Q60</f>
        <v/>
      </c>
      <c r="S58" s="15">
        <f>R60</f>
        <v/>
      </c>
      <c r="T58" s="15">
        <f>S60</f>
        <v/>
      </c>
      <c r="U58" s="15">
        <f>T60</f>
        <v/>
      </c>
      <c r="V58" s="15">
        <f>U60</f>
        <v/>
      </c>
      <c r="W58" s="15">
        <f>V60</f>
        <v/>
      </c>
      <c r="X58" s="15">
        <f>W60</f>
        <v/>
      </c>
      <c r="Y58" s="15">
        <f>X60</f>
        <v/>
      </c>
      <c r="Z58" s="15">
        <f>Y60</f>
        <v/>
      </c>
      <c r="AA58" s="15">
        <f>Z60</f>
        <v/>
      </c>
      <c r="AB58" s="15">
        <f>AA60</f>
        <v/>
      </c>
      <c r="AC58" s="15">
        <f>AB60</f>
        <v/>
      </c>
      <c r="AD58" s="15">
        <f>AC60</f>
        <v/>
      </c>
      <c r="AE58" s="15">
        <f>AD60</f>
        <v/>
      </c>
      <c r="AF58" s="15">
        <f>AE60</f>
        <v/>
      </c>
      <c r="AG58" s="15">
        <f>AF60</f>
        <v/>
      </c>
      <c r="AH58" s="15">
        <f>AG60</f>
        <v/>
      </c>
      <c r="AI58" s="15">
        <f>AH60</f>
        <v/>
      </c>
      <c r="AJ58" s="15">
        <f>AI60</f>
        <v/>
      </c>
      <c r="AK58" s="15">
        <f>AJ60</f>
        <v/>
      </c>
      <c r="AL58" s="15">
        <f>AK60</f>
        <v/>
      </c>
    </row>
    <row r="59">
      <c r="A59" s="9" t="inlineStr">
        <is>
          <t>Flux de trésorerie du mois</t>
        </is>
      </c>
      <c r="B59" s="4" t="inlineStr">
        <is>
          <t>€</t>
        </is>
      </c>
      <c r="C59" s="15">
        <f>C31-C36-C39-C51-C55+C56+C57</f>
        <v/>
      </c>
      <c r="D59" s="15">
        <f>D31-D36-D39-D51-D55+D56+D57</f>
        <v/>
      </c>
      <c r="E59" s="15">
        <f>E31-E36-E39-E51-E55+E56+E57</f>
        <v/>
      </c>
      <c r="F59" s="15">
        <f>F31-F36-F39-F51-F55+F56+F57</f>
        <v/>
      </c>
      <c r="G59" s="15">
        <f>G31-G36-G39-G51-G55+G56+G57</f>
        <v/>
      </c>
      <c r="H59" s="15">
        <f>H31-H36-H39-H51-H55+H56+H57</f>
        <v/>
      </c>
      <c r="I59" s="15">
        <f>I31-I36-I39-I51-I55+I56+I57</f>
        <v/>
      </c>
      <c r="J59" s="15">
        <f>J31-J36-J39-J51-J55+J56+J57</f>
        <v/>
      </c>
      <c r="K59" s="15">
        <f>K31-K36-K39-K51-K55+K56+K57</f>
        <v/>
      </c>
      <c r="L59" s="15">
        <f>L31-L36-L39-L51-L55+L56+L57</f>
        <v/>
      </c>
      <c r="M59" s="15">
        <f>M31-M36-M39-M51-M55+M56+M57</f>
        <v/>
      </c>
      <c r="N59" s="15">
        <f>N31-N36-N39-N51-N55+N56+N57</f>
        <v/>
      </c>
      <c r="O59" s="15">
        <f>O31-O36-O39-O51-O55+O56+O57</f>
        <v/>
      </c>
      <c r="P59" s="15">
        <f>P31-P36-P39-P51-P55+P56+P57</f>
        <v/>
      </c>
      <c r="Q59" s="15">
        <f>Q31-Q36-Q39-Q51-Q55+Q56+Q57</f>
        <v/>
      </c>
      <c r="R59" s="15">
        <f>R31-R36-R39-R51-R55+R56+R57</f>
        <v/>
      </c>
      <c r="S59" s="15">
        <f>S31-S36-S39-S51-S55+S56+S57</f>
        <v/>
      </c>
      <c r="T59" s="15">
        <f>T31-T36-T39-T51-T55+T56+T57</f>
        <v/>
      </c>
      <c r="U59" s="15">
        <f>U31-U36-U39-U51-U55+U56+U57</f>
        <v/>
      </c>
      <c r="V59" s="15">
        <f>V31-V36-V39-V51-V55+V56+V57</f>
        <v/>
      </c>
      <c r="W59" s="15">
        <f>W31-W36-W39-W51-W55+W56+W57</f>
        <v/>
      </c>
      <c r="X59" s="15">
        <f>X31-X36-X39-X51-X55+X56+X57</f>
        <v/>
      </c>
      <c r="Y59" s="15">
        <f>Y31-Y36-Y39-Y51-Y55+Y56+Y57</f>
        <v/>
      </c>
      <c r="Z59" s="15">
        <f>Z31-Z36-Z39-Z51-Z55+Z56+Z57</f>
        <v/>
      </c>
      <c r="AA59" s="15">
        <f>AA31-AA36-AA39-AA51-AA55+AA56+AA57</f>
        <v/>
      </c>
      <c r="AB59" s="15">
        <f>AB31-AB36-AB39-AB51-AB55+AB56+AB57</f>
        <v/>
      </c>
      <c r="AC59" s="15">
        <f>AC31-AC36-AC39-AC51-AC55+AC56+AC57</f>
        <v/>
      </c>
      <c r="AD59" s="15">
        <f>AD31-AD36-AD39-AD51-AD55+AD56+AD57</f>
        <v/>
      </c>
      <c r="AE59" s="15">
        <f>AE31-AE36-AE39-AE51-AE55+AE56+AE57</f>
        <v/>
      </c>
      <c r="AF59" s="15">
        <f>AF31-AF36-AF39-AF51-AF55+AF56+AF57</f>
        <v/>
      </c>
      <c r="AG59" s="15">
        <f>AG31-AG36-AG39-AG51-AG55+AG56+AG57</f>
        <v/>
      </c>
      <c r="AH59" s="15">
        <f>AH31-AH36-AH39-AH51-AH55+AH56+AH57</f>
        <v/>
      </c>
      <c r="AI59" s="15">
        <f>AI31-AI36-AI39-AI51-AI55+AI56+AI57</f>
        <v/>
      </c>
      <c r="AJ59" s="15">
        <f>AJ31-AJ36-AJ39-AJ51-AJ55+AJ56+AJ57</f>
        <v/>
      </c>
      <c r="AK59" s="15">
        <f>AK31-AK36-AK39-AK51-AK55+AK56+AK57</f>
        <v/>
      </c>
      <c r="AL59" s="15">
        <f>AL31-AL36-AL39-AL51-AL55+AL56+AL57</f>
        <v/>
      </c>
      <c r="AN59" s="15">
        <f>SUM(C59:N59)</f>
        <v/>
      </c>
      <c r="AO59" s="15">
        <f>SUM(O59:Z59)</f>
        <v/>
      </c>
      <c r="AP59" s="15">
        <f>SUM(AA59:AL59)</f>
        <v/>
      </c>
    </row>
    <row r="60">
      <c r="A60" s="2" t="inlineStr">
        <is>
          <t>Trésorerie de clôture</t>
        </is>
      </c>
      <c r="B60" s="4" t="inlineStr">
        <is>
          <t>€</t>
        </is>
      </c>
      <c r="C60" s="40">
        <f>C58+C59</f>
        <v/>
      </c>
      <c r="D60" s="40">
        <f>D58+D59</f>
        <v/>
      </c>
      <c r="E60" s="40">
        <f>E58+E59</f>
        <v/>
      </c>
      <c r="F60" s="40">
        <f>F58+F59</f>
        <v/>
      </c>
      <c r="G60" s="40">
        <f>G58+G59</f>
        <v/>
      </c>
      <c r="H60" s="40">
        <f>H58+H59</f>
        <v/>
      </c>
      <c r="I60" s="40">
        <f>I58+I59</f>
        <v/>
      </c>
      <c r="J60" s="40">
        <f>J58+J59</f>
        <v/>
      </c>
      <c r="K60" s="40">
        <f>K58+K59</f>
        <v/>
      </c>
      <c r="L60" s="40">
        <f>L58+L59</f>
        <v/>
      </c>
      <c r="M60" s="40">
        <f>M58+M59</f>
        <v/>
      </c>
      <c r="N60" s="40">
        <f>N58+N59</f>
        <v/>
      </c>
      <c r="O60" s="40">
        <f>O58+O59</f>
        <v/>
      </c>
      <c r="P60" s="40">
        <f>P58+P59</f>
        <v/>
      </c>
      <c r="Q60" s="40">
        <f>Q58+Q59</f>
        <v/>
      </c>
      <c r="R60" s="40">
        <f>R58+R59</f>
        <v/>
      </c>
      <c r="S60" s="40">
        <f>S58+S59</f>
        <v/>
      </c>
      <c r="T60" s="40">
        <f>T58+T59</f>
        <v/>
      </c>
      <c r="U60" s="40">
        <f>U58+U59</f>
        <v/>
      </c>
      <c r="V60" s="40">
        <f>V58+V59</f>
        <v/>
      </c>
      <c r="W60" s="40">
        <f>W58+W59</f>
        <v/>
      </c>
      <c r="X60" s="40">
        <f>X58+X59</f>
        <v/>
      </c>
      <c r="Y60" s="40">
        <f>Y58+Y59</f>
        <v/>
      </c>
      <c r="Z60" s="40">
        <f>Z58+Z59</f>
        <v/>
      </c>
      <c r="AA60" s="40">
        <f>AA58+AA59</f>
        <v/>
      </c>
      <c r="AB60" s="40">
        <f>AB58+AB59</f>
        <v/>
      </c>
      <c r="AC60" s="40">
        <f>AC58+AC59</f>
        <v/>
      </c>
      <c r="AD60" s="40">
        <f>AD58+AD59</f>
        <v/>
      </c>
      <c r="AE60" s="40">
        <f>AE58+AE59</f>
        <v/>
      </c>
      <c r="AF60" s="40">
        <f>AF58+AF59</f>
        <v/>
      </c>
      <c r="AG60" s="40">
        <f>AG58+AG59</f>
        <v/>
      </c>
      <c r="AH60" s="40">
        <f>AH58+AH59</f>
        <v/>
      </c>
      <c r="AI60" s="40">
        <f>AI58+AI59</f>
        <v/>
      </c>
      <c r="AJ60" s="40">
        <f>AJ58+AJ59</f>
        <v/>
      </c>
      <c r="AK60" s="40">
        <f>AK58+AK59</f>
        <v/>
      </c>
      <c r="AL60" s="40">
        <f>AL58+AL59</f>
        <v/>
      </c>
      <c r="AN60" s="40">
        <f>N60</f>
        <v/>
      </c>
      <c r="AO60" s="40">
        <f>Z60</f>
        <v/>
      </c>
      <c r="AP60" s="40">
        <f>AL60</f>
        <v/>
      </c>
    </row>
    <row r="61">
      <c r="A61" s="9" t="inlineStr">
        <is>
          <t>Financement cumulé</t>
        </is>
      </c>
      <c r="B61" s="4" t="inlineStr">
        <is>
          <t>€</t>
        </is>
      </c>
      <c r="C61" s="15">
        <f>0+C57</f>
        <v/>
      </c>
      <c r="D61" s="15">
        <f>C61+D57</f>
        <v/>
      </c>
      <c r="E61" s="15">
        <f>D61+E57</f>
        <v/>
      </c>
      <c r="F61" s="15">
        <f>E61+F57</f>
        <v/>
      </c>
      <c r="G61" s="15">
        <f>F61+G57</f>
        <v/>
      </c>
      <c r="H61" s="15">
        <f>G61+H57</f>
        <v/>
      </c>
      <c r="I61" s="15">
        <f>H61+I57</f>
        <v/>
      </c>
      <c r="J61" s="15">
        <f>I61+J57</f>
        <v/>
      </c>
      <c r="K61" s="15">
        <f>J61+K57</f>
        <v/>
      </c>
      <c r="L61" s="15">
        <f>K61+L57</f>
        <v/>
      </c>
      <c r="M61" s="15">
        <f>L61+M57</f>
        <v/>
      </c>
      <c r="N61" s="15">
        <f>M61+N57</f>
        <v/>
      </c>
      <c r="O61" s="15">
        <f>N61+O57</f>
        <v/>
      </c>
      <c r="P61" s="15">
        <f>O61+P57</f>
        <v/>
      </c>
      <c r="Q61" s="15">
        <f>P61+Q57</f>
        <v/>
      </c>
      <c r="R61" s="15">
        <f>Q61+R57</f>
        <v/>
      </c>
      <c r="S61" s="15">
        <f>R61+S57</f>
        <v/>
      </c>
      <c r="T61" s="15">
        <f>S61+T57</f>
        <v/>
      </c>
      <c r="U61" s="15">
        <f>T61+U57</f>
        <v/>
      </c>
      <c r="V61" s="15">
        <f>U61+V57</f>
        <v/>
      </c>
      <c r="W61" s="15">
        <f>V61+W57</f>
        <v/>
      </c>
      <c r="X61" s="15">
        <f>W61+X57</f>
        <v/>
      </c>
      <c r="Y61" s="15">
        <f>X61+Y57</f>
        <v/>
      </c>
      <c r="Z61" s="15">
        <f>Y61+Z57</f>
        <v/>
      </c>
      <c r="AA61" s="15">
        <f>Z61+AA57</f>
        <v/>
      </c>
      <c r="AB61" s="15">
        <f>AA61+AB57</f>
        <v/>
      </c>
      <c r="AC61" s="15">
        <f>AB61+AC57</f>
        <v/>
      </c>
      <c r="AD61" s="15">
        <f>AC61+AD57</f>
        <v/>
      </c>
      <c r="AE61" s="15">
        <f>AD61+AE57</f>
        <v/>
      </c>
      <c r="AF61" s="15">
        <f>AE61+AF57</f>
        <v/>
      </c>
      <c r="AG61" s="15">
        <f>AF61+AG57</f>
        <v/>
      </c>
      <c r="AH61" s="15">
        <f>AG61+AH57</f>
        <v/>
      </c>
      <c r="AI61" s="15">
        <f>AH61+AI57</f>
        <v/>
      </c>
      <c r="AJ61" s="15">
        <f>AI61+AJ57</f>
        <v/>
      </c>
      <c r="AK61" s="15">
        <f>AJ61+AK57</f>
        <v/>
      </c>
      <c r="AL61" s="15">
        <f>AK61+AL57</f>
        <v/>
      </c>
      <c r="AN61" s="15">
        <f>N61</f>
        <v/>
      </c>
      <c r="AO61" s="15">
        <f>Z61</f>
        <v/>
      </c>
      <c r="AP61" s="15">
        <f>AL61</f>
        <v/>
      </c>
    </row>
    <row r="62">
      <c r="A62" s="2" t="inlineStr">
        <is>
          <t>Trésorerie cumulée hors financement</t>
        </is>
      </c>
      <c r="B62" s="4" t="inlineStr">
        <is>
          <t>€</t>
        </is>
      </c>
      <c r="C62" s="40">
        <f>C60-C61</f>
        <v/>
      </c>
      <c r="D62" s="40">
        <f>D60-D61</f>
        <v/>
      </c>
      <c r="E62" s="40">
        <f>E60-E61</f>
        <v/>
      </c>
      <c r="F62" s="40">
        <f>F60-F61</f>
        <v/>
      </c>
      <c r="G62" s="40">
        <f>G60-G61</f>
        <v/>
      </c>
      <c r="H62" s="40">
        <f>H60-H61</f>
        <v/>
      </c>
      <c r="I62" s="40">
        <f>I60-I61</f>
        <v/>
      </c>
      <c r="J62" s="40">
        <f>J60-J61</f>
        <v/>
      </c>
      <c r="K62" s="40">
        <f>K60-K61</f>
        <v/>
      </c>
      <c r="L62" s="40">
        <f>L60-L61</f>
        <v/>
      </c>
      <c r="M62" s="40">
        <f>M60-M61</f>
        <v/>
      </c>
      <c r="N62" s="40">
        <f>N60-N61</f>
        <v/>
      </c>
      <c r="O62" s="40">
        <f>O60-O61</f>
        <v/>
      </c>
      <c r="P62" s="40">
        <f>P60-P61</f>
        <v/>
      </c>
      <c r="Q62" s="40">
        <f>Q60-Q61</f>
        <v/>
      </c>
      <c r="R62" s="40">
        <f>R60-R61</f>
        <v/>
      </c>
      <c r="S62" s="40">
        <f>S60-S61</f>
        <v/>
      </c>
      <c r="T62" s="40">
        <f>T60-T61</f>
        <v/>
      </c>
      <c r="U62" s="40">
        <f>U60-U61</f>
        <v/>
      </c>
      <c r="V62" s="40">
        <f>V60-V61</f>
        <v/>
      </c>
      <c r="W62" s="40">
        <f>W60-W61</f>
        <v/>
      </c>
      <c r="X62" s="40">
        <f>X60-X61</f>
        <v/>
      </c>
      <c r="Y62" s="40">
        <f>Y60-Y61</f>
        <v/>
      </c>
      <c r="Z62" s="40">
        <f>Z60-Z61</f>
        <v/>
      </c>
      <c r="AA62" s="40">
        <f>AA60-AA61</f>
        <v/>
      </c>
      <c r="AB62" s="40">
        <f>AB60-AB61</f>
        <v/>
      </c>
      <c r="AC62" s="40">
        <f>AC60-AC61</f>
        <v/>
      </c>
      <c r="AD62" s="40">
        <f>AD60-AD61</f>
        <v/>
      </c>
      <c r="AE62" s="40">
        <f>AE60-AE61</f>
        <v/>
      </c>
      <c r="AF62" s="40">
        <f>AF60-AF61</f>
        <v/>
      </c>
      <c r="AG62" s="40">
        <f>AG60-AG61</f>
        <v/>
      </c>
      <c r="AH62" s="40">
        <f>AH60-AH61</f>
        <v/>
      </c>
      <c r="AI62" s="40">
        <f>AI60-AI61</f>
        <v/>
      </c>
      <c r="AJ62" s="40">
        <f>AJ60-AJ61</f>
        <v/>
      </c>
      <c r="AK62" s="40">
        <f>AK60-AK61</f>
        <v/>
      </c>
      <c r="AL62" s="40">
        <f>AL60-AL61</f>
        <v/>
      </c>
      <c r="AN62" s="40">
        <f>N62</f>
        <v/>
      </c>
      <c r="AO62" s="40">
        <f>Z62</f>
        <v/>
      </c>
      <c r="AP62" s="40">
        <f>AL62</f>
        <v/>
      </c>
    </row>
    <row r="63">
      <c r="A63" s="9" t="inlineStr">
        <is>
          <t>Point bas glissant hors financement</t>
        </is>
      </c>
      <c r="B63" s="4" t="inlineStr">
        <is>
          <t>€</t>
        </is>
      </c>
      <c r="C63" s="15">
        <f>C62</f>
        <v/>
      </c>
      <c r="D63" s="15">
        <f>MIN(C63,D62)</f>
        <v/>
      </c>
      <c r="E63" s="15">
        <f>MIN(D63,E62)</f>
        <v/>
      </c>
      <c r="F63" s="15">
        <f>MIN(E63,F62)</f>
        <v/>
      </c>
      <c r="G63" s="15">
        <f>MIN(F63,G62)</f>
        <v/>
      </c>
      <c r="H63" s="15">
        <f>MIN(G63,H62)</f>
        <v/>
      </c>
      <c r="I63" s="15">
        <f>MIN(H63,I62)</f>
        <v/>
      </c>
      <c r="J63" s="15">
        <f>MIN(I63,J62)</f>
        <v/>
      </c>
      <c r="K63" s="15">
        <f>MIN(J63,K62)</f>
        <v/>
      </c>
      <c r="L63" s="15">
        <f>MIN(K63,L62)</f>
        <v/>
      </c>
      <c r="M63" s="15">
        <f>MIN(L63,M62)</f>
        <v/>
      </c>
      <c r="N63" s="15">
        <f>MIN(M63,N62)</f>
        <v/>
      </c>
      <c r="O63" s="15">
        <f>MIN(N63,O62)</f>
        <v/>
      </c>
      <c r="P63" s="15">
        <f>MIN(O63,P62)</f>
        <v/>
      </c>
      <c r="Q63" s="15">
        <f>MIN(P63,Q62)</f>
        <v/>
      </c>
      <c r="R63" s="15">
        <f>MIN(Q63,R62)</f>
        <v/>
      </c>
      <c r="S63" s="15">
        <f>MIN(R63,S62)</f>
        <v/>
      </c>
      <c r="T63" s="15">
        <f>MIN(S63,T62)</f>
        <v/>
      </c>
      <c r="U63" s="15">
        <f>MIN(T63,U62)</f>
        <v/>
      </c>
      <c r="V63" s="15">
        <f>MIN(U63,V62)</f>
        <v/>
      </c>
      <c r="W63" s="15">
        <f>MIN(V63,W62)</f>
        <v/>
      </c>
      <c r="X63" s="15">
        <f>MIN(W63,X62)</f>
        <v/>
      </c>
      <c r="Y63" s="15">
        <f>MIN(X63,Y62)</f>
        <v/>
      </c>
      <c r="Z63" s="15">
        <f>MIN(Y63,Z62)</f>
        <v/>
      </c>
      <c r="AA63" s="15">
        <f>MIN(Z63,AA62)</f>
        <v/>
      </c>
      <c r="AB63" s="15">
        <f>MIN(AA63,AB62)</f>
        <v/>
      </c>
      <c r="AC63" s="15">
        <f>MIN(AB63,AC62)</f>
        <v/>
      </c>
      <c r="AD63" s="15">
        <f>MIN(AC63,AD62)</f>
        <v/>
      </c>
      <c r="AE63" s="15">
        <f>MIN(AD63,AE62)</f>
        <v/>
      </c>
      <c r="AF63" s="15">
        <f>MIN(AE63,AF62)</f>
        <v/>
      </c>
      <c r="AG63" s="15">
        <f>MIN(AF63,AG62)</f>
        <v/>
      </c>
      <c r="AH63" s="15">
        <f>MIN(AG63,AH62)</f>
        <v/>
      </c>
      <c r="AI63" s="15">
        <f>MIN(AH63,AI62)</f>
        <v/>
      </c>
      <c r="AJ63" s="15">
        <f>MIN(AI63,AJ62)</f>
        <v/>
      </c>
      <c r="AK63" s="15">
        <f>MIN(AJ63,AK62)</f>
        <v/>
      </c>
      <c r="AL63" s="15">
        <f>MIN(AK63,AL62)</f>
        <v/>
      </c>
      <c r="AN63" s="15">
        <f>N63</f>
        <v/>
      </c>
      <c r="AO63" s="15">
        <f>Z63</f>
        <v/>
      </c>
      <c r="AP63" s="15">
        <f>AL63</f>
        <v/>
      </c>
    </row>
    <row r="64">
      <c r="A64" s="9" t="inlineStr">
        <is>
          <t>Trésorerie cumulée hors financement positive après lancement ? (1 = oui)</t>
        </is>
      </c>
      <c r="B64" s="4" t="inlineStr">
        <is>
          <t>0/1</t>
        </is>
      </c>
      <c r="C64" s="13">
        <f>IF(AND(C9=1,C62&gt;0),1,0)</f>
        <v/>
      </c>
      <c r="D64" s="13">
        <f>IF(AND(D9=1,D62&gt;0),1,0)</f>
        <v/>
      </c>
      <c r="E64" s="13">
        <f>IF(AND(E9=1,E62&gt;0),1,0)</f>
        <v/>
      </c>
      <c r="F64" s="13">
        <f>IF(AND(F9=1,F62&gt;0),1,0)</f>
        <v/>
      </c>
      <c r="G64" s="13">
        <f>IF(AND(G9=1,G62&gt;0),1,0)</f>
        <v/>
      </c>
      <c r="H64" s="13">
        <f>IF(AND(H9=1,H62&gt;0),1,0)</f>
        <v/>
      </c>
      <c r="I64" s="13">
        <f>IF(AND(I9=1,I62&gt;0),1,0)</f>
        <v/>
      </c>
      <c r="J64" s="13">
        <f>IF(AND(J9=1,J62&gt;0),1,0)</f>
        <v/>
      </c>
      <c r="K64" s="13">
        <f>IF(AND(K9=1,K62&gt;0),1,0)</f>
        <v/>
      </c>
      <c r="L64" s="13">
        <f>IF(AND(L9=1,L62&gt;0),1,0)</f>
        <v/>
      </c>
      <c r="M64" s="13">
        <f>IF(AND(M9=1,M62&gt;0),1,0)</f>
        <v/>
      </c>
      <c r="N64" s="13">
        <f>IF(AND(N9=1,N62&gt;0),1,0)</f>
        <v/>
      </c>
      <c r="O64" s="13">
        <f>IF(AND(O9=1,O62&gt;0),1,0)</f>
        <v/>
      </c>
      <c r="P64" s="13">
        <f>IF(AND(P9=1,P62&gt;0),1,0)</f>
        <v/>
      </c>
      <c r="Q64" s="13">
        <f>IF(AND(Q9=1,Q62&gt;0),1,0)</f>
        <v/>
      </c>
      <c r="R64" s="13">
        <f>IF(AND(R9=1,R62&gt;0),1,0)</f>
        <v/>
      </c>
      <c r="S64" s="13">
        <f>IF(AND(S9=1,S62&gt;0),1,0)</f>
        <v/>
      </c>
      <c r="T64" s="13">
        <f>IF(AND(T9=1,T62&gt;0),1,0)</f>
        <v/>
      </c>
      <c r="U64" s="13">
        <f>IF(AND(U9=1,U62&gt;0),1,0)</f>
        <v/>
      </c>
      <c r="V64" s="13">
        <f>IF(AND(V9=1,V62&gt;0),1,0)</f>
        <v/>
      </c>
      <c r="W64" s="13">
        <f>IF(AND(W9=1,W62&gt;0),1,0)</f>
        <v/>
      </c>
      <c r="X64" s="13">
        <f>IF(AND(X9=1,X62&gt;0),1,0)</f>
        <v/>
      </c>
      <c r="Y64" s="13">
        <f>IF(AND(Y9=1,Y62&gt;0),1,0)</f>
        <v/>
      </c>
      <c r="Z64" s="13">
        <f>IF(AND(Z9=1,Z62&gt;0),1,0)</f>
        <v/>
      </c>
      <c r="AA64" s="13">
        <f>IF(AND(AA9=1,AA62&gt;0),1,0)</f>
        <v/>
      </c>
      <c r="AB64" s="13">
        <f>IF(AND(AB9=1,AB62&gt;0),1,0)</f>
        <v/>
      </c>
      <c r="AC64" s="13">
        <f>IF(AND(AC9=1,AC62&gt;0),1,0)</f>
        <v/>
      </c>
      <c r="AD64" s="13">
        <f>IF(AND(AD9=1,AD62&gt;0),1,0)</f>
        <v/>
      </c>
      <c r="AE64" s="13">
        <f>IF(AND(AE9=1,AE62&gt;0),1,0)</f>
        <v/>
      </c>
      <c r="AF64" s="13">
        <f>IF(AND(AF9=1,AF62&gt;0),1,0)</f>
        <v/>
      </c>
      <c r="AG64" s="13">
        <f>IF(AND(AG9=1,AG62&gt;0),1,0)</f>
        <v/>
      </c>
      <c r="AH64" s="13">
        <f>IF(AND(AH9=1,AH62&gt;0),1,0)</f>
        <v/>
      </c>
      <c r="AI64" s="13">
        <f>IF(AND(AI9=1,AI62&gt;0),1,0)</f>
        <v/>
      </c>
      <c r="AJ64" s="13">
        <f>IF(AND(AJ9=1,AJ62&gt;0),1,0)</f>
        <v/>
      </c>
      <c r="AK64" s="13">
        <f>IF(AND(AK9=1,AK62&gt;0),1,0)</f>
        <v/>
      </c>
      <c r="AL64" s="13">
        <f>IF(AND(AL9=1,AL62&gt;0),1,0)</f>
        <v/>
      </c>
    </row>
    <row r="65">
      <c r="A65" s="8" t="inlineStr">
        <is>
          <t>Indicateurs</t>
        </is>
      </c>
    </row>
    <row r="66">
      <c r="A66" s="9" t="inlineStr">
        <is>
          <t>ARR HT instantané (CA HT × 12)</t>
        </is>
      </c>
      <c r="B66" s="4" t="inlineStr">
        <is>
          <t>€ HT</t>
        </is>
      </c>
      <c r="C66" s="15">
        <f>C28*12</f>
        <v/>
      </c>
      <c r="D66" s="15">
        <f>D28*12</f>
        <v/>
      </c>
      <c r="E66" s="15">
        <f>E28*12</f>
        <v/>
      </c>
      <c r="F66" s="15">
        <f>F28*12</f>
        <v/>
      </c>
      <c r="G66" s="15">
        <f>G28*12</f>
        <v/>
      </c>
      <c r="H66" s="15">
        <f>H28*12</f>
        <v/>
      </c>
      <c r="I66" s="15">
        <f>I28*12</f>
        <v/>
      </c>
      <c r="J66" s="15">
        <f>J28*12</f>
        <v/>
      </c>
      <c r="K66" s="15">
        <f>K28*12</f>
        <v/>
      </c>
      <c r="L66" s="15">
        <f>L28*12</f>
        <v/>
      </c>
      <c r="M66" s="15">
        <f>M28*12</f>
        <v/>
      </c>
      <c r="N66" s="15">
        <f>N28*12</f>
        <v/>
      </c>
      <c r="O66" s="15">
        <f>O28*12</f>
        <v/>
      </c>
      <c r="P66" s="15">
        <f>P28*12</f>
        <v/>
      </c>
      <c r="Q66" s="15">
        <f>Q28*12</f>
        <v/>
      </c>
      <c r="R66" s="15">
        <f>R28*12</f>
        <v/>
      </c>
      <c r="S66" s="15">
        <f>S28*12</f>
        <v/>
      </c>
      <c r="T66" s="15">
        <f>T28*12</f>
        <v/>
      </c>
      <c r="U66" s="15">
        <f>U28*12</f>
        <v/>
      </c>
      <c r="V66" s="15">
        <f>V28*12</f>
        <v/>
      </c>
      <c r="W66" s="15">
        <f>W28*12</f>
        <v/>
      </c>
      <c r="X66" s="15">
        <f>X28*12</f>
        <v/>
      </c>
      <c r="Y66" s="15">
        <f>Y28*12</f>
        <v/>
      </c>
      <c r="Z66" s="15">
        <f>Z28*12</f>
        <v/>
      </c>
      <c r="AA66" s="15">
        <f>AA28*12</f>
        <v/>
      </c>
      <c r="AB66" s="15">
        <f>AB28*12</f>
        <v/>
      </c>
      <c r="AC66" s="15">
        <f>AC28*12</f>
        <v/>
      </c>
      <c r="AD66" s="15">
        <f>AD28*12</f>
        <v/>
      </c>
      <c r="AE66" s="15">
        <f>AE28*12</f>
        <v/>
      </c>
      <c r="AF66" s="15">
        <f>AF28*12</f>
        <v/>
      </c>
      <c r="AG66" s="15">
        <f>AG28*12</f>
        <v/>
      </c>
      <c r="AH66" s="15">
        <f>AH28*12</f>
        <v/>
      </c>
      <c r="AI66" s="15">
        <f>AI28*12</f>
        <v/>
      </c>
      <c r="AJ66" s="15">
        <f>AJ28*12</f>
        <v/>
      </c>
      <c r="AK66" s="15">
        <f>AK28*12</f>
        <v/>
      </c>
      <c r="AL66" s="15">
        <f>AL28*12</f>
        <v/>
      </c>
      <c r="AN66" s="15">
        <f>N66</f>
        <v/>
      </c>
      <c r="AO66" s="15">
        <f>Z66</f>
        <v/>
      </c>
      <c r="AP66" s="15">
        <f>AL66</f>
        <v/>
      </c>
    </row>
    <row r="67">
      <c r="A67" s="9" t="inlineStr">
        <is>
          <t>ARPA HT (CA HT / abonnés)</t>
        </is>
      </c>
      <c r="B67" s="4" t="inlineStr">
        <is>
          <t>€ HT</t>
        </is>
      </c>
      <c r="C67" s="19">
        <f>IF(C18&gt;0,C28/C18,0)</f>
        <v/>
      </c>
      <c r="D67" s="19">
        <f>IF(D18&gt;0,D28/D18,0)</f>
        <v/>
      </c>
      <c r="E67" s="19">
        <f>IF(E18&gt;0,E28/E18,0)</f>
        <v/>
      </c>
      <c r="F67" s="19">
        <f>IF(F18&gt;0,F28/F18,0)</f>
        <v/>
      </c>
      <c r="G67" s="19">
        <f>IF(G18&gt;0,G28/G18,0)</f>
        <v/>
      </c>
      <c r="H67" s="19">
        <f>IF(H18&gt;0,H28/H18,0)</f>
        <v/>
      </c>
      <c r="I67" s="19">
        <f>IF(I18&gt;0,I28/I18,0)</f>
        <v/>
      </c>
      <c r="J67" s="19">
        <f>IF(J18&gt;0,J28/J18,0)</f>
        <v/>
      </c>
      <c r="K67" s="19">
        <f>IF(K18&gt;0,K28/K18,0)</f>
        <v/>
      </c>
      <c r="L67" s="19">
        <f>IF(L18&gt;0,L28/L18,0)</f>
        <v/>
      </c>
      <c r="M67" s="19">
        <f>IF(M18&gt;0,M28/M18,0)</f>
        <v/>
      </c>
      <c r="N67" s="19">
        <f>IF(N18&gt;0,N28/N18,0)</f>
        <v/>
      </c>
      <c r="O67" s="19">
        <f>IF(O18&gt;0,O28/O18,0)</f>
        <v/>
      </c>
      <c r="P67" s="19">
        <f>IF(P18&gt;0,P28/P18,0)</f>
        <v/>
      </c>
      <c r="Q67" s="19">
        <f>IF(Q18&gt;0,Q28/Q18,0)</f>
        <v/>
      </c>
      <c r="R67" s="19">
        <f>IF(R18&gt;0,R28/R18,0)</f>
        <v/>
      </c>
      <c r="S67" s="19">
        <f>IF(S18&gt;0,S28/S18,0)</f>
        <v/>
      </c>
      <c r="T67" s="19">
        <f>IF(T18&gt;0,T28/T18,0)</f>
        <v/>
      </c>
      <c r="U67" s="19">
        <f>IF(U18&gt;0,U28/U18,0)</f>
        <v/>
      </c>
      <c r="V67" s="19">
        <f>IF(V18&gt;0,V28/V18,0)</f>
        <v/>
      </c>
      <c r="W67" s="19">
        <f>IF(W18&gt;0,W28/W18,0)</f>
        <v/>
      </c>
      <c r="X67" s="19">
        <f>IF(X18&gt;0,X28/X18,0)</f>
        <v/>
      </c>
      <c r="Y67" s="19">
        <f>IF(Y18&gt;0,Y28/Y18,0)</f>
        <v/>
      </c>
      <c r="Z67" s="19">
        <f>IF(Z18&gt;0,Z28/Z18,0)</f>
        <v/>
      </c>
      <c r="AA67" s="19">
        <f>IF(AA18&gt;0,AA28/AA18,0)</f>
        <v/>
      </c>
      <c r="AB67" s="19">
        <f>IF(AB18&gt;0,AB28/AB18,0)</f>
        <v/>
      </c>
      <c r="AC67" s="19">
        <f>IF(AC18&gt;0,AC28/AC18,0)</f>
        <v/>
      </c>
      <c r="AD67" s="19">
        <f>IF(AD18&gt;0,AD28/AD18,0)</f>
        <v/>
      </c>
      <c r="AE67" s="19">
        <f>IF(AE18&gt;0,AE28/AE18,0)</f>
        <v/>
      </c>
      <c r="AF67" s="19">
        <f>IF(AF18&gt;0,AF28/AF18,0)</f>
        <v/>
      </c>
      <c r="AG67" s="19">
        <f>IF(AG18&gt;0,AG28/AG18,0)</f>
        <v/>
      </c>
      <c r="AH67" s="19">
        <f>IF(AH18&gt;0,AH28/AH18,0)</f>
        <v/>
      </c>
      <c r="AI67" s="19">
        <f>IF(AI18&gt;0,AI28/AI18,0)</f>
        <v/>
      </c>
      <c r="AJ67" s="19">
        <f>IF(AJ18&gt;0,AJ28/AJ18,0)</f>
        <v/>
      </c>
      <c r="AK67" s="19">
        <f>IF(AK18&gt;0,AK28/AK18,0)</f>
        <v/>
      </c>
      <c r="AL67" s="19">
        <f>IF(AL18&gt;0,AL28/AL18,0)</f>
        <v/>
      </c>
      <c r="AN67" s="19">
        <f>N67</f>
        <v/>
      </c>
      <c r="AO67" s="19">
        <f>Z67</f>
        <v/>
      </c>
      <c r="AP67" s="19">
        <f>AL67</f>
        <v/>
      </c>
    </row>
    <row r="68">
      <c r="A68" s="9" t="inlineStr">
        <is>
          <t>Coût variable par abonné</t>
        </is>
      </c>
      <c r="B68" s="4" t="inlineStr">
        <is>
          <t>€ HT</t>
        </is>
      </c>
      <c r="C68" s="19">
        <f>IF(C18&gt;0,C36/C18,0)</f>
        <v/>
      </c>
      <c r="D68" s="19">
        <f>IF(D18&gt;0,D36/D18,0)</f>
        <v/>
      </c>
      <c r="E68" s="19">
        <f>IF(E18&gt;0,E36/E18,0)</f>
        <v/>
      </c>
      <c r="F68" s="19">
        <f>IF(F18&gt;0,F36/F18,0)</f>
        <v/>
      </c>
      <c r="G68" s="19">
        <f>IF(G18&gt;0,G36/G18,0)</f>
        <v/>
      </c>
      <c r="H68" s="19">
        <f>IF(H18&gt;0,H36/H18,0)</f>
        <v/>
      </c>
      <c r="I68" s="19">
        <f>IF(I18&gt;0,I36/I18,0)</f>
        <v/>
      </c>
      <c r="J68" s="19">
        <f>IF(J18&gt;0,J36/J18,0)</f>
        <v/>
      </c>
      <c r="K68" s="19">
        <f>IF(K18&gt;0,K36/K18,0)</f>
        <v/>
      </c>
      <c r="L68" s="19">
        <f>IF(L18&gt;0,L36/L18,0)</f>
        <v/>
      </c>
      <c r="M68" s="19">
        <f>IF(M18&gt;0,M36/M18,0)</f>
        <v/>
      </c>
      <c r="N68" s="19">
        <f>IF(N18&gt;0,N36/N18,0)</f>
        <v/>
      </c>
      <c r="O68" s="19">
        <f>IF(O18&gt;0,O36/O18,0)</f>
        <v/>
      </c>
      <c r="P68" s="19">
        <f>IF(P18&gt;0,P36/P18,0)</f>
        <v/>
      </c>
      <c r="Q68" s="19">
        <f>IF(Q18&gt;0,Q36/Q18,0)</f>
        <v/>
      </c>
      <c r="R68" s="19">
        <f>IF(R18&gt;0,R36/R18,0)</f>
        <v/>
      </c>
      <c r="S68" s="19">
        <f>IF(S18&gt;0,S36/S18,0)</f>
        <v/>
      </c>
      <c r="T68" s="19">
        <f>IF(T18&gt;0,T36/T18,0)</f>
        <v/>
      </c>
      <c r="U68" s="19">
        <f>IF(U18&gt;0,U36/U18,0)</f>
        <v/>
      </c>
      <c r="V68" s="19">
        <f>IF(V18&gt;0,V36/V18,0)</f>
        <v/>
      </c>
      <c r="W68" s="19">
        <f>IF(W18&gt;0,W36/W18,0)</f>
        <v/>
      </c>
      <c r="X68" s="19">
        <f>IF(X18&gt;0,X36/X18,0)</f>
        <v/>
      </c>
      <c r="Y68" s="19">
        <f>IF(Y18&gt;0,Y36/Y18,0)</f>
        <v/>
      </c>
      <c r="Z68" s="19">
        <f>IF(Z18&gt;0,Z36/Z18,0)</f>
        <v/>
      </c>
      <c r="AA68" s="19">
        <f>IF(AA18&gt;0,AA36/AA18,0)</f>
        <v/>
      </c>
      <c r="AB68" s="19">
        <f>IF(AB18&gt;0,AB36/AB18,0)</f>
        <v/>
      </c>
      <c r="AC68" s="19">
        <f>IF(AC18&gt;0,AC36/AC18,0)</f>
        <v/>
      </c>
      <c r="AD68" s="19">
        <f>IF(AD18&gt;0,AD36/AD18,0)</f>
        <v/>
      </c>
      <c r="AE68" s="19">
        <f>IF(AE18&gt;0,AE36/AE18,0)</f>
        <v/>
      </c>
      <c r="AF68" s="19">
        <f>IF(AF18&gt;0,AF36/AF18,0)</f>
        <v/>
      </c>
      <c r="AG68" s="19">
        <f>IF(AG18&gt;0,AG36/AG18,0)</f>
        <v/>
      </c>
      <c r="AH68" s="19">
        <f>IF(AH18&gt;0,AH36/AH18,0)</f>
        <v/>
      </c>
      <c r="AI68" s="19">
        <f>IF(AI18&gt;0,AI36/AI18,0)</f>
        <v/>
      </c>
      <c r="AJ68" s="19">
        <f>IF(AJ18&gt;0,AJ36/AJ18,0)</f>
        <v/>
      </c>
      <c r="AK68" s="19">
        <f>IF(AK18&gt;0,AK36/AK18,0)</f>
        <v/>
      </c>
      <c r="AL68" s="19">
        <f>IF(AL18&gt;0,AL36/AL18,0)</f>
        <v/>
      </c>
      <c r="AN68" s="19">
        <f>N68</f>
        <v/>
      </c>
      <c r="AO68" s="19">
        <f>Z68</f>
        <v/>
      </c>
      <c r="AP68" s="19">
        <f>AL68</f>
        <v/>
      </c>
    </row>
    <row r="69">
      <c r="A69" s="9" t="inlineStr">
        <is>
          <t>Contribution par abonné</t>
        </is>
      </c>
      <c r="B69" s="4" t="inlineStr">
        <is>
          <t>€ HT</t>
        </is>
      </c>
      <c r="C69" s="19">
        <f>IF(C18&gt;0,C37/C18,0)</f>
        <v/>
      </c>
      <c r="D69" s="19">
        <f>IF(D18&gt;0,D37/D18,0)</f>
        <v/>
      </c>
      <c r="E69" s="19">
        <f>IF(E18&gt;0,E37/E18,0)</f>
        <v/>
      </c>
      <c r="F69" s="19">
        <f>IF(F18&gt;0,F37/F18,0)</f>
        <v/>
      </c>
      <c r="G69" s="19">
        <f>IF(G18&gt;0,G37/G18,0)</f>
        <v/>
      </c>
      <c r="H69" s="19">
        <f>IF(H18&gt;0,H37/H18,0)</f>
        <v/>
      </c>
      <c r="I69" s="19">
        <f>IF(I18&gt;0,I37/I18,0)</f>
        <v/>
      </c>
      <c r="J69" s="19">
        <f>IF(J18&gt;0,J37/J18,0)</f>
        <v/>
      </c>
      <c r="K69" s="19">
        <f>IF(K18&gt;0,K37/K18,0)</f>
        <v/>
      </c>
      <c r="L69" s="19">
        <f>IF(L18&gt;0,L37/L18,0)</f>
        <v/>
      </c>
      <c r="M69" s="19">
        <f>IF(M18&gt;0,M37/M18,0)</f>
        <v/>
      </c>
      <c r="N69" s="19">
        <f>IF(N18&gt;0,N37/N18,0)</f>
        <v/>
      </c>
      <c r="O69" s="19">
        <f>IF(O18&gt;0,O37/O18,0)</f>
        <v/>
      </c>
      <c r="P69" s="19">
        <f>IF(P18&gt;0,P37/P18,0)</f>
        <v/>
      </c>
      <c r="Q69" s="19">
        <f>IF(Q18&gt;0,Q37/Q18,0)</f>
        <v/>
      </c>
      <c r="R69" s="19">
        <f>IF(R18&gt;0,R37/R18,0)</f>
        <v/>
      </c>
      <c r="S69" s="19">
        <f>IF(S18&gt;0,S37/S18,0)</f>
        <v/>
      </c>
      <c r="T69" s="19">
        <f>IF(T18&gt;0,T37/T18,0)</f>
        <v/>
      </c>
      <c r="U69" s="19">
        <f>IF(U18&gt;0,U37/U18,0)</f>
        <v/>
      </c>
      <c r="V69" s="19">
        <f>IF(V18&gt;0,V37/V18,0)</f>
        <v/>
      </c>
      <c r="W69" s="19">
        <f>IF(W18&gt;0,W37/W18,0)</f>
        <v/>
      </c>
      <c r="X69" s="19">
        <f>IF(X18&gt;0,X37/X18,0)</f>
        <v/>
      </c>
      <c r="Y69" s="19">
        <f>IF(Y18&gt;0,Y37/Y18,0)</f>
        <v/>
      </c>
      <c r="Z69" s="19">
        <f>IF(Z18&gt;0,Z37/Z18,0)</f>
        <v/>
      </c>
      <c r="AA69" s="19">
        <f>IF(AA18&gt;0,AA37/AA18,0)</f>
        <v/>
      </c>
      <c r="AB69" s="19">
        <f>IF(AB18&gt;0,AB37/AB18,0)</f>
        <v/>
      </c>
      <c r="AC69" s="19">
        <f>IF(AC18&gt;0,AC37/AC18,0)</f>
        <v/>
      </c>
      <c r="AD69" s="19">
        <f>IF(AD18&gt;0,AD37/AD18,0)</f>
        <v/>
      </c>
      <c r="AE69" s="19">
        <f>IF(AE18&gt;0,AE37/AE18,0)</f>
        <v/>
      </c>
      <c r="AF69" s="19">
        <f>IF(AF18&gt;0,AF37/AF18,0)</f>
        <v/>
      </c>
      <c r="AG69" s="19">
        <f>IF(AG18&gt;0,AG37/AG18,0)</f>
        <v/>
      </c>
      <c r="AH69" s="19">
        <f>IF(AH18&gt;0,AH37/AH18,0)</f>
        <v/>
      </c>
      <c r="AI69" s="19">
        <f>IF(AI18&gt;0,AI37/AI18,0)</f>
        <v/>
      </c>
      <c r="AJ69" s="19">
        <f>IF(AJ18&gt;0,AJ37/AJ18,0)</f>
        <v/>
      </c>
      <c r="AK69" s="19">
        <f>IF(AK18&gt;0,AK37/AK18,0)</f>
        <v/>
      </c>
      <c r="AL69" s="19">
        <f>IF(AL18&gt;0,AL37/AL18,0)</f>
        <v/>
      </c>
      <c r="AN69" s="19">
        <f>N69</f>
        <v/>
      </c>
      <c r="AO69" s="19">
        <f>Z69</f>
        <v/>
      </c>
      <c r="AP69" s="19">
        <f>AL69</f>
        <v/>
      </c>
    </row>
    <row r="70">
      <c r="A70" s="9" t="inlineStr">
        <is>
          <t>Marge variable (% du CA HT)</t>
        </is>
      </c>
      <c r="B70" s="4" t="inlineStr">
        <is>
          <t>%</t>
        </is>
      </c>
      <c r="C70" s="17">
        <f>IF(C28&gt;0,C37/C28,0)</f>
        <v/>
      </c>
      <c r="D70" s="17">
        <f>IF(D28&gt;0,D37/D28,0)</f>
        <v/>
      </c>
      <c r="E70" s="17">
        <f>IF(E28&gt;0,E37/E28,0)</f>
        <v/>
      </c>
      <c r="F70" s="17">
        <f>IF(F28&gt;0,F37/F28,0)</f>
        <v/>
      </c>
      <c r="G70" s="17">
        <f>IF(G28&gt;0,G37/G28,0)</f>
        <v/>
      </c>
      <c r="H70" s="17">
        <f>IF(H28&gt;0,H37/H28,0)</f>
        <v/>
      </c>
      <c r="I70" s="17">
        <f>IF(I28&gt;0,I37/I28,0)</f>
        <v/>
      </c>
      <c r="J70" s="17">
        <f>IF(J28&gt;0,J37/J28,0)</f>
        <v/>
      </c>
      <c r="K70" s="17">
        <f>IF(K28&gt;0,K37/K28,0)</f>
        <v/>
      </c>
      <c r="L70" s="17">
        <f>IF(L28&gt;0,L37/L28,0)</f>
        <v/>
      </c>
      <c r="M70" s="17">
        <f>IF(M28&gt;0,M37/M28,0)</f>
        <v/>
      </c>
      <c r="N70" s="17">
        <f>IF(N28&gt;0,N37/N28,0)</f>
        <v/>
      </c>
      <c r="O70" s="17">
        <f>IF(O28&gt;0,O37/O28,0)</f>
        <v/>
      </c>
      <c r="P70" s="17">
        <f>IF(P28&gt;0,P37/P28,0)</f>
        <v/>
      </c>
      <c r="Q70" s="17">
        <f>IF(Q28&gt;0,Q37/Q28,0)</f>
        <v/>
      </c>
      <c r="R70" s="17">
        <f>IF(R28&gt;0,R37/R28,0)</f>
        <v/>
      </c>
      <c r="S70" s="17">
        <f>IF(S28&gt;0,S37/S28,0)</f>
        <v/>
      </c>
      <c r="T70" s="17">
        <f>IF(T28&gt;0,T37/T28,0)</f>
        <v/>
      </c>
      <c r="U70" s="17">
        <f>IF(U28&gt;0,U37/U28,0)</f>
        <v/>
      </c>
      <c r="V70" s="17">
        <f>IF(V28&gt;0,V37/V28,0)</f>
        <v/>
      </c>
      <c r="W70" s="17">
        <f>IF(W28&gt;0,W37/W28,0)</f>
        <v/>
      </c>
      <c r="X70" s="17">
        <f>IF(X28&gt;0,X37/X28,0)</f>
        <v/>
      </c>
      <c r="Y70" s="17">
        <f>IF(Y28&gt;0,Y37/Y28,0)</f>
        <v/>
      </c>
      <c r="Z70" s="17">
        <f>IF(Z28&gt;0,Z37/Z28,0)</f>
        <v/>
      </c>
      <c r="AA70" s="17">
        <f>IF(AA28&gt;0,AA37/AA28,0)</f>
        <v/>
      </c>
      <c r="AB70" s="17">
        <f>IF(AB28&gt;0,AB37/AB28,0)</f>
        <v/>
      </c>
      <c r="AC70" s="17">
        <f>IF(AC28&gt;0,AC37/AC28,0)</f>
        <v/>
      </c>
      <c r="AD70" s="17">
        <f>IF(AD28&gt;0,AD37/AD28,0)</f>
        <v/>
      </c>
      <c r="AE70" s="17">
        <f>IF(AE28&gt;0,AE37/AE28,0)</f>
        <v/>
      </c>
      <c r="AF70" s="17">
        <f>IF(AF28&gt;0,AF37/AF28,0)</f>
        <v/>
      </c>
      <c r="AG70" s="17">
        <f>IF(AG28&gt;0,AG37/AG28,0)</f>
        <v/>
      </c>
      <c r="AH70" s="17">
        <f>IF(AH28&gt;0,AH37/AH28,0)</f>
        <v/>
      </c>
      <c r="AI70" s="17">
        <f>IF(AI28&gt;0,AI37/AI28,0)</f>
        <v/>
      </c>
      <c r="AJ70" s="17">
        <f>IF(AJ28&gt;0,AJ37/AJ28,0)</f>
        <v/>
      </c>
      <c r="AK70" s="17">
        <f>IF(AK28&gt;0,AK37/AK28,0)</f>
        <v/>
      </c>
      <c r="AL70" s="17">
        <f>IF(AL28&gt;0,AL37/AL28,0)</f>
        <v/>
      </c>
      <c r="AN70" s="17">
        <f>N70</f>
        <v/>
      </c>
      <c r="AO70" s="17">
        <f>Z70</f>
        <v/>
      </c>
      <c r="AP70" s="17">
        <f>AL70</f>
        <v/>
      </c>
    </row>
    <row r="71">
      <c r="A71" s="9" t="inlineStr">
        <is>
          <t>CAC effectif</t>
        </is>
      </c>
      <c r="B71" s="4" t="inlineStr">
        <is>
          <t>€</t>
        </is>
      </c>
      <c r="C71" s="15">
        <f>IF(C14&gt;0,C39/C14,0)</f>
        <v/>
      </c>
      <c r="D71" s="15">
        <f>IF(D14&gt;0,D39/D14,0)</f>
        <v/>
      </c>
      <c r="E71" s="15">
        <f>IF(E14&gt;0,E39/E14,0)</f>
        <v/>
      </c>
      <c r="F71" s="15">
        <f>IF(F14&gt;0,F39/F14,0)</f>
        <v/>
      </c>
      <c r="G71" s="15">
        <f>IF(G14&gt;0,G39/G14,0)</f>
        <v/>
      </c>
      <c r="H71" s="15">
        <f>IF(H14&gt;0,H39/H14,0)</f>
        <v/>
      </c>
      <c r="I71" s="15">
        <f>IF(I14&gt;0,I39/I14,0)</f>
        <v/>
      </c>
      <c r="J71" s="15">
        <f>IF(J14&gt;0,J39/J14,0)</f>
        <v/>
      </c>
      <c r="K71" s="15">
        <f>IF(K14&gt;0,K39/K14,0)</f>
        <v/>
      </c>
      <c r="L71" s="15">
        <f>IF(L14&gt;0,L39/L14,0)</f>
        <v/>
      </c>
      <c r="M71" s="15">
        <f>IF(M14&gt;0,M39/M14,0)</f>
        <v/>
      </c>
      <c r="N71" s="15">
        <f>IF(N14&gt;0,N39/N14,0)</f>
        <v/>
      </c>
      <c r="O71" s="15">
        <f>IF(O14&gt;0,O39/O14,0)</f>
        <v/>
      </c>
      <c r="P71" s="15">
        <f>IF(P14&gt;0,P39/P14,0)</f>
        <v/>
      </c>
      <c r="Q71" s="15">
        <f>IF(Q14&gt;0,Q39/Q14,0)</f>
        <v/>
      </c>
      <c r="R71" s="15">
        <f>IF(R14&gt;0,R39/R14,0)</f>
        <v/>
      </c>
      <c r="S71" s="15">
        <f>IF(S14&gt;0,S39/S14,0)</f>
        <v/>
      </c>
      <c r="T71" s="15">
        <f>IF(T14&gt;0,T39/T14,0)</f>
        <v/>
      </c>
      <c r="U71" s="15">
        <f>IF(U14&gt;0,U39/U14,0)</f>
        <v/>
      </c>
      <c r="V71" s="15">
        <f>IF(V14&gt;0,V39/V14,0)</f>
        <v/>
      </c>
      <c r="W71" s="15">
        <f>IF(W14&gt;0,W39/W14,0)</f>
        <v/>
      </c>
      <c r="X71" s="15">
        <f>IF(X14&gt;0,X39/X14,0)</f>
        <v/>
      </c>
      <c r="Y71" s="15">
        <f>IF(Y14&gt;0,Y39/Y14,0)</f>
        <v/>
      </c>
      <c r="Z71" s="15">
        <f>IF(Z14&gt;0,Z39/Z14,0)</f>
        <v/>
      </c>
      <c r="AA71" s="15">
        <f>IF(AA14&gt;0,AA39/AA14,0)</f>
        <v/>
      </c>
      <c r="AB71" s="15">
        <f>IF(AB14&gt;0,AB39/AB14,0)</f>
        <v/>
      </c>
      <c r="AC71" s="15">
        <f>IF(AC14&gt;0,AC39/AC14,0)</f>
        <v/>
      </c>
      <c r="AD71" s="15">
        <f>IF(AD14&gt;0,AD39/AD14,0)</f>
        <v/>
      </c>
      <c r="AE71" s="15">
        <f>IF(AE14&gt;0,AE39/AE14,0)</f>
        <v/>
      </c>
      <c r="AF71" s="15">
        <f>IF(AF14&gt;0,AF39/AF14,0)</f>
        <v/>
      </c>
      <c r="AG71" s="15">
        <f>IF(AG14&gt;0,AG39/AG14,0)</f>
        <v/>
      </c>
      <c r="AH71" s="15">
        <f>IF(AH14&gt;0,AH39/AH14,0)</f>
        <v/>
      </c>
      <c r="AI71" s="15">
        <f>IF(AI14&gt;0,AI39/AI14,0)</f>
        <v/>
      </c>
      <c r="AJ71" s="15">
        <f>IF(AJ14&gt;0,AJ39/AJ14,0)</f>
        <v/>
      </c>
      <c r="AK71" s="15">
        <f>IF(AK14&gt;0,AK39/AK14,0)</f>
        <v/>
      </c>
      <c r="AL71" s="15">
        <f>IF(AL14&gt;0,AL39/AL14,0)</f>
        <v/>
      </c>
      <c r="AN71" s="15">
        <f>N71</f>
        <v/>
      </c>
      <c r="AO71" s="15">
        <f>Z71</f>
        <v/>
      </c>
      <c r="AP71" s="15">
        <f>AL71</f>
        <v/>
      </c>
    </row>
    <row r="72">
      <c r="A72" s="9" t="inlineStr">
        <is>
          <t>Payback du CAC (mois)</t>
        </is>
      </c>
      <c r="B72" s="4" t="inlineStr">
        <is>
          <t>mois</t>
        </is>
      </c>
      <c r="C72" s="38">
        <f>IF(C69&gt;0,Hypothèses!$D$23*$E$4/C69,0)</f>
        <v/>
      </c>
      <c r="D72" s="38">
        <f>IF(D69&gt;0,Hypothèses!$D$23*$E$4/D69,0)</f>
        <v/>
      </c>
      <c r="E72" s="38">
        <f>IF(E69&gt;0,Hypothèses!$D$23*$E$4/E69,0)</f>
        <v/>
      </c>
      <c r="F72" s="38">
        <f>IF(F69&gt;0,Hypothèses!$D$23*$E$4/F69,0)</f>
        <v/>
      </c>
      <c r="G72" s="38">
        <f>IF(G69&gt;0,Hypothèses!$D$23*$E$4/G69,0)</f>
        <v/>
      </c>
      <c r="H72" s="38">
        <f>IF(H69&gt;0,Hypothèses!$D$23*$E$4/H69,0)</f>
        <v/>
      </c>
      <c r="I72" s="38">
        <f>IF(I69&gt;0,Hypothèses!$D$23*$E$4/I69,0)</f>
        <v/>
      </c>
      <c r="J72" s="38">
        <f>IF(J69&gt;0,Hypothèses!$D$23*$E$4/J69,0)</f>
        <v/>
      </c>
      <c r="K72" s="38">
        <f>IF(K69&gt;0,Hypothèses!$D$23*$E$4/K69,0)</f>
        <v/>
      </c>
      <c r="L72" s="38">
        <f>IF(L69&gt;0,Hypothèses!$D$23*$E$4/L69,0)</f>
        <v/>
      </c>
      <c r="M72" s="38">
        <f>IF(M69&gt;0,Hypothèses!$D$23*$E$4/M69,0)</f>
        <v/>
      </c>
      <c r="N72" s="38">
        <f>IF(N69&gt;0,Hypothèses!$D$23*$E$4/N69,0)</f>
        <v/>
      </c>
      <c r="O72" s="38">
        <f>IF(O69&gt;0,Hypothèses!$D$23*$E$4/O69,0)</f>
        <v/>
      </c>
      <c r="P72" s="38">
        <f>IF(P69&gt;0,Hypothèses!$D$23*$E$4/P69,0)</f>
        <v/>
      </c>
      <c r="Q72" s="38">
        <f>IF(Q69&gt;0,Hypothèses!$D$23*$E$4/Q69,0)</f>
        <v/>
      </c>
      <c r="R72" s="38">
        <f>IF(R69&gt;0,Hypothèses!$D$23*$E$4/R69,0)</f>
        <v/>
      </c>
      <c r="S72" s="38">
        <f>IF(S69&gt;0,Hypothèses!$D$23*$E$4/S69,0)</f>
        <v/>
      </c>
      <c r="T72" s="38">
        <f>IF(T69&gt;0,Hypothèses!$D$23*$E$4/T69,0)</f>
        <v/>
      </c>
      <c r="U72" s="38">
        <f>IF(U69&gt;0,Hypothèses!$D$23*$E$4/U69,0)</f>
        <v/>
      </c>
      <c r="V72" s="38">
        <f>IF(V69&gt;0,Hypothèses!$D$23*$E$4/V69,0)</f>
        <v/>
      </c>
      <c r="W72" s="38">
        <f>IF(W69&gt;0,Hypothèses!$D$23*$E$4/W69,0)</f>
        <v/>
      </c>
      <c r="X72" s="38">
        <f>IF(X69&gt;0,Hypothèses!$D$23*$E$4/X69,0)</f>
        <v/>
      </c>
      <c r="Y72" s="38">
        <f>IF(Y69&gt;0,Hypothèses!$D$23*$E$4/Y69,0)</f>
        <v/>
      </c>
      <c r="Z72" s="38">
        <f>IF(Z69&gt;0,Hypothèses!$D$23*$E$4/Z69,0)</f>
        <v/>
      </c>
      <c r="AA72" s="38">
        <f>IF(AA69&gt;0,Hypothèses!$D$23*$E$4/AA69,0)</f>
        <v/>
      </c>
      <c r="AB72" s="38">
        <f>IF(AB69&gt;0,Hypothèses!$D$23*$E$4/AB69,0)</f>
        <v/>
      </c>
      <c r="AC72" s="38">
        <f>IF(AC69&gt;0,Hypothèses!$D$23*$E$4/AC69,0)</f>
        <v/>
      </c>
      <c r="AD72" s="38">
        <f>IF(AD69&gt;0,Hypothèses!$D$23*$E$4/AD69,0)</f>
        <v/>
      </c>
      <c r="AE72" s="38">
        <f>IF(AE69&gt;0,Hypothèses!$D$23*$E$4/AE69,0)</f>
        <v/>
      </c>
      <c r="AF72" s="38">
        <f>IF(AF69&gt;0,Hypothèses!$D$23*$E$4/AF69,0)</f>
        <v/>
      </c>
      <c r="AG72" s="38">
        <f>IF(AG69&gt;0,Hypothèses!$D$23*$E$4/AG69,0)</f>
        <v/>
      </c>
      <c r="AH72" s="38">
        <f>IF(AH69&gt;0,Hypothèses!$D$23*$E$4/AH69,0)</f>
        <v/>
      </c>
      <c r="AI72" s="38">
        <f>IF(AI69&gt;0,Hypothèses!$D$23*$E$4/AI69,0)</f>
        <v/>
      </c>
      <c r="AJ72" s="38">
        <f>IF(AJ69&gt;0,Hypothèses!$D$23*$E$4/AJ69,0)</f>
        <v/>
      </c>
      <c r="AK72" s="38">
        <f>IF(AK69&gt;0,Hypothèses!$D$23*$E$4/AK69,0)</f>
        <v/>
      </c>
      <c r="AL72" s="38">
        <f>IF(AL69&gt;0,Hypothèses!$D$23*$E$4/AL69,0)</f>
        <v/>
      </c>
      <c r="AN72" s="38">
        <f>N72</f>
        <v/>
      </c>
      <c r="AO72" s="38">
        <f>Z72</f>
        <v/>
      </c>
      <c r="AP72" s="38">
        <f>AL72</f>
        <v/>
      </c>
    </row>
    <row r="73">
      <c r="A73" s="9" t="inlineStr">
        <is>
          <t>LTV contributive simplifiée (contribution / churn)</t>
        </is>
      </c>
      <c r="B73" s="4" t="inlineStr">
        <is>
          <t>€ HT</t>
        </is>
      </c>
      <c r="C73" s="15">
        <f>IF(Hypothèses!$D$26*$D$4&gt;0,C69/(Hypothèses!$D$26*$D$4),0)</f>
        <v/>
      </c>
      <c r="D73" s="15">
        <f>IF(Hypothèses!$D$26*$D$4&gt;0,D69/(Hypothèses!$D$26*$D$4),0)</f>
        <v/>
      </c>
      <c r="E73" s="15">
        <f>IF(Hypothèses!$D$26*$D$4&gt;0,E69/(Hypothèses!$D$26*$D$4),0)</f>
        <v/>
      </c>
      <c r="F73" s="15">
        <f>IF(Hypothèses!$D$26*$D$4&gt;0,F69/(Hypothèses!$D$26*$D$4),0)</f>
        <v/>
      </c>
      <c r="G73" s="15">
        <f>IF(Hypothèses!$D$26*$D$4&gt;0,G69/(Hypothèses!$D$26*$D$4),0)</f>
        <v/>
      </c>
      <c r="H73" s="15">
        <f>IF(Hypothèses!$D$26*$D$4&gt;0,H69/(Hypothèses!$D$26*$D$4),0)</f>
        <v/>
      </c>
      <c r="I73" s="15">
        <f>IF(Hypothèses!$D$26*$D$4&gt;0,I69/(Hypothèses!$D$26*$D$4),0)</f>
        <v/>
      </c>
      <c r="J73" s="15">
        <f>IF(Hypothèses!$D$26*$D$4&gt;0,J69/(Hypothèses!$D$26*$D$4),0)</f>
        <v/>
      </c>
      <c r="K73" s="15">
        <f>IF(Hypothèses!$D$26*$D$4&gt;0,K69/(Hypothèses!$D$26*$D$4),0)</f>
        <v/>
      </c>
      <c r="L73" s="15">
        <f>IF(Hypothèses!$D$26*$D$4&gt;0,L69/(Hypothèses!$D$26*$D$4),0)</f>
        <v/>
      </c>
      <c r="M73" s="15">
        <f>IF(Hypothèses!$D$26*$D$4&gt;0,M69/(Hypothèses!$D$26*$D$4),0)</f>
        <v/>
      </c>
      <c r="N73" s="15">
        <f>IF(Hypothèses!$D$26*$D$4&gt;0,N69/(Hypothèses!$D$26*$D$4),0)</f>
        <v/>
      </c>
      <c r="O73" s="15">
        <f>IF(Hypothèses!$D$26*$D$4&gt;0,O69/(Hypothèses!$D$26*$D$4),0)</f>
        <v/>
      </c>
      <c r="P73" s="15">
        <f>IF(Hypothèses!$D$26*$D$4&gt;0,P69/(Hypothèses!$D$26*$D$4),0)</f>
        <v/>
      </c>
      <c r="Q73" s="15">
        <f>IF(Hypothèses!$D$26*$D$4&gt;0,Q69/(Hypothèses!$D$26*$D$4),0)</f>
        <v/>
      </c>
      <c r="R73" s="15">
        <f>IF(Hypothèses!$D$26*$D$4&gt;0,R69/(Hypothèses!$D$26*$D$4),0)</f>
        <v/>
      </c>
      <c r="S73" s="15">
        <f>IF(Hypothèses!$D$26*$D$4&gt;0,S69/(Hypothèses!$D$26*$D$4),0)</f>
        <v/>
      </c>
      <c r="T73" s="15">
        <f>IF(Hypothèses!$D$26*$D$4&gt;0,T69/(Hypothèses!$D$26*$D$4),0)</f>
        <v/>
      </c>
      <c r="U73" s="15">
        <f>IF(Hypothèses!$D$26*$D$4&gt;0,U69/(Hypothèses!$D$26*$D$4),0)</f>
        <v/>
      </c>
      <c r="V73" s="15">
        <f>IF(Hypothèses!$D$26*$D$4&gt;0,V69/(Hypothèses!$D$26*$D$4),0)</f>
        <v/>
      </c>
      <c r="W73" s="15">
        <f>IF(Hypothèses!$D$26*$D$4&gt;0,W69/(Hypothèses!$D$26*$D$4),0)</f>
        <v/>
      </c>
      <c r="X73" s="15">
        <f>IF(Hypothèses!$D$26*$D$4&gt;0,X69/(Hypothèses!$D$26*$D$4),0)</f>
        <v/>
      </c>
      <c r="Y73" s="15">
        <f>IF(Hypothèses!$D$26*$D$4&gt;0,Y69/(Hypothèses!$D$26*$D$4),0)</f>
        <v/>
      </c>
      <c r="Z73" s="15">
        <f>IF(Hypothèses!$D$26*$D$4&gt;0,Z69/(Hypothèses!$D$26*$D$4),0)</f>
        <v/>
      </c>
      <c r="AA73" s="15">
        <f>IF(Hypothèses!$D$26*$D$4&gt;0,AA69/(Hypothèses!$D$26*$D$4),0)</f>
        <v/>
      </c>
      <c r="AB73" s="15">
        <f>IF(Hypothèses!$D$26*$D$4&gt;0,AB69/(Hypothèses!$D$26*$D$4),0)</f>
        <v/>
      </c>
      <c r="AC73" s="15">
        <f>IF(Hypothèses!$D$26*$D$4&gt;0,AC69/(Hypothèses!$D$26*$D$4),0)</f>
        <v/>
      </c>
      <c r="AD73" s="15">
        <f>IF(Hypothèses!$D$26*$D$4&gt;0,AD69/(Hypothèses!$D$26*$D$4),0)</f>
        <v/>
      </c>
      <c r="AE73" s="15">
        <f>IF(Hypothèses!$D$26*$D$4&gt;0,AE69/(Hypothèses!$D$26*$D$4),0)</f>
        <v/>
      </c>
      <c r="AF73" s="15">
        <f>IF(Hypothèses!$D$26*$D$4&gt;0,AF69/(Hypothèses!$D$26*$D$4),0)</f>
        <v/>
      </c>
      <c r="AG73" s="15">
        <f>IF(Hypothèses!$D$26*$D$4&gt;0,AG69/(Hypothèses!$D$26*$D$4),0)</f>
        <v/>
      </c>
      <c r="AH73" s="15">
        <f>IF(Hypothèses!$D$26*$D$4&gt;0,AH69/(Hypothèses!$D$26*$D$4),0)</f>
        <v/>
      </c>
      <c r="AI73" s="15">
        <f>IF(Hypothèses!$D$26*$D$4&gt;0,AI69/(Hypothèses!$D$26*$D$4),0)</f>
        <v/>
      </c>
      <c r="AJ73" s="15">
        <f>IF(Hypothèses!$D$26*$D$4&gt;0,AJ69/(Hypothèses!$D$26*$D$4),0)</f>
        <v/>
      </c>
      <c r="AK73" s="15">
        <f>IF(Hypothèses!$D$26*$D$4&gt;0,AK69/(Hypothèses!$D$26*$D$4),0)</f>
        <v/>
      </c>
      <c r="AL73" s="15">
        <f>IF(Hypothèses!$D$26*$D$4&gt;0,AL69/(Hypothèses!$D$26*$D$4),0)</f>
        <v/>
      </c>
      <c r="AN73" s="15">
        <f>N73</f>
        <v/>
      </c>
      <c r="AO73" s="15">
        <f>Z73</f>
        <v/>
      </c>
      <c r="AP73" s="15">
        <f>AL73</f>
        <v/>
      </c>
    </row>
    <row r="74">
      <c r="A74" s="9" t="inlineStr">
        <is>
          <t>LTV / CAC</t>
        </is>
      </c>
      <c r="B74" s="4" t="inlineStr">
        <is>
          <t>x</t>
        </is>
      </c>
      <c r="C74" s="41">
        <f>IF(Hypothèses!$D$23*$E$4&gt;0,C73/(Hypothèses!$D$23*$E$4),0)</f>
        <v/>
      </c>
      <c r="D74" s="41">
        <f>IF(Hypothèses!$D$23*$E$4&gt;0,D73/(Hypothèses!$D$23*$E$4),0)</f>
        <v/>
      </c>
      <c r="E74" s="41">
        <f>IF(Hypothèses!$D$23*$E$4&gt;0,E73/(Hypothèses!$D$23*$E$4),0)</f>
        <v/>
      </c>
      <c r="F74" s="41">
        <f>IF(Hypothèses!$D$23*$E$4&gt;0,F73/(Hypothèses!$D$23*$E$4),0)</f>
        <v/>
      </c>
      <c r="G74" s="41">
        <f>IF(Hypothèses!$D$23*$E$4&gt;0,G73/(Hypothèses!$D$23*$E$4),0)</f>
        <v/>
      </c>
      <c r="H74" s="41">
        <f>IF(Hypothèses!$D$23*$E$4&gt;0,H73/(Hypothèses!$D$23*$E$4),0)</f>
        <v/>
      </c>
      <c r="I74" s="41">
        <f>IF(Hypothèses!$D$23*$E$4&gt;0,I73/(Hypothèses!$D$23*$E$4),0)</f>
        <v/>
      </c>
      <c r="J74" s="41">
        <f>IF(Hypothèses!$D$23*$E$4&gt;0,J73/(Hypothèses!$D$23*$E$4),0)</f>
        <v/>
      </c>
      <c r="K74" s="41">
        <f>IF(Hypothèses!$D$23*$E$4&gt;0,K73/(Hypothèses!$D$23*$E$4),0)</f>
        <v/>
      </c>
      <c r="L74" s="41">
        <f>IF(Hypothèses!$D$23*$E$4&gt;0,L73/(Hypothèses!$D$23*$E$4),0)</f>
        <v/>
      </c>
      <c r="M74" s="41">
        <f>IF(Hypothèses!$D$23*$E$4&gt;0,M73/(Hypothèses!$D$23*$E$4),0)</f>
        <v/>
      </c>
      <c r="N74" s="41">
        <f>IF(Hypothèses!$D$23*$E$4&gt;0,N73/(Hypothèses!$D$23*$E$4),0)</f>
        <v/>
      </c>
      <c r="O74" s="41">
        <f>IF(Hypothèses!$D$23*$E$4&gt;0,O73/(Hypothèses!$D$23*$E$4),0)</f>
        <v/>
      </c>
      <c r="P74" s="41">
        <f>IF(Hypothèses!$D$23*$E$4&gt;0,P73/(Hypothèses!$D$23*$E$4),0)</f>
        <v/>
      </c>
      <c r="Q74" s="41">
        <f>IF(Hypothèses!$D$23*$E$4&gt;0,Q73/(Hypothèses!$D$23*$E$4),0)</f>
        <v/>
      </c>
      <c r="R74" s="41">
        <f>IF(Hypothèses!$D$23*$E$4&gt;0,R73/(Hypothèses!$D$23*$E$4),0)</f>
        <v/>
      </c>
      <c r="S74" s="41">
        <f>IF(Hypothèses!$D$23*$E$4&gt;0,S73/(Hypothèses!$D$23*$E$4),0)</f>
        <v/>
      </c>
      <c r="T74" s="41">
        <f>IF(Hypothèses!$D$23*$E$4&gt;0,T73/(Hypothèses!$D$23*$E$4),0)</f>
        <v/>
      </c>
      <c r="U74" s="41">
        <f>IF(Hypothèses!$D$23*$E$4&gt;0,U73/(Hypothèses!$D$23*$E$4),0)</f>
        <v/>
      </c>
      <c r="V74" s="41">
        <f>IF(Hypothèses!$D$23*$E$4&gt;0,V73/(Hypothèses!$D$23*$E$4),0)</f>
        <v/>
      </c>
      <c r="W74" s="41">
        <f>IF(Hypothèses!$D$23*$E$4&gt;0,W73/(Hypothèses!$D$23*$E$4),0)</f>
        <v/>
      </c>
      <c r="X74" s="41">
        <f>IF(Hypothèses!$D$23*$E$4&gt;0,X73/(Hypothèses!$D$23*$E$4),0)</f>
        <v/>
      </c>
      <c r="Y74" s="41">
        <f>IF(Hypothèses!$D$23*$E$4&gt;0,Y73/(Hypothèses!$D$23*$E$4),0)</f>
        <v/>
      </c>
      <c r="Z74" s="41">
        <f>IF(Hypothèses!$D$23*$E$4&gt;0,Z73/(Hypothèses!$D$23*$E$4),0)</f>
        <v/>
      </c>
      <c r="AA74" s="41">
        <f>IF(Hypothèses!$D$23*$E$4&gt;0,AA73/(Hypothèses!$D$23*$E$4),0)</f>
        <v/>
      </c>
      <c r="AB74" s="41">
        <f>IF(Hypothèses!$D$23*$E$4&gt;0,AB73/(Hypothèses!$D$23*$E$4),0)</f>
        <v/>
      </c>
      <c r="AC74" s="41">
        <f>IF(Hypothèses!$D$23*$E$4&gt;0,AC73/(Hypothèses!$D$23*$E$4),0)</f>
        <v/>
      </c>
      <c r="AD74" s="41">
        <f>IF(Hypothèses!$D$23*$E$4&gt;0,AD73/(Hypothèses!$D$23*$E$4),0)</f>
        <v/>
      </c>
      <c r="AE74" s="41">
        <f>IF(Hypothèses!$D$23*$E$4&gt;0,AE73/(Hypothèses!$D$23*$E$4),0)</f>
        <v/>
      </c>
      <c r="AF74" s="41">
        <f>IF(Hypothèses!$D$23*$E$4&gt;0,AF73/(Hypothèses!$D$23*$E$4),0)</f>
        <v/>
      </c>
      <c r="AG74" s="41">
        <f>IF(Hypothèses!$D$23*$E$4&gt;0,AG73/(Hypothèses!$D$23*$E$4),0)</f>
        <v/>
      </c>
      <c r="AH74" s="41">
        <f>IF(Hypothèses!$D$23*$E$4&gt;0,AH73/(Hypothèses!$D$23*$E$4),0)</f>
        <v/>
      </c>
      <c r="AI74" s="41">
        <f>IF(Hypothèses!$D$23*$E$4&gt;0,AI73/(Hypothèses!$D$23*$E$4),0)</f>
        <v/>
      </c>
      <c r="AJ74" s="41">
        <f>IF(Hypothèses!$D$23*$E$4&gt;0,AJ73/(Hypothèses!$D$23*$E$4),0)</f>
        <v/>
      </c>
      <c r="AK74" s="41">
        <f>IF(Hypothèses!$D$23*$E$4&gt;0,AK73/(Hypothèses!$D$23*$E$4),0)</f>
        <v/>
      </c>
      <c r="AL74" s="41">
        <f>IF(Hypothèses!$D$23*$E$4&gt;0,AL73/(Hypothèses!$D$23*$E$4),0)</f>
        <v/>
      </c>
      <c r="AN74" s="41">
        <f>N74</f>
        <v/>
      </c>
      <c r="AO74" s="41">
        <f>Z74</f>
        <v/>
      </c>
      <c r="AP74" s="41">
        <f>AL74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2026-10-28T00:13:16Z</dcterms:created>
  <dcterms:modified xmlns:dcterms="http://purl.org/dc/terms/" xmlns:xsi="http://www.w3.org/2001/XMLSchema-instance" xsi:type="dcterms:W3CDTF">2026-10-28T00:13:16Z</dcterms:modified>
</cp:coreProperties>
</file>