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Tarifs" sheetId="2" state="visible" r:id="rId2"/>
    <sheet xmlns:r="http://schemas.openxmlformats.org/officeDocument/2006/relationships" name="Missions" sheetId="3" state="visible" r:id="rId3"/>
    <sheet xmlns:r="http://schemas.openxmlformats.org/officeDocument/2006/relationships" name="Synthèse" sheetId="4" state="visible" r:id="rId4"/>
    <sheet xmlns:r="http://schemas.openxmlformats.org/officeDocument/2006/relationships" name="Sensibilité" sheetId="5" state="visible" r:id="rId5"/>
    <sheet xmlns:r="http://schemas.openxmlformats.org/officeDocument/2006/relationships" name="Protections" sheetId="6" state="visible" r:id="rId6"/>
    <sheet xmlns:r="http://schemas.openxmlformats.org/officeDocument/2006/relationships" name="Plan de charge" sheetId="7" state="visible" r:id="rId7"/>
    <sheet xmlns:r="http://schemas.openxmlformats.org/officeDocument/2006/relationships" name="Tableau commun" sheetId="8" state="visible" r:id="rId8"/>
  </sheets>
  <definedNames/>
  <calcPr calcId="124519" fullCalcOnLoad="1"/>
</workbook>
</file>

<file path=xl/styles.xml><?xml version="1.0" encoding="utf-8"?>
<styleSheet xmlns="http://schemas.openxmlformats.org/spreadsheetml/2006/main">
  <numFmts count="10">
    <numFmt numFmtId="164" formatCode="#,##0.000&quot; €&quot;;(#,##0.000&quot; €&quot;);&quot;-&quot;"/>
    <numFmt numFmtId="165" formatCode="#,##0.0000&quot; $&quot;;(#,##0.0000&quot; $&quot;);&quot;-&quot;"/>
    <numFmt numFmtId="166" formatCode="#,##0.00&quot; $&quot;;(#,##0.00&quot; $&quot;);&quot;-&quot;"/>
    <numFmt numFmtId="167" formatCode="#,##0.00&quot; €&quot;;(#,##0.00&quot; €&quot;);&quot;-&quot;"/>
    <numFmt numFmtId="168" formatCode="0.0%;(0.0%);&quot;-&quot;"/>
    <numFmt numFmtId="169" formatCode="#,##0.00;(#,##0.00);&quot;-&quot;"/>
    <numFmt numFmtId="170" formatCode="#,##0;(#,##0);&quot;-&quot;"/>
    <numFmt numFmtId="171" formatCode="0%;(0%);&quot;-&quot;"/>
    <numFmt numFmtId="172" formatCode="#,##0.0;(#,##0.0);&quot;-&quot;"/>
    <numFmt numFmtId="173" formatCode="#,##0&quot; €&quot;;(#,##0&quot; €&quot;);&quot;-&quot;"/>
  </numFmts>
  <fonts count="9">
    <font>
      <name val="Calibri"/>
      <family val="2"/>
      <color theme="1"/>
      <sz val="11"/>
      <scheme val="minor"/>
    </font>
    <font>
      <name val="Georgia"/>
      <color rgb="00201C19"/>
      <sz val="16"/>
    </font>
    <font>
      <name val="Arial"/>
      <b val="1"/>
      <sz val="10"/>
    </font>
    <font>
      <name val="Arial"/>
      <color rgb="00000000"/>
      <sz val="10"/>
    </font>
    <font>
      <name val="Arial"/>
      <i val="1"/>
      <color rgb="008A8178"/>
      <sz val="9"/>
    </font>
    <font>
      <name val="Arial"/>
      <b val="1"/>
      <color rgb="00201C19"/>
      <sz val="10"/>
    </font>
    <font>
      <name val="Arial"/>
      <color rgb="00201C19"/>
      <sz val="9"/>
    </font>
    <font>
      <name val="Arial"/>
      <color rgb="000000FF"/>
      <sz val="10"/>
    </font>
    <font>
      <name val="Arial"/>
      <color rgb="00008000"/>
      <sz val="10"/>
    </font>
  </fonts>
  <fills count="5">
    <fill>
      <patternFill/>
    </fill>
    <fill>
      <patternFill patternType="gray125"/>
    </fill>
    <fill>
      <patternFill patternType="solid">
        <fgColor rgb="00EFE9E0"/>
      </patternFill>
    </fill>
    <fill>
      <patternFill patternType="solid">
        <fgColor rgb="00DCE7DF"/>
      </patternFill>
    </fill>
    <fill>
      <patternFill patternType="solid">
        <fgColor rgb="00FFFF00"/>
      </patternFill>
    </fill>
  </fills>
  <borders count="3">
    <border>
      <left/>
      <right/>
      <top/>
      <bottom/>
      <diagonal/>
    </border>
    <border>
      <bottom style="thin">
        <color rgb="00F0916A"/>
      </bottom>
    </border>
    <border>
      <bottom style="thin">
        <color rgb="00E4DDD2"/>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bottom" wrapText="1"/>
    </xf>
    <xf numFmtId="0" fontId="6" fillId="0" borderId="2" applyAlignment="1" pivotButton="0" quotePrefix="0" xfId="0">
      <alignment vertical="top"/>
    </xf>
    <xf numFmtId="0" fontId="3" fillId="0" borderId="2" applyAlignment="1" pivotButton="0" quotePrefix="0" xfId="0">
      <alignment vertical="top" wrapText="1"/>
    </xf>
    <xf numFmtId="164" fontId="7" fillId="3" borderId="2" applyAlignment="1" pivotButton="0" quotePrefix="0" xfId="0">
      <alignment vertical="top"/>
    </xf>
    <xf numFmtId="0" fontId="3" fillId="0" borderId="2" applyAlignment="1" pivotButton="0" quotePrefix="0" xfId="0">
      <alignment vertical="top"/>
    </xf>
    <xf numFmtId="0" fontId="6" fillId="0" borderId="2" applyAlignment="1" pivotButton="0" quotePrefix="0" xfId="0">
      <alignment vertical="top" wrapText="1"/>
    </xf>
    <xf numFmtId="165" fontId="7" fillId="3" borderId="2" applyAlignment="1" pivotButton="0" quotePrefix="0" xfId="0">
      <alignment vertical="top"/>
    </xf>
    <xf numFmtId="166" fontId="7" fillId="3" borderId="2" applyAlignment="1" pivotButton="0" quotePrefix="0" xfId="0">
      <alignment vertical="top"/>
    </xf>
    <xf numFmtId="164" fontId="7" fillId="0" borderId="2" applyAlignment="1" pivotButton="0" quotePrefix="0" xfId="0">
      <alignment vertical="top"/>
    </xf>
    <xf numFmtId="167" fontId="7" fillId="0" borderId="2" applyAlignment="1" pivotButton="0" quotePrefix="0" xfId="0">
      <alignment vertical="top"/>
    </xf>
    <xf numFmtId="168" fontId="7" fillId="3" borderId="2" applyAlignment="1" pivotButton="0" quotePrefix="0" xfId="0">
      <alignment vertical="top"/>
    </xf>
    <xf numFmtId="0" fontId="3" fillId="0" borderId="0" pivotButton="0" quotePrefix="0" xfId="0"/>
    <xf numFmtId="169" fontId="7" fillId="0" borderId="0" pivotButton="0" quotePrefix="0" xfId="0"/>
    <xf numFmtId="170" fontId="7" fillId="0" borderId="0" pivotButton="0" quotePrefix="0" xfId="0"/>
    <xf numFmtId="171" fontId="7" fillId="0" borderId="0" pivotButton="0" quotePrefix="0" xfId="0"/>
    <xf numFmtId="164" fontId="3" fillId="0" borderId="0" pivotButton="0" quotePrefix="0" xfId="0"/>
    <xf numFmtId="164" fontId="3" fillId="2" borderId="0" pivotButton="0" quotePrefix="0" xfId="0"/>
    <xf numFmtId="167" fontId="3" fillId="2" borderId="0" pivotButton="0" quotePrefix="0" xfId="0"/>
    <xf numFmtId="168" fontId="3" fillId="0" borderId="0" pivotButton="0" quotePrefix="0" xfId="0"/>
    <xf numFmtId="167" fontId="3" fillId="0" borderId="0" pivotButton="0" quotePrefix="0" xfId="0"/>
    <xf numFmtId="0" fontId="2" fillId="0" borderId="0" applyAlignment="1" pivotButton="0" quotePrefix="0" xfId="0">
      <alignment vertical="top" wrapText="1"/>
    </xf>
    <xf numFmtId="0" fontId="0" fillId="0" borderId="1" pivotButton="0" quotePrefix="0" xfId="0"/>
    <xf numFmtId="0" fontId="2" fillId="0" borderId="1" pivotButton="0" quotePrefix="0" xfId="0"/>
    <xf numFmtId="172" fontId="2" fillId="0" borderId="1" pivotButton="0" quotePrefix="0" xfId="0"/>
    <xf numFmtId="167" fontId="2" fillId="4" borderId="1" pivotButton="0" quotePrefix="0" xfId="0"/>
    <xf numFmtId="164" fontId="2" fillId="4" borderId="0" pivotButton="0" quotePrefix="0" xfId="0"/>
    <xf numFmtId="164" fontId="0" fillId="0" borderId="0" pivotButton="0" quotePrefix="0" xfId="0"/>
    <xf numFmtId="164" fontId="8" fillId="0" borderId="0" pivotButton="0" quotePrefix="0" xfId="0"/>
    <xf numFmtId="172" fontId="3" fillId="0" borderId="0" pivotButton="0" quotePrefix="0" xfId="0"/>
    <xf numFmtId="167" fontId="2" fillId="0" borderId="1" pivotButton="0" quotePrefix="0" xfId="0"/>
    <xf numFmtId="167" fontId="7" fillId="0" borderId="0" pivotButton="0" quotePrefix="0" xfId="0"/>
    <xf numFmtId="167" fontId="2" fillId="4" borderId="0" pivotButton="0" quotePrefix="0" xfId="0"/>
    <xf numFmtId="164" fontId="2" fillId="0" borderId="0" pivotButton="0" quotePrefix="0" xfId="0"/>
    <xf numFmtId="167" fontId="2" fillId="0" borderId="0" pivotButton="0" quotePrefix="0" xfId="0"/>
    <xf numFmtId="167" fontId="8" fillId="0" borderId="0" pivotButton="0" quotePrefix="0" xfId="0"/>
    <xf numFmtId="0" fontId="6" fillId="0" borderId="0" applyAlignment="1" pivotButton="0" quotePrefix="0" xfId="0">
      <alignment vertical="top" wrapText="1"/>
    </xf>
    <xf numFmtId="0" fontId="6" fillId="0" borderId="0" pivotButton="0" quotePrefix="0" xfId="0"/>
    <xf numFmtId="171" fontId="3" fillId="0" borderId="0" pivotButton="0" quotePrefix="0" xfId="0"/>
    <xf numFmtId="173" fontId="7" fillId="3" borderId="0" pivotButton="0" quotePrefix="0" xfId="0"/>
    <xf numFmtId="0" fontId="6" fillId="0" borderId="0" applyAlignment="1" pivotButton="0" quotePrefix="0" xfId="0">
      <alignment wrapText="1"/>
    </xf>
    <xf numFmtId="173" fontId="7" fillId="0" borderId="0" pivotButton="0" quotePrefix="0" xfId="0"/>
    <xf numFmtId="172" fontId="7" fillId="0" borderId="0" pivotButton="0" quotePrefix="0" xfId="0"/>
    <xf numFmtId="173" fontId="3" fillId="0" borderId="0" pivotButton="0" quotePrefix="0" xfId="0"/>
    <xf numFmtId="173" fontId="2" fillId="0" borderId="1" pivotButton="0" quotePrefix="0" xfId="0"/>
    <xf numFmtId="173" fontId="0" fillId="0" borderId="0" pivotButton="0" quotePrefix="0" xfId="0"/>
    <xf numFmtId="173" fontId="2" fillId="4" borderId="0" pivotButton="0" quotePrefix="0" xfId="0"/>
    <xf numFmtId="0" fontId="2" fillId="0" borderId="2" applyAlignment="1" pivotButton="0" quotePrefix="0" xfId="0">
      <alignment vertical="top" wrapText="1"/>
    </xf>
    <xf numFmtId="164" fontId="8" fillId="0" borderId="2" applyAlignment="1" pivotButton="0" quotePrefix="0" xfId="0">
      <alignment vertical="top" wrapText="1"/>
    </xf>
    <xf numFmtId="167" fontId="8" fillId="0" borderId="2" applyAlignment="1" pivotButton="0" quotePrefix="0" xfId="0">
      <alignment vertical="top" wrapText="1"/>
    </xf>
    <xf numFmtId="171" fontId="8"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Coût mensuel par mission, abonné Premium (€ HT)</a:t>
            </a:r>
          </a:p>
        </rich>
      </tx>
    </title>
    <plotArea>
      <barChart>
        <barDir val="bar"/>
        <grouping val="clustered"/>
        <ser>
          <idx val="0"/>
          <order val="0"/>
          <spPr>
            <a:solidFill xmlns:a="http://schemas.openxmlformats.org/drawingml/2006/main">
              <a:srgbClr val="F0916A"/>
            </a:solidFill>
            <a:ln xmlns:a="http://schemas.openxmlformats.org/drawingml/2006/main">
              <a:prstDash val="solid"/>
            </a:ln>
          </spPr>
          <cat>
            <numRef>
              <f>'Synthèse'!$B$5:$B$16</f>
            </numRef>
          </cat>
          <val>
            <numRef>
              <f>'Synthèse'!$K$5:$K$16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Écart de coût mensuel vs base (€, abonné Premium)</a:t>
            </a:r>
          </a:p>
        </rich>
      </tx>
    </title>
    <plotArea>
      <barChart>
        <barDir val="bar"/>
        <grouping val="clustered"/>
        <ser>
          <idx val="0"/>
          <order val="0"/>
          <spPr>
            <a:solidFill xmlns:a="http://schemas.openxmlformats.org/drawingml/2006/main">
              <a:srgbClr val="D9734F"/>
            </a:solidFill>
            <a:ln xmlns:a="http://schemas.openxmlformats.org/drawingml/2006/main">
              <a:prstDash val="solid"/>
            </a:ln>
          </spPr>
          <cat>
            <numRef>
              <f>'Sensibilité'!$A$6:$A$15</f>
            </numRef>
          </cat>
          <val>
            <numRef>
              <f>'Sensibilité'!$D$6:$D$15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Assistant IA Direction</author>
  </authors>
  <commentList>
    <comment ref="B5" authorId="0" shapeId="0">
      <text>
        <t>Chaque nuit : lecture des courriels des 24 dernières heures (environ 40 × 300 jetons), de l'agenda et des documents que l'utilisateur a confiés à Helium (périmètre drive.file) ; le petit modèle classe, résume et extrait les entités (échéances, engagements, abonnements, relances). Résumés et entités stockés en mémoire avec embeddings. Aucune action.</t>
      </text>
    </comment>
    <comment ref="B6" authorId="0" shapeId="0">
      <text>
        <t>Chaque matin : le modèle moyen compose 3 à 5 points à partir des résumés du socle, de l'agenda du jour et des actions en attente de validation. Contexte système et préférences en cache.</t>
      </text>
    </comment>
    <comment ref="B7" authorId="0" shapeId="0">
      <text>
        <t>Quand le socle détecte une échéance (assurance, contrôle technique, papiers, impôts) : le petit modèle extrait date et objet, le modèle moyen confirme et planifie les rappels J-30 et J-7. Aucune démarche sur un portail.</t>
      </text>
    </comment>
    <comment ref="B8" authorId="0" shapeId="0">
      <text>
        <t>Compréhension de la demande, recherche de prestataires (Places), lecture des créneaux libres dans l'agenda, proposition de 2 ou 3 créneaux ; après validation, réservation sur la plateforme en ligne du prestataire par navigateur piloté (environ 15 étapes de 12 k jetons, arbre d'accessibilité plutôt que captures d'écran), puis ajout au calendrier et journal. Pas d'appel téléphonique.</t>
      </text>
    </comment>
    <comment ref="B9" authorId="0" shapeId="0">
      <text>
        <t>Trois propositions selon les préférences (Places) ; après validation, réservation par l'API partenaire quand elle existe (TheFork, Mozrest), sinon par navigateur piloté sur le site du restaurant ou de sa plateforme (environ 12 étapes de 12 k jetons) ; confirmation, calendrier, journal. Ni prépaiement ni empreinte bancaire.</t>
      </text>
    </comment>
    <comment ref="B10" authorId="0" shapeId="0">
      <text>
        <t>Recherche (8 requêtes), lecture de 10 pages (transport, hébergement), extraction par le petit modèle, synthèse par le modèle moyen en un programme à 2 ou 3 options chiffrées. L'utilisateur paie lui-même : aucune réservation dans le MVP.</t>
      </text>
    </comment>
    <comment ref="B11" authorId="0" shapeId="0">
      <text>
        <t>Le modèle moyen rédige dans le ton de l'utilisateur à partir du fil et des préférences de style ; envoi par l'API Gmail après validation ; journal.</t>
      </text>
    </comment>
    <comment ref="B12" authorId="0" shapeId="0">
      <text>
        <t>Lecture des calendriers partagés (API), détection des conflits par le petit modèle, proposition de solution par le modèle moyen ; modification de l'agenda partagé après validation.</t>
      </text>
    </comment>
    <comment ref="B13" authorId="0" shapeId="0">
      <text>
        <t>Mise à jour mensuelle de l'inventaire à partir du socle, alerte avant renouvellement, lettre de résiliation préparée (une fois sur deux) ; envoi après validation, pas d'accès bancaire. L'inventaire initial est dans M11.</t>
      </text>
    </comment>
    <comment ref="B14" authorId="0" shapeId="0">
      <text>
        <t>Liste des attentes (devis, réponses) tenue par le socle ; relance rédigée au bon moment par le modèle moyen ; envoi après validation.</t>
      </text>
    </comment>
    <comment ref="B15" authorId="0" shapeId="0">
      <text>
        <t>Rappel anticipé, idées et organisation (recherche, Places), réservation éventuelle par navigateur piloté (réutilise M4) ; aucun achat en ligne.</t>
      </text>
    </comment>
    <comment ref="B16" authorId="0" shapeId="0">
      <text>
        <t>À l'inscription : lecture des 12 derniers mois de courriels (environ 2 000 × 200 jetons) par le petit modèle en lot, inventaire des abonnements, échéances, personnes du foyer, lieux ; profil de préférences établi par le modèle moyen et confirmé par l'utilisateur. Compté comme coût d'activation, pas comme coût mensuel.</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13</col>
      <colOff>0</colOff>
      <row>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E4DDD2"/>
    <outlinePr summaryBelow="1" summaryRight="1"/>
    <pageSetUpPr/>
  </sheetPr>
  <dimension ref="A1:B10"/>
  <sheetViews>
    <sheetView showGridLines="0" workbookViewId="0">
      <selection activeCell="A1" sqref="A1"/>
    </sheetView>
  </sheetViews>
  <sheetFormatPr baseColWidth="8" defaultRowHeight="15"/>
  <cols>
    <col width="22" customWidth="1" min="1" max="1"/>
    <col width="125" customWidth="1" min="2" max="2"/>
  </cols>
  <sheetData>
    <row r="1">
      <c r="A1" s="1" t="inlineStr">
        <is>
          <t>Helium, coût par mission et plan de charge MVP, V1</t>
        </is>
      </c>
    </row>
    <row r="3">
      <c r="A3" s="2" t="inlineStr">
        <is>
          <t>Objet</t>
        </is>
      </c>
      <c r="B3" s="3" t="inlineStr">
        <is>
          <t>Réponse chiffrée à la demande de cadrage Finance → Produit/Technique (2 FINANCE/PREVISIONS/2026 1027 Demande de cadrage Produit Technique) : coût unitaire par mission, coût variable par abonné, protections contre les dérives, plan de charge et budget MVP.</t>
        </is>
      </c>
    </row>
    <row r="4">
      <c r="A4" s="2" t="inlineStr">
        <is>
          <t>Statut</t>
        </is>
      </c>
      <c r="B4" s="3" t="inlineStr">
        <is>
          <t>Document de travail préparé par l'assistant IA Direction à la demande du CEO (Malik), le 28/10/2026. Rien n'est mesuré : tous les volumes de jetons, taux de réussite et minutes sont des hypothèses d'ingénierie, étiquetées comme telles. Seuls les prix unitaires marqués « Tarif public » sont sourcés (URL et date dans l'onglet Tarifs).</t>
        </is>
      </c>
    </row>
    <row r="5">
      <c r="A5" s="2" t="inlineStr">
        <is>
          <t>Légende</t>
        </is>
      </c>
      <c r="B5" s="3" t="inlineStr">
        <is>
          <t>Texte bleu = entrée modifiable (hypothèse). Fond jaune = levier clé. Texte noir = formule. Texte vert = lien vers un autre onglet. Fond vert pâle (Tarifs) = prix public sourcé.</t>
        </is>
      </c>
    </row>
    <row r="6">
      <c r="A6" s="2" t="inlineStr">
        <is>
          <t>Onglets</t>
        </is>
      </c>
      <c r="B6" s="3" t="inlineStr">
        <is>
          <t>Tarifs (prix unitaires, taux de change, coût du support) · Missions (paramètres et coût par exécution, par mission) · Synthèse (coût variable par abonné et par offre, comparaison avec l'hypothèse Finance H03 et avec le modèle 36 mois) · Sensibilité (variations linéaires des composantes) · Protections (plafonds par offre et coût au plafond) · Plan de charge (jours par profil, budget MVP, comparaison avec les 77 050 € du Business plan Lean V1) · Tableau commun (le format demandé par Finance).</t>
        </is>
      </c>
    </row>
    <row r="7">
      <c r="A7" s="2" t="inlineStr">
        <is>
          <t>Mécanique</t>
        </is>
      </c>
      <c r="B7" s="3" t="inlineStr">
        <is>
          <t>Coût d'une exécution = facteur de reprises × [appels petit modèle × (entrée non cachée × prix + entrée cachée × prix caché + sortie × prix) + appels moyen × idem, dont une part escaladée vers le modèle frontière] + recherches + lieux + lectures de page + minutes de navigateur piloté + minutes de support humain espérées. Prix en dollars convertis en euros au taux de l'onglet Tarifs. Coût mensuel par abonné = somme des fréquences × coût par exécution, pondérée par offre.</t>
        </is>
      </c>
    </row>
    <row r="8">
      <c r="A8" s="2" t="inlineStr">
        <is>
          <t>Ce que mesure le pilote</t>
        </is>
      </c>
      <c r="B8" s="3" t="inlineStr">
        <is>
          <t>Pour les missions 1 et 5 d'abord, puis 3 et 4 : jetons réels par étape, nombre d'étapes, reprises, taux de réussite sans correction, minutes de support. Chaque mesure remplace une cellule bleue de l'onglet Missions. Le classeur est conçu pour que Finance n'ait qu'à substituer.</t>
        </is>
      </c>
    </row>
    <row r="9">
      <c r="A9" s="2" t="inlineStr">
        <is>
          <t>Contrôles</t>
        </is>
      </c>
      <c r="B9" s="3" t="inlineStr">
        <is>
          <t>Recalcul complet sous LibreOffice, zéro erreur ; cohérence du nombre d'exécutions par offre avec les 20 / 60 / 90 missions par mois du modèle financier 36 mois ; coût moyen par mission comparé à l'hypothèse de 0,18 € (central) et 0,30 € (prudent) de ce modèle.</t>
        </is>
      </c>
    </row>
    <row r="10">
      <c r="A10" s="2" t="inlineStr">
        <is>
          <t>Liens</t>
        </is>
      </c>
      <c r="B10" s="3" t="inlineStr">
        <is>
          <t>Modèle financier 36 mois (Finance/Helium_Modele_financier_36m_V1.xlsx) · Réponse au cadrage (Technique/2026 1028 Reponse au cadrage Produit Technique V1.docx) · Contribution marketing au cadrage MVP (5 PRODUIT) · Références prix (Technique/2026 1028 References prix et benchmarks.md).</t>
        </is>
      </c>
    </row>
  </sheetData>
  <pageMargins left="0.75" right="0.75" top="1" bottom="1" header="0.5" footer="0.5"/>
</worksheet>
</file>

<file path=xl/worksheets/sheet2.xml><?xml version="1.0" encoding="utf-8"?>
<worksheet xmlns="http://schemas.openxmlformats.org/spreadsheetml/2006/main">
  <sheetPr>
    <tabColor rgb="00E4DDD2"/>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12" customWidth="1" min="3" max="3"/>
    <col width="10" customWidth="1" min="4" max="4"/>
    <col width="13" customWidth="1" min="5" max="5"/>
    <col width="52" customWidth="1" min="6" max="6"/>
    <col width="11" customWidth="1" min="7" max="7"/>
    <col width="60" customWidth="1" min="8" max="8"/>
  </cols>
  <sheetData>
    <row r="1">
      <c r="A1" s="1" t="inlineStr">
        <is>
          <t>Tarifs unitaires</t>
        </is>
      </c>
    </row>
    <row r="2">
      <c r="A2" s="4" t="inlineStr">
        <is>
          <t>Prix publics relevés en octobre 2026 (fond vert) et hypothèses (texte bleu). Les formules des autres onglets pointent ici.</t>
        </is>
      </c>
    </row>
    <row r="4" ht="30" customHeight="1">
      <c r="A4" s="5" t="inlineStr">
        <is>
          <t>Clé</t>
        </is>
      </c>
      <c r="B4" s="5" t="inlineStr">
        <is>
          <t>Poste</t>
        </is>
      </c>
      <c r="C4" s="5" t="inlineStr">
        <is>
          <t>Valeur</t>
        </is>
      </c>
      <c r="D4" s="5" t="inlineStr">
        <is>
          <t>Unité</t>
        </is>
      </c>
      <c r="E4" s="5" t="inlineStr">
        <is>
          <t>Nature</t>
        </is>
      </c>
      <c r="F4" s="5" t="inlineStr">
        <is>
          <t>Source</t>
        </is>
      </c>
      <c r="G4" s="5" t="inlineStr">
        <is>
          <t>Date</t>
        </is>
      </c>
      <c r="H4" s="5" t="inlineStr">
        <is>
          <t>Note</t>
        </is>
      </c>
    </row>
    <row r="5">
      <c r="A5" s="6" t="inlineStr">
        <is>
          <t>fx</t>
        </is>
      </c>
      <c r="B5" s="7" t="inlineStr">
        <is>
          <t>Taux de change dollar → euro</t>
        </is>
      </c>
      <c r="C5" s="8" t="n">
        <v>0.877</v>
      </c>
      <c r="D5" s="9" t="inlineStr">
        <is>
          <t>€ par $</t>
        </is>
      </c>
      <c r="E5" s="9" t="inlineStr">
        <is>
          <t>Tarif public</t>
        </is>
      </c>
      <c r="F5" s="10" t="inlineStr">
        <is>
          <t>BCE, taux de référence 1 € = 1,1403 $ : https://www.ecb.europa.eu/stats/policy_and_exchange_rates/euro_reference_exchange_rates/html/eurofxref-graph-usd.en.html</t>
        </is>
      </c>
      <c r="G5" s="6" t="inlineStr">
        <is>
          <t>25/09/2026</t>
        </is>
      </c>
      <c r="H5" s="10" t="inlineStr">
        <is>
          <t>Dernier taux publié sur la page lue le 28/10/2026 ; à relire le jour du calcul.</t>
        </is>
      </c>
    </row>
    <row r="6">
      <c r="A6" s="6" t="inlineStr">
        <is>
          <t>small_in</t>
        </is>
      </c>
      <c r="B6" s="7" t="inlineStr">
        <is>
          <t>Petit modèle, entrée (Mistral Small 4, point d'accès UE api.eu.mistral.ai, +10 %)</t>
        </is>
      </c>
      <c r="C6" s="11" t="n">
        <v>0.165</v>
      </c>
      <c r="D6" s="9" t="inlineStr">
        <is>
          <t>$ / M jetons</t>
        </is>
      </c>
      <c r="E6" s="9" t="inlineStr">
        <is>
          <t>Tarif public</t>
        </is>
      </c>
      <c r="F6" s="10" t="inlineStr">
        <is>
          <t>https://docs.mistral.ai/models/pricing (0,15 $) et https://docs.mistral.ai/inference/regional-inference (×1,1)</t>
        </is>
      </c>
      <c r="G6" s="6" t="inlineStr">
        <is>
          <t>28/10/2026</t>
        </is>
      </c>
      <c r="H6" s="10" t="inlineStr">
        <is>
          <t>Alternative : Claude Haiku 5.5 sur Bedrock UE 0,11 $ ; Scaleway mistral-small-3.2 0,15 € (Paris, sans surcoût).</t>
        </is>
      </c>
    </row>
    <row r="7">
      <c r="A7" s="6" t="inlineStr">
        <is>
          <t>small_cached</t>
        </is>
      </c>
      <c r="B7" s="7" t="inlineStr">
        <is>
          <t>Petit modèle, entrée cachée (10 % du prix d'entrée)</t>
        </is>
      </c>
      <c r="C7" s="11" t="n">
        <v>0.0165</v>
      </c>
      <c r="D7" s="9" t="inlineStr">
        <is>
          <t>$ / M jetons</t>
        </is>
      </c>
      <c r="E7" s="9" t="inlineStr">
        <is>
          <t>Tarif public</t>
        </is>
      </c>
      <c r="F7" s="10" t="inlineStr">
        <is>
          <t>https://docs.mistral.ai/models/pricing</t>
        </is>
      </c>
      <c r="G7" s="6" t="inlineStr">
        <is>
          <t>28/10/2026</t>
        </is>
      </c>
      <c r="H7" s="10" t="inlineStr"/>
    </row>
    <row r="8">
      <c r="A8" s="6" t="inlineStr">
        <is>
          <t>small_out</t>
        </is>
      </c>
      <c r="B8" s="7" t="inlineStr">
        <is>
          <t>Petit modèle, sortie</t>
        </is>
      </c>
      <c r="C8" s="11" t="n">
        <v>0.66</v>
      </c>
      <c r="D8" s="9" t="inlineStr">
        <is>
          <t>$ / M jetons</t>
        </is>
      </c>
      <c r="E8" s="9" t="inlineStr">
        <is>
          <t>Tarif public</t>
        </is>
      </c>
      <c r="F8" s="10" t="inlineStr">
        <is>
          <t>https://docs.mistral.ai/models/pricing (0,60 $ × 1,1)</t>
        </is>
      </c>
      <c r="G8" s="6" t="inlineStr">
        <is>
          <t>28/10/2026</t>
        </is>
      </c>
      <c r="H8" s="10" t="inlineStr"/>
    </row>
    <row r="9">
      <c r="A9" s="6" t="inlineStr">
        <is>
          <t>mid_in</t>
        </is>
      </c>
      <c r="B9" s="7" t="inlineStr">
        <is>
          <t>Modèle moyen, entrée (Claude Sonnet 5.5, Amazon Bedrock profil UE, +10 %)</t>
        </is>
      </c>
      <c r="C9" s="12" t="n">
        <v>2.2</v>
      </c>
      <c r="D9" s="9" t="inlineStr">
        <is>
          <t>$ / M jetons</t>
        </is>
      </c>
      <c r="E9" s="9" t="inlineStr">
        <is>
          <t>Tarif public</t>
        </is>
      </c>
      <c r="F9" s="10" t="inlineStr">
        <is>
          <t>https://platform.claude.com/docs/en/about-claude/pricing (2 $) et https://platform.claude.com/docs/en/build-with-claude/claude-in-amazon-bedrock (+10 % régional)</t>
        </is>
      </c>
      <c r="G9" s="6" t="inlineStr">
        <is>
          <t>28/10/2026</t>
        </is>
      </c>
      <c r="H9" s="10" t="inlineStr">
        <is>
          <t>Alternatives : gpt-6.1-sol sur eu.api.openai.com 2,20 $ ; Mistral Medium 3.5 UE 1,65 $ ; Mistral Large 4 UE 1,50 $.</t>
        </is>
      </c>
    </row>
    <row r="10">
      <c r="A10" s="6" t="inlineStr">
        <is>
          <t>mid_cached</t>
        </is>
      </c>
      <c r="B10" s="7" t="inlineStr">
        <is>
          <t>Modèle moyen, entrée cachée (lecture de cache, 5 % du prix d'entrée)</t>
        </is>
      </c>
      <c r="C10" s="11" t="n">
        <v>0.11</v>
      </c>
      <c r="D10" s="9" t="inlineStr">
        <is>
          <t>$ / M jetons</t>
        </is>
      </c>
      <c r="E10" s="9" t="inlineStr">
        <is>
          <t>Tarif public</t>
        </is>
      </c>
      <c r="F10" s="10" t="inlineStr">
        <is>
          <t>https://platform.claude.com/docs/en/build-with-claude/prompt-caching (0,10 $ × 1,1)</t>
        </is>
      </c>
      <c r="G10" s="6" t="inlineStr">
        <is>
          <t>28/10/2026</t>
        </is>
      </c>
      <c r="H10" s="10" t="inlineStr">
        <is>
          <t>Écriture de cache +25 % sur 5 min, non comptée ici (contexte stable réutilisé).</t>
        </is>
      </c>
    </row>
    <row r="11">
      <c r="A11" s="6" t="inlineStr">
        <is>
          <t>mid_out</t>
        </is>
      </c>
      <c r="B11" s="7" t="inlineStr">
        <is>
          <t>Modèle moyen, sortie</t>
        </is>
      </c>
      <c r="C11" s="12" t="n">
        <v>11</v>
      </c>
      <c r="D11" s="9" t="inlineStr">
        <is>
          <t>$ / M jetons</t>
        </is>
      </c>
      <c r="E11" s="9" t="inlineStr">
        <is>
          <t>Tarif public</t>
        </is>
      </c>
      <c r="F11" s="10" t="inlineStr">
        <is>
          <t>https://platform.claude.com/docs/en/about-claude/pricing (10 $ × 1,1)</t>
        </is>
      </c>
      <c r="G11" s="6" t="inlineStr">
        <is>
          <t>28/10/2026</t>
        </is>
      </c>
      <c r="H11" s="10" t="inlineStr"/>
    </row>
    <row r="12">
      <c r="A12" s="6" t="inlineStr">
        <is>
          <t>front_in</t>
        </is>
      </c>
      <c r="B12" s="7" t="inlineStr">
        <is>
          <t>Modèle frontière, entrée (Claude Opus 5.5, Bedrock profil UE, +10 %)</t>
        </is>
      </c>
      <c r="C12" s="12" t="n">
        <v>4.4</v>
      </c>
      <c r="D12" s="9" t="inlineStr">
        <is>
          <t>$ / M jetons</t>
        </is>
      </c>
      <c r="E12" s="9" t="inlineStr">
        <is>
          <t>Tarif public</t>
        </is>
      </c>
      <c r="F12" s="10" t="inlineStr">
        <is>
          <t>https://platform.claude.com/docs/en/about-claude/pricing (4 $ × 1,1)</t>
        </is>
      </c>
      <c r="G12" s="6" t="inlineStr">
        <is>
          <t>28/10/2026</t>
        </is>
      </c>
      <c r="H12" s="10" t="inlineStr">
        <is>
          <t>Escalade des cas difficiles seulement. Fable 5.1 (10 / 50 $) exclu : retention 30 jours imposée, pas de point d'accès UE.</t>
        </is>
      </c>
    </row>
    <row r="13">
      <c r="A13" s="6" t="inlineStr">
        <is>
          <t>front_cached</t>
        </is>
      </c>
      <c r="B13" s="7" t="inlineStr">
        <is>
          <t>Modèle frontière, entrée cachée</t>
        </is>
      </c>
      <c r="C13" s="11" t="n">
        <v>0.22</v>
      </c>
      <c r="D13" s="9" t="inlineStr">
        <is>
          <t>$ / M jetons</t>
        </is>
      </c>
      <c r="E13" s="9" t="inlineStr">
        <is>
          <t>Tarif public</t>
        </is>
      </c>
      <c r="F13" s="10" t="inlineStr">
        <is>
          <t>https://platform.claude.com/docs/en/about-claude/pricing (0,20 $ × 1,1)</t>
        </is>
      </c>
      <c r="G13" s="6" t="inlineStr">
        <is>
          <t>28/10/2026</t>
        </is>
      </c>
      <c r="H13" s="10" t="inlineStr"/>
    </row>
    <row r="14">
      <c r="A14" s="6" t="inlineStr">
        <is>
          <t>front_out</t>
        </is>
      </c>
      <c r="B14" s="7" t="inlineStr">
        <is>
          <t>Modèle frontière, sortie</t>
        </is>
      </c>
      <c r="C14" s="12" t="n">
        <v>22</v>
      </c>
      <c r="D14" s="9" t="inlineStr">
        <is>
          <t>$ / M jetons</t>
        </is>
      </c>
      <c r="E14" s="9" t="inlineStr">
        <is>
          <t>Tarif public</t>
        </is>
      </c>
      <c r="F14" s="10" t="inlineStr">
        <is>
          <t>https://platform.claude.com/docs/en/about-claude/pricing (20 $ × 1,1)</t>
        </is>
      </c>
      <c r="G14" s="6" t="inlineStr">
        <is>
          <t>28/10/2026</t>
        </is>
      </c>
      <c r="H14" s="10" t="inlineStr"/>
    </row>
    <row r="15">
      <c r="A15" s="6" t="inlineStr">
        <is>
          <t>embed</t>
        </is>
      </c>
      <c r="B15" s="7" t="inlineStr">
        <is>
          <t>Embeddings (Mistral Embed, point d'accès UE)</t>
        </is>
      </c>
      <c r="C15" s="11" t="n">
        <v>0.11</v>
      </c>
      <c r="D15" s="9" t="inlineStr">
        <is>
          <t>$ / M jetons</t>
        </is>
      </c>
      <c r="E15" s="9" t="inlineStr">
        <is>
          <t>Tarif public</t>
        </is>
      </c>
      <c r="F15" s="10" t="inlineStr">
        <is>
          <t>https://docs.mistral.ai/models/pricing (0,10 $ × 1,1) ; Scaleway 0,10 €</t>
        </is>
      </c>
      <c r="G15" s="6" t="inlineStr">
        <is>
          <t>28/10/2026</t>
        </is>
      </c>
      <c r="H15" s="10" t="inlineStr"/>
    </row>
    <row r="16">
      <c r="A16" s="6" t="inlineStr">
        <is>
          <t>search_call</t>
        </is>
      </c>
      <c r="B16" s="7" t="inlineStr">
        <is>
          <t>Recherche web (Brave Search API)</t>
        </is>
      </c>
      <c r="C16" s="11" t="n">
        <v>0.005</v>
      </c>
      <c r="D16" s="9" t="inlineStr">
        <is>
          <t>$ / requête</t>
        </is>
      </c>
      <c r="E16" s="9" t="inlineStr">
        <is>
          <t>Tarif public</t>
        </is>
      </c>
      <c r="F16" s="10" t="inlineStr">
        <is>
          <t>https://api-dashboard.search.brave.com/documentation/pricing (5 $ pour 1 000 requêtes)</t>
        </is>
      </c>
      <c r="G16" s="6" t="inlineStr">
        <is>
          <t>28/10/2026</t>
        </is>
      </c>
      <c r="H16" s="10" t="inlineStr">
        <is>
          <t>Alternatives : Exa 7 $, Tavily 8 $ pour 1 000. Rétention zéro sur offre Entreprise.</t>
        </is>
      </c>
    </row>
    <row r="17">
      <c r="A17" s="6" t="inlineStr">
        <is>
          <t>places_call</t>
        </is>
      </c>
      <c r="B17" s="7" t="inlineStr">
        <is>
          <t>Google Places API (New) : moyenne d'une recherche textuelle Pro (32 $) et de deux fiches Pro (17 $) pour 1 000</t>
        </is>
      </c>
      <c r="C17" s="11" t="n">
        <v>0.022</v>
      </c>
      <c r="D17" s="9" t="inlineStr">
        <is>
          <t>$ / requête</t>
        </is>
      </c>
      <c r="E17" s="9" t="inlineStr">
        <is>
          <t>Tarif public</t>
        </is>
      </c>
      <c r="F17" s="10" t="inlineStr">
        <is>
          <t>https://developers.google.com/maps/billing-and-pricing/pricing</t>
        </is>
      </c>
      <c r="G17" s="6" t="inlineStr">
        <is>
          <t>28/10/2026</t>
        </is>
      </c>
      <c r="H17" s="10" t="inlineStr">
        <is>
          <t>5 000 événements gratuits par mois et par SKU : le pilote reste gratuit.</t>
        </is>
      </c>
    </row>
    <row r="18">
      <c r="A18" s="6" t="inlineStr">
        <is>
          <t>page_read</t>
        </is>
      </c>
      <c r="B18" s="7" t="inlineStr">
        <is>
          <t>Lecture d'une page web (Firecrawl, offre Hobby : 19 $ pour 5 000 pages)</t>
        </is>
      </c>
      <c r="C18" s="11" t="n">
        <v>0.0038</v>
      </c>
      <c r="D18" s="9" t="inlineStr">
        <is>
          <t>$ / page</t>
        </is>
      </c>
      <c r="E18" s="9" t="inlineStr">
        <is>
          <t>Tarif public</t>
        </is>
      </c>
      <c r="F18" s="10" t="inlineStr">
        <is>
          <t>https://www.firecrawl.dev/pricing.md</t>
        </is>
      </c>
      <c r="G18" s="6" t="inlineStr">
        <is>
          <t>28/10/2026</t>
        </is>
      </c>
      <c r="H18" s="10" t="inlineStr">
        <is>
          <t>Jina Reader environ 0,0005 $ par page (source secondaire).</t>
        </is>
      </c>
    </row>
    <row r="19">
      <c r="A19" s="6" t="inlineStr">
        <is>
          <t>browser_min</t>
        </is>
      </c>
      <c r="B19" s="7" t="inlineStr">
        <is>
          <t>Navigateur piloté dans le nuage, infrastructure et proxy résidentiel</t>
        </is>
      </c>
      <c r="C19" s="11" t="n">
        <v>0.012</v>
      </c>
      <c r="D19" s="9" t="inlineStr">
        <is>
          <t>$ / minute</t>
        </is>
      </c>
      <c r="E19" s="9" t="inlineStr">
        <is>
          <t>Tarif public</t>
        </is>
      </c>
      <c r="F19" s="10" t="inlineStr">
        <is>
          <t>Browserbase 0,12 $ par heure-navigateur (https://docs.browserbase.com/account/billing/plans.md) soit 0,002 $/min ; proxy résidentiel 10 $/Go, environ 1 Mo par minute soit 0,01 $/min</t>
        </is>
      </c>
      <c r="G19" s="6" t="inlineStr">
        <is>
          <t>28/10/2026</t>
        </is>
      </c>
      <c r="H19" s="10" t="inlineStr">
        <is>
          <t>Hors jetons du modèle qui pilote (comptés dans les appels moyens). Browser Use Cloud 0,02 $/h, Anchor 0,05 $/h : l'infrastructure est négligeable, le proxy et les jetons font le coût.</t>
        </is>
      </c>
    </row>
    <row r="20">
      <c r="A20" s="6" t="inlineStr">
        <is>
          <t>support_min</t>
        </is>
      </c>
      <c r="B20" s="7" t="inlineStr">
        <is>
          <t>Support humain</t>
        </is>
      </c>
      <c r="C20" s="13" t="n">
        <v>0.5</v>
      </c>
      <c r="D20" s="9" t="inlineStr">
        <is>
          <t>€ / minute</t>
        </is>
      </c>
      <c r="E20" s="9" t="inlineStr">
        <is>
          <t>Hypothèse</t>
        </is>
      </c>
      <c r="F20" s="10" t="inlineStr">
        <is>
          <t>30 € HT de l'heure chargée (fondateur puis customer success)</t>
        </is>
      </c>
      <c r="G20" s="6" t="inlineStr">
        <is>
          <t>28/10/2026</t>
        </is>
      </c>
      <c r="H20" s="10" t="inlineStr">
        <is>
          <t>Cohérent avec l'embauche 1 du modèle 36 mois (4 500 € chargés).</t>
        </is>
      </c>
    </row>
    <row r="21">
      <c r="A21" s="6" t="inlineStr">
        <is>
          <t>hosting_user</t>
        </is>
      </c>
      <c r="B21" s="7" t="inlineStr">
        <is>
          <t>Hébergement, stockage, connecteurs, par abonné et par mois</t>
        </is>
      </c>
      <c r="C21" s="14" t="n">
        <v>1.5</v>
      </c>
      <c r="D21" s="9" t="inlineStr">
        <is>
          <t>€ / abonné</t>
        </is>
      </c>
      <c r="E21" s="9" t="inlineStr">
        <is>
          <t>Hypothèse</t>
        </is>
      </c>
      <c r="F21" s="10" t="inlineStr">
        <is>
          <t>Modèle 36 mois, central ; détail dans la réponse au cadrage § 3.5</t>
        </is>
      </c>
      <c r="G21" s="6" t="inlineStr">
        <is>
          <t>28/10/2026</t>
        </is>
      </c>
      <c r="H21" s="10" t="inlineStr">
        <is>
          <t>Coût fixe de la plateforme réparti ; vaut à partir de ~300 abonnés.</t>
        </is>
      </c>
    </row>
    <row r="22">
      <c r="A22" s="6" t="inlineStr">
        <is>
          <t>stripe_pct</t>
        </is>
      </c>
      <c r="B22" s="7" t="inlineStr">
        <is>
          <t>Frais de paiement, part variable : carte EEE 1,5 % + Stripe Billing 0,7 % + Stripe Tax 0,5 %</t>
        </is>
      </c>
      <c r="C22" s="15" t="n">
        <v>0.027</v>
      </c>
      <c r="D22" s="9" t="inlineStr">
        <is>
          <t>%</t>
        </is>
      </c>
      <c r="E22" s="9" t="inlineStr">
        <is>
          <t>Tarif public</t>
        </is>
      </c>
      <c r="F22" s="10" t="inlineStr">
        <is>
          <t>https://stripe.com/fr/pricing</t>
        </is>
      </c>
      <c r="G22" s="6" t="inlineStr">
        <is>
          <t>28/10/2026</t>
        </is>
      </c>
      <c r="H22" s="10" t="inlineStr">
        <is>
          <t>Par prélèvement SEPA : 0,35 € fixe + 1,2 %, soit 1,30 € sur 79 €.</t>
        </is>
      </c>
    </row>
    <row r="23">
      <c r="A23" s="6" t="inlineStr">
        <is>
          <t>stripe_fixed</t>
        </is>
      </c>
      <c r="B23" s="7" t="inlineStr">
        <is>
          <t>Frais de paiement, part fixe (carte)</t>
        </is>
      </c>
      <c r="C23" s="8" t="n">
        <v>0.25</v>
      </c>
      <c r="D23" s="9" t="inlineStr">
        <is>
          <t>€ / transaction</t>
        </is>
      </c>
      <c r="E23" s="9" t="inlineStr">
        <is>
          <t>Tarif public</t>
        </is>
      </c>
      <c r="F23" s="10" t="inlineStr">
        <is>
          <t>https://stripe.com/fr/pricing</t>
        </is>
      </c>
      <c r="G23" s="6" t="inlineStr">
        <is>
          <t>28/10/2026</t>
        </is>
      </c>
      <c r="H23" s="10" t="inlineStr"/>
    </row>
    <row r="25">
      <c r="A25" s="2" t="inlineStr">
        <is>
          <t>Paliers de modèles retenus</t>
        </is>
      </c>
    </row>
    <row r="26" ht="30" customHeight="1">
      <c r="A26" s="5" t="inlineStr">
        <is>
          <t>Palier</t>
        </is>
      </c>
      <c r="B26" s="5" t="inlineStr">
        <is>
          <t>Rôle</t>
        </is>
      </c>
      <c r="C26" s="5" t="inlineStr">
        <is>
          <t>Modèle recommandé</t>
        </is>
      </c>
      <c r="D26" s="5" t="inlineStr">
        <is>
          <t>Alternative UE</t>
        </is>
      </c>
      <c r="E26" s="5" t="inlineStr">
        <is>
          <t>Prix entrée ($/M)</t>
        </is>
      </c>
      <c r="F26" s="5" t="inlineStr">
        <is>
          <t>Prix sortie ($/M)</t>
        </is>
      </c>
      <c r="G26" s="5" t="inlineStr">
        <is>
          <t>Résidence des données</t>
        </is>
      </c>
      <c r="H26" s="5" t="inlineStr">
        <is>
          <t>Note</t>
        </is>
      </c>
    </row>
    <row r="27">
      <c r="A27" s="10" t="inlineStr">
        <is>
          <t>Petit</t>
        </is>
      </c>
      <c r="B27" s="10" t="inlineStr">
        <is>
          <t>Tri des courriels, extraction d'échéances et d'entités, lecture de pages, lecture initiale en lot</t>
        </is>
      </c>
      <c r="C27" s="10" t="inlineStr">
        <is>
          <t>Mistral Small 4 sur api.eu.mistral.ai (Mistral AI, Paris ; traitement dans l'UE et l'AELE)</t>
        </is>
      </c>
      <c r="D27" s="10" t="inlineStr">
        <is>
          <t>Claude Haiku 5.5 via Amazon Bedrock profil UE ; Scaleway mistral-small-3.2 (Paris, rétention zéro par défaut)</t>
        </is>
      </c>
      <c r="E27" s="10" t="inlineStr">
        <is>
          <t>0,165 (0,15 × 1,1)</t>
        </is>
      </c>
      <c r="F27" s="10" t="inlineStr">
        <is>
          <t>0,66</t>
        </is>
      </c>
      <c r="G27" s="10" t="inlineStr">
        <is>
          <t>UE / AELE ; rétention zéro sur demande (plan payant)</t>
        </is>
      </c>
      <c r="H27" s="10" t="inlineStr">
        <is>
          <t>Le socle lit les données les plus sensibles : un fournisseur européen y est préféré. Lot (−50 %) indisponible sur le point d'accès régional : l'activation M11 passe par le point d'accès global ou Scaleway.</t>
        </is>
      </c>
    </row>
    <row r="28">
      <c r="A28" s="10" t="inlineStr">
        <is>
          <t>Moyen</t>
        </is>
      </c>
      <c r="B28" s="10" t="inlineStr">
        <is>
          <t>Planification des missions, appels d'outils, pilotage du navigateur, rédaction dans le ton de l'utilisateur</t>
        </is>
      </c>
      <c r="C28" s="10" t="inlineStr">
        <is>
          <t>Claude Sonnet 5.5 via Amazon Bedrock, profil d'inférence UE (données traitées dans les régions UE, dont Paris eu-west-3)</t>
        </is>
      </c>
      <c r="D28" s="10" t="inlineStr">
        <is>
          <t>gpt-6.1-sol sur eu.api.openai.com (+10 %, résidence UE sur approbation) ; Mistral Medium 3.5 ou Large 4 sur api.eu.mistral.ai</t>
        </is>
      </c>
      <c r="E28" s="10" t="inlineStr">
        <is>
          <t>2,20 (2 × 1,1)</t>
        </is>
      </c>
      <c r="F28" s="10" t="inlineStr">
        <is>
          <t>11,0</t>
        </is>
      </c>
      <c r="G28" s="10" t="inlineStr">
        <is>
          <t>UE (profil Bedrock) ; AWS est sous-traitant ; rétention selon Bedrock</t>
        </is>
      </c>
      <c r="H28" s="10" t="inlineStr">
        <is>
          <t>Retenu pour les scores d'agents (tau2-bench, OSWorld) ; Mistral Large 4 testé en bascule au pilote, deux fois moins cher en sortie.</t>
        </is>
      </c>
    </row>
    <row r="29">
      <c r="A29" s="10" t="inlineStr">
        <is>
          <t>Frontière</t>
        </is>
      </c>
      <c r="B29" s="10" t="inlineStr">
        <is>
          <t>Escalade après deux échecs du modèle moyen ; cas ambigus ; 5 % des appels moyens en base, plafond 10 %</t>
        </is>
      </c>
      <c r="C29" s="10" t="inlineStr">
        <is>
          <t>Claude Opus 5.5 via Amazon Bedrock profil UE</t>
        </is>
      </c>
      <c r="D29" s="10" t="inlineStr">
        <is>
          <t>gpt-6-astra (10 / 50 $) ; Gemini 4 Argon (2 / 10 $, 4 / 20 $ dès le 1er décembre 2026, sans option de région sur l'API Gemini)</t>
        </is>
      </c>
      <c r="E29" s="10" t="inlineStr">
        <is>
          <t>4,40 (4 × 1,1)</t>
        </is>
      </c>
      <c r="F29" s="10" t="inlineStr">
        <is>
          <t>22,0</t>
        </is>
      </c>
      <c r="G29" s="10" t="inlineStr">
        <is>
          <t>UE (profil Bedrock)</t>
        </is>
      </c>
      <c r="H29" s="10" t="inlineStr">
        <is>
          <t>Fable 5.1 écarté : rétention 30 jours imposée et points d'accès régionaux limités aux États-Unis.</t>
        </is>
      </c>
    </row>
  </sheetData>
  <pageMargins left="0.75" right="0.75" top="1" bottom="1" header="0.5" footer="0.5"/>
</worksheet>
</file>

<file path=xl/worksheets/sheet3.xml><?xml version="1.0" encoding="utf-8"?>
<worksheet xmlns="http://schemas.openxmlformats.org/spreadsheetml/2006/main">
  <sheetPr>
    <tabColor rgb="00E4DDD2"/>
    <outlinePr summaryBelow="1" summaryRight="1"/>
    <pageSetUpPr/>
  </sheetPr>
  <dimension ref="A1:AG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9" customWidth="1" min="3" max="3"/>
    <col width="10" customWidth="1" min="4" max="4"/>
    <col width="11" customWidth="1" min="5" max="5"/>
    <col width="9" customWidth="1" min="6" max="6"/>
    <col width="11" customWidth="1" min="7" max="7"/>
    <col width="8" customWidth="1" min="8" max="8"/>
    <col width="10" customWidth="1" min="9" max="9"/>
    <col width="9" customWidth="1" min="10" max="10"/>
    <col width="11" customWidth="1" min="11" max="11"/>
    <col width="8" customWidth="1" min="12" max="12"/>
    <col width="10" customWidth="1" min="13" max="13"/>
    <col width="10" customWidth="1" min="14" max="14"/>
    <col width="8" customWidth="1" min="15" max="15"/>
    <col width="8" customWidth="1" min="16" max="16"/>
    <col width="8" customWidth="1" min="17" max="17"/>
    <col width="10" customWidth="1" min="18" max="18"/>
    <col width="9" customWidth="1" min="19" max="19"/>
    <col width="11" customWidth="1" min="20" max="20"/>
    <col width="8" customWidth="1" min="21" max="21"/>
    <col width="11" customWidth="1" min="22" max="22"/>
    <col width="9" customWidth="1" min="23" max="23"/>
    <col width="10" customWidth="1" min="24" max="24"/>
    <col width="12" customWidth="1" min="25" max="25"/>
    <col width="12" customWidth="1" min="26" max="26"/>
    <col width="12" customWidth="1" min="27" max="27"/>
    <col width="12" customWidth="1" min="28" max="28"/>
    <col width="12" customWidth="1" min="29" max="29"/>
    <col width="9" customWidth="1" min="30" max="30"/>
    <col width="11" customWidth="1" min="31" max="31"/>
    <col width="11" customWidth="1" min="32" max="32"/>
    <col width="11" customWidth="1" min="33" max="33"/>
  </cols>
  <sheetData>
    <row r="1">
      <c r="A1" s="1" t="inlineStr">
        <is>
          <t>Missions : paramètres et coût par exécution</t>
        </is>
      </c>
    </row>
    <row r="2">
      <c r="A2" s="4" t="inlineStr">
        <is>
          <t>Une ligne par mission. Colonnes bleues = hypothèses à remplacer par les mesures du pilote. Fréquences pour un abonné Premium.</t>
        </is>
      </c>
    </row>
    <row r="4" ht="58" customHeight="1">
      <c r="A4" s="5" t="inlineStr">
        <is>
          <t>#</t>
        </is>
      </c>
      <c r="B4" s="5" t="inlineStr">
        <is>
          <t>Mission</t>
        </is>
      </c>
      <c r="C4" s="5" t="inlineStr">
        <is>
          <t>Priorité</t>
        </is>
      </c>
      <c r="D4" s="5" t="inlineStr">
        <is>
          <t>Validation (A/C/X)</t>
        </is>
      </c>
      <c r="E4" s="5" t="inlineStr">
        <is>
          <t>Exécutions par mois (Premium)</t>
        </is>
      </c>
      <c r="F4" s="5" t="inlineStr">
        <is>
          <t>Appels petit modèle</t>
        </is>
      </c>
      <c r="G4" s="5" t="inlineStr">
        <is>
          <t>Entrée par appel (jetons)</t>
        </is>
      </c>
      <c r="H4" s="5" t="inlineStr">
        <is>
          <t>Part cachée</t>
        </is>
      </c>
      <c r="I4" s="5" t="inlineStr">
        <is>
          <t>Sortie par appel (jetons)</t>
        </is>
      </c>
      <c r="J4" s="5" t="inlineStr">
        <is>
          <t>Appels moyen</t>
        </is>
      </c>
      <c r="K4" s="5" t="inlineStr">
        <is>
          <t>Entrée par appel (jetons)</t>
        </is>
      </c>
      <c r="L4" s="5" t="inlineStr">
        <is>
          <t>Part cachée</t>
        </is>
      </c>
      <c r="M4" s="5" t="inlineStr">
        <is>
          <t>Sortie par appel (jetons)</t>
        </is>
      </c>
      <c r="N4" s="5" t="inlineStr">
        <is>
          <t>Part escaladée vers frontière</t>
        </is>
      </c>
      <c r="O4" s="5" t="inlineStr">
        <is>
          <t>Recherches web</t>
        </is>
      </c>
      <c r="P4" s="5" t="inlineStr">
        <is>
          <t>Appels Places</t>
        </is>
      </c>
      <c r="Q4" s="5" t="inlineStr">
        <is>
          <t>Lectures de page</t>
        </is>
      </c>
      <c r="R4" s="5" t="inlineStr">
        <is>
          <t>Navigateur piloté (min)</t>
        </is>
      </c>
      <c r="S4" s="5" t="inlineStr">
        <is>
          <t>Facteur de reprises</t>
        </is>
      </c>
      <c r="T4" s="5" t="inlineStr">
        <is>
          <t>Taux de réussite estimé (non mesuré)</t>
        </is>
      </c>
      <c r="U4" s="5" t="inlineStr">
        <is>
          <t>Durée (min)</t>
        </is>
      </c>
      <c r="V4" s="5" t="inlineStr">
        <is>
          <t>Part des échecs traités par un humain</t>
        </is>
      </c>
      <c r="W4" s="5" t="inlineStr">
        <is>
          <t>Minutes par traitement</t>
        </is>
      </c>
      <c r="X4" s="5" t="inlineStr">
        <is>
          <t>Jetons d'embedding</t>
        </is>
      </c>
      <c r="Y4" s="5" t="inlineStr">
        <is>
          <t>Coût modèles par exécution</t>
        </is>
      </c>
      <c r="Z4" s="5" t="inlineStr">
        <is>
          <t>Coût outils par exécution</t>
        </is>
      </c>
      <c r="AA4" s="5" t="inlineStr">
        <is>
          <t>Coût support par exécution</t>
        </is>
      </c>
      <c r="AB4" s="5" t="inlineStr">
        <is>
          <t>Coût total HT par exécution</t>
        </is>
      </c>
      <c r="AC4" s="5" t="inlineStr">
        <is>
          <t>Coût mensuel par abonné Premium</t>
        </is>
      </c>
      <c r="AD4" s="5" t="inlineStr">
        <is>
          <t>Part du coût mensuel</t>
        </is>
      </c>
      <c r="AE4" s="5" t="inlineStr">
        <is>
          <t>dont modèles / mois</t>
        </is>
      </c>
      <c r="AF4" s="5" t="inlineStr">
        <is>
          <t>dont outils / mois</t>
        </is>
      </c>
      <c r="AG4" s="5" t="inlineStr">
        <is>
          <t>dont support / mois</t>
        </is>
      </c>
    </row>
    <row r="5">
      <c r="A5" s="16" t="inlineStr">
        <is>
          <t>M0</t>
        </is>
      </c>
      <c r="B5" s="3" t="inlineStr">
        <is>
          <t>Socle : tri quotidien des courriels et de l'agenda (partagé par M1, M2, M8, M9)</t>
        </is>
      </c>
      <c r="C5" s="16" t="inlineStr">
        <is>
          <t>Socle</t>
        </is>
      </c>
      <c r="D5" s="16" t="inlineStr">
        <is>
          <t>A</t>
        </is>
      </c>
      <c r="E5" s="17" t="n">
        <v>30</v>
      </c>
      <c r="F5" s="17" t="n">
        <v>1</v>
      </c>
      <c r="G5" s="18" t="n">
        <v>20000</v>
      </c>
      <c r="H5" s="19" t="n">
        <v>0.2</v>
      </c>
      <c r="I5" s="18" t="n">
        <v>1500</v>
      </c>
      <c r="J5" s="17" t="n">
        <v>0</v>
      </c>
      <c r="K5" s="18" t="n">
        <v>0</v>
      </c>
      <c r="L5" s="19" t="n">
        <v>0</v>
      </c>
      <c r="M5" s="18" t="n">
        <v>0</v>
      </c>
      <c r="N5" s="19" t="n">
        <v>0</v>
      </c>
      <c r="O5" s="18" t="n">
        <v>0</v>
      </c>
      <c r="P5" s="18" t="n">
        <v>0</v>
      </c>
      <c r="Q5" s="18" t="n">
        <v>0</v>
      </c>
      <c r="R5" s="18" t="n">
        <v>0</v>
      </c>
      <c r="S5" s="17" t="n">
        <v>1.05</v>
      </c>
      <c r="T5" s="19" t="n">
        <v>0.97</v>
      </c>
      <c r="U5" s="18" t="n">
        <v>1</v>
      </c>
      <c r="V5" s="19" t="n">
        <v>0</v>
      </c>
      <c r="W5" s="18" t="n">
        <v>0</v>
      </c>
      <c r="X5" s="18" t="n">
        <v>2000</v>
      </c>
      <c r="Y5" s="20">
        <f>S5*(F5*((G5*(1-H5))*Tarifs!$C$6+G5*H5*Tarifs!$C$7+I5*Tarifs!$C$8)/1000000+(1-N5)*J5*((K5*(1-L5))*Tarifs!$C$9+K5*L5*Tarifs!$C$10+M5*Tarifs!$C$11)/1000000+N5*J5*((K5*(1-L5))*Tarifs!$C$12+K5*L5*Tarifs!$C$13+M5*Tarifs!$C$14)/1000000+X5*Tarifs!$C$15/1000000)*Tarifs!$C$5</f>
        <v/>
      </c>
      <c r="Z5" s="20">
        <f>S5*(O5*Tarifs!$C$16+P5*Tarifs!$C$17+Q5*Tarifs!$C$18+R5*Tarifs!$C$19)*Tarifs!$C$5</f>
        <v/>
      </c>
      <c r="AA5" s="20">
        <f>(1-T5)*V5*W5*Tarifs!$C$20</f>
        <v/>
      </c>
      <c r="AB5" s="21">
        <f>Y5+Z5+AA5</f>
        <v/>
      </c>
      <c r="AC5" s="22">
        <f>E5*AB5</f>
        <v/>
      </c>
      <c r="AD5" s="23">
        <f>IF($AC$17=0,0,AC5/$AC$17)</f>
        <v/>
      </c>
      <c r="AE5" s="24">
        <f>E5*Y5</f>
        <v/>
      </c>
      <c r="AF5" s="24">
        <f>E5*Z5</f>
        <v/>
      </c>
      <c r="AG5" s="24">
        <f>E5*AA5</f>
        <v/>
      </c>
    </row>
    <row r="6">
      <c r="A6" s="16" t="inlineStr">
        <is>
          <t>M1</t>
        </is>
      </c>
      <c r="B6" s="25" t="inlineStr">
        <is>
          <t>Briefing quotidien</t>
        </is>
      </c>
      <c r="C6" s="16" t="inlineStr">
        <is>
          <t>1</t>
        </is>
      </c>
      <c r="D6" s="16" t="inlineStr">
        <is>
          <t>A</t>
        </is>
      </c>
      <c r="E6" s="17" t="n">
        <v>30</v>
      </c>
      <c r="F6" s="17" t="n">
        <v>0</v>
      </c>
      <c r="G6" s="18" t="n">
        <v>0</v>
      </c>
      <c r="H6" s="19" t="n">
        <v>0</v>
      </c>
      <c r="I6" s="18" t="n">
        <v>0</v>
      </c>
      <c r="J6" s="17" t="n">
        <v>1</v>
      </c>
      <c r="K6" s="18" t="n">
        <v>8000</v>
      </c>
      <c r="L6" s="19" t="n">
        <v>0.5</v>
      </c>
      <c r="M6" s="18" t="n">
        <v>600</v>
      </c>
      <c r="N6" s="19" t="n">
        <v>0</v>
      </c>
      <c r="O6" s="18" t="n">
        <v>0</v>
      </c>
      <c r="P6" s="18" t="n">
        <v>0</v>
      </c>
      <c r="Q6" s="18" t="n">
        <v>0</v>
      </c>
      <c r="R6" s="18" t="n">
        <v>0</v>
      </c>
      <c r="S6" s="17" t="n">
        <v>1.05</v>
      </c>
      <c r="T6" s="19" t="n">
        <v>0.95</v>
      </c>
      <c r="U6" s="18" t="n">
        <v>1</v>
      </c>
      <c r="V6" s="19" t="n">
        <v>0.1</v>
      </c>
      <c r="W6" s="18" t="n">
        <v>3</v>
      </c>
      <c r="X6" s="18" t="n">
        <v>0</v>
      </c>
      <c r="Y6" s="20">
        <f>S6*(F6*((G6*(1-H6))*Tarifs!$C$6+G6*H6*Tarifs!$C$7+I6*Tarifs!$C$8)/1000000+(1-N6)*J6*((K6*(1-L6))*Tarifs!$C$9+K6*L6*Tarifs!$C$10+M6*Tarifs!$C$11)/1000000+N6*J6*((K6*(1-L6))*Tarifs!$C$12+K6*L6*Tarifs!$C$13+M6*Tarifs!$C$14)/1000000+X6*Tarifs!$C$15/1000000)*Tarifs!$C$5</f>
        <v/>
      </c>
      <c r="Z6" s="20">
        <f>S6*(O6*Tarifs!$C$16+P6*Tarifs!$C$17+Q6*Tarifs!$C$18+R6*Tarifs!$C$19)*Tarifs!$C$5</f>
        <v/>
      </c>
      <c r="AA6" s="20">
        <f>(1-T6)*V6*W6*Tarifs!$C$20</f>
        <v/>
      </c>
      <c r="AB6" s="21">
        <f>Y6+Z6+AA6</f>
        <v/>
      </c>
      <c r="AC6" s="22">
        <f>E6*AB6</f>
        <v/>
      </c>
      <c r="AD6" s="23">
        <f>IF($AC$17=0,0,AC6/$AC$17)</f>
        <v/>
      </c>
      <c r="AE6" s="24">
        <f>E6*Y6</f>
        <v/>
      </c>
      <c r="AF6" s="24">
        <f>E6*Z6</f>
        <v/>
      </c>
      <c r="AG6" s="24">
        <f>E6*AA6</f>
        <v/>
      </c>
    </row>
    <row r="7">
      <c r="A7" s="16" t="inlineStr">
        <is>
          <t>M2</t>
        </is>
      </c>
      <c r="B7" s="25" t="inlineStr">
        <is>
          <t>Suivi des échéances personnelles</t>
        </is>
      </c>
      <c r="C7" s="16" t="inlineStr">
        <is>
          <t>1</t>
        </is>
      </c>
      <c r="D7" s="16" t="inlineStr">
        <is>
          <t>A</t>
        </is>
      </c>
      <c r="E7" s="17" t="n">
        <v>8</v>
      </c>
      <c r="F7" s="17" t="n">
        <v>1</v>
      </c>
      <c r="G7" s="18" t="n">
        <v>6000</v>
      </c>
      <c r="H7" s="19" t="n">
        <v>0</v>
      </c>
      <c r="I7" s="18" t="n">
        <v>400</v>
      </c>
      <c r="J7" s="17" t="n">
        <v>1</v>
      </c>
      <c r="K7" s="18" t="n">
        <v>5000</v>
      </c>
      <c r="L7" s="19" t="n">
        <v>0.4</v>
      </c>
      <c r="M7" s="18" t="n">
        <v>300</v>
      </c>
      <c r="N7" s="19" t="n">
        <v>0</v>
      </c>
      <c r="O7" s="18" t="n">
        <v>0</v>
      </c>
      <c r="P7" s="18" t="n">
        <v>0</v>
      </c>
      <c r="Q7" s="18" t="n">
        <v>0</v>
      </c>
      <c r="R7" s="18" t="n">
        <v>0</v>
      </c>
      <c r="S7" s="17" t="n">
        <v>1.1</v>
      </c>
      <c r="T7" s="19" t="n">
        <v>0.9</v>
      </c>
      <c r="U7" s="18" t="n">
        <v>2</v>
      </c>
      <c r="V7" s="19" t="n">
        <v>0.1</v>
      </c>
      <c r="W7" s="18" t="n">
        <v>3</v>
      </c>
      <c r="X7" s="18" t="n">
        <v>0</v>
      </c>
      <c r="Y7" s="20">
        <f>S7*(F7*((G7*(1-H7))*Tarifs!$C$6+G7*H7*Tarifs!$C$7+I7*Tarifs!$C$8)/1000000+(1-N7)*J7*((K7*(1-L7))*Tarifs!$C$9+K7*L7*Tarifs!$C$10+M7*Tarifs!$C$11)/1000000+N7*J7*((K7*(1-L7))*Tarifs!$C$12+K7*L7*Tarifs!$C$13+M7*Tarifs!$C$14)/1000000+X7*Tarifs!$C$15/1000000)*Tarifs!$C$5</f>
        <v/>
      </c>
      <c r="Z7" s="20">
        <f>S7*(O7*Tarifs!$C$16+P7*Tarifs!$C$17+Q7*Tarifs!$C$18+R7*Tarifs!$C$19)*Tarifs!$C$5</f>
        <v/>
      </c>
      <c r="AA7" s="20">
        <f>(1-T7)*V7*W7*Tarifs!$C$20</f>
        <v/>
      </c>
      <c r="AB7" s="21">
        <f>Y7+Z7+AA7</f>
        <v/>
      </c>
      <c r="AC7" s="22">
        <f>E7*AB7</f>
        <v/>
      </c>
      <c r="AD7" s="23">
        <f>IF($AC$17=0,0,AC7/$AC$17)</f>
        <v/>
      </c>
      <c r="AE7" s="24">
        <f>E7*Y7</f>
        <v/>
      </c>
      <c r="AF7" s="24">
        <f>E7*Z7</f>
        <v/>
      </c>
      <c r="AG7" s="24">
        <f>E7*AA7</f>
        <v/>
      </c>
    </row>
    <row r="8">
      <c r="A8" s="16" t="inlineStr">
        <is>
          <t>M3</t>
        </is>
      </c>
      <c r="B8" s="25" t="inlineStr">
        <is>
          <t>Prise de rendez-vous de service (garage, coiffeur, artisan)</t>
        </is>
      </c>
      <c r="C8" s="16" t="inlineStr">
        <is>
          <t>2</t>
        </is>
      </c>
      <c r="D8" s="16" t="inlineStr">
        <is>
          <t>C</t>
        </is>
      </c>
      <c r="E8" s="17" t="n">
        <v>1</v>
      </c>
      <c r="F8" s="17" t="n">
        <v>2</v>
      </c>
      <c r="G8" s="18" t="n">
        <v>4000</v>
      </c>
      <c r="H8" s="19" t="n">
        <v>0</v>
      </c>
      <c r="I8" s="18" t="n">
        <v>300</v>
      </c>
      <c r="J8" s="17" t="n">
        <v>15</v>
      </c>
      <c r="K8" s="18" t="n">
        <v>12000</v>
      </c>
      <c r="L8" s="19" t="n">
        <v>0.4</v>
      </c>
      <c r="M8" s="18" t="n">
        <v>250</v>
      </c>
      <c r="N8" s="19" t="n">
        <v>0.05</v>
      </c>
      <c r="O8" s="18" t="n">
        <v>1</v>
      </c>
      <c r="P8" s="18" t="n">
        <v>3</v>
      </c>
      <c r="Q8" s="18" t="n">
        <v>0</v>
      </c>
      <c r="R8" s="18" t="n">
        <v>8</v>
      </c>
      <c r="S8" s="17" t="n">
        <v>1.4</v>
      </c>
      <c r="T8" s="19" t="n">
        <v>0.65</v>
      </c>
      <c r="U8" s="18" t="n">
        <v>12</v>
      </c>
      <c r="V8" s="19" t="n">
        <v>0.4</v>
      </c>
      <c r="W8" s="18" t="n">
        <v>6</v>
      </c>
      <c r="X8" s="18" t="n">
        <v>0</v>
      </c>
      <c r="Y8" s="20">
        <f>S8*(F8*((G8*(1-H8))*Tarifs!$C$6+G8*H8*Tarifs!$C$7+I8*Tarifs!$C$8)/1000000+(1-N8)*J8*((K8*(1-L8))*Tarifs!$C$9+K8*L8*Tarifs!$C$10+M8*Tarifs!$C$11)/1000000+N8*J8*((K8*(1-L8))*Tarifs!$C$12+K8*L8*Tarifs!$C$13+M8*Tarifs!$C$14)/1000000+X8*Tarifs!$C$15/1000000)*Tarifs!$C$5</f>
        <v/>
      </c>
      <c r="Z8" s="20">
        <f>S8*(O8*Tarifs!$C$16+P8*Tarifs!$C$17+Q8*Tarifs!$C$18+R8*Tarifs!$C$19)*Tarifs!$C$5</f>
        <v/>
      </c>
      <c r="AA8" s="20">
        <f>(1-T8)*V8*W8*Tarifs!$C$20</f>
        <v/>
      </c>
      <c r="AB8" s="21">
        <f>Y8+Z8+AA8</f>
        <v/>
      </c>
      <c r="AC8" s="22">
        <f>E8*AB8</f>
        <v/>
      </c>
      <c r="AD8" s="23">
        <f>IF($AC$17=0,0,AC8/$AC$17)</f>
        <v/>
      </c>
      <c r="AE8" s="24">
        <f>E8*Y8</f>
        <v/>
      </c>
      <c r="AF8" s="24">
        <f>E8*Z8</f>
        <v/>
      </c>
      <c r="AG8" s="24">
        <f>E8*AA8</f>
        <v/>
      </c>
    </row>
    <row r="9">
      <c r="A9" s="16" t="inlineStr">
        <is>
          <t>M4</t>
        </is>
      </c>
      <c r="B9" s="25" t="inlineStr">
        <is>
          <t>Réservation de restaurant</t>
        </is>
      </c>
      <c r="C9" s="16" t="inlineStr">
        <is>
          <t>2</t>
        </is>
      </c>
      <c r="D9" s="16" t="inlineStr">
        <is>
          <t>C</t>
        </is>
      </c>
      <c r="E9" s="17" t="n">
        <v>2</v>
      </c>
      <c r="F9" s="17" t="n">
        <v>2</v>
      </c>
      <c r="G9" s="18" t="n">
        <v>4000</v>
      </c>
      <c r="H9" s="19" t="n">
        <v>0</v>
      </c>
      <c r="I9" s="18" t="n">
        <v>300</v>
      </c>
      <c r="J9" s="17" t="n">
        <v>12</v>
      </c>
      <c r="K9" s="18" t="n">
        <v>12000</v>
      </c>
      <c r="L9" s="19" t="n">
        <v>0.4</v>
      </c>
      <c r="M9" s="18" t="n">
        <v>250</v>
      </c>
      <c r="N9" s="19" t="n">
        <v>0.05</v>
      </c>
      <c r="O9" s="18" t="n">
        <v>0</v>
      </c>
      <c r="P9" s="18" t="n">
        <v>4</v>
      </c>
      <c r="Q9" s="18" t="n">
        <v>0</v>
      </c>
      <c r="R9" s="18" t="n">
        <v>6</v>
      </c>
      <c r="S9" s="17" t="n">
        <v>1.3</v>
      </c>
      <c r="T9" s="19" t="n">
        <v>0.7</v>
      </c>
      <c r="U9" s="18" t="n">
        <v>10</v>
      </c>
      <c r="V9" s="19" t="n">
        <v>0.3</v>
      </c>
      <c r="W9" s="18" t="n">
        <v>5</v>
      </c>
      <c r="X9" s="18" t="n">
        <v>0</v>
      </c>
      <c r="Y9" s="20">
        <f>S9*(F9*((G9*(1-H9))*Tarifs!$C$6+G9*H9*Tarifs!$C$7+I9*Tarifs!$C$8)/1000000+(1-N9)*J9*((K9*(1-L9))*Tarifs!$C$9+K9*L9*Tarifs!$C$10+M9*Tarifs!$C$11)/1000000+N9*J9*((K9*(1-L9))*Tarifs!$C$12+K9*L9*Tarifs!$C$13+M9*Tarifs!$C$14)/1000000+X9*Tarifs!$C$15/1000000)*Tarifs!$C$5</f>
        <v/>
      </c>
      <c r="Z9" s="20">
        <f>S9*(O9*Tarifs!$C$16+P9*Tarifs!$C$17+Q9*Tarifs!$C$18+R9*Tarifs!$C$19)*Tarifs!$C$5</f>
        <v/>
      </c>
      <c r="AA9" s="20">
        <f>(1-T9)*V9*W9*Tarifs!$C$20</f>
        <v/>
      </c>
      <c r="AB9" s="21">
        <f>Y9+Z9+AA9</f>
        <v/>
      </c>
      <c r="AC9" s="22">
        <f>E9*AB9</f>
        <v/>
      </c>
      <c r="AD9" s="23">
        <f>IF($AC$17=0,0,AC9/$AC$17)</f>
        <v/>
      </c>
      <c r="AE9" s="24">
        <f>E9*Y9</f>
        <v/>
      </c>
      <c r="AF9" s="24">
        <f>E9*Z9</f>
        <v/>
      </c>
      <c r="AG9" s="24">
        <f>E9*AA9</f>
        <v/>
      </c>
    </row>
    <row r="10">
      <c r="A10" s="16" t="inlineStr">
        <is>
          <t>M5</t>
        </is>
      </c>
      <c r="B10" s="25" t="inlineStr">
        <is>
          <t>Organisation d'un déplacement privé</t>
        </is>
      </c>
      <c r="C10" s="16" t="inlineStr">
        <is>
          <t>2</t>
        </is>
      </c>
      <c r="D10" s="16" t="inlineStr">
        <is>
          <t>C</t>
        </is>
      </c>
      <c r="E10" s="17" t="n">
        <v>0.5</v>
      </c>
      <c r="F10" s="17" t="n">
        <v>4</v>
      </c>
      <c r="G10" s="18" t="n">
        <v>8000</v>
      </c>
      <c r="H10" s="19" t="n">
        <v>0</v>
      </c>
      <c r="I10" s="18" t="n">
        <v>500</v>
      </c>
      <c r="J10" s="17" t="n">
        <v>6</v>
      </c>
      <c r="K10" s="18" t="n">
        <v>15000</v>
      </c>
      <c r="L10" s="19" t="n">
        <v>0.3</v>
      </c>
      <c r="M10" s="18" t="n">
        <v>800</v>
      </c>
      <c r="N10" s="19" t="n">
        <v>0.1</v>
      </c>
      <c r="O10" s="18" t="n">
        <v>8</v>
      </c>
      <c r="P10" s="18" t="n">
        <v>0</v>
      </c>
      <c r="Q10" s="18" t="n">
        <v>10</v>
      </c>
      <c r="R10" s="18" t="n">
        <v>0</v>
      </c>
      <c r="S10" s="17" t="n">
        <v>1.2</v>
      </c>
      <c r="T10" s="19" t="n">
        <v>0.75</v>
      </c>
      <c r="U10" s="18" t="n">
        <v>20</v>
      </c>
      <c r="V10" s="19" t="n">
        <v>0.2</v>
      </c>
      <c r="W10" s="18" t="n">
        <v>8</v>
      </c>
      <c r="X10" s="18" t="n">
        <v>0</v>
      </c>
      <c r="Y10" s="20">
        <f>S10*(F10*((G10*(1-H10))*Tarifs!$C$6+G10*H10*Tarifs!$C$7+I10*Tarifs!$C$8)/1000000+(1-N10)*J10*((K10*(1-L10))*Tarifs!$C$9+K10*L10*Tarifs!$C$10+M10*Tarifs!$C$11)/1000000+N10*J10*((K10*(1-L10))*Tarifs!$C$12+K10*L10*Tarifs!$C$13+M10*Tarifs!$C$14)/1000000+X10*Tarifs!$C$15/1000000)*Tarifs!$C$5</f>
        <v/>
      </c>
      <c r="Z10" s="20">
        <f>S10*(O10*Tarifs!$C$16+P10*Tarifs!$C$17+Q10*Tarifs!$C$18+R10*Tarifs!$C$19)*Tarifs!$C$5</f>
        <v/>
      </c>
      <c r="AA10" s="20">
        <f>(1-T10)*V10*W10*Tarifs!$C$20</f>
        <v/>
      </c>
      <c r="AB10" s="21">
        <f>Y10+Z10+AA10</f>
        <v/>
      </c>
      <c r="AC10" s="22">
        <f>E10*AB10</f>
        <v/>
      </c>
      <c r="AD10" s="23">
        <f>IF($AC$17=0,0,AC10/$AC$17)</f>
        <v/>
      </c>
      <c r="AE10" s="24">
        <f>E10*Y10</f>
        <v/>
      </c>
      <c r="AF10" s="24">
        <f>E10*Z10</f>
        <v/>
      </c>
      <c r="AG10" s="24">
        <f>E10*AA10</f>
        <v/>
      </c>
    </row>
    <row r="11">
      <c r="A11" s="16" t="inlineStr">
        <is>
          <t>M6</t>
        </is>
      </c>
      <c r="B11" s="25" t="inlineStr">
        <is>
          <t>Brouillons de courriels personnels</t>
        </is>
      </c>
      <c r="C11" s="16" t="inlineStr">
        <is>
          <t>1</t>
        </is>
      </c>
      <c r="D11" s="16" t="inlineStr">
        <is>
          <t>C</t>
        </is>
      </c>
      <c r="E11" s="17" t="n">
        <v>6</v>
      </c>
      <c r="F11" s="17" t="n">
        <v>0</v>
      </c>
      <c r="G11" s="18" t="n">
        <v>0</v>
      </c>
      <c r="H11" s="19" t="n">
        <v>0</v>
      </c>
      <c r="I11" s="18" t="n">
        <v>0</v>
      </c>
      <c r="J11" s="17" t="n">
        <v>1</v>
      </c>
      <c r="K11" s="18" t="n">
        <v>6000</v>
      </c>
      <c r="L11" s="19" t="n">
        <v>0.5</v>
      </c>
      <c r="M11" s="18" t="n">
        <v>500</v>
      </c>
      <c r="N11" s="19" t="n">
        <v>0</v>
      </c>
      <c r="O11" s="18" t="n">
        <v>0</v>
      </c>
      <c r="P11" s="18" t="n">
        <v>0</v>
      </c>
      <c r="Q11" s="18" t="n">
        <v>0</v>
      </c>
      <c r="R11" s="18" t="n">
        <v>0</v>
      </c>
      <c r="S11" s="17" t="n">
        <v>1.15</v>
      </c>
      <c r="T11" s="19" t="n">
        <v>0.85</v>
      </c>
      <c r="U11" s="18" t="n">
        <v>1</v>
      </c>
      <c r="V11" s="19" t="n">
        <v>0.05</v>
      </c>
      <c r="W11" s="18" t="n">
        <v>2</v>
      </c>
      <c r="X11" s="18" t="n">
        <v>0</v>
      </c>
      <c r="Y11" s="20">
        <f>S11*(F11*((G11*(1-H11))*Tarifs!$C$6+G11*H11*Tarifs!$C$7+I11*Tarifs!$C$8)/1000000+(1-N11)*J11*((K11*(1-L11))*Tarifs!$C$9+K11*L11*Tarifs!$C$10+M11*Tarifs!$C$11)/1000000+N11*J11*((K11*(1-L11))*Tarifs!$C$12+K11*L11*Tarifs!$C$13+M11*Tarifs!$C$14)/1000000+X11*Tarifs!$C$15/1000000)*Tarifs!$C$5</f>
        <v/>
      </c>
      <c r="Z11" s="20">
        <f>S11*(O11*Tarifs!$C$16+P11*Tarifs!$C$17+Q11*Tarifs!$C$18+R11*Tarifs!$C$19)*Tarifs!$C$5</f>
        <v/>
      </c>
      <c r="AA11" s="20">
        <f>(1-T11)*V11*W11*Tarifs!$C$20</f>
        <v/>
      </c>
      <c r="AB11" s="21">
        <f>Y11+Z11+AA11</f>
        <v/>
      </c>
      <c r="AC11" s="22">
        <f>E11*AB11</f>
        <v/>
      </c>
      <c r="AD11" s="23">
        <f>IF($AC$17=0,0,AC11/$AC$17)</f>
        <v/>
      </c>
      <c r="AE11" s="24">
        <f>E11*Y11</f>
        <v/>
      </c>
      <c r="AF11" s="24">
        <f>E11*Z11</f>
        <v/>
      </c>
      <c r="AG11" s="24">
        <f>E11*AA11</f>
        <v/>
      </c>
    </row>
    <row r="12">
      <c r="A12" s="16" t="inlineStr">
        <is>
          <t>M7</t>
        </is>
      </c>
      <c r="B12" s="25" t="inlineStr">
        <is>
          <t>Coordination de l'agenda familial</t>
        </is>
      </c>
      <c r="C12" s="16" t="inlineStr">
        <is>
          <t>2</t>
        </is>
      </c>
      <c r="D12" s="16" t="inlineStr">
        <is>
          <t>C</t>
        </is>
      </c>
      <c r="E12" s="17" t="n">
        <v>4</v>
      </c>
      <c r="F12" s="17" t="n">
        <v>1</v>
      </c>
      <c r="G12" s="18" t="n">
        <v>5000</v>
      </c>
      <c r="H12" s="19" t="n">
        <v>0</v>
      </c>
      <c r="I12" s="18" t="n">
        <v>300</v>
      </c>
      <c r="J12" s="17" t="n">
        <v>1</v>
      </c>
      <c r="K12" s="18" t="n">
        <v>8000</v>
      </c>
      <c r="L12" s="19" t="n">
        <v>0.5</v>
      </c>
      <c r="M12" s="18" t="n">
        <v>400</v>
      </c>
      <c r="N12" s="19" t="n">
        <v>0</v>
      </c>
      <c r="O12" s="18" t="n">
        <v>0</v>
      </c>
      <c r="P12" s="18" t="n">
        <v>0</v>
      </c>
      <c r="Q12" s="18" t="n">
        <v>0</v>
      </c>
      <c r="R12" s="18" t="n">
        <v>0</v>
      </c>
      <c r="S12" s="17" t="n">
        <v>1.1</v>
      </c>
      <c r="T12" s="19" t="n">
        <v>0.8</v>
      </c>
      <c r="U12" s="18" t="n">
        <v>2</v>
      </c>
      <c r="V12" s="19" t="n">
        <v>0.1</v>
      </c>
      <c r="W12" s="18" t="n">
        <v>3</v>
      </c>
      <c r="X12" s="18" t="n">
        <v>0</v>
      </c>
      <c r="Y12" s="20">
        <f>S12*(F12*((G12*(1-H12))*Tarifs!$C$6+G12*H12*Tarifs!$C$7+I12*Tarifs!$C$8)/1000000+(1-N12)*J12*((K12*(1-L12))*Tarifs!$C$9+K12*L12*Tarifs!$C$10+M12*Tarifs!$C$11)/1000000+N12*J12*((K12*(1-L12))*Tarifs!$C$12+K12*L12*Tarifs!$C$13+M12*Tarifs!$C$14)/1000000+X12*Tarifs!$C$15/1000000)*Tarifs!$C$5</f>
        <v/>
      </c>
      <c r="Z12" s="20">
        <f>S12*(O12*Tarifs!$C$16+P12*Tarifs!$C$17+Q12*Tarifs!$C$18+R12*Tarifs!$C$19)*Tarifs!$C$5</f>
        <v/>
      </c>
      <c r="AA12" s="20">
        <f>(1-T12)*V12*W12*Tarifs!$C$20</f>
        <v/>
      </c>
      <c r="AB12" s="21">
        <f>Y12+Z12+AA12</f>
        <v/>
      </c>
      <c r="AC12" s="22">
        <f>E12*AB12</f>
        <v/>
      </c>
      <c r="AD12" s="23">
        <f>IF($AC$17=0,0,AC12/$AC$17)</f>
        <v/>
      </c>
      <c r="AE12" s="24">
        <f>E12*Y12</f>
        <v/>
      </c>
      <c r="AF12" s="24">
        <f>E12*Z12</f>
        <v/>
      </c>
      <c r="AG12" s="24">
        <f>E12*AA12</f>
        <v/>
      </c>
    </row>
    <row r="13">
      <c r="A13" s="16" t="inlineStr">
        <is>
          <t>M8</t>
        </is>
      </c>
      <c r="B13" s="25" t="inlineStr">
        <is>
          <t>Suivi des abonnements</t>
        </is>
      </c>
      <c r="C13" s="16" t="inlineStr">
        <is>
          <t>3</t>
        </is>
      </c>
      <c r="D13" s="16" t="inlineStr">
        <is>
          <t>C</t>
        </is>
      </c>
      <c r="E13" s="17" t="n">
        <v>1</v>
      </c>
      <c r="F13" s="17" t="n">
        <v>1</v>
      </c>
      <c r="G13" s="18" t="n">
        <v>10000</v>
      </c>
      <c r="H13" s="19" t="n">
        <v>0</v>
      </c>
      <c r="I13" s="18" t="n">
        <v>500</v>
      </c>
      <c r="J13" s="17" t="n">
        <v>1.5</v>
      </c>
      <c r="K13" s="18" t="n">
        <v>6000</v>
      </c>
      <c r="L13" s="19" t="n">
        <v>0.4</v>
      </c>
      <c r="M13" s="18" t="n">
        <v>400</v>
      </c>
      <c r="N13" s="19" t="n">
        <v>0</v>
      </c>
      <c r="O13" s="18" t="n">
        <v>0</v>
      </c>
      <c r="P13" s="18" t="n">
        <v>0</v>
      </c>
      <c r="Q13" s="18" t="n">
        <v>0</v>
      </c>
      <c r="R13" s="18" t="n">
        <v>0</v>
      </c>
      <c r="S13" s="17" t="n">
        <v>1.1</v>
      </c>
      <c r="T13" s="19" t="n">
        <v>0.85</v>
      </c>
      <c r="U13" s="18" t="n">
        <v>3</v>
      </c>
      <c r="V13" s="19" t="n">
        <v>0.1</v>
      </c>
      <c r="W13" s="18" t="n">
        <v>4</v>
      </c>
      <c r="X13" s="18" t="n">
        <v>0</v>
      </c>
      <c r="Y13" s="20">
        <f>S13*(F13*((G13*(1-H13))*Tarifs!$C$6+G13*H13*Tarifs!$C$7+I13*Tarifs!$C$8)/1000000+(1-N13)*J13*((K13*(1-L13))*Tarifs!$C$9+K13*L13*Tarifs!$C$10+M13*Tarifs!$C$11)/1000000+N13*J13*((K13*(1-L13))*Tarifs!$C$12+K13*L13*Tarifs!$C$13+M13*Tarifs!$C$14)/1000000+X13*Tarifs!$C$15/1000000)*Tarifs!$C$5</f>
        <v/>
      </c>
      <c r="Z13" s="20">
        <f>S13*(O13*Tarifs!$C$16+P13*Tarifs!$C$17+Q13*Tarifs!$C$18+R13*Tarifs!$C$19)*Tarifs!$C$5</f>
        <v/>
      </c>
      <c r="AA13" s="20">
        <f>(1-T13)*V13*W13*Tarifs!$C$20</f>
        <v/>
      </c>
      <c r="AB13" s="21">
        <f>Y13+Z13+AA13</f>
        <v/>
      </c>
      <c r="AC13" s="22">
        <f>E13*AB13</f>
        <v/>
      </c>
      <c r="AD13" s="23">
        <f>IF($AC$17=0,0,AC13/$AC$17)</f>
        <v/>
      </c>
      <c r="AE13" s="24">
        <f>E13*Y13</f>
        <v/>
      </c>
      <c r="AF13" s="24">
        <f>E13*Z13</f>
        <v/>
      </c>
      <c r="AG13" s="24">
        <f>E13*AA13</f>
        <v/>
      </c>
    </row>
    <row r="14">
      <c r="A14" s="16" t="inlineStr">
        <is>
          <t>M9</t>
        </is>
      </c>
      <c r="B14" s="25" t="inlineStr">
        <is>
          <t>Relances et engagements en attente</t>
        </is>
      </c>
      <c r="C14" s="16" t="inlineStr">
        <is>
          <t>1</t>
        </is>
      </c>
      <c r="D14" s="16" t="inlineStr">
        <is>
          <t>C</t>
        </is>
      </c>
      <c r="E14" s="17" t="n">
        <v>4</v>
      </c>
      <c r="F14" s="17" t="n">
        <v>0.5</v>
      </c>
      <c r="G14" s="18" t="n">
        <v>4000</v>
      </c>
      <c r="H14" s="19" t="n">
        <v>0</v>
      </c>
      <c r="I14" s="18" t="n">
        <v>200</v>
      </c>
      <c r="J14" s="17" t="n">
        <v>1</v>
      </c>
      <c r="K14" s="18" t="n">
        <v>4000</v>
      </c>
      <c r="L14" s="19" t="n">
        <v>0.5</v>
      </c>
      <c r="M14" s="18" t="n">
        <v>300</v>
      </c>
      <c r="N14" s="19" t="n">
        <v>0</v>
      </c>
      <c r="O14" s="18" t="n">
        <v>0</v>
      </c>
      <c r="P14" s="18" t="n">
        <v>0</v>
      </c>
      <c r="Q14" s="18" t="n">
        <v>0</v>
      </c>
      <c r="R14" s="18" t="n">
        <v>0</v>
      </c>
      <c r="S14" s="17" t="n">
        <v>1.1</v>
      </c>
      <c r="T14" s="19" t="n">
        <v>0.85</v>
      </c>
      <c r="U14" s="18" t="n">
        <v>1</v>
      </c>
      <c r="V14" s="19" t="n">
        <v>0.05</v>
      </c>
      <c r="W14" s="18" t="n">
        <v>2</v>
      </c>
      <c r="X14" s="18" t="n">
        <v>0</v>
      </c>
      <c r="Y14" s="20">
        <f>S14*(F14*((G14*(1-H14))*Tarifs!$C$6+G14*H14*Tarifs!$C$7+I14*Tarifs!$C$8)/1000000+(1-N14)*J14*((K14*(1-L14))*Tarifs!$C$9+K14*L14*Tarifs!$C$10+M14*Tarifs!$C$11)/1000000+N14*J14*((K14*(1-L14))*Tarifs!$C$12+K14*L14*Tarifs!$C$13+M14*Tarifs!$C$14)/1000000+X14*Tarifs!$C$15/1000000)*Tarifs!$C$5</f>
        <v/>
      </c>
      <c r="Z14" s="20">
        <f>S14*(O14*Tarifs!$C$16+P14*Tarifs!$C$17+Q14*Tarifs!$C$18+R14*Tarifs!$C$19)*Tarifs!$C$5</f>
        <v/>
      </c>
      <c r="AA14" s="20">
        <f>(1-T14)*V14*W14*Tarifs!$C$20</f>
        <v/>
      </c>
      <c r="AB14" s="21">
        <f>Y14+Z14+AA14</f>
        <v/>
      </c>
      <c r="AC14" s="22">
        <f>E14*AB14</f>
        <v/>
      </c>
      <c r="AD14" s="23">
        <f>IF($AC$17=0,0,AC14/$AC$17)</f>
        <v/>
      </c>
      <c r="AE14" s="24">
        <f>E14*Y14</f>
        <v/>
      </c>
      <c r="AF14" s="24">
        <f>E14*Z14</f>
        <v/>
      </c>
      <c r="AG14" s="24">
        <f>E14*AA14</f>
        <v/>
      </c>
    </row>
    <row r="15">
      <c r="A15" s="16" t="inlineStr">
        <is>
          <t>M10</t>
        </is>
      </c>
      <c r="B15" s="25" t="inlineStr">
        <is>
          <t>Préparation d'un événement personnel</t>
        </is>
      </c>
      <c r="C15" s="16" t="inlineStr">
        <is>
          <t>3</t>
        </is>
      </c>
      <c r="D15" s="16" t="inlineStr">
        <is>
          <t>C</t>
        </is>
      </c>
      <c r="E15" s="17" t="n">
        <v>0.5</v>
      </c>
      <c r="F15" s="17" t="n">
        <v>1</v>
      </c>
      <c r="G15" s="18" t="n">
        <v>6000</v>
      </c>
      <c r="H15" s="19" t="n">
        <v>0</v>
      </c>
      <c r="I15" s="18" t="n">
        <v>400</v>
      </c>
      <c r="J15" s="17" t="n">
        <v>3</v>
      </c>
      <c r="K15" s="18" t="n">
        <v>10000</v>
      </c>
      <c r="L15" s="19" t="n">
        <v>0.3</v>
      </c>
      <c r="M15" s="18" t="n">
        <v>800</v>
      </c>
      <c r="N15" s="19" t="n">
        <v>0.05</v>
      </c>
      <c r="O15" s="18" t="n">
        <v>3</v>
      </c>
      <c r="P15" s="18" t="n">
        <v>1</v>
      </c>
      <c r="Q15" s="18" t="n">
        <v>0</v>
      </c>
      <c r="R15" s="18" t="n">
        <v>3</v>
      </c>
      <c r="S15" s="17" t="n">
        <v>1.2</v>
      </c>
      <c r="T15" s="19" t="n">
        <v>0.7</v>
      </c>
      <c r="U15" s="18" t="n">
        <v>15</v>
      </c>
      <c r="V15" s="19" t="n">
        <v>0.2</v>
      </c>
      <c r="W15" s="18" t="n">
        <v>5</v>
      </c>
      <c r="X15" s="18" t="n">
        <v>0</v>
      </c>
      <c r="Y15" s="20">
        <f>S15*(F15*((G15*(1-H15))*Tarifs!$C$6+G15*H15*Tarifs!$C$7+I15*Tarifs!$C$8)/1000000+(1-N15)*J15*((K15*(1-L15))*Tarifs!$C$9+K15*L15*Tarifs!$C$10+M15*Tarifs!$C$11)/1000000+N15*J15*((K15*(1-L15))*Tarifs!$C$12+K15*L15*Tarifs!$C$13+M15*Tarifs!$C$14)/1000000+X15*Tarifs!$C$15/1000000)*Tarifs!$C$5</f>
        <v/>
      </c>
      <c r="Z15" s="20">
        <f>S15*(O15*Tarifs!$C$16+P15*Tarifs!$C$17+Q15*Tarifs!$C$18+R15*Tarifs!$C$19)*Tarifs!$C$5</f>
        <v/>
      </c>
      <c r="AA15" s="20">
        <f>(1-T15)*V15*W15*Tarifs!$C$20</f>
        <v/>
      </c>
      <c r="AB15" s="21">
        <f>Y15+Z15+AA15</f>
        <v/>
      </c>
      <c r="AC15" s="22">
        <f>E15*AB15</f>
        <v/>
      </c>
      <c r="AD15" s="23">
        <f>IF($AC$17=0,0,AC15/$AC$17)</f>
        <v/>
      </c>
      <c r="AE15" s="24">
        <f>E15*Y15</f>
        <v/>
      </c>
      <c r="AF15" s="24">
        <f>E15*Z15</f>
        <v/>
      </c>
      <c r="AG15" s="24">
        <f>E15*AA15</f>
        <v/>
      </c>
    </row>
    <row r="16">
      <c r="A16" s="16" t="inlineStr">
        <is>
          <t>M11</t>
        </is>
      </c>
      <c r="B16" s="3" t="inlineStr">
        <is>
          <t>Activation : lecture initiale de la boîte et profil (une fois par nouvel abonné)</t>
        </is>
      </c>
      <c r="C16" s="16" t="inlineStr">
        <is>
          <t>Socle</t>
        </is>
      </c>
      <c r="D16" s="16" t="inlineStr">
        <is>
          <t>A</t>
        </is>
      </c>
      <c r="E16" s="17" t="n">
        <v>0</v>
      </c>
      <c r="F16" s="17" t="n">
        <v>1</v>
      </c>
      <c r="G16" s="18" t="n">
        <v>400000</v>
      </c>
      <c r="H16" s="19" t="n">
        <v>0</v>
      </c>
      <c r="I16" s="18" t="n">
        <v>20000</v>
      </c>
      <c r="J16" s="17" t="n">
        <v>1</v>
      </c>
      <c r="K16" s="18" t="n">
        <v>15000</v>
      </c>
      <c r="L16" s="19" t="n">
        <v>0</v>
      </c>
      <c r="M16" s="18" t="n">
        <v>800</v>
      </c>
      <c r="N16" s="19" t="n">
        <v>0</v>
      </c>
      <c r="O16" s="18" t="n">
        <v>0</v>
      </c>
      <c r="P16" s="18" t="n">
        <v>0</v>
      </c>
      <c r="Q16" s="18" t="n">
        <v>0</v>
      </c>
      <c r="R16" s="18" t="n">
        <v>0</v>
      </c>
      <c r="S16" s="17" t="n">
        <v>1</v>
      </c>
      <c r="T16" s="19" t="n">
        <v>0.95</v>
      </c>
      <c r="U16" s="18" t="n">
        <v>30</v>
      </c>
      <c r="V16" s="19" t="n">
        <v>0.1</v>
      </c>
      <c r="W16" s="18" t="n">
        <v>5</v>
      </c>
      <c r="X16" s="18" t="n">
        <v>400000</v>
      </c>
      <c r="Y16" s="20">
        <f>S16*(F16*((G16*(1-H16))*Tarifs!$C$6+G16*H16*Tarifs!$C$7+I16*Tarifs!$C$8)/1000000+(1-N16)*J16*((K16*(1-L16))*Tarifs!$C$9+K16*L16*Tarifs!$C$10+M16*Tarifs!$C$11)/1000000+N16*J16*((K16*(1-L16))*Tarifs!$C$12+K16*L16*Tarifs!$C$13+M16*Tarifs!$C$14)/1000000+X16*Tarifs!$C$15/1000000)*Tarifs!$C$5</f>
        <v/>
      </c>
      <c r="Z16" s="20">
        <f>S16*(O16*Tarifs!$C$16+P16*Tarifs!$C$17+Q16*Tarifs!$C$18+R16*Tarifs!$C$19)*Tarifs!$C$5</f>
        <v/>
      </c>
      <c r="AA16" s="20">
        <f>(1-T16)*V16*W16*Tarifs!$C$20</f>
        <v/>
      </c>
      <c r="AB16" s="21">
        <f>Y16+Z16+AA16</f>
        <v/>
      </c>
      <c r="AC16" s="22">
        <f>E16*AB16</f>
        <v/>
      </c>
      <c r="AD16" s="23">
        <f>IF($AC$17=0,0,AC16/$AC$17)</f>
        <v/>
      </c>
      <c r="AE16" s="24">
        <f>E16*Y16</f>
        <v/>
      </c>
      <c r="AF16" s="24">
        <f>E16*Z16</f>
        <v/>
      </c>
      <c r="AG16" s="24">
        <f>E16*AA16</f>
        <v/>
      </c>
    </row>
    <row r="17">
      <c r="A17" s="26" t="n"/>
      <c r="B17" s="27" t="inlineStr">
        <is>
          <t>Total mensuel, abonné Premium (M0 à M10)</t>
        </is>
      </c>
      <c r="C17" s="26" t="n"/>
      <c r="D17" s="26" t="n"/>
      <c r="E17" s="28">
        <f>SUM(E5:E16)</f>
        <v/>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9">
        <f>SUM(AC5:AC16)</f>
        <v/>
      </c>
      <c r="AD17" s="26" t="n"/>
      <c r="AE17" s="29">
        <f>SUM(AE5:AE16)</f>
        <v/>
      </c>
      <c r="AF17" s="29">
        <f>SUM(AF5:AF16)</f>
        <v/>
      </c>
      <c r="AG17" s="29">
        <f>SUM(AG5:AG16)</f>
        <v/>
      </c>
    </row>
    <row r="18">
      <c r="B18" s="2" t="inlineStr">
        <is>
          <t>Coût moyen par exécution (toutes missions, hors M11)</t>
        </is>
      </c>
      <c r="AB18" s="30">
        <f>AC17/E17</f>
        <v/>
      </c>
    </row>
    <row r="19">
      <c r="B19" s="16" t="inlineStr">
        <is>
          <t>Coût moyen par exécution, hors socle M0 (missions visibles 1 à 10)</t>
        </is>
      </c>
      <c r="AB19" s="31">
        <f>(AC17-AC5)/(E17-E5)</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F0916A"/>
    <outlinePr summaryBelow="1" summaryRight="1"/>
    <pageSetUpPr/>
  </sheetPr>
  <dimension ref="A1:L43"/>
  <sheetViews>
    <sheetView showGridLines="0" workbookViewId="0">
      <selection activeCell="A1" sqref="A1"/>
    </sheetView>
  </sheetViews>
  <sheetFormatPr baseColWidth="8" defaultRowHeight="15"/>
  <cols>
    <col width="6" customWidth="1" min="1" max="1"/>
    <col width="52" customWidth="1" min="2" max="2"/>
    <col width="1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Synthèse : coût variable par abonné et par offre</t>
        </is>
      </c>
    </row>
    <row r="2">
      <c r="A2" s="4" t="inlineStr">
        <is>
          <t>Multiplicateurs de fréquence par offre (bleu) appliqués aux missions. Comparaison avec l'hypothèse Finance H03 (18 € HT) et avec le modèle 36 mois.</t>
        </is>
      </c>
    </row>
    <row r="4" ht="44" customHeight="1">
      <c r="A4" s="5" t="inlineStr">
        <is>
          <t>#</t>
        </is>
      </c>
      <c r="B4" s="5" t="inlineStr">
        <is>
          <t>Mission</t>
        </is>
      </c>
      <c r="C4" s="5" t="inlineStr">
        <is>
          <t>Coût par exécution</t>
        </is>
      </c>
      <c r="D4" s="5" t="inlineStr">
        <is>
          <t>Personal : multiplicateur</t>
        </is>
      </c>
      <c r="E4" s="5" t="inlineStr">
        <is>
          <t>Premium : multiplicateur</t>
        </is>
      </c>
      <c r="F4" s="5" t="inlineStr">
        <is>
          <t>Family : multiplicateur</t>
        </is>
      </c>
      <c r="G4" s="5" t="inlineStr">
        <is>
          <t>Personal : exécutions / mois</t>
        </is>
      </c>
      <c r="H4" s="5" t="inlineStr">
        <is>
          <t>Premium : exécutions / mois</t>
        </is>
      </c>
      <c r="I4" s="5" t="inlineStr">
        <is>
          <t>Family : exécutions / mois</t>
        </is>
      </c>
      <c r="J4" s="5" t="inlineStr">
        <is>
          <t>Personal : coût / mois</t>
        </is>
      </c>
      <c r="K4" s="5" t="inlineStr">
        <is>
          <t>Premium : coût / mois</t>
        </is>
      </c>
      <c r="L4" s="5" t="inlineStr">
        <is>
          <t>Family : coût / mois</t>
        </is>
      </c>
    </row>
    <row r="5">
      <c r="A5" s="16" t="inlineStr">
        <is>
          <t>M0</t>
        </is>
      </c>
      <c r="B5" s="16" t="inlineStr">
        <is>
          <t>Socle : tri quotidien des courriels et de l'agenda (partagé par M1, M2, M8, M9)</t>
        </is>
      </c>
      <c r="C5" s="32">
        <f>Missions!AB5</f>
        <v/>
      </c>
      <c r="D5" s="17" t="n">
        <v>1</v>
      </c>
      <c r="E5" s="17" t="n">
        <v>1</v>
      </c>
      <c r="F5" s="17" t="n">
        <v>1</v>
      </c>
      <c r="G5" s="33">
        <f>D5*Missions!E5</f>
        <v/>
      </c>
      <c r="H5" s="33">
        <f>E5*Missions!E5</f>
        <v/>
      </c>
      <c r="I5" s="33">
        <f>F5*Missions!E5</f>
        <v/>
      </c>
      <c r="J5" s="24">
        <f>G5*$C5</f>
        <v/>
      </c>
      <c r="K5" s="24">
        <f>H5*$C5</f>
        <v/>
      </c>
      <c r="L5" s="24">
        <f>I5*$C5</f>
        <v/>
      </c>
    </row>
    <row r="6">
      <c r="A6" s="16" t="inlineStr">
        <is>
          <t>M1</t>
        </is>
      </c>
      <c r="B6" s="16" t="inlineStr">
        <is>
          <t>Briefing quotidien</t>
        </is>
      </c>
      <c r="C6" s="32">
        <f>Missions!AB6</f>
        <v/>
      </c>
      <c r="D6" s="17" t="n">
        <v>0.25</v>
      </c>
      <c r="E6" s="17" t="n">
        <v>1</v>
      </c>
      <c r="F6" s="17" t="n">
        <v>1</v>
      </c>
      <c r="G6" s="33">
        <f>D6*Missions!E6</f>
        <v/>
      </c>
      <c r="H6" s="33">
        <f>E6*Missions!E6</f>
        <v/>
      </c>
      <c r="I6" s="33">
        <f>F6*Missions!E6</f>
        <v/>
      </c>
      <c r="J6" s="24">
        <f>G6*$C6</f>
        <v/>
      </c>
      <c r="K6" s="24">
        <f>H6*$C6</f>
        <v/>
      </c>
      <c r="L6" s="24">
        <f>I6*$C6</f>
        <v/>
      </c>
    </row>
    <row r="7">
      <c r="A7" s="16" t="inlineStr">
        <is>
          <t>M2</t>
        </is>
      </c>
      <c r="B7" s="16" t="inlineStr">
        <is>
          <t>Suivi des échéances personnelles</t>
        </is>
      </c>
      <c r="C7" s="32">
        <f>Missions!AB7</f>
        <v/>
      </c>
      <c r="D7" s="17" t="n">
        <v>1</v>
      </c>
      <c r="E7" s="17" t="n">
        <v>1</v>
      </c>
      <c r="F7" s="17" t="n">
        <v>1.5</v>
      </c>
      <c r="G7" s="33">
        <f>D7*Missions!E7</f>
        <v/>
      </c>
      <c r="H7" s="33">
        <f>E7*Missions!E7</f>
        <v/>
      </c>
      <c r="I7" s="33">
        <f>F7*Missions!E7</f>
        <v/>
      </c>
      <c r="J7" s="24">
        <f>G7*$C7</f>
        <v/>
      </c>
      <c r="K7" s="24">
        <f>H7*$C7</f>
        <v/>
      </c>
      <c r="L7" s="24">
        <f>I7*$C7</f>
        <v/>
      </c>
    </row>
    <row r="8">
      <c r="A8" s="16" t="inlineStr">
        <is>
          <t>M3</t>
        </is>
      </c>
      <c r="B8" s="16" t="inlineStr">
        <is>
          <t>Prise de rendez-vous de service (garage, coiffeur, artisan)</t>
        </is>
      </c>
      <c r="C8" s="32">
        <f>Missions!AB8</f>
        <v/>
      </c>
      <c r="D8" s="17" t="n">
        <v>0</v>
      </c>
      <c r="E8" s="17" t="n">
        <v>1</v>
      </c>
      <c r="F8" s="17" t="n">
        <v>2</v>
      </c>
      <c r="G8" s="33">
        <f>D8*Missions!E8</f>
        <v/>
      </c>
      <c r="H8" s="33">
        <f>E8*Missions!E8</f>
        <v/>
      </c>
      <c r="I8" s="33">
        <f>F8*Missions!E8</f>
        <v/>
      </c>
      <c r="J8" s="24">
        <f>G8*$C8</f>
        <v/>
      </c>
      <c r="K8" s="24">
        <f>H8*$C8</f>
        <v/>
      </c>
      <c r="L8" s="24">
        <f>I8*$C8</f>
        <v/>
      </c>
    </row>
    <row r="9">
      <c r="A9" s="16" t="inlineStr">
        <is>
          <t>M4</t>
        </is>
      </c>
      <c r="B9" s="16" t="inlineStr">
        <is>
          <t>Réservation de restaurant</t>
        </is>
      </c>
      <c r="C9" s="32">
        <f>Missions!AB9</f>
        <v/>
      </c>
      <c r="D9" s="17" t="n">
        <v>0</v>
      </c>
      <c r="E9" s="17" t="n">
        <v>1</v>
      </c>
      <c r="F9" s="17" t="n">
        <v>2</v>
      </c>
      <c r="G9" s="33">
        <f>D9*Missions!E9</f>
        <v/>
      </c>
      <c r="H9" s="33">
        <f>E9*Missions!E9</f>
        <v/>
      </c>
      <c r="I9" s="33">
        <f>F9*Missions!E9</f>
        <v/>
      </c>
      <c r="J9" s="24">
        <f>G9*$C9</f>
        <v/>
      </c>
      <c r="K9" s="24">
        <f>H9*$C9</f>
        <v/>
      </c>
      <c r="L9" s="24">
        <f>I9*$C9</f>
        <v/>
      </c>
    </row>
    <row r="10">
      <c r="A10" s="16" t="inlineStr">
        <is>
          <t>M5</t>
        </is>
      </c>
      <c r="B10" s="16" t="inlineStr">
        <is>
          <t>Organisation d'un déplacement privé</t>
        </is>
      </c>
      <c r="C10" s="32">
        <f>Missions!AB10</f>
        <v/>
      </c>
      <c r="D10" s="17" t="n">
        <v>0</v>
      </c>
      <c r="E10" s="17" t="n">
        <v>1</v>
      </c>
      <c r="F10" s="17" t="n">
        <v>1.5</v>
      </c>
      <c r="G10" s="33">
        <f>D10*Missions!E10</f>
        <v/>
      </c>
      <c r="H10" s="33">
        <f>E10*Missions!E10</f>
        <v/>
      </c>
      <c r="I10" s="33">
        <f>F10*Missions!E10</f>
        <v/>
      </c>
      <c r="J10" s="24">
        <f>G10*$C10</f>
        <v/>
      </c>
      <c r="K10" s="24">
        <f>H10*$C10</f>
        <v/>
      </c>
      <c r="L10" s="24">
        <f>I10*$C10</f>
        <v/>
      </c>
    </row>
    <row r="11">
      <c r="A11" s="16" t="inlineStr">
        <is>
          <t>M6</t>
        </is>
      </c>
      <c r="B11" s="16" t="inlineStr">
        <is>
          <t>Brouillons de courriels personnels</t>
        </is>
      </c>
      <c r="C11" s="32">
        <f>Missions!AB11</f>
        <v/>
      </c>
      <c r="D11" s="17" t="n">
        <v>0.5</v>
      </c>
      <c r="E11" s="17" t="n">
        <v>1</v>
      </c>
      <c r="F11" s="17" t="n">
        <v>1.5</v>
      </c>
      <c r="G11" s="33">
        <f>D11*Missions!E11</f>
        <v/>
      </c>
      <c r="H11" s="33">
        <f>E11*Missions!E11</f>
        <v/>
      </c>
      <c r="I11" s="33">
        <f>F11*Missions!E11</f>
        <v/>
      </c>
      <c r="J11" s="24">
        <f>G11*$C11</f>
        <v/>
      </c>
      <c r="K11" s="24">
        <f>H11*$C11</f>
        <v/>
      </c>
      <c r="L11" s="24">
        <f>I11*$C11</f>
        <v/>
      </c>
    </row>
    <row r="12">
      <c r="A12" s="16" t="inlineStr">
        <is>
          <t>M7</t>
        </is>
      </c>
      <c r="B12" s="16" t="inlineStr">
        <is>
          <t>Coordination de l'agenda familial</t>
        </is>
      </c>
      <c r="C12" s="32">
        <f>Missions!AB12</f>
        <v/>
      </c>
      <c r="D12" s="17" t="n">
        <v>0</v>
      </c>
      <c r="E12" s="17" t="n">
        <v>1</v>
      </c>
      <c r="F12" s="17" t="n">
        <v>3</v>
      </c>
      <c r="G12" s="33">
        <f>D12*Missions!E12</f>
        <v/>
      </c>
      <c r="H12" s="33">
        <f>E12*Missions!E12</f>
        <v/>
      </c>
      <c r="I12" s="33">
        <f>F12*Missions!E12</f>
        <v/>
      </c>
      <c r="J12" s="24">
        <f>G12*$C12</f>
        <v/>
      </c>
      <c r="K12" s="24">
        <f>H12*$C12</f>
        <v/>
      </c>
      <c r="L12" s="24">
        <f>I12*$C12</f>
        <v/>
      </c>
    </row>
    <row r="13">
      <c r="A13" s="16" t="inlineStr">
        <is>
          <t>M8</t>
        </is>
      </c>
      <c r="B13" s="16" t="inlineStr">
        <is>
          <t>Suivi des abonnements</t>
        </is>
      </c>
      <c r="C13" s="32">
        <f>Missions!AB13</f>
        <v/>
      </c>
      <c r="D13" s="17" t="n">
        <v>1</v>
      </c>
      <c r="E13" s="17" t="n">
        <v>1</v>
      </c>
      <c r="F13" s="17" t="n">
        <v>1.5</v>
      </c>
      <c r="G13" s="33">
        <f>D13*Missions!E13</f>
        <v/>
      </c>
      <c r="H13" s="33">
        <f>E13*Missions!E13</f>
        <v/>
      </c>
      <c r="I13" s="33">
        <f>F13*Missions!E13</f>
        <v/>
      </c>
      <c r="J13" s="24">
        <f>G13*$C13</f>
        <v/>
      </c>
      <c r="K13" s="24">
        <f>H13*$C13</f>
        <v/>
      </c>
      <c r="L13" s="24">
        <f>I13*$C13</f>
        <v/>
      </c>
    </row>
    <row r="14">
      <c r="A14" s="16" t="inlineStr">
        <is>
          <t>M9</t>
        </is>
      </c>
      <c r="B14" s="16" t="inlineStr">
        <is>
          <t>Relances et engagements en attente</t>
        </is>
      </c>
      <c r="C14" s="32">
        <f>Missions!AB14</f>
        <v/>
      </c>
      <c r="D14" s="17" t="n">
        <v>0.5</v>
      </c>
      <c r="E14" s="17" t="n">
        <v>1</v>
      </c>
      <c r="F14" s="17" t="n">
        <v>1.5</v>
      </c>
      <c r="G14" s="33">
        <f>D14*Missions!E14</f>
        <v/>
      </c>
      <c r="H14" s="33">
        <f>E14*Missions!E14</f>
        <v/>
      </c>
      <c r="I14" s="33">
        <f>F14*Missions!E14</f>
        <v/>
      </c>
      <c r="J14" s="24">
        <f>G14*$C14</f>
        <v/>
      </c>
      <c r="K14" s="24">
        <f>H14*$C14</f>
        <v/>
      </c>
      <c r="L14" s="24">
        <f>I14*$C14</f>
        <v/>
      </c>
    </row>
    <row r="15">
      <c r="A15" s="16" t="inlineStr">
        <is>
          <t>M10</t>
        </is>
      </c>
      <c r="B15" s="16" t="inlineStr">
        <is>
          <t>Préparation d'un événement personnel</t>
        </is>
      </c>
      <c r="C15" s="32">
        <f>Missions!AB15</f>
        <v/>
      </c>
      <c r="D15" s="17" t="n">
        <v>0</v>
      </c>
      <c r="E15" s="17" t="n">
        <v>1</v>
      </c>
      <c r="F15" s="17" t="n">
        <v>2</v>
      </c>
      <c r="G15" s="33">
        <f>D15*Missions!E15</f>
        <v/>
      </c>
      <c r="H15" s="33">
        <f>E15*Missions!E15</f>
        <v/>
      </c>
      <c r="I15" s="33">
        <f>F15*Missions!E15</f>
        <v/>
      </c>
      <c r="J15" s="24">
        <f>G15*$C15</f>
        <v/>
      </c>
      <c r="K15" s="24">
        <f>H15*$C15</f>
        <v/>
      </c>
      <c r="L15" s="24">
        <f>I15*$C15</f>
        <v/>
      </c>
    </row>
    <row r="16">
      <c r="A16" s="16" t="inlineStr">
        <is>
          <t>M11</t>
        </is>
      </c>
      <c r="B16" s="16" t="inlineStr">
        <is>
          <t>Activation : lecture initiale de la boîte et profil (une fois par nouvel abonné)</t>
        </is>
      </c>
      <c r="C16" s="32">
        <f>Missions!AB16</f>
        <v/>
      </c>
      <c r="D16" s="17" t="n">
        <v>0</v>
      </c>
      <c r="E16" s="17" t="n">
        <v>0</v>
      </c>
      <c r="F16" s="17" t="n">
        <v>0</v>
      </c>
      <c r="G16" s="33">
        <f>D16*Missions!E16</f>
        <v/>
      </c>
      <c r="H16" s="33">
        <f>E16*Missions!E16</f>
        <v/>
      </c>
      <c r="I16" s="33">
        <f>F16*Missions!E16</f>
        <v/>
      </c>
      <c r="J16" s="24">
        <f>G16*$C16</f>
        <v/>
      </c>
      <c r="K16" s="24">
        <f>H16*$C16</f>
        <v/>
      </c>
      <c r="L16" s="24">
        <f>I16*$C16</f>
        <v/>
      </c>
    </row>
    <row r="17">
      <c r="B17" s="2" t="inlineStr">
        <is>
          <t>Exécutions et coût IA, outils et support par mois</t>
        </is>
      </c>
      <c r="G17" s="28">
        <f>SUM(G5:G16)</f>
        <v/>
      </c>
      <c r="H17" s="28">
        <f>SUM(H5:H16)</f>
        <v/>
      </c>
      <c r="I17" s="28">
        <f>SUM(I5:I16)</f>
        <v/>
      </c>
      <c r="J17" s="34">
        <f>SUM(J5:J16)</f>
        <v/>
      </c>
      <c r="K17" s="34">
        <f>SUM(K5:K16)</f>
        <v/>
      </c>
      <c r="L17" s="34">
        <f>SUM(L5:L16)</f>
        <v/>
      </c>
    </row>
    <row r="19" ht="20" customHeight="1">
      <c r="A19" s="5" t="inlineStr"/>
      <c r="B19" s="5" t="inlineStr">
        <is>
          <t>Par abonné et par mois</t>
        </is>
      </c>
      <c r="C19" s="5" t="inlineStr">
        <is>
          <t>Personal</t>
        </is>
      </c>
      <c r="D19" s="5" t="inlineStr">
        <is>
          <t>Premium</t>
        </is>
      </c>
      <c r="E19" s="5" t="inlineStr">
        <is>
          <t>Family</t>
        </is>
      </c>
    </row>
    <row r="20">
      <c r="B20" s="16" t="inlineStr">
        <is>
          <t>Prix TTC</t>
        </is>
      </c>
      <c r="C20" s="35" t="n">
        <v>29</v>
      </c>
      <c r="D20" s="35" t="n">
        <v>79</v>
      </c>
      <c r="E20" s="35" t="n">
        <v>129</v>
      </c>
    </row>
    <row r="21">
      <c r="B21" s="16" t="inlineStr">
        <is>
          <t>Prix HT (TVA 20 %)</t>
        </is>
      </c>
      <c r="C21" s="24">
        <f>C20/1.2</f>
        <v/>
      </c>
      <c r="D21" s="24">
        <f>D20/1.2</f>
        <v/>
      </c>
      <c r="E21" s="24">
        <f>E20/1.2</f>
        <v/>
      </c>
    </row>
    <row r="22">
      <c r="B22" s="16" t="inlineStr">
        <is>
          <t>Exécutions par mois (socle compris)</t>
        </is>
      </c>
      <c r="C22" s="33">
        <f>G17</f>
        <v/>
      </c>
      <c r="D22" s="33">
        <f>H17</f>
        <v/>
      </c>
      <c r="E22" s="33">
        <f>I17</f>
        <v/>
      </c>
    </row>
    <row r="23">
      <c r="B23" s="16" t="inlineStr">
        <is>
          <t>Missions visibles par mois (hors socle M0)</t>
        </is>
      </c>
      <c r="C23" s="33">
        <f>G17-G5</f>
        <v/>
      </c>
      <c r="D23" s="33">
        <f>H17-H5</f>
        <v/>
      </c>
      <c r="E23" s="33">
        <f>I17-I5</f>
        <v/>
      </c>
    </row>
    <row r="24">
      <c r="B24" s="16" t="inlineStr">
        <is>
          <t>Missions par mois dans le modèle 36 mois</t>
        </is>
      </c>
      <c r="C24" s="18" t="n">
        <v>20</v>
      </c>
      <c r="D24" s="18" t="n">
        <v>60</v>
      </c>
      <c r="E24" s="18" t="n">
        <v>90</v>
      </c>
    </row>
    <row r="25">
      <c r="B25" s="2" t="inlineStr">
        <is>
          <t>Coût IA, outils et support (ce classeur)</t>
        </is>
      </c>
      <c r="C25" s="36">
        <f>J17</f>
        <v/>
      </c>
      <c r="D25" s="36">
        <f>K17</f>
        <v/>
      </c>
      <c r="E25" s="36">
        <f>L17</f>
        <v/>
      </c>
    </row>
    <row r="26">
      <c r="B26" s="16" t="inlineStr">
        <is>
          <t>Hébergement, stockage, connecteurs (par abonné)</t>
        </is>
      </c>
      <c r="C26" s="24">
        <f>Tarifs!$C$21</f>
        <v/>
      </c>
      <c r="D26" s="24">
        <f>Tarifs!$C$21</f>
        <v/>
      </c>
      <c r="E26" s="24">
        <f>Tarifs!$C$21</f>
        <v/>
      </c>
    </row>
    <row r="27">
      <c r="B27" s="16" t="inlineStr">
        <is>
          <t>Frais de paiement</t>
        </is>
      </c>
      <c r="C27" s="24">
        <f>C20*Tarifs!$C$22+Tarifs!$C$23</f>
        <v/>
      </c>
      <c r="D27" s="24">
        <f>D20*Tarifs!$C$22+Tarifs!$C$23</f>
        <v/>
      </c>
      <c r="E27" s="24">
        <f>E20*Tarifs!$C$22+Tarifs!$C$23</f>
        <v/>
      </c>
    </row>
    <row r="28">
      <c r="B28" s="2" t="inlineStr">
        <is>
          <t>Coût variable total HT</t>
        </is>
      </c>
      <c r="C28" s="36">
        <f>C25+C26+C27</f>
        <v/>
      </c>
      <c r="D28" s="36">
        <f>D25+D26+D27</f>
        <v/>
      </c>
      <c r="E28" s="36">
        <f>E25+E26+E27</f>
        <v/>
      </c>
    </row>
    <row r="29">
      <c r="B29" s="16" t="inlineStr">
        <is>
          <t>Hypothèse Finance H03 (coût variable)</t>
        </is>
      </c>
      <c r="C29" s="35" t="inlineStr"/>
      <c r="D29" s="35" t="n">
        <v>18</v>
      </c>
      <c r="E29" s="35" t="inlineStr"/>
    </row>
    <row r="30">
      <c r="B30" s="16" t="inlineStr">
        <is>
          <t>Modèle 36 mois, central : missions × 0,18 € + 1,50 € + 3,00 €</t>
        </is>
      </c>
      <c r="C30" s="24">
        <f>C24*0.18+1.5+3</f>
        <v/>
      </c>
      <c r="D30" s="24">
        <f>D24*0.18+1.5+3</f>
        <v/>
      </c>
      <c r="E30" s="24">
        <f>E24*0.18+1.5+3</f>
        <v/>
      </c>
    </row>
    <row r="31">
      <c r="B31" s="16" t="inlineStr">
        <is>
          <t>Modèle 36 mois, prudent : missions × 0,30 € + 2,00 € + 5,00 €</t>
        </is>
      </c>
      <c r="C31" s="24">
        <f>C24*0.30+2+5</f>
        <v/>
      </c>
      <c r="D31" s="24">
        <f>D24*0.30+2+5</f>
        <v/>
      </c>
      <c r="E31" s="24">
        <f>E24*0.30+2+5</f>
        <v/>
      </c>
    </row>
    <row r="32">
      <c r="B32" s="2" t="inlineStr">
        <is>
          <t>Coût moyen par mission visible (ce classeur, socle réparti)</t>
        </is>
      </c>
      <c r="C32" s="37">
        <f>IF(C23=0,0,C25/C23)</f>
        <v/>
      </c>
      <c r="D32" s="37">
        <f>IF(D23=0,0,D25/D23)</f>
        <v/>
      </c>
      <c r="E32" s="37">
        <f>IF(E23=0,0,E25/E23)</f>
        <v/>
      </c>
    </row>
    <row r="33">
      <c r="B33" s="2" t="inlineStr">
        <is>
          <t>Contribution par abonné (prix HT − coût variable)</t>
        </is>
      </c>
      <c r="C33" s="38">
        <f>C21-C28</f>
        <v/>
      </c>
      <c r="D33" s="38">
        <f>D21-D28</f>
        <v/>
      </c>
      <c r="E33" s="38">
        <f>E21-E28</f>
        <v/>
      </c>
    </row>
    <row r="34">
      <c r="B34" s="16" t="inlineStr">
        <is>
          <t>Marge variable</t>
        </is>
      </c>
      <c r="C34" s="23">
        <f>IF(C21=0,0,C33/C21)</f>
        <v/>
      </c>
      <c r="D34" s="23">
        <f>IF(D21=0,0,D33/D21)</f>
        <v/>
      </c>
      <c r="E34" s="23">
        <f>IF(E21=0,0,E33/E21)</f>
        <v/>
      </c>
    </row>
    <row r="36">
      <c r="B36" s="2" t="inlineStr">
        <is>
          <t>Coût d'activation (M11, une fois par nouvel abonné)</t>
        </is>
      </c>
      <c r="C36" s="39">
        <f>Missions!AB16</f>
        <v/>
      </c>
    </row>
    <row r="37">
      <c r="B37" s="16" t="inlineStr">
        <is>
          <t>Part des missions à navigateur piloté (M3, M4, M10) dans le coût Premium</t>
        </is>
      </c>
      <c r="C37" s="23">
        <f>(K8+K9+K15)/K17</f>
        <v/>
      </c>
    </row>
    <row r="39">
      <c r="B39" s="2" t="inlineStr">
        <is>
          <t>Lecture</t>
        </is>
      </c>
    </row>
    <row r="40" ht="30" customHeight="1">
      <c r="B40" s="3" t="inlineStr">
        <is>
          <t>Le coût variable de ce classeur est inférieur à l'hypothèse H03 de 18 € : la différence est une marge de prudence, pas une économie acquise. Le modèle 36 mois conserve 0,18 € par mission en central et 0,30 € en prudent tant que le pilote n'a pas mesuré.</t>
        </is>
      </c>
    </row>
    <row r="41" ht="30" customHeight="1">
      <c r="B41" s="3" t="inlineStr">
        <is>
          <t>Les trois missions à navigateur piloté (prise de rendez-vous, restaurant, événement) concentrent l'essentiel du coût : ce sont elles qu'il faut mesurer en premier et plafonner (onglet Protections).</t>
        </is>
      </c>
    </row>
    <row r="42" ht="30" customHeight="1">
      <c r="B42" s="3" t="inlineStr">
        <is>
          <t>Le coût d'activation (lecture initiale de la boîte, M11) se traite comme un coût d'acquisition : il s'ajoute au CAC, pas au coût mensuel.</t>
        </is>
      </c>
    </row>
    <row r="43" ht="30" customHeight="1">
      <c r="B43" s="3" t="inlineStr">
        <is>
          <t>Les multiplicateurs par offre sont des hypothèses de conception : Personal reçoit un briefing hebdomadaire et les missions de lecture ; Family double les missions de coordination et de réservation.</t>
        </is>
      </c>
    </row>
  </sheetData>
  <mergeCells count="4">
    <mergeCell ref="B42:I42"/>
    <mergeCell ref="B41:I41"/>
    <mergeCell ref="B43:I43"/>
    <mergeCell ref="B40:I40"/>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E4DDD2"/>
    <outlinePr summaryBelow="1" summaryRight="1"/>
    <pageSetUpPr/>
  </sheetPr>
  <dimension ref="A1:F20"/>
  <sheetViews>
    <sheetView showGridLines="0" workbookViewId="0">
      <selection activeCell="A1" sqref="A1"/>
    </sheetView>
  </sheetViews>
  <sheetFormatPr baseColWidth="8" defaultRowHeight="15"/>
  <cols>
    <col width="26" customWidth="1" min="1" max="1"/>
    <col width="60" customWidth="1" min="2" max="2"/>
    <col width="20" customWidth="1" min="3" max="3"/>
    <col width="14" customWidth="1" min="4" max="4"/>
    <col width="20" customWidth="1" min="5" max="5"/>
    <col width="16" customWidth="1" min="6" max="6"/>
  </cols>
  <sheetData>
    <row r="1">
      <c r="A1" s="1" t="inlineStr">
        <is>
          <t>Sensibilité : coût variable Premium par mois</t>
        </is>
      </c>
    </row>
    <row r="2">
      <c r="A2" s="4" t="inlineStr">
        <is>
          <t>Variations linéaires des composantes (modèles, outils, reprises, support, change). Chaque ligne recalcule le coût IA, outils et support de l'abonné Premium.</t>
        </is>
      </c>
    </row>
    <row r="4" ht="40" customHeight="1">
      <c r="A4" s="5" t="inlineStr">
        <is>
          <t>Cas</t>
        </is>
      </c>
      <c r="B4" s="5" t="inlineStr">
        <is>
          <t>Hypothèse</t>
        </is>
      </c>
      <c r="C4" s="5" t="inlineStr">
        <is>
          <t>Coût IA, outils, support (€ / mois)</t>
        </is>
      </c>
      <c r="D4" s="5" t="inlineStr">
        <is>
          <t>Écart vs base</t>
        </is>
      </c>
      <c r="E4" s="5" t="inlineStr">
        <is>
          <t>Coût variable total (€ / mois)</t>
        </is>
      </c>
      <c r="F4" s="5" t="inlineStr">
        <is>
          <t>Marge variable Premium</t>
        </is>
      </c>
    </row>
    <row r="5" ht="28" customHeight="1">
      <c r="A5" s="2" t="inlineStr">
        <is>
          <t>Base</t>
        </is>
      </c>
      <c r="B5" s="3" t="inlineStr">
        <is>
          <t>Paramètres des onglets Tarifs et Missions</t>
        </is>
      </c>
      <c r="C5" s="24">
        <f>Missions!AE17+Missions!AF17+Missions!AG17</f>
        <v/>
      </c>
      <c r="D5" s="24">
        <f>C5-C$5</f>
        <v/>
      </c>
      <c r="E5" s="39">
        <f>C5+Synthèse!D26+Synthèse!D27</f>
        <v/>
      </c>
      <c r="F5" s="23">
        <f>(Synthèse!D21-E5)/Synthèse!D21</f>
        <v/>
      </c>
    </row>
    <row r="6" ht="28" customHeight="1">
      <c r="A6" s="16" t="inlineStr">
        <is>
          <t>Prix des modèles × 2</t>
        </is>
      </c>
      <c r="B6" s="3" t="inlineStr">
        <is>
          <t>Hausse de prix ou routage dégradé (tout en moyen)</t>
        </is>
      </c>
      <c r="C6" s="24">
        <f>Missions!AE17*2+Missions!AF17+Missions!AG17</f>
        <v/>
      </c>
      <c r="D6" s="24">
        <f>C6-C$5</f>
        <v/>
      </c>
      <c r="E6" s="39">
        <f>C6+Synthèse!D26+Synthèse!D27</f>
        <v/>
      </c>
      <c r="F6" s="23">
        <f>(Synthèse!D21-E6)/Synthèse!D21</f>
        <v/>
      </c>
    </row>
    <row r="7" ht="28" customHeight="1">
      <c r="A7" s="16" t="inlineStr">
        <is>
          <t>Prix des modèles × 0,5</t>
        </is>
      </c>
      <c r="B7" s="3" t="inlineStr">
        <is>
          <t>Baisse de prix annuelle observée, ou routage plus agressif vers le petit modèle</t>
        </is>
      </c>
      <c r="C7" s="24">
        <f>Missions!AE17*0.5+Missions!AF17+Missions!AG17</f>
        <v/>
      </c>
      <c r="D7" s="24">
        <f>C7-C$5</f>
        <v/>
      </c>
      <c r="E7" s="39">
        <f>C7+Synthèse!D26+Synthèse!D27</f>
        <v/>
      </c>
      <c r="F7" s="23">
        <f>(Synthèse!D21-E7)/Synthèse!D21</f>
        <v/>
      </c>
    </row>
    <row r="8" ht="28" customHeight="1">
      <c r="A8" s="16" t="inlineStr">
        <is>
          <t>Sans cache de contexte</t>
        </is>
      </c>
      <c r="B8" s="3" t="inlineStr">
        <is>
          <t>Le cache ne fonctionne pas (facteur moyen 1,35 sur les modèles)</t>
        </is>
      </c>
      <c r="C8" s="24">
        <f>Missions!AE17*1.35+Missions!AF17+Missions!AG17</f>
        <v/>
      </c>
      <c r="D8" s="24">
        <f>C8-C$5</f>
        <v/>
      </c>
      <c r="E8" s="39">
        <f>C8+Synthèse!D26+Synthèse!D27</f>
        <v/>
      </c>
      <c r="F8" s="23">
        <f>(Synthèse!D21-E8)/Synthèse!D21</f>
        <v/>
      </c>
    </row>
    <row r="9" ht="28" customHeight="1">
      <c r="A9" s="16" t="inlineStr">
        <is>
          <t>Outils × 2</t>
        </is>
      </c>
      <c r="B9" s="3" t="inlineStr">
        <is>
          <t>Navigateur piloté et recherches deux fois plus chers ou deux fois plus longs</t>
        </is>
      </c>
      <c r="C9" s="24">
        <f>Missions!AE17+Missions!AF17*2+Missions!AG17</f>
        <v/>
      </c>
      <c r="D9" s="24">
        <f>C9-C$5</f>
        <v/>
      </c>
      <c r="E9" s="39">
        <f>C9+Synthèse!D26+Synthèse!D27</f>
        <v/>
      </c>
      <c r="F9" s="23">
        <f>(Synthèse!D21-E9)/Synthèse!D21</f>
        <v/>
      </c>
    </row>
    <row r="10" ht="28" customHeight="1">
      <c r="A10" s="16" t="inlineStr">
        <is>
          <t>Reprises +50 %</t>
        </is>
      </c>
      <c r="B10" s="3" t="inlineStr">
        <is>
          <t>Facteur de reprises 1,5 fois plus élevé sur modèles et outils</t>
        </is>
      </c>
      <c r="C10" s="24">
        <f>(Missions!AE17+Missions!AF17)*1.5+Missions!AG17</f>
        <v/>
      </c>
      <c r="D10" s="24">
        <f>C10-C$5</f>
        <v/>
      </c>
      <c r="E10" s="39">
        <f>C10+Synthèse!D26+Synthèse!D27</f>
        <v/>
      </c>
      <c r="F10" s="23">
        <f>(Synthèse!D21-E10)/Synthèse!D21</f>
        <v/>
      </c>
    </row>
    <row r="11" ht="28" customHeight="1">
      <c r="A11" s="16" t="inlineStr">
        <is>
          <t>Support × 3</t>
        </is>
      </c>
      <c r="B11" s="3" t="inlineStr">
        <is>
          <t>Taux d'échec ou minutes de support trois fois plus élevés</t>
        </is>
      </c>
      <c r="C11" s="24">
        <f>Missions!AE17+Missions!AF17+Missions!AG17*3</f>
        <v/>
      </c>
      <c r="D11" s="24">
        <f>C11-C$5</f>
        <v/>
      </c>
      <c r="E11" s="39">
        <f>C11+Synthèse!D26+Synthèse!D27</f>
        <v/>
      </c>
      <c r="F11" s="23">
        <f>(Synthèse!D21-E11)/Synthèse!D21</f>
        <v/>
      </c>
    </row>
    <row r="12" ht="28" customHeight="1">
      <c r="A12" s="16" t="inlineStr">
        <is>
          <t>Dollar +10 %</t>
        </is>
      </c>
      <c r="B12" s="3" t="inlineStr">
        <is>
          <t>Change défavorable</t>
        </is>
      </c>
      <c r="C12" s="24">
        <f>(Missions!AE17+Missions!AF17)*1.1+Missions!AG17</f>
        <v/>
      </c>
      <c r="D12" s="24">
        <f>C12-C$5</f>
        <v/>
      </c>
      <c r="E12" s="39">
        <f>C12+Synthèse!D26+Synthèse!D27</f>
        <v/>
      </c>
      <c r="F12" s="23">
        <f>(Synthèse!D21-E12)/Synthèse!D21</f>
        <v/>
      </c>
    </row>
    <row r="13" ht="28" customHeight="1">
      <c r="A13" s="16" t="inlineStr">
        <is>
          <t>Tout en frontière</t>
        </is>
      </c>
      <c r="B13" s="3" t="inlineStr">
        <is>
          <t>Aucun routage : tous les appels moyens au prix frontière (approximation : modèles × ratio frontière/moyen)</t>
        </is>
      </c>
      <c r="C13" s="24">
        <f>Missions!AE17*(Tarifs!$C$12/Tarifs!$C$9)+Missions!AF17+Missions!AG17</f>
        <v/>
      </c>
      <c r="D13" s="24">
        <f>C13-C$5</f>
        <v/>
      </c>
      <c r="E13" s="39">
        <f>C13+Synthèse!D26+Synthèse!D27</f>
        <v/>
      </c>
      <c r="F13" s="23">
        <f>(Synthèse!D21-E13)/Synthèse!D21</f>
        <v/>
      </c>
    </row>
    <row r="14" ht="28" customHeight="1">
      <c r="A14" s="16" t="inlineStr">
        <is>
          <t>Réservations : volume × 3 et coût × 2</t>
        </is>
      </c>
      <c r="B14" s="3" t="inlineStr">
        <is>
          <t>Les missions à navigateur piloté (M3, M4, M10) trois fois plus fréquentes et deux fois plus chères</t>
        </is>
      </c>
      <c r="C14" s="24">
        <f>Missions!AE17+Missions!AF17+Missions!AG17+5*(Synthèse!K8+Synthèse!K9+Synthèse!K15)</f>
        <v/>
      </c>
      <c r="D14" s="24">
        <f>C14-C$5</f>
        <v/>
      </c>
      <c r="E14" s="39">
        <f>C14+Synthèse!D26+Synthèse!D27</f>
        <v/>
      </c>
      <c r="F14" s="23">
        <f>(Synthèse!D21-E14)/Synthèse!D21</f>
        <v/>
      </c>
    </row>
    <row r="15" ht="28" customHeight="1">
      <c r="A15" s="16" t="inlineStr">
        <is>
          <t>Cumul défavorable</t>
        </is>
      </c>
      <c r="B15" s="3" t="inlineStr">
        <is>
          <t>Modèles × 2, outils × 2, reprises +50 %, support × 3</t>
        </is>
      </c>
      <c r="C15" s="24">
        <f>(Missions!AE17*2+Missions!AF17*2)*1.5+Missions!AG17*3</f>
        <v/>
      </c>
      <c r="D15" s="24">
        <f>C15-C$5</f>
        <v/>
      </c>
      <c r="E15" s="39">
        <f>C15+Synthèse!D26+Synthèse!D27</f>
        <v/>
      </c>
      <c r="F15" s="23">
        <f>(Synthèse!D21-E15)/Synthèse!D21</f>
        <v/>
      </c>
    </row>
    <row r="17">
      <c r="A17" s="2" t="inlineStr">
        <is>
          <t>Seuils</t>
        </is>
      </c>
    </row>
    <row r="18">
      <c r="A18" s="16" t="inlineStr">
        <is>
          <t>Hypothèse Finance H03</t>
        </is>
      </c>
      <c r="C18" s="35" t="n">
        <v>18</v>
      </c>
    </row>
    <row r="19">
      <c r="A19" s="16" t="inlineStr">
        <is>
          <t>Seuil de la porte d'évidence (coût variable mesuré ≤ 18 € HT)</t>
        </is>
      </c>
      <c r="C19" s="2">
        <f>IF(E5&lt;=18,"Tenu en base","Dépassé en base")</f>
        <v/>
      </c>
    </row>
    <row r="20">
      <c r="A20" s="16" t="inlineStr">
        <is>
          <t>Coût par mission au-delà duquel le plan prévoit limites d'usage et test de prix (0,30 €)</t>
        </is>
      </c>
      <c r="C20" s="32">
        <f>Missions!AB18</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E4DDD2"/>
    <outlinePr summaryBelow="1" summaryRight="1"/>
    <pageSetUpPr/>
  </sheetPr>
  <dimension ref="A1:F19"/>
  <sheetViews>
    <sheetView showGridLines="0" workbookViewId="0">
      <selection activeCell="A1" sqref="A1"/>
    </sheetView>
  </sheetViews>
  <sheetFormatPr baseColWidth="8" defaultRowHeight="15"/>
  <cols>
    <col width="40" customWidth="1" min="1" max="1"/>
    <col width="52" customWidth="1" min="2" max="2"/>
    <col width="12" customWidth="1" min="3" max="3"/>
    <col width="12" customWidth="1" min="4" max="4"/>
    <col width="12" customWidth="1" min="5" max="5"/>
    <col width="60" customWidth="1" min="6" max="6"/>
  </cols>
  <sheetData>
    <row r="1">
      <c r="A1" s="1" t="inlineStr">
        <is>
          <t>Protections contre les coûts excessifs</t>
        </is>
      </c>
    </row>
    <row r="2">
      <c r="A2" s="4" t="inlineStr">
        <is>
          <t>Plafonds par offre (bleu) et coût au plafond. Un abonné qui atteint un plafond est informé ; le dépassement est une décision de Produit, pas un automatisme.</t>
        </is>
      </c>
    </row>
    <row r="4" ht="30" customHeight="1">
      <c r="A4" s="5" t="inlineStr">
        <is>
          <t>Protection</t>
        </is>
      </c>
      <c r="B4" s="5" t="inlineStr">
        <is>
          <t>Règle</t>
        </is>
      </c>
      <c r="C4" s="5" t="inlineStr">
        <is>
          <t>Personal</t>
        </is>
      </c>
      <c r="D4" s="5" t="inlineStr">
        <is>
          <t>Premium</t>
        </is>
      </c>
      <c r="E4" s="5" t="inlineStr">
        <is>
          <t>Family</t>
        </is>
      </c>
      <c r="F4" s="5" t="inlineStr">
        <is>
          <t>Note</t>
        </is>
      </c>
    </row>
    <row r="5" ht="32" customHeight="1">
      <c r="A5" s="2" t="inlineStr">
        <is>
          <t>Plafond de missions par mois</t>
        </is>
      </c>
      <c r="B5" s="3" t="inlineStr">
        <is>
          <t>Au-delà, le majordome propose mais n'exécute plus les missions C jusqu'au mois suivant ; l'utilisateur est prévenu à 80 %.</t>
        </is>
      </c>
      <c r="C5" s="18" t="n">
        <v>30</v>
      </c>
      <c r="D5" s="18" t="n">
        <v>90</v>
      </c>
      <c r="E5" s="18" t="n">
        <v>150</v>
      </c>
      <c r="F5" s="40" t="inlineStr">
        <is>
          <t>Le modèle 36 mois suppose 20 / 60 / 90 missions : le plafond laisse 50 % de marge d'usage.</t>
        </is>
      </c>
    </row>
    <row r="6" ht="32" customHeight="1">
      <c r="A6" s="2" t="inlineStr">
        <is>
          <t>Plafond de navigateur piloté (minutes par mois)</t>
        </is>
      </c>
      <c r="B6" s="3" t="inlineStr">
        <is>
          <t>Les missions 3, 4 et 10 consomment le quota ; au plafond, le majordome prépare la réservation et laisse l'utilisateur cliquer.</t>
        </is>
      </c>
      <c r="C6" s="19" t="n">
        <v>0</v>
      </c>
      <c r="D6" s="18" t="n">
        <v>60</v>
      </c>
      <c r="E6" s="18" t="n">
        <v>120</v>
      </c>
      <c r="F6" s="40" t="inlineStr">
        <is>
          <t>Le navigateur piloté est le poste le plus cher et le moins fiable.</t>
        </is>
      </c>
    </row>
    <row r="7" ht="32" customHeight="1">
      <c r="A7" s="2" t="inlineStr">
        <is>
          <t>Budget de jetons par mission</t>
        </is>
      </c>
      <c r="B7" s="3" t="inlineStr">
        <is>
          <t>Chaque mission a un budget de jetons et d'étapes ; dépassement = arrêt propre, message à l'utilisateur, ligne au journal.</t>
        </is>
      </c>
      <c r="C7" s="16" t="inlineStr">
        <is>
          <t>200 k</t>
        </is>
      </c>
      <c r="D7" s="16" t="inlineStr">
        <is>
          <t>400 k</t>
        </is>
      </c>
      <c r="E7" s="16" t="inlineStr">
        <is>
          <t>400 k</t>
        </is>
      </c>
      <c r="F7" s="40" t="inlineStr">
        <is>
          <t>Empêche les boucles. Valeurs à caler sur les mesures des missions 3 et 4.</t>
        </is>
      </c>
    </row>
    <row r="8" ht="32" customHeight="1">
      <c r="A8" s="2" t="inlineStr">
        <is>
          <t>Escalade vers le modèle frontière</t>
        </is>
      </c>
      <c r="B8" s="3" t="inlineStr">
        <is>
          <t>Seulement après deux échecs du modèle moyen, et jamais pour le socle.</t>
        </is>
      </c>
      <c r="C8" s="16" t="inlineStr">
        <is>
          <t>non</t>
        </is>
      </c>
      <c r="D8" s="16" t="inlineStr">
        <is>
          <t>≤ 10 %</t>
        </is>
      </c>
      <c r="E8" s="16" t="inlineStr">
        <is>
          <t>≤ 10 %</t>
        </is>
      </c>
      <c r="F8" s="40" t="inlineStr">
        <is>
          <t>Part des appels moyens escaladés ; 5 % en base dans l'onglet Missions.</t>
        </is>
      </c>
    </row>
    <row r="9" ht="32" customHeight="1">
      <c r="A9" s="2" t="inlineStr">
        <is>
          <t>Alerte de coût par abonné</t>
        </is>
      </c>
      <c r="B9" s="3" t="inlineStr">
        <is>
          <t>Si le coût IA et outils du mois dépasse 25 % du prix HT, alerte interne ; à 40 %, revue manuelle et proposition de changement d'offre.</t>
        </is>
      </c>
      <c r="C9" s="16" t="inlineStr">
        <is>
          <t>25 % / 40 %</t>
        </is>
      </c>
      <c r="D9" s="16" t="inlineStr">
        <is>
          <t>25 % / 40 %</t>
        </is>
      </c>
      <c r="E9" s="16" t="inlineStr">
        <is>
          <t>25 % / 40 %</t>
        </is>
      </c>
      <c r="F9" s="40" t="inlineStr">
        <is>
          <t>Le classeur donne le coût au plafond ci-dessous.</t>
        </is>
      </c>
    </row>
    <row r="10" ht="32" customHeight="1">
      <c r="A10" s="2" t="inlineStr">
        <is>
          <t>Coupe-circuit global</t>
        </is>
      </c>
      <c r="B10" s="3" t="inlineStr">
        <is>
          <t>Si la dépense API journalière dépasse 3 fois la moyenne glissante sur 7 jours, les missions C sont suspendues et l'astreinte est prévenue.</t>
        </is>
      </c>
      <c r="C10" s="16" t="inlineStr">
        <is>
          <t>oui</t>
        </is>
      </c>
      <c r="D10" s="16" t="inlineStr">
        <is>
          <t>oui</t>
        </is>
      </c>
      <c r="E10" s="16" t="inlineStr">
        <is>
          <t>oui</t>
        </is>
      </c>
      <c r="F10" s="40" t="inlineStr">
        <is>
          <t>Protège contre un bug ou une injection qui ferait boucler des missions.</t>
        </is>
      </c>
    </row>
    <row r="11" ht="32" customHeight="1">
      <c r="A11" s="2" t="inlineStr">
        <is>
          <t>Clés et quotas fournisseurs</t>
        </is>
      </c>
      <c r="B11" s="3" t="inlineStr">
        <is>
          <t>Clés par environnement, quotas durs chez chaque fournisseur (plafond mensuel en dollars), rotation trimestrielle.</t>
        </is>
      </c>
      <c r="C11" s="16" t="inlineStr">
        <is>
          <t>oui</t>
        </is>
      </c>
      <c r="D11" s="16" t="inlineStr">
        <is>
          <t>oui</t>
        </is>
      </c>
      <c r="E11" s="16" t="inlineStr">
        <is>
          <t>oui</t>
        </is>
      </c>
      <c r="F11" s="40" t="inlineStr">
        <is>
          <t>Les fournisseurs permettent un plafond de dépense mensuel au niveau du compte.</t>
        </is>
      </c>
    </row>
    <row r="13">
      <c r="A13" s="2" t="inlineStr">
        <is>
          <t>Coût au plafond (ordre de grandeur)</t>
        </is>
      </c>
    </row>
    <row r="14" ht="20" customHeight="1">
      <c r="A14" s="5" t="inlineStr">
        <is>
          <t>Poste</t>
        </is>
      </c>
      <c r="B14" s="5" t="inlineStr">
        <is>
          <t>Formule</t>
        </is>
      </c>
      <c r="C14" s="5" t="inlineStr">
        <is>
          <t>Personal</t>
        </is>
      </c>
      <c r="D14" s="5" t="inlineStr">
        <is>
          <t>Premium</t>
        </is>
      </c>
      <c r="E14" s="5" t="inlineStr">
        <is>
          <t>Family</t>
        </is>
      </c>
      <c r="F14" s="5" t="inlineStr">
        <is>
          <t>Note</t>
        </is>
      </c>
    </row>
    <row r="15">
      <c r="A15" s="16" t="inlineStr">
        <is>
          <t>Réservations possibles au plafond de navigateur (minutes ÷ 7 par réservation)</t>
        </is>
      </c>
      <c r="B15" s="41" t="inlineStr">
        <is>
          <t>plafond de minutes ÷ 7</t>
        </is>
      </c>
      <c r="C15" s="33">
        <f>C6/7</f>
        <v/>
      </c>
      <c r="D15" s="33">
        <f>D6/7</f>
        <v/>
      </c>
      <c r="E15" s="33">
        <f>E6/7</f>
        <v/>
      </c>
    </row>
    <row r="16">
      <c r="A16" s="16" t="inlineStr">
        <is>
          <t>Coût des réservations au plafond (× coût moyen d'une réservation M3, M4)</t>
        </is>
      </c>
      <c r="B16" s="41" t="inlineStr">
        <is>
          <t>réservations × moyenne(M3, M4)</t>
        </is>
      </c>
      <c r="C16" s="24">
        <f>C15*AVERAGE(Missions!AB8,Missions!AB9)</f>
        <v/>
      </c>
      <c r="D16" s="24">
        <f>D15*AVERAGE(Missions!AB8,Missions!AB9)</f>
        <v/>
      </c>
      <c r="E16" s="24">
        <f>E15*AVERAGE(Missions!AB8,Missions!AB9)</f>
        <v/>
      </c>
    </row>
    <row r="17">
      <c r="A17" s="16" t="inlineStr">
        <is>
          <t>Autres missions au plafond (× coût moyen des missions sans navigateur, socle compris)</t>
        </is>
      </c>
      <c r="B17" s="41" t="inlineStr">
        <is>
          <t>(plafond missions − réservations) × moyenne hors M3, M4, M10</t>
        </is>
      </c>
      <c r="C17" s="24">
        <f>MAX(0,C5-C15)*((Missions!AC17-Missions!AC8-Missions!AC9-Missions!AC15)/(Missions!E17-Missions!E8-Missions!E9-Missions!E15))</f>
        <v/>
      </c>
      <c r="D17" s="24">
        <f>MAX(0,D5-D15)*((Missions!AC17-Missions!AC8-Missions!AC9-Missions!AC15)/(Missions!E17-Missions!E8-Missions!E9-Missions!E15))</f>
        <v/>
      </c>
      <c r="E17" s="24">
        <f>MAX(0,E5-E15)*((Missions!AC17-Missions!AC8-Missions!AC9-Missions!AC15)/(Missions!E17-Missions!E8-Missions!E9-Missions!E15))</f>
        <v/>
      </c>
    </row>
    <row r="18">
      <c r="A18" s="2" t="inlineStr">
        <is>
          <t>Coût maximal IA, outils et support par abonné et par mois</t>
        </is>
      </c>
      <c r="C18" s="36">
        <f>C16+C17</f>
        <v/>
      </c>
      <c r="D18" s="36">
        <f>D16+D17</f>
        <v/>
      </c>
      <c r="E18" s="36">
        <f>E16+E17</f>
        <v/>
      </c>
    </row>
    <row r="19">
      <c r="A19" s="16" t="inlineStr">
        <is>
          <t>En part du prix HT</t>
        </is>
      </c>
      <c r="C19" s="42">
        <f>C18/(29/1.2)</f>
        <v/>
      </c>
      <c r="D19" s="42">
        <f>D18/(79/1.2)</f>
        <v/>
      </c>
      <c r="E19" s="42">
        <f>E18/(129/1.2)</f>
        <v/>
      </c>
    </row>
  </sheetData>
  <pageMargins left="0.75" right="0.75" top="1" bottom="1" header="0.5" footer="0.5"/>
</worksheet>
</file>

<file path=xl/worksheets/sheet7.xml><?xml version="1.0" encoding="utf-8"?>
<worksheet xmlns="http://schemas.openxmlformats.org/spreadsheetml/2006/main">
  <sheetPr>
    <tabColor rgb="00E4DDD2"/>
    <outlinePr summaryBelow="1" summaryRight="1"/>
    <pageSetUpPr/>
  </sheetPr>
  <dimension ref="A1:G53"/>
  <sheetViews>
    <sheetView showGridLines="0" workbookViewId="0">
      <selection activeCell="A1" sqref="A1"/>
    </sheetView>
  </sheetViews>
  <sheetFormatPr baseColWidth="8" defaultRowHeight="15"/>
  <cols>
    <col width="52" customWidth="1" min="1" max="1"/>
    <col width="30" customWidth="1" min="2" max="2"/>
    <col width="13" customWidth="1" min="3" max="3"/>
    <col width="13" customWidth="1" min="4" max="4"/>
    <col width="15" customWidth="1" min="5" max="5"/>
    <col width="15" customWidth="1" min="6" max="6"/>
    <col width="70" customWidth="1" min="7" max="7"/>
  </cols>
  <sheetData>
    <row r="1">
      <c r="A1" s="1" t="inlineStr">
        <is>
          <t>Plan de charge et budget MVP</t>
        </is>
      </c>
    </row>
    <row r="2">
      <c r="A2" s="4" t="inlineStr">
        <is>
          <t>Jours par profil et par chantier, deux variantes : Lean (un développeur senior externe, fondateurs à la manœuvre) et Confort (deux développeurs). Taux journaliers sourcés (vert) ou hypothèses (bleu).</t>
        </is>
      </c>
    </row>
    <row r="4">
      <c r="A4" s="2" t="inlineStr">
        <is>
          <t>Taux journaliers HT</t>
        </is>
      </c>
    </row>
    <row r="5" ht="30" customHeight="1">
      <c r="A5" s="5" t="inlineStr">
        <is>
          <t>Profil</t>
        </is>
      </c>
      <c r="B5" s="5" t="inlineStr">
        <is>
          <t>TJM retenu (€ HT)</t>
        </is>
      </c>
      <c r="C5" s="5" t="inlineStr">
        <is>
          <t>Fourchette source</t>
        </is>
      </c>
      <c r="D5" s="5" t="inlineStr">
        <is>
          <t>Nature</t>
        </is>
      </c>
      <c r="E5" s="5" t="inlineStr">
        <is>
          <t>Source</t>
        </is>
      </c>
      <c r="F5" s="5" t="inlineStr">
        <is>
          <t>Date</t>
        </is>
      </c>
    </row>
    <row r="6">
      <c r="A6" s="16" t="inlineStr">
        <is>
          <t>Développeur full-stack senior (externe)</t>
        </is>
      </c>
      <c r="B6" s="43" t="n">
        <v>650</v>
      </c>
      <c r="C6" s="41" t="inlineStr">
        <is>
          <t>Hays 2026 Paris, 8 ans et plus : 650 ; Paris confirmé 550 à 680, senior 670 et plus (La Fabrique du Net, juil. 2026)</t>
        </is>
      </c>
      <c r="D6" s="41" t="inlineStr">
        <is>
          <t>Tarif public</t>
        </is>
      </c>
      <c r="E6" s="44" t="inlineStr">
        <is>
          <t>https://www.blogdumoderateur.com/freelance-tech-taux-journaliers-moyens-metier-2026/ (étude Hays 2026) ; https://www.lafabriquedunet.fr/agences/tendances/tarifs-des-developpeurs-freelances-dans-les-grandes-villes-de-france</t>
        </is>
      </c>
      <c r="F6" s="41" t="inlineStr">
        <is>
          <t>28/10/2026</t>
        </is>
      </c>
    </row>
    <row r="7">
      <c r="A7" s="16" t="inlineStr">
        <is>
          <t>Ingénieur IA / LLM (externe)</t>
        </is>
      </c>
      <c r="B7" s="43" t="n">
        <v>800</v>
      </c>
      <c r="C7" s="41" t="inlineStr">
        <is>
          <t>Malt Tech Trends 2025 : expert 670 à 750 (moyennes européennes 2024) ; Michael Page Île-de-France : 600 à 1 000</t>
        </is>
      </c>
      <c r="D7" s="41" t="inlineStr">
        <is>
          <t>Tarif public</t>
        </is>
      </c>
      <c r="E7" s="44" t="inlineStr">
        <is>
          <t>https://pages.malt.fr/hubfs/NEW%20-%20E-books%20visuals/Malt%20Tech%20Trends%202025/Malt%20Tech%20Trends%202025%20-%20FR.pdf ; https://www.michaelpage.fr/grilles-de-salaires/technology/</t>
        </is>
      </c>
      <c r="F7" s="41" t="inlineStr">
        <is>
          <t>28/10/2026</t>
        </is>
      </c>
    </row>
    <row r="8">
      <c r="A8" s="16" t="inlineStr">
        <is>
          <t>Product designer UX/UI (externe)</t>
        </is>
      </c>
      <c r="B8" s="43" t="n">
        <v>550</v>
      </c>
      <c r="C8" s="41" t="inlineStr">
        <is>
          <t>450 à 700, médiane environ 510 (baromètre compilé 2026) ; moyenne 423 (Kicklox / RH Solutions 2025)</t>
        </is>
      </c>
      <c r="D8" s="41" t="inlineStr">
        <is>
          <t>Tarif public</t>
        </is>
      </c>
      <c r="E8" s="44" t="inlineStr">
        <is>
          <t>https://www.freelance-solution.fr/barometre-tjm-freelance-2026/ ; https://www.rh-solutions.com/app/uploads/2025/12/RHS-Etude-2025-les-TJM-freelances_compressed.pdf</t>
        </is>
      </c>
      <c r="F8" s="41" t="inlineStr">
        <is>
          <t>28/10/2026</t>
        </is>
      </c>
    </row>
    <row r="9">
      <c r="A9" s="16" t="inlineStr">
        <is>
          <t>Pentest application et API, jour d'auditeur (prestataire)</t>
        </is>
      </c>
      <c r="B9" s="43" t="n">
        <v>1150</v>
      </c>
      <c r="C9" s="41" t="inlineStr">
        <is>
          <t>900 à 1 500 (PASSI 1 200 à 1 500, non PASSI 900 à 1 200) ; pentest boîte grise app + API 8 000 à 12 000 € plus contre-test 1 000 à 2 500 €</t>
        </is>
      </c>
      <c r="D9" s="41" t="inlineStr">
        <is>
          <t>Tarif public</t>
        </is>
      </c>
      <c r="E9" s="44" t="inlineStr">
        <is>
          <t>https://kolonell.com/fr/blog/prix-pentest-application-web-pme-france-2026 (1er oct. 2026, source fournisseur)</t>
        </is>
      </c>
      <c r="F9" s="41" t="inlineStr">
        <is>
          <t>28/10/2026</t>
        </is>
      </c>
    </row>
    <row r="10">
      <c r="A10" s="16" t="inlineStr">
        <is>
          <t>Consultant RGPD / AIPD (externe)</t>
        </is>
      </c>
      <c r="B10" s="45" t="n">
        <v>850</v>
      </c>
      <c r="C10" s="41" t="inlineStr">
        <is>
          <t>800 à 900 (tarifs illustratifs ; aucun barème publié) ; AIPD estimée 4 à 8 jours</t>
        </is>
      </c>
      <c r="D10" s="41" t="inlineStr">
        <is>
          <t>Hypothèse</t>
        </is>
      </c>
      <c r="E10" s="44" t="inlineStr">
        <is>
          <t>https://www.legiscope.com/blog/dpo-externalise-cout.html ; https://donneespersonnelles.fr/dpo-externalise-tarifs</t>
        </is>
      </c>
      <c r="F10" s="41" t="inlineStr">
        <is>
          <t>28/10/2026</t>
        </is>
      </c>
    </row>
    <row r="11">
      <c r="A11" s="16" t="inlineStr">
        <is>
          <t>Fondateur, architecture et sécurité (Malik)</t>
        </is>
      </c>
      <c r="B11" s="45" t="n">
        <v>0</v>
      </c>
      <c r="C11" s="41" t="inlineStr">
        <is>
          <t>non facturé</t>
        </is>
      </c>
      <c r="D11" s="41" t="inlineStr">
        <is>
          <t>Hypothèse</t>
        </is>
      </c>
      <c r="E11" s="44" t="inlineStr">
        <is>
          <t>Fondateurs non rémunérés M1 à M12 (hypothèse Finance)</t>
        </is>
      </c>
      <c r="F11" s="41" t="inlineStr">
        <is>
          <t>28/10/2026</t>
        </is>
      </c>
    </row>
    <row r="12">
      <c r="A12" s="16" t="inlineStr">
        <is>
          <t>Fondateur, produit et recette (Steve)</t>
        </is>
      </c>
      <c r="B12" s="45" t="n">
        <v>0</v>
      </c>
      <c r="C12" s="41" t="inlineStr">
        <is>
          <t>non facturé</t>
        </is>
      </c>
      <c r="D12" s="41" t="inlineStr">
        <is>
          <t>Hypothèse</t>
        </is>
      </c>
      <c r="E12" s="44" t="inlineStr">
        <is>
          <t>Idem</t>
        </is>
      </c>
      <c r="F12" s="41" t="inlineStr">
        <is>
          <t>28/10/2026</t>
        </is>
      </c>
    </row>
    <row r="13">
      <c r="A13" s="16" t="inlineStr">
        <is>
          <t>Fondateur, exploitation et support (Isaac)</t>
        </is>
      </c>
      <c r="B13" s="45" t="n">
        <v>0</v>
      </c>
      <c r="C13" s="41" t="inlineStr">
        <is>
          <t>non facturé</t>
        </is>
      </c>
      <c r="D13" s="41" t="inlineStr">
        <is>
          <t>Hypothèse</t>
        </is>
      </c>
      <c r="E13" s="44" t="inlineStr">
        <is>
          <t>Idem</t>
        </is>
      </c>
      <c r="F13" s="41" t="inlineStr">
        <is>
          <t>28/10/2026</t>
        </is>
      </c>
    </row>
    <row r="15">
      <c r="A15" s="2" t="inlineStr">
        <is>
          <t>Chantiers</t>
        </is>
      </c>
    </row>
    <row r="16" ht="30" customHeight="1">
      <c r="A16" s="5" t="inlineStr">
        <is>
          <t>Chantier</t>
        </is>
      </c>
      <c r="B16" s="5" t="inlineStr">
        <is>
          <t>Profil</t>
        </is>
      </c>
      <c r="C16" s="5" t="inlineStr">
        <is>
          <t>Jours Lean</t>
        </is>
      </c>
      <c r="D16" s="5" t="inlineStr">
        <is>
          <t>Jours Confort</t>
        </is>
      </c>
      <c r="E16" s="5" t="inlineStr">
        <is>
          <t>Coût Lean (€ HT)</t>
        </is>
      </c>
      <c r="F16" s="5" t="inlineStr">
        <is>
          <t>Coût Confort (€ HT)</t>
        </is>
      </c>
      <c r="G16" s="5" t="inlineStr">
        <is>
          <t>Dépendances et notes</t>
        </is>
      </c>
    </row>
    <row r="17" ht="26" customHeight="1">
      <c r="A17" s="16" t="inlineStr">
        <is>
          <t>W0 Architecture, choix techniques, revue de sécurité</t>
        </is>
      </c>
      <c r="B17" s="16" t="inlineStr">
        <is>
          <t>Fondateur, architecture et sécurité (Malik)</t>
        </is>
      </c>
      <c r="C17" s="46" t="n">
        <v>15</v>
      </c>
      <c r="D17" s="46" t="n">
        <v>15</v>
      </c>
      <c r="E17" s="47">
        <f>C17*$B$11</f>
        <v/>
      </c>
      <c r="F17" s="47">
        <f>D17*$B$11</f>
        <v/>
      </c>
      <c r="G17" s="40" t="inlineStr">
        <is>
          <t>Avant tout code : schéma de données, politique A/C/X, mandats, journal. Dépendance : D-01 (qui continue) et D-02 (nom, domaine).</t>
        </is>
      </c>
    </row>
    <row r="18" ht="26" customHeight="1">
      <c r="A18" s="16" t="inlineStr">
        <is>
          <t>W1 Socle : comptes, OAuth Google, ingestion, mémoire, journal</t>
        </is>
      </c>
      <c r="B18" s="16" t="inlineStr">
        <is>
          <t>Développeur full-stack senior (externe)</t>
        </is>
      </c>
      <c r="C18" s="46" t="n">
        <v>18</v>
      </c>
      <c r="D18" s="46" t="n">
        <v>15</v>
      </c>
      <c r="E18" s="47">
        <f>C18*$B$6</f>
        <v/>
      </c>
      <c r="F18" s="47">
        <f>D18*$B$6</f>
        <v/>
      </c>
      <c r="G18" s="40" t="inlineStr">
        <is>
          <t>Connecteur Gmail/Agenda/Drive en périmètres restreints ; chiffrement des jetons OAuth ; file de missions durable (PostgreSQL).</t>
        </is>
      </c>
    </row>
    <row r="19" ht="26" customHeight="1">
      <c r="A19" s="16" t="inlineStr">
        <is>
          <t>W2 Passerelle modèles, orchestrateur, moteur de politique</t>
        </is>
      </c>
      <c r="B19" s="16" t="inlineStr">
        <is>
          <t>Ingénieur IA / LLM (externe)</t>
        </is>
      </c>
      <c r="C19" s="46" t="n">
        <v>16</v>
      </c>
      <c r="D19" s="46" t="n">
        <v>14</v>
      </c>
      <c r="E19" s="47">
        <f>C19*$B$7</f>
        <v/>
      </c>
      <c r="F19" s="47">
        <f>D19*$B$7</f>
        <v/>
      </c>
      <c r="G19" s="40" t="inlineStr">
        <is>
          <t>Routage petit/moyen/frontière, cache de contexte, budgets par mission, traces de coût. Dépendance : W1.</t>
        </is>
      </c>
    </row>
    <row r="20" ht="26" customHeight="1">
      <c r="A20" s="16" t="inlineStr">
        <is>
          <t>W3 Missions de lecture et de rédaction (M0, M1, M2, M6, M9)</t>
        </is>
      </c>
      <c r="B20" s="16" t="inlineStr">
        <is>
          <t>Développeur full-stack senior (externe)</t>
        </is>
      </c>
      <c r="C20" s="46" t="n">
        <v>14</v>
      </c>
      <c r="D20" s="46" t="n">
        <v>12</v>
      </c>
      <c r="E20" s="47">
        <f>C20*$B$6</f>
        <v/>
      </c>
      <c r="F20" s="47">
        <f>D20*$B$6</f>
        <v/>
      </c>
      <c r="G20" s="40" t="inlineStr">
        <is>
          <t>Premières missions livrées au pilote ; mesurent le coût du socle et du briefing.</t>
        </is>
      </c>
    </row>
    <row r="21" ht="26" customHeight="1">
      <c r="A21" s="16" t="inlineStr">
        <is>
          <t>W4 Missions de coordination et d'inventaire (M7, M8, M11)</t>
        </is>
      </c>
      <c r="B21" s="16" t="inlineStr">
        <is>
          <t>Développeur full-stack senior (externe)</t>
        </is>
      </c>
      <c r="C21" s="46" t="n">
        <v>10</v>
      </c>
      <c r="D21" s="46" t="n">
        <v>8</v>
      </c>
      <c r="E21" s="47">
        <f>C21*$B$6</f>
        <v/>
      </c>
      <c r="F21" s="47">
        <f>D21*$B$6</f>
        <v/>
      </c>
      <c r="G21" s="40" t="inlineStr">
        <is>
          <t>Calendriers partagés, inventaire des abonnements, activation.</t>
        </is>
      </c>
    </row>
    <row r="22" ht="26" customHeight="1">
      <c r="A22" s="16" t="inlineStr">
        <is>
          <t>W5 Missions à navigateur piloté (M3, M4, M10)</t>
        </is>
      </c>
      <c r="B22" s="16" t="inlineStr">
        <is>
          <t>Ingénieur IA / LLM (externe)</t>
        </is>
      </c>
      <c r="C22" s="46" t="n">
        <v>18</v>
      </c>
      <c r="D22" s="46" t="n">
        <v>16</v>
      </c>
      <c r="E22" s="47">
        <f>C22*$B$7</f>
        <v/>
      </c>
      <c r="F22" s="47">
        <f>D22*$B$7</f>
        <v/>
      </c>
      <c r="G22" s="40" t="inlineStr">
        <is>
          <t>Le chantier le plus risqué : sites sans API, CAPTCHA, conditions d'utilisation. Mesurer M3 et M4 avant d'investir davantage.</t>
        </is>
      </c>
    </row>
    <row r="23" ht="26" customHeight="1">
      <c r="A23" s="16" t="inlineStr">
        <is>
          <t>W6 Mission de recherche (M5)</t>
        </is>
      </c>
      <c r="B23" s="16" t="inlineStr">
        <is>
          <t>Ingénieur IA / LLM (externe)</t>
        </is>
      </c>
      <c r="C23" s="46" t="n">
        <v>6</v>
      </c>
      <c r="D23" s="46" t="n">
        <v>5</v>
      </c>
      <c r="E23" s="47">
        <f>C23*$B$7</f>
        <v/>
      </c>
      <c r="F23" s="47">
        <f>D23*$B$7</f>
        <v/>
      </c>
      <c r="G23" s="40" t="inlineStr">
        <is>
          <t>Recherche, lecture de pages, synthèse chiffrée ; pas de réservation.</t>
        </is>
      </c>
    </row>
    <row r="24" ht="26" customHeight="1">
      <c r="A24" s="16" t="inlineStr">
        <is>
          <t>W7 Conception UX : onboarding, écran de validation, journal, briefing</t>
        </is>
      </c>
      <c r="B24" s="16" t="inlineStr">
        <is>
          <t>Product designer UX/UI (externe)</t>
        </is>
      </c>
      <c r="C24" s="46" t="n">
        <v>12</v>
      </c>
      <c r="D24" s="46" t="n">
        <v>15</v>
      </c>
      <c r="E24" s="47">
        <f>C24*$B$8</f>
        <v/>
      </c>
      <c r="F24" s="47">
        <f>D24*$B$8</f>
        <v/>
      </c>
      <c r="G24" s="40" t="inlineStr">
        <is>
          <t>Maquettes puis tests avec les 10 pilotes.</t>
        </is>
      </c>
    </row>
    <row r="25" ht="26" customHeight="1">
      <c r="A25" s="16" t="inlineStr">
        <is>
          <t>W8 Application web (PWA) : front, notifications, facturation Stripe</t>
        </is>
      </c>
      <c r="B25" s="16" t="inlineStr">
        <is>
          <t>Développeur full-stack senior (externe)</t>
        </is>
      </c>
      <c r="C25" s="46" t="n">
        <v>20</v>
      </c>
      <c r="D25" s="46" t="n">
        <v>18</v>
      </c>
      <c r="E25" s="47">
        <f>C25*$B$6</f>
        <v/>
      </c>
      <c r="F25" s="47">
        <f>D25*$B$6</f>
        <v/>
      </c>
      <c r="G25" s="40" t="inlineStr">
        <is>
          <t>Dépendance : W7 ; PWA plutôt que magasins d'applications pour le MVP.</t>
        </is>
      </c>
    </row>
    <row r="26" ht="26" customHeight="1">
      <c r="A26" s="16" t="inlineStr">
        <is>
          <t>W9 Sécurité : pentest boîte grise (application et API) et contre-test</t>
        </is>
      </c>
      <c r="B26" s="16" t="inlineStr">
        <is>
          <t>Pentest application et API, jour d'auditeur (prestataire)</t>
        </is>
      </c>
      <c r="C26" s="46" t="n">
        <v>9</v>
      </c>
      <c r="D26" s="46" t="n">
        <v>10</v>
      </c>
      <c r="E26" s="47">
        <f>C26*$B$9</f>
        <v/>
      </c>
      <c r="F26" s="47">
        <f>D26*$B$9</f>
        <v/>
      </c>
      <c r="G26" s="40" t="inlineStr">
        <is>
          <t>Avant l'ouverture au-delà des 10 pilotes ; 8 000 à 12 000 € plus contre-test selon le marché 2026 ; devis à obtenir.</t>
        </is>
      </c>
    </row>
    <row r="27" ht="26" customHeight="1">
      <c r="A27" s="16" t="inlineStr">
        <is>
          <t>W10 RGPD : AIPD, registre, politiques, charte agents</t>
        </is>
      </c>
      <c r="B27" s="16" t="inlineStr">
        <is>
          <t>Consultant RGPD / AIPD (externe)</t>
        </is>
      </c>
      <c r="C27" s="46" t="n">
        <v>5</v>
      </c>
      <c r="D27" s="46" t="n">
        <v>6</v>
      </c>
      <c r="E27" s="47">
        <f>C27*$B$10</f>
        <v/>
      </c>
      <c r="F27" s="47">
        <f>D27*$B$10</f>
        <v/>
      </c>
      <c r="G27" s="40" t="inlineStr">
        <is>
          <t>Avec Tiffany ; l'AIPD est obligatoire avant le pilote (lecture de courriels).</t>
        </is>
      </c>
    </row>
    <row r="28" ht="26" customHeight="1">
      <c r="A28" s="16" t="inlineStr">
        <is>
          <t>W11 Vérification OAuth Google et évaluation CASA</t>
        </is>
      </c>
      <c r="B28" s="16" t="inlineStr">
        <is>
          <t>Fondateur, architecture et sécurité (Malik)</t>
        </is>
      </c>
      <c r="C28" s="46" t="n">
        <v>6</v>
      </c>
      <c r="D28" s="46" t="n">
        <v>6</v>
      </c>
      <c r="E28" s="47">
        <f>C28*$B$11</f>
        <v/>
      </c>
      <c r="F28" s="47">
        <f>D28*$B$11</f>
        <v/>
      </c>
      <c r="G28" s="40" t="inlineStr">
        <is>
          <t>Dossier, vidéo de démonstration, domaine vérifié, politique de confidentialité publiée ; délai externe de 4 à 8 semaines, à lancer en janvier.</t>
        </is>
      </c>
    </row>
    <row r="29" ht="26" customHeight="1">
      <c r="A29" s="16" t="inlineStr">
        <is>
          <t>W12 Exploitation : hébergement, supervision, sauvegardes, astreinte</t>
        </is>
      </c>
      <c r="B29" s="16" t="inlineStr">
        <is>
          <t>Fondateur, exploitation et support (Isaac)</t>
        </is>
      </c>
      <c r="C29" s="46" t="n">
        <v>10</v>
      </c>
      <c r="D29" s="46" t="n">
        <v>10</v>
      </c>
      <c r="E29" s="47">
        <f>C29*$B$13</f>
        <v/>
      </c>
      <c r="F29" s="47">
        <f>D29*$B$13</f>
        <v/>
      </c>
      <c r="G29" s="40" t="inlineStr">
        <is>
          <t>Scaleway Paris ; procédures d'incident et de violation de données.</t>
        </is>
      </c>
    </row>
    <row r="30" ht="26" customHeight="1">
      <c r="A30" s="16" t="inlineStr">
        <is>
          <t>W13 Recette, pilote, support des 10 pilotes, mesures</t>
        </is>
      </c>
      <c r="B30" s="16" t="inlineStr">
        <is>
          <t>Fondateur, produit et recette (Steve)</t>
        </is>
      </c>
      <c r="C30" s="46" t="n">
        <v>25</v>
      </c>
      <c r="D30" s="46" t="n">
        <v>25</v>
      </c>
      <c r="E30" s="47">
        <f>C30*$B$12</f>
        <v/>
      </c>
      <c r="F30" s="47">
        <f>D30*$B$12</f>
        <v/>
      </c>
      <c r="G30" s="40" t="inlineStr">
        <is>
          <t>Protocole de mesure des missions 1, 5 puis 3, 4 ; rapport de pilote pour la porte J+90.</t>
        </is>
      </c>
    </row>
    <row r="31" ht="26" customHeight="1">
      <c r="A31" s="16" t="inlineStr">
        <is>
          <t>W14 Second développeur (variante Confort seulement)</t>
        </is>
      </c>
      <c r="B31" s="16" t="inlineStr">
        <is>
          <t>Développeur full-stack senior (externe)</t>
        </is>
      </c>
      <c r="C31" s="46" t="n">
        <v>0</v>
      </c>
      <c r="D31" s="46" t="n">
        <v>40</v>
      </c>
      <c r="E31" s="47">
        <f>C31*$B$6</f>
        <v/>
      </c>
      <c r="F31" s="47">
        <f>D31*$B$6</f>
        <v/>
      </c>
      <c r="G31" s="40" t="inlineStr">
        <is>
          <t>Parallélise W3 à W5 et W8 ; raccourcit le calendrier d'environ six semaines.</t>
        </is>
      </c>
    </row>
    <row r="32">
      <c r="A32" s="2" t="inlineStr">
        <is>
          <t>Total jours et coût de main-d'œuvre externe</t>
        </is>
      </c>
      <c r="C32" s="28">
        <f>SUM(C17:C31)</f>
        <v/>
      </c>
      <c r="D32" s="28">
        <f>SUM(D17:D31)</f>
        <v/>
      </c>
      <c r="E32" s="48">
        <f>SUM(E17:E31)</f>
        <v/>
      </c>
      <c r="F32" s="48">
        <f>SUM(F17:F31)</f>
        <v/>
      </c>
    </row>
    <row r="33">
      <c r="A33" s="16" t="inlineStr">
        <is>
          <t>dont jours des fondateurs (non facturés)</t>
        </is>
      </c>
      <c r="C33" s="33">
        <f>SUMIF($B$17:$B$31,"Fondateur*",C17:C31)</f>
        <v/>
      </c>
      <c r="D33" s="33">
        <f>SUMIF($B$17:$B$31,"Fondateur*",D17:D31)</f>
        <v/>
      </c>
    </row>
    <row r="35">
      <c r="A35" s="2" t="inlineStr">
        <is>
          <t>Autres coûts du MVP (hors main-d'œuvre externe)</t>
        </is>
      </c>
    </row>
    <row r="36" ht="20" customHeight="1">
      <c r="A36" s="5" t="inlineStr">
        <is>
          <t>Poste</t>
        </is>
      </c>
      <c r="B36" s="5" t="inlineStr">
        <is>
          <t>Base</t>
        </is>
      </c>
      <c r="C36" s="5" t="inlineStr">
        <is>
          <t>Lean (€ HT)</t>
        </is>
      </c>
      <c r="D36" s="5" t="inlineStr">
        <is>
          <t>Confort (€ HT)</t>
        </is>
      </c>
      <c r="E36" s="5" t="inlineStr"/>
      <c r="F36" s="5" t="inlineStr"/>
      <c r="G36" s="5" t="inlineStr">
        <is>
          <t>Source ou hypothèse</t>
        </is>
      </c>
    </row>
    <row r="37" ht="26" customHeight="1">
      <c r="A37" s="16" t="inlineStr">
        <is>
          <t>API modèles et outils pendant la construction et le pilote (5 mois)</t>
        </is>
      </c>
      <c r="B37" s="41" t="inlineStr">
        <is>
          <t>5 mois × 400 €</t>
        </is>
      </c>
      <c r="C37" s="45" t="n">
        <v>2000</v>
      </c>
      <c r="D37" s="45" t="n">
        <v>3000</v>
      </c>
      <c r="G37" s="40" t="inlineStr">
        <is>
          <t>Hypothèse : 10 pilotes × coût mensuel + tests d'ingénierie ; voir Synthèse.</t>
        </is>
      </c>
    </row>
    <row r="38" ht="26" customHeight="1">
      <c r="A38" s="16" t="inlineStr">
        <is>
          <t>Hébergement et services pendant la construction (5 mois)</t>
        </is>
      </c>
      <c r="B38" s="41" t="inlineStr">
        <is>
          <t>5 mois × 250 €</t>
        </is>
      </c>
      <c r="C38" s="45" t="n">
        <v>1250</v>
      </c>
      <c r="D38" s="45" t="n">
        <v>1500</v>
      </c>
      <c r="G38" s="40" t="inlineStr">
        <is>
          <t>Scaleway Paris, base de données gérée, stockage, supervision ; détail dans la réponse au cadrage.</t>
        </is>
      </c>
    </row>
    <row r="39" ht="26" customHeight="1">
      <c r="A39" s="16" t="inlineStr">
        <is>
          <t>Évaluation de sécurité CASA niveau AL1 (laboratoire agréé, première année)</t>
        </is>
      </c>
      <c r="B39" s="41" t="inlineStr">
        <is>
          <t>forfait</t>
        </is>
      </c>
      <c r="C39" s="45" t="n">
        <v>1500</v>
      </c>
      <c r="D39" s="45" t="n">
        <v>2500</v>
      </c>
      <c r="G39" s="40" t="inlineStr">
        <is>
          <t>Marché 540 à 1 800 $ par an au niveau AL1 (TAC Security, Netsentries, Leviathan) ; renouvellement annuel ; vérification Google elle-même gratuite. Source : references prix et benchmarks, § infra 10.2.</t>
        </is>
      </c>
    </row>
    <row r="40" ht="26" customHeight="1">
      <c r="A40" s="16" t="inlineStr">
        <is>
          <t>Juridique : statuts, pacte, CGV, politiques</t>
        </is>
      </c>
      <c r="B40" s="41" t="inlineStr">
        <is>
          <t>forfait</t>
        </is>
      </c>
      <c r="C40" s="45" t="n">
        <v>4000</v>
      </c>
      <c r="D40" s="45" t="n">
        <v>4000</v>
      </c>
      <c r="G40" s="40" t="inlineStr">
        <is>
          <t>Business plan Lean V1 (Finance).</t>
        </is>
      </c>
    </row>
    <row r="41" ht="26" customHeight="1">
      <c r="A41" s="16" t="inlineStr">
        <is>
          <t>Tests utilisateurs et acquisition pilote</t>
        </is>
      </c>
      <c r="B41" s="41" t="inlineStr">
        <is>
          <t>forfait</t>
        </is>
      </c>
      <c r="C41" s="45" t="n">
        <v>5000</v>
      </c>
      <c r="D41" s="45" t="n">
        <v>5000</v>
      </c>
      <c r="G41" s="40" t="inlineStr">
        <is>
          <t>Business plan Lean V1 (Finance).</t>
        </is>
      </c>
    </row>
    <row r="42" ht="26" customHeight="1">
      <c r="A42" s="16" t="inlineStr">
        <is>
          <t>Logiciels, outils de développement, observabilité</t>
        </is>
      </c>
      <c r="B42" s="41" t="inlineStr">
        <is>
          <t>5 mois × 300 €</t>
        </is>
      </c>
      <c r="C42" s="45" t="n">
        <v>1500</v>
      </c>
      <c r="D42" s="45" t="n">
        <v>2000</v>
      </c>
      <c r="G42" s="40" t="inlineStr">
        <is>
          <t>Hypothèse.</t>
        </is>
      </c>
    </row>
    <row r="43" ht="26" customHeight="1">
      <c r="A43" s="16" t="inlineStr">
        <is>
          <t>Nom de domaine, marque (recherche d'antériorité, dépôt INPI)</t>
        </is>
      </c>
      <c r="B43" s="41" t="inlineStr">
        <is>
          <t>forfait</t>
        </is>
      </c>
      <c r="C43" s="45" t="n">
        <v>1500</v>
      </c>
      <c r="D43" s="45" t="n">
        <v>1500</v>
      </c>
      <c r="G43" s="40" t="inlineStr">
        <is>
          <t>Hypothèse ; dépôt INPI une classe environ 190 € + recherche.</t>
        </is>
      </c>
    </row>
    <row r="44">
      <c r="A44" s="2" t="inlineStr">
        <is>
          <t>Sous-total autres coûts</t>
        </is>
      </c>
      <c r="C44" s="48">
        <f>SUM(C37:C43)</f>
        <v/>
      </c>
      <c r="D44" s="48">
        <f>SUM(D37:D43)</f>
        <v/>
      </c>
    </row>
    <row r="46">
      <c r="A46" s="2" t="inlineStr">
        <is>
          <t>Budget MVP</t>
        </is>
      </c>
    </row>
    <row r="47">
      <c r="A47" s="16" t="inlineStr">
        <is>
          <t>Main-d'œuvre externe</t>
        </is>
      </c>
      <c r="C47" s="49">
        <f>E32</f>
        <v/>
      </c>
      <c r="D47" s="49">
        <f>F32</f>
        <v/>
      </c>
    </row>
    <row r="48">
      <c r="A48" s="16" t="inlineStr">
        <is>
          <t>Autres coûts</t>
        </is>
      </c>
      <c r="C48" s="49">
        <f>C44</f>
        <v/>
      </c>
      <c r="D48" s="49">
        <f>D44</f>
        <v/>
      </c>
    </row>
    <row r="49">
      <c r="A49" s="16" t="inlineStr">
        <is>
          <t>Imprévus (15 %, comme le Business plan Lean V1)</t>
        </is>
      </c>
      <c r="C49" s="49">
        <f>(C47+C48)*0.15</f>
        <v/>
      </c>
      <c r="D49" s="49">
        <f>(D47+D48)*0.15</f>
        <v/>
      </c>
    </row>
    <row r="50">
      <c r="A50" s="2" t="inlineStr">
        <is>
          <t>Total budget MVP HT</t>
        </is>
      </c>
      <c r="C50" s="50">
        <f>SUM(C47:C49)</f>
        <v/>
      </c>
      <c r="D50" s="50">
        <f>SUM(D47:D49)</f>
        <v/>
      </c>
    </row>
    <row r="51">
      <c r="A51" s="16" t="inlineStr">
        <is>
          <t>Business plan Lean V1 (Finance)</t>
        </is>
      </c>
      <c r="C51" s="45" t="n">
        <v>77050</v>
      </c>
      <c r="D51" s="45" t="n">
        <v>77050</v>
      </c>
    </row>
    <row r="52">
      <c r="A52" s="16" t="inlineStr">
        <is>
          <t>Écart</t>
        </is>
      </c>
      <c r="C52" s="47">
        <f>C50-C51</f>
        <v/>
      </c>
      <c r="D52" s="47">
        <f>D50-D51</f>
        <v/>
      </c>
    </row>
    <row r="53">
      <c r="A53" s="41" t="inlineStr">
        <is>
          <t>Modèle 36 mois : prudent 100 000 €, central 77 050 €, ambitieux 60 000 €</t>
        </is>
      </c>
    </row>
  </sheetData>
  <pageMargins left="0.75" right="0.75" top="1" bottom="1" header="0.5" footer="0.5"/>
</worksheet>
</file>

<file path=xl/worksheets/sheet8.xml><?xml version="1.0" encoding="utf-8"?>
<worksheet xmlns="http://schemas.openxmlformats.org/spreadsheetml/2006/main">
  <sheetPr>
    <tabColor rgb="00F0916A"/>
    <outlinePr summaryBelow="1" summaryRight="1"/>
    <pageSetUpPr/>
  </sheetPr>
  <dimension ref="A1:J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46" customWidth="1" min="3" max="3"/>
    <col width="18" customWidth="1" min="4" max="4"/>
    <col width="34" customWidth="1" min="5" max="5"/>
    <col width="12" customWidth="1" min="6" max="6"/>
    <col width="12" customWidth="1" min="7" max="7"/>
    <col width="12" customWidth="1" min="8" max="8"/>
    <col width="34" customWidth="1" min="9" max="9"/>
    <col width="40" customWidth="1" min="10" max="10"/>
  </cols>
  <sheetData>
    <row r="1">
      <c r="A1" s="1" t="inlineStr">
        <is>
          <t>Tableau commun demandé par Finance</t>
        </is>
      </c>
    </row>
    <row r="2">
      <c r="A2" s="4" t="inlineStr">
        <is>
          <t>Mission | priorité | scénario d'exécution | modèle IA | appels et outils | coût estimé HT | taux de réussite | risque | décision recommandée. Les coûts sont liés à l'onglet Missions.</t>
        </is>
      </c>
    </row>
    <row r="4" ht="44" customHeight="1">
      <c r="A4" s="5" t="inlineStr">
        <is>
          <t>Mission</t>
        </is>
      </c>
      <c r="B4" s="5" t="inlineStr">
        <is>
          <t>Priorité</t>
        </is>
      </c>
      <c r="C4" s="5" t="inlineStr">
        <is>
          <t>Scénario d'exécution</t>
        </is>
      </c>
      <c r="D4" s="5" t="inlineStr">
        <is>
          <t>Modèle IA</t>
        </is>
      </c>
      <c r="E4" s="5" t="inlineStr">
        <is>
          <t>Appels et outils</t>
        </is>
      </c>
      <c r="F4" s="5" t="inlineStr">
        <is>
          <t>Coût estimé HT par exécution</t>
        </is>
      </c>
      <c r="G4" s="5" t="inlineStr">
        <is>
          <t>Coût mensuel Premium</t>
        </is>
      </c>
      <c r="H4" s="5" t="inlineStr">
        <is>
          <t>Taux de réussite (estimé, non mesuré)</t>
        </is>
      </c>
      <c r="I4" s="5" t="inlineStr">
        <is>
          <t>Risque principal</t>
        </is>
      </c>
      <c r="J4" s="5" t="inlineStr">
        <is>
          <t>Décision recommandée</t>
        </is>
      </c>
    </row>
    <row r="5" ht="92" customHeight="1">
      <c r="A5" s="51" t="inlineStr">
        <is>
          <t>M0 Socle : tri quotidien des courriels et de l'agenda (partagé par M1, M2, M8, M9)</t>
        </is>
      </c>
      <c r="B5" s="10" t="inlineStr">
        <is>
          <t>Socle</t>
        </is>
      </c>
      <c r="C5" s="10" t="inlineStr">
        <is>
          <t>Lecture nocturne des courriels, de l'agenda et de Drive ; classement, résumés, entités en mémoire.</t>
        </is>
      </c>
      <c r="D5" s="10" t="inlineStr">
        <is>
          <t>Petit</t>
        </is>
      </c>
      <c r="E5" s="10" t="inlineStr">
        <is>
          <t>1 appel petit modèle par nuit (≈ 20 k jetons) ; API Gmail, Agenda, Drive (gratuites) ; embeddings.</t>
        </is>
      </c>
      <c r="F5" s="52">
        <f>Missions!AB5</f>
        <v/>
      </c>
      <c r="G5" s="53">
        <f>Missions!AC5</f>
        <v/>
      </c>
      <c r="H5" s="54">
        <f>Missions!T5</f>
        <v/>
      </c>
      <c r="I5" s="10" t="inlineStr">
        <is>
          <t>Injection de prompt par un courriel : le socle ne doit jamais déclencher d'action. Volume de courriels très variable selon l'utilisateur.</t>
        </is>
      </c>
      <c r="J5" s="10" t="inlineStr">
        <is>
          <t>Construire en premier ; contenu des courriels traité comme données non fiables ; aucune capacité d'action.</t>
        </is>
      </c>
    </row>
    <row r="6" ht="92" customHeight="1">
      <c r="A6" s="51" t="inlineStr">
        <is>
          <t>M1 Briefing quotidien</t>
        </is>
      </c>
      <c r="B6" s="10" t="inlineStr">
        <is>
          <t>1</t>
        </is>
      </c>
      <c r="C6" s="10" t="inlineStr">
        <is>
          <t>Composition matinale de 3 à 5 points à partir du socle.</t>
        </is>
      </c>
      <c r="D6" s="10" t="inlineStr">
        <is>
          <t>Moyen</t>
        </is>
      </c>
      <c r="E6" s="10" t="inlineStr">
        <is>
          <t>1 appel moyen (≈ 8 k jetons, moitié en cache).</t>
        </is>
      </c>
      <c r="F6" s="52">
        <f>Missions!AB6</f>
        <v/>
      </c>
      <c r="G6" s="53">
        <f>Missions!AC6</f>
        <v/>
      </c>
      <c r="H6" s="54">
        <f>Missions!T6</f>
        <v/>
      </c>
      <c r="I6" s="10" t="inlineStr">
        <is>
          <t>Banalité : un briefing sans valeur perçue fait partir l'utilisateur.</t>
        </is>
      </c>
      <c r="J6" s="10" t="inlineStr">
        <is>
          <t>Mission d'habitude : livrer au pilote dès le jour 1 ; mesurer l'ouverture quotidienne.</t>
        </is>
      </c>
    </row>
    <row r="7" ht="92" customHeight="1">
      <c r="A7" s="51" t="inlineStr">
        <is>
          <t>M2 Suivi des échéances personnelles</t>
        </is>
      </c>
      <c r="B7" s="10" t="inlineStr">
        <is>
          <t>1</t>
        </is>
      </c>
      <c r="C7" s="10" t="inlineStr">
        <is>
          <t>Extraction et confirmation des échéances, rappels J-30 et J-7.</t>
        </is>
      </c>
      <c r="D7" s="10" t="inlineStr">
        <is>
          <t>Petit puis moyen</t>
        </is>
      </c>
      <c r="E7" s="10" t="inlineStr">
        <is>
          <t>1 appel petit + 1 appel moyen par échéance.</t>
        </is>
      </c>
      <c r="F7" s="52">
        <f>Missions!AB7</f>
        <v/>
      </c>
      <c r="G7" s="53">
        <f>Missions!AC7</f>
        <v/>
      </c>
      <c r="H7" s="54">
        <f>Missions!T7</f>
        <v/>
      </c>
      <c r="I7" s="10" t="inlineStr">
        <is>
          <t>Faux positifs (fausse échéance) et oublis ; aucune démarche officielle.</t>
        </is>
      </c>
      <c r="J7" s="10" t="inlineStr">
        <is>
          <t>Inclure ; rappel seulement ; taux de faux positifs à mesurer.</t>
        </is>
      </c>
    </row>
    <row r="8" ht="92" customHeight="1">
      <c r="A8" s="51" t="inlineStr">
        <is>
          <t>M3 Prise de rendez-vous de service (garage, coiffeur, artisan)</t>
        </is>
      </c>
      <c r="B8" s="10" t="inlineStr">
        <is>
          <t>2</t>
        </is>
      </c>
      <c r="C8" s="10" t="inlineStr">
        <is>
          <t>Recherche de prestataires, créneaux, réservation en ligne par navigateur piloté après validation.</t>
        </is>
      </c>
      <c r="D8" s="10" t="inlineStr">
        <is>
          <t>Moyen, escalade frontière 5 %</t>
        </is>
      </c>
      <c r="E8" s="10" t="inlineStr">
        <is>
          <t>≈ 15 appels moyens, 2 petits ; Places × 3 ; navigateur 8 min.</t>
        </is>
      </c>
      <c r="F8" s="52">
        <f>Missions!AB8</f>
        <v/>
      </c>
      <c r="G8" s="53">
        <f>Missions!AC8</f>
        <v/>
      </c>
      <c r="H8" s="54">
        <f>Missions!T8</f>
        <v/>
      </c>
      <c r="I8" s="10" t="inlineStr">
        <is>
          <t>Pas d'API chez la plupart des plateformes ; CAPTCHA et conditions d'utilisation ; échec en cours de parcours.</t>
        </is>
      </c>
      <c r="J8" s="10" t="inlineStr">
        <is>
          <t>Inclure sur un périmètre de plateformes testé ; au plafond de minutes, l'utilisateur termine lui-même.</t>
        </is>
      </c>
    </row>
    <row r="9" ht="92" customHeight="1">
      <c r="A9" s="51" t="inlineStr">
        <is>
          <t>M4 Réservation de restaurant</t>
        </is>
      </c>
      <c r="B9" s="10" t="inlineStr">
        <is>
          <t>2</t>
        </is>
      </c>
      <c r="C9" s="10" t="inlineStr">
        <is>
          <t>Propositions puis réservation par navigateur piloté après validation.</t>
        </is>
      </c>
      <c r="D9" s="10" t="inlineStr">
        <is>
          <t>Moyen, escalade frontière 5 %</t>
        </is>
      </c>
      <c r="E9" s="10" t="inlineStr">
        <is>
          <t>≈ 12 appels moyens, 2 petits ; Places × 4 ; navigateur 6 min ; API partenaire si accord TheFork ou Mozrest.</t>
        </is>
      </c>
      <c r="F9" s="52">
        <f>Missions!AB9</f>
        <v/>
      </c>
      <c r="G9" s="53">
        <f>Missions!AC9</f>
        <v/>
      </c>
      <c r="H9" s="54">
        <f>Missions!T9</f>
        <v/>
      </c>
      <c r="I9" s="10" t="inlineStr">
        <is>
          <t>Idem M3 ; double réservation si reprise mal gérée.</t>
        </is>
      </c>
      <c r="J9" s="10" t="inlineStr">
        <is>
          <t>Inclure ; idempotence des réservations ; mesurer dès le pilote (mission qui démontre la promesse).</t>
        </is>
      </c>
    </row>
    <row r="10" ht="92" customHeight="1">
      <c r="A10" s="51" t="inlineStr">
        <is>
          <t>M5 Organisation d'un déplacement privé</t>
        </is>
      </c>
      <c r="B10" s="10" t="inlineStr">
        <is>
          <t>2</t>
        </is>
      </c>
      <c r="C10" s="10" t="inlineStr">
        <is>
          <t>Recherche, lecture de pages, programme à 2 ou 3 options chiffrées ; aucune réservation.</t>
        </is>
      </c>
      <c r="D10" s="10" t="inlineStr">
        <is>
          <t>Moyen, petit pour l'extraction</t>
        </is>
      </c>
      <c r="E10" s="10" t="inlineStr">
        <is>
          <t>8 recherches, 10 lectures de page, 6 appels moyens, 4 petits.</t>
        </is>
      </c>
      <c r="F10" s="52">
        <f>Missions!AB10</f>
        <v/>
      </c>
      <c r="G10" s="53">
        <f>Missions!AC10</f>
        <v/>
      </c>
      <c r="H10" s="54">
        <f>Missions!T10</f>
        <v/>
      </c>
      <c r="I10" s="10" t="inlineStr">
        <is>
          <t>Qualité de la synthèse ; prix périmés ; Code du tourisme si réservation.</t>
        </is>
      </c>
      <c r="J10" s="10" t="inlineStr">
        <is>
          <t>Inclure sans réservation ; la mission la plus coûteuse en jetons, à mesurer en premier avec M1.</t>
        </is>
      </c>
    </row>
    <row r="11" ht="92" customHeight="1">
      <c r="A11" s="51" t="inlineStr">
        <is>
          <t>M6 Brouillons de courriels personnels</t>
        </is>
      </c>
      <c r="B11" s="10" t="inlineStr">
        <is>
          <t>1</t>
        </is>
      </c>
      <c r="C11" s="10" t="inlineStr">
        <is>
          <t>Brouillon dans le ton de l'utilisateur, envoi après validation.</t>
        </is>
      </c>
      <c r="D11" s="10" t="inlineStr">
        <is>
          <t>Moyen</t>
        </is>
      </c>
      <c r="E11" s="10" t="inlineStr">
        <is>
          <t>1 appel moyen.</t>
        </is>
      </c>
      <c r="F11" s="52">
        <f>Missions!AB11</f>
        <v/>
      </c>
      <c r="G11" s="53">
        <f>Missions!AC11</f>
        <v/>
      </c>
      <c r="H11" s="54">
        <f>Missions!T11</f>
        <v/>
      </c>
      <c r="I11" s="10" t="inlineStr">
        <is>
          <t>Ton inadapté ; envoi sans validation (interdit par le moteur de politique).</t>
        </is>
      </c>
      <c r="J11" s="10" t="inlineStr">
        <is>
          <t>Inclure ; mesurer le taux de brouillons envoyés sans modification.</t>
        </is>
      </c>
    </row>
    <row r="12" ht="92" customHeight="1">
      <c r="A12" s="51" t="inlineStr">
        <is>
          <t>M7 Coordination de l'agenda familial</t>
        </is>
      </c>
      <c r="B12" s="10" t="inlineStr">
        <is>
          <t>2</t>
        </is>
      </c>
      <c r="C12" s="10" t="inlineStr">
        <is>
          <t>Détection des conflits d'agenda, proposition, modification après validation.</t>
        </is>
      </c>
      <c r="D12" s="10" t="inlineStr">
        <is>
          <t>Petit puis moyen</t>
        </is>
      </c>
      <c r="E12" s="10" t="inlineStr">
        <is>
          <t>1 petit + 1 moyen ; API Agenda.</t>
        </is>
      </c>
      <c r="F12" s="52">
        <f>Missions!AB12</f>
        <v/>
      </c>
      <c r="G12" s="53">
        <f>Missions!AC12</f>
        <v/>
      </c>
      <c r="H12" s="54">
        <f>Missions!T12</f>
        <v/>
      </c>
      <c r="I12" s="10" t="inlineStr">
        <is>
          <t>Tiers concernés (conjoint, enfants) : validation à chaque fois.</t>
        </is>
      </c>
      <c r="J12" s="10" t="inlineStr">
        <is>
          <t>Inclure pour tester la cible famille ; profils multiples reportés.</t>
        </is>
      </c>
    </row>
    <row r="13" ht="92" customHeight="1">
      <c r="A13" s="51" t="inlineStr">
        <is>
          <t>M8 Suivi des abonnements</t>
        </is>
      </c>
      <c r="B13" s="10" t="inlineStr">
        <is>
          <t>3</t>
        </is>
      </c>
      <c r="C13" s="10" t="inlineStr">
        <is>
          <t>Inventaire mensuel des abonnements, alertes, lettre de résiliation préparée.</t>
        </is>
      </c>
      <c r="D13" s="10" t="inlineStr">
        <is>
          <t>Petit puis moyen</t>
        </is>
      </c>
      <c r="E13" s="10" t="inlineStr">
        <is>
          <t>1 petit + 1,5 moyen.</t>
        </is>
      </c>
      <c r="F13" s="52">
        <f>Missions!AB13</f>
        <v/>
      </c>
      <c r="G13" s="53">
        <f>Missions!AC13</f>
        <v/>
      </c>
      <c r="H13" s="54">
        <f>Missions!T13</f>
        <v/>
      </c>
      <c r="I13" s="10" t="inlineStr">
        <is>
          <t>Inventaire incomplet ; résiliation par prélèvement exclue.</t>
        </is>
      </c>
      <c r="J13" s="10" t="inlineStr">
        <is>
          <t>Inclure (faible coût, forte valeur perçue) ; pas d'accès bancaire.</t>
        </is>
      </c>
    </row>
    <row r="14" ht="92" customHeight="1">
      <c r="A14" s="51" t="inlineStr">
        <is>
          <t>M9 Relances et engagements en attente</t>
        </is>
      </c>
      <c r="B14" s="10" t="inlineStr">
        <is>
          <t>1</t>
        </is>
      </c>
      <c r="C14" s="10" t="inlineStr">
        <is>
          <t>Liste des attentes, relance rédigée au bon moment, envoi après validation.</t>
        </is>
      </c>
      <c r="D14" s="10" t="inlineStr">
        <is>
          <t>Moyen</t>
        </is>
      </c>
      <c r="E14" s="10" t="inlineStr">
        <is>
          <t>0,5 petit + 1 moyen.</t>
        </is>
      </c>
      <c r="F14" s="52">
        <f>Missions!AB14</f>
        <v/>
      </c>
      <c r="G14" s="53">
        <f>Missions!AC14</f>
        <v/>
      </c>
      <c r="H14" s="54">
        <f>Missions!T14</f>
        <v/>
      </c>
      <c r="I14" s="10" t="inlineStr">
        <is>
          <t>Relance inopportune ; doublon avec M6.</t>
        </is>
      </c>
      <c r="J14" s="10" t="inlineStr">
        <is>
          <t>Inclure ; fusionner l'interface avec M6.</t>
        </is>
      </c>
    </row>
    <row r="15" ht="92" customHeight="1">
      <c r="A15" s="51" t="inlineStr">
        <is>
          <t>M10 Préparation d'un événement personnel</t>
        </is>
      </c>
      <c r="B15" s="10" t="inlineStr">
        <is>
          <t>3</t>
        </is>
      </c>
      <c r="C15" s="10" t="inlineStr">
        <is>
          <t>Rappel, idées, organisation, réservation éventuelle (réutilise M4).</t>
        </is>
      </c>
      <c r="D15" s="10" t="inlineStr">
        <is>
          <t>Moyen</t>
        </is>
      </c>
      <c r="E15" s="10" t="inlineStr">
        <is>
          <t>3 moyens, 1 petit ; recherches × 3 ; Places ; navigateur 3 min.</t>
        </is>
      </c>
      <c r="F15" s="52">
        <f>Missions!AB15</f>
        <v/>
      </c>
      <c r="G15" s="53">
        <f>Missions!AC15</f>
        <v/>
      </c>
      <c r="H15" s="54">
        <f>Missions!T15</f>
        <v/>
      </c>
      <c r="I15" s="10" t="inlineStr">
        <is>
          <t>Faible fréquence, forte variabilité.</t>
        </is>
      </c>
      <c r="J15" s="10" t="inlineStr">
        <is>
          <t>Reporter après le pilote si M3 et M4 ne tiennent pas leurs mesures ; sinon inclure.</t>
        </is>
      </c>
    </row>
    <row r="16" ht="92" customHeight="1">
      <c r="A16" s="51" t="inlineStr">
        <is>
          <t>M11 Activation : lecture initiale de la boîte et profil (une fois par nouvel abonné)</t>
        </is>
      </c>
      <c r="B16" s="10" t="inlineStr">
        <is>
          <t>Socle</t>
        </is>
      </c>
      <c r="C16" s="10" t="inlineStr">
        <is>
          <t>Lecture initiale de 12 mois de courriels en lot, profil de préférences confirmé par l'utilisateur.</t>
        </is>
      </c>
      <c r="D16" s="10" t="inlineStr">
        <is>
          <t>Petit en lot, moyen pour le profil</t>
        </is>
      </c>
      <c r="E16" s="10" t="inlineStr">
        <is>
          <t>≈ 400 k jetons petit modèle en lot (tarif lot −50 %), embeddings, 1 appel moyen.</t>
        </is>
      </c>
      <c r="F16" s="52">
        <f>Missions!AB16</f>
        <v/>
      </c>
      <c r="G16" s="53">
        <f>Missions!AC16</f>
        <v/>
      </c>
      <c r="H16" s="54">
        <f>Missions!T16</f>
        <v/>
      </c>
      <c r="I16" s="10" t="inlineStr">
        <is>
          <t>Coût d'activation ; données particulières incidentes (santé, opinions) à détecter et ne pas conserver.</t>
        </is>
      </c>
      <c r="J16" s="10" t="inlineStr">
        <is>
          <t>Inclure avec filtrage des données particulières ; compter dans le CAC.</t>
        </is>
      </c>
    </row>
  </sheetData>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2026-10-28T00:16:51Z</dcterms:created>
  <dcterms:modified xmlns:dcterms="http://purl.org/dc/terms/" xmlns:xsi="http://www.w3.org/2001/XMLSchema-instance" xsi:type="dcterms:W3CDTF">2026-10-28T00:16:51Z</dcterms:modified>
</cp:coreProperties>
</file>