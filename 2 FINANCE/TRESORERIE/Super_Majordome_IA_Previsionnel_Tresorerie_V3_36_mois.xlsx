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2e0f8389d41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ypotheses" sheetId="1" r:id="R1312633f87fc47b3"/>
    <x:sheet xmlns:r="http://schemas.openxmlformats.org/officeDocument/2006/relationships" name="Tresorerie 36M" sheetId="2" r:id="R5138bfd4edea40a6"/>
    <x:sheet xmlns:r="http://schemas.openxmlformats.org/officeDocument/2006/relationships" name="Synthese" sheetId="3" r:id="R2c70c46c30a54eaf"/>
    <x:sheet xmlns:r="http://schemas.openxmlformats.org/officeDocument/2006/relationships" name="Methodologie" sheetId="4" r:id="R6466c7333b7a47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;[Red](0.0%);-"/>
    <x:numFmt numFmtId="201" formatCode="#,##0;[Red](#,##0);-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087E8B"/>
      </x:patternFill>
    </x:fill>
    <x:fill>
      <x:patternFill patternType="solid">
        <x:fgColor rgb="FFFFF8D7"/>
      </x:patternFill>
    </x:fill>
    <x:fill>
      <x:patternFill patternType="solid">
        <x:fgColor rgb="FFE9F4F5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5" borderId="0" xfId="0" applyNumberFormat="1" applyFont="1" applyFill="1" applyBorder="1"/>
    <x:xf numFmtId="201" fontId="4" fillId="5" borderId="0" xfId="0" applyNumberFormat="1" applyFont="1" applyFill="1" applyBorder="1"/>
    <x:xf numFmtId="201" fontId="0" fillId="5" borderId="1" xfId="0" applyNumberFormat="1" applyFont="1" applyFill="1" applyBorder="1"/>
    <x:xf numFmtId="201" fontId="4" fillId="5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4590c7b6d4dd3" /><Relationship Type="http://schemas.openxmlformats.org/officeDocument/2006/relationships/theme" Target="/xl/theme/theme1.xml" Id="R3aba35ca1e0741ae" /><Relationship Type="http://schemas.openxmlformats.org/officeDocument/2006/relationships/sharedStrings" Target="/xl/sharedStrings.xml" Id="R803b513179aa408d" /><Relationship Type="http://schemas.openxmlformats.org/officeDocument/2006/relationships/worksheet" Target="/xl/worksheets/sheet1.xml" Id="R1312633f87fc47b3" /><Relationship Type="http://schemas.openxmlformats.org/officeDocument/2006/relationships/worksheet" Target="/xl/worksheets/sheet2.xml" Id="R5138bfd4edea40a6" /><Relationship Type="http://schemas.openxmlformats.org/officeDocument/2006/relationships/worksheet" Target="/xl/worksheets/sheet3.xml" Id="R2c70c46c30a54eaf" /><Relationship Type="http://schemas.openxmlformats.org/officeDocument/2006/relationships/worksheet" Target="/xl/worksheets/sheet4.xml" Id="R6466c7333b7a47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7" hidden="0" customWidth="1"/>
    <x:col min="3" max="3" width="20" hidden="0" customWidth="1"/>
    <x:col min="4" max="4" width="65" hidden="0" customWidth="1"/>
  </x:cols>
  <x:sheetData>
    <x:row r="1" ht="32" customHeight="1">
      <x:c r="A1" s="3" t="str">
        <x:v>SUPER MAJORDOME IA | Hypothèses V3</x:v>
      </x:c>
      <x:c r="B1" s="3"/>
      <x:c r="C1" s="3"/>
      <x:c r="D1" s="3"/>
    </x:row>
    <x:row r="3">
      <x:c r="A3" s="7" t="str">
        <x:v>Paramètre</x:v>
      </x:c>
      <x:c r="B3" s="7" t="str">
        <x:v>Valeur</x:v>
      </x:c>
      <x:c r="C3" s="7" t="str">
        <x:v>Unité</x:v>
      </x:c>
      <x:c r="D3" s="7" t="str">
        <x:v>Statut / source</x:v>
      </x:c>
    </x:row>
    <x:row r="4">
      <x:c r="A4" t="str">
        <x:v>Prix abonnement TTC</x:v>
      </x:c>
      <x:c r="B4" s="12" t="n">
        <x:v>79</x:v>
      </x:c>
      <x:c r="C4" t="str">
        <x:v>EUR / mois</x:v>
      </x:c>
      <x:c r="D4" t="str">
        <x:v>Hypothèse interne, non validée</x:v>
      </x:c>
    </x:row>
    <x:row r="5">
      <x:c r="A5" t="str">
        <x:v>TVA sur ventes France</x:v>
      </x:c>
      <x:c r="B5" s="14" t="n">
        <x:v>0.2</x:v>
      </x:c>
      <x:c r="C5" t="str">
        <x:v>%</x:v>
      </x:c>
      <x:c r="D5" t="str">
        <x:v>Hypothèse de régime normal ; impots.gouv.fr</x:v>
      </x:c>
    </x:row>
    <x:row r="6">
      <x:c r="A6" t="str">
        <x:v>Coût variable HT hors paiement</x:v>
      </x:c>
      <x:c r="B6" s="12" t="n">
        <x:v>18</x:v>
      </x:c>
      <x:c r="C6" t="str">
        <x:v>EUR / client-mois</x:v>
      </x:c>
      <x:c r="D6" t="str">
        <x:v>Hypothèse interne ; risque double compte frais de paiement</x:v>
      </x:c>
    </x:row>
    <x:row r="7">
      <x:c r="A7" t="str">
        <x:v>Stripe Payments taux</x:v>
      </x:c>
      <x:c r="B7" s="14" t="n">
        <x:v>0.015</x:v>
      </x:c>
      <x:c r="C7" t="str">
        <x:v>%</x:v>
      </x:c>
      <x:c r="D7" t="str">
        <x:v>Tarif indicatif cartes EEE standard ; stripe.com/fr/pricing</x:v>
      </x:c>
    </x:row>
    <x:row r="8">
      <x:c r="A8" t="str">
        <x:v>Stripe Payments fixe</x:v>
      </x:c>
      <x:c r="B8" s="12" t="n">
        <x:v>0.25</x:v>
      </x:c>
      <x:c r="C8" t="str">
        <x:v>EUR / transaction</x:v>
      </x:c>
      <x:c r="D8" t="str">
        <x:v>Tarif indicatif ; stripe.com/fr/pricing</x:v>
      </x:c>
    </x:row>
    <x:row r="9">
      <x:c r="A9" t="str">
        <x:v>Stripe Billing taux</x:v>
      </x:c>
      <x:c r="B9" s="14" t="n">
        <x:v>0.007</x:v>
      </x:c>
      <x:c r="C9" t="str">
        <x:v>% TTC</x:v>
      </x:c>
      <x:c r="D9" t="str">
        <x:v>Hypothèse tarif public ; stripe.com/billing/pricing</x:v>
      </x:c>
    </x:row>
    <x:row r="10">
      <x:c r="A10" t="str">
        <x:v>Taux d'échec / impayés</x:v>
      </x:c>
      <x:c r="B10" s="14" t="n">
        <x:v>0.01</x:v>
      </x:c>
      <x:c r="C10" t="str">
        <x:v>% des échéances</x:v>
      </x:c>
      <x:c r="D10" t="str">
        <x:v>Hypothèse ; à mesurer</x:v>
      </x:c>
    </x:row>
    <x:row r="11">
      <x:c r="A11" t="str">
        <x:v>Churn mensuel</x:v>
      </x:c>
      <x:c r="B11" s="14" t="n">
        <x:v>0.03</x:v>
      </x:c>
      <x:c r="C11" t="str">
        <x:v>% des actifs</x:v>
      </x:c>
      <x:c r="D11" t="str">
        <x:v>Hypothèse interne</x:v>
      </x:c>
    </x:row>
    <x:row r="12">
      <x:c r="A12" t="str">
        <x:v>CAC HT</x:v>
      </x:c>
      <x:c r="B12" s="14" t="n">
        <x:v>150</x:v>
      </x:c>
      <x:c r="C12" t="str">
        <x:v>EUR / nouveau payant</x:v>
      </x:c>
      <x:c r="D12" t="str">
        <x:v>Hypothèse interne</x:v>
      </x:c>
    </x:row>
    <x:row r="13">
      <x:c r="A13" t="str">
        <x:v>Abonnés actifs fin M12</x:v>
      </x:c>
      <x:c r="B13" s="12" t="n">
        <x:v>150</x:v>
      </x:c>
      <x:c r="C13" t="str">
        <x:v>clients</x:v>
      </x:c>
      <x:c r="D13" t="str">
        <x:v>Objectif interne non validé</x:v>
      </x:c>
    </x:row>
    <x:row r="14">
      <x:c r="A14" t="str">
        <x:v>Abonnés actifs fin M24</x:v>
      </x:c>
      <x:c r="B14" s="12" t="n">
        <x:v>800</x:v>
      </x:c>
      <x:c r="C14" t="str">
        <x:v>clients</x:v>
      </x:c>
      <x:c r="D14" t="str">
        <x:v>Objectif interne non validé</x:v>
      </x:c>
    </x:row>
    <x:row r="15">
      <x:c r="A15" t="str">
        <x:v>Abonnés actifs fin M36</x:v>
      </x:c>
      <x:c r="B15" s="12" t="n">
        <x:v>2500</x:v>
      </x:c>
      <x:c r="C15" t="str">
        <x:v>clients</x:v>
      </x:c>
      <x:c r="D15" t="str">
        <x:v>Objectif interne non validé</x:v>
      </x:c>
    </x:row>
    <x:row r="16">
      <x:c r="A16" t="str">
        <x:v>Mois de lancement commercial</x:v>
      </x:c>
      <x:c r="B16" s="12" t="n">
        <x:v>7</x:v>
      </x:c>
      <x:c r="C16" t="str">
        <x:v>mois</x:v>
      </x:c>
      <x:c r="D16" t="str">
        <x:v>Hypothèse ; à confirmer par Malik</x:v>
      </x:c>
    </x:row>
    <x:row r="17">
      <x:c r="A17" t="str">
        <x:v>Budget MVP HT</x:v>
      </x:c>
      <x:c r="B17" s="12" t="n">
        <x:v>77050</x:v>
      </x:c>
      <x:c r="C17" t="str">
        <x:v>EUR</x:v>
      </x:c>
      <x:c r="D17" t="str">
        <x:v>Hypothèse interne non devisée</x:v>
      </x:c>
    </x:row>
    <x:row r="18">
      <x:c r="A18" t="str">
        <x:v>Frais fixes HT M1-M6 / mois</x:v>
      </x:c>
      <x:c r="B18" s="12" t="n">
        <x:v>2500</x:v>
      </x:c>
      <x:c r="C18" t="str">
        <x:v>EUR</x:v>
      </x:c>
      <x:c r="D18" t="str">
        <x:v>Hypothèse interne hors MVP, CAC, coûts variables</x:v>
      </x:c>
    </x:row>
    <x:row r="19">
      <x:c r="A19" t="str">
        <x:v>Frais fixes HT M7-M12 / mois</x:v>
      </x:c>
      <x:c r="B19" s="12" t="n">
        <x:v>5000</x:v>
      </x:c>
      <x:c r="C19" t="str">
        <x:v>EUR</x:v>
      </x:c>
      <x:c r="D19" t="str">
        <x:v>Hypothèse interne hors MVP, CAC, coûts variables</x:v>
      </x:c>
    </x:row>
    <x:row r="20">
      <x:c r="A20" t="str">
        <x:v>Frais fixes HT M13-M24 / mois</x:v>
      </x:c>
      <x:c r="B20" s="12" t="n">
        <x:v>9000</x:v>
      </x:c>
      <x:c r="C20" t="str">
        <x:v>EUR</x:v>
      </x:c>
      <x:c r="D20" t="str">
        <x:v>Hypothèse interne hors fondateurs, CAC, coûts variables</x:v>
      </x:c>
    </x:row>
    <x:row r="21">
      <x:c r="A21" t="str">
        <x:v>Frais fixes HT M25-M36 / mois</x:v>
      </x:c>
      <x:c r="B21" s="12" t="n">
        <x:v>16000</x:v>
      </x:c>
      <x:c r="C21" t="str">
        <x:v>EUR</x:v>
      </x:c>
      <x:c r="D21" t="str">
        <x:v>Hypothèse interne hors fondateurs, CAC, coûts variables</x:v>
      </x:c>
    </x:row>
    <x:row r="22">
      <x:c r="A22" t="str">
        <x:v>Fondateurs chargés M1-M12</x:v>
      </x:c>
      <x:c r="B22" s="12" t="n">
        <x:v>0</x:v>
      </x:c>
      <x:c r="C22" t="str">
        <x:v>EUR / mois</x:v>
      </x:c>
      <x:c r="D22" t="str">
        <x:v>Instruction utilisateur</x:v>
      </x:c>
    </x:row>
    <x:row r="23">
      <x:c r="A23" t="str">
        <x:v>Fondateurs chargés M13-M24</x:v>
      </x:c>
      <x:c r="B23" s="12" t="n">
        <x:v>4500</x:v>
      </x:c>
      <x:c r="C23" t="str">
        <x:v>EUR / mois</x:v>
      </x:c>
      <x:c r="D23" t="str">
        <x:v>Provision non validée</x:v>
      </x:c>
    </x:row>
    <x:row r="24">
      <x:c r="A24" t="str">
        <x:v>Fondateurs chargés M25-M36</x:v>
      </x:c>
      <x:c r="B24" s="12" t="n">
        <x:v>6500</x:v>
      </x:c>
      <x:c r="C24" t="str">
        <x:v>EUR / mois</x:v>
      </x:c>
      <x:c r="D24" t="str">
        <x:v>Provision non validée</x:v>
      </x:c>
    </x:row>
    <x:row r="25">
      <x:c r="A25" t="str">
        <x:v>TVA récupérable sur MVP</x:v>
      </x:c>
      <x:c r="B25" s="14" t="n">
        <x:v>0.75</x:v>
      </x:c>
      <x:c r="C25" t="str">
        <x:v>% des dépenses HT</x:v>
      </x:c>
      <x:c r="D25" t="str">
        <x:v>Hypothèse simplifiée ; ventilation réelle nécessaire</x:v>
      </x:c>
    </x:row>
    <x:row r="26">
      <x:c r="A26" t="str">
        <x:v>TVA récupérable sur frais fixes</x:v>
      </x:c>
      <x:c r="B26" s="14" t="n">
        <x:v>0.5</x:v>
      </x:c>
      <x:c r="C26" t="str">
        <x:v>% des dépenses HT</x:v>
      </x:c>
      <x:c r="D26" t="str">
        <x:v>Hypothèse simplifiée ; ventilation réelle nécessaire</x:v>
      </x:c>
    </x:row>
    <x:row r="27">
      <x:c r="A27" t="str">
        <x:v>TVA récupérable sur coûts variables</x:v>
      </x:c>
      <x:c r="B27" s="14" t="n">
        <x:v>0.5</x:v>
      </x:c>
      <x:c r="C27" t="str">
        <x:v>% des dépenses HT</x:v>
      </x:c>
      <x:c r="D27" t="str">
        <x:v>Hypothèse simplifiée ; ventilation réelle nécessaire</x:v>
      </x:c>
    </x:row>
    <x:row r="28">
      <x:c r="A28" t="str">
        <x:v>TVA récupérable sur CAC</x:v>
      </x:c>
      <x:c r="B28" s="14" t="n">
        <x:v>0.7</x:v>
      </x:c>
      <x:c r="C28" t="str">
        <x:v>% des dépenses HT</x:v>
      </x:c>
      <x:c r="D28" t="str">
        <x:v>Hypothèse simplifiée ; ventilation réelle nécessaire</x:v>
      </x:c>
    </x:row>
    <x:row r="29">
      <x:c r="A29" t="str">
        <x:v>Décalage TVA</x:v>
      </x:c>
      <x:c r="B29" s="12" t="n">
        <x:v>1</x:v>
      </x:c>
      <x:c r="C29" t="str">
        <x:v>mois</x:v>
      </x:c>
      <x:c r="D29" t="str">
        <x:v>Approximation ; calendrier réel selon régime</x:v>
      </x:c>
    </x:row>
    <x:row r="30">
      <x:c r="A30" t="str">
        <x:v>Délai de versement PSP</x:v>
      </x:c>
      <x:c r="B30" s="12" t="n">
        <x:v>0</x:v>
      </x:c>
      <x:c r="C30" t="str">
        <x:v>mois</x:v>
      </x:c>
      <x:c r="D30" t="str">
        <x:v>Hypothèse encaissement même mois ; à confirmer</x:v>
      </x:c>
    </x:row>
    <x:row r="31">
      <x:c r="A31" t="str">
        <x:v>Trésorerie initiale</x:v>
      </x:c>
      <x:c r="B31" s="12" t="n">
        <x:v>0</x:v>
      </x:c>
      <x:c r="C31" t="str">
        <x:v>EUR</x:v>
      </x:c>
      <x:c r="D31" t="str">
        <x:v>Aucun apport confirmé</x:v>
      </x:c>
    </x:row>
    <x:row r="32">
      <x:c r="A32" t="str">
        <x:v>Réserve cible</x:v>
      </x:c>
      <x:c r="B32" s="12" t="n">
        <x:v>40500</x:v>
      </x:c>
      <x:c r="C32" t="str">
        <x:v>EUR</x:v>
      </x:c>
      <x:c r="D32" t="str">
        <x:v>3 mois de charges fixes M13-24 + rémunération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32" hidden="0" customWidth="1"/>
  </x:cols>
  <x:sheetData>
    <x:row r="1" ht="32" customHeight="1">
      <x:c r="A1" s="3" t="str">
        <x:v>SUPER MAJORDOME IA | Trésorerie V3 — 36 mois | € sauf abonnés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</x:row>
    <x:row r="3" ht="35" customHeight="1">
      <x:c r="A3" s="16" t="str">
        <x:v>Mois</x:v>
      </x:c>
      <x:c r="B3" s="16" t="str">
        <x:v>Année</x:v>
      </x:c>
      <x:c r="C3" s="16" t="str">
        <x:v>Actifs début</x:v>
      </x:c>
      <x:c r="D3" s="16" t="str">
        <x:v>Cible actifs fin</x:v>
      </x:c>
      <x:c r="E3" s="16" t="str">
        <x:v>Résiliations</x:v>
      </x:c>
      <x:c r="F3" s="16" t="str">
        <x:v>Nouveaux payants</x:v>
      </x:c>
      <x:c r="G3" s="16" t="str">
        <x:v>Actifs fin</x:v>
      </x:c>
      <x:c r="H3" s="16" t="str">
        <x:v>Facturation TTC</x:v>
      </x:c>
      <x:c r="I3" s="16" t="str">
        <x:v>Impayés TTC</x:v>
      </x:c>
      <x:c r="J3" s="16" t="str">
        <x:v>Encaissement client TTC</x:v>
      </x:c>
      <x:c r="K3" s="16" t="str">
        <x:v>Versement PSP TTC</x:v>
      </x:c>
      <x:c r="L3" s="16" t="str">
        <x:v>CA encaissé HT</x:v>
      </x:c>
      <x:c r="M3" s="16" t="str">
        <x:v>TVA collectée</x:v>
      </x:c>
      <x:c r="N3" s="16" t="str">
        <x:v>Frais paiement HT (approx.)</x:v>
      </x:c>
      <x:c r="O3" s="16" t="str">
        <x:v>Coût variable HT</x:v>
      </x:c>
      <x:c r="P3" s="16" t="str">
        <x:v>CAC HT</x:v>
      </x:c>
      <x:c r="Q3" s="16" t="str">
        <x:v>Frais fixes HT</x:v>
      </x:c>
      <x:c r="R3" s="16" t="str">
        <x:v>Fondateurs (charges)</x:v>
      </x:c>
      <x:c r="S3" s="16" t="str">
        <x:v>MVP HT</x:v>
      </x:c>
      <x:c r="T3" s="16" t="str">
        <x:v>TVA déductible</x:v>
      </x:c>
      <x:c r="U3" s="16" t="str">
        <x:v>TVA crédit reporté</x:v>
      </x:c>
      <x:c r="V3" s="16" t="str">
        <x:v>TVA payée</x:v>
      </x:c>
      <x:c r="W3" s="16" t="str">
        <x:v>Décaissements TTC hors TVA</x:v>
      </x:c>
      <x:c r="X3" s="16" t="str">
        <x:v>Cash net mensuel</x:v>
      </x:c>
      <x:c r="Y3" s="16" t="str">
        <x:v>Cash cumulé avant financement</x:v>
      </x:c>
      <x:c r="Z3" s="16" t="str">
        <x:v>Trésorerie après financement</x:v>
      </x:c>
      <x:c r="AA3" s="16" t="str">
        <x:v>Besoin mensuel de financement</x:v>
      </x:c>
      <x:c r="AB3" s="16" t="str">
        <x:v>Contribution HT</x:v>
      </x:c>
      <x:c r="AC3" s="16" t="str">
        <x:v>Churn effectif</x:v>
      </x:c>
      <x:c r="AD3" s="16" t="str">
        <x:v>CAC mensuel</x:v>
      </x:c>
      <x:c r="AE3" s="16" t="str">
        <x:v>Commentaire</x:v>
      </x:c>
    </x:row>
    <x:row r="4" ht="19" customHeight="1">
      <x:c r="A4" t="n">
        <x:v>1</x:v>
      </x:c>
      <x:c r="B4" t="n">
        <x:f>IF(A4&lt;=12,1,IF(A4&lt;=24,2,3))</x:f>
        <x:v>1</x:v>
      </x:c>
      <x:c r="C4" s="18" t="n">
        <x:f>0</x:f>
        <x:v>0</x:v>
      </x:c>
      <x:c r="D4" s="18" t="n">
        <x:f>IF(A4&lt;Hypotheses!$B$16,0,IF(A4&lt;=12,Hypotheses!$B$13*(A4-Hypotheses!$B$16+1)/(13-Hypotheses!$B$16),IF(A4&lt;=24,Hypotheses!$B$13+(Hypotheses!$B$14-Hypotheses!$B$13)*(A4-12)/12,Hypotheses!$B$14+(Hypotheses!$B$15-Hypotheses!$B$14)*(A4-24)/12)))</x:f>
        <x:v>0</x:v>
      </x:c>
      <x:c r="E4" s="18" t="n">
        <x:f>C4*Hypotheses!$B$11</x:f>
        <x:v>0</x:v>
      </x:c>
      <x:c r="F4" s="18" t="n">
        <x:f>MAX(0,D4-C4+E4)</x:f>
        <x:v>0</x:v>
      </x:c>
      <x:c r="G4" s="18" t="n">
        <x:f>C4-E4+F4</x:f>
        <x:v>0</x:v>
      </x:c>
      <x:c r="H4" s="18" t="n">
        <x:f>G4*Hypotheses!$B$4</x:f>
        <x:v>0</x:v>
      </x:c>
      <x:c r="I4" s="18" t="n">
        <x:f>H4*Hypotheses!$B$10</x:f>
        <x:v>0</x:v>
      </x:c>
      <x:c r="J4" s="18" t="n">
        <x:f>H4-I4</x:f>
        <x:v>0</x:v>
      </x:c>
      <x:c r="K4" s="18" t="n">
        <x:f>IF(Hypotheses!$B$30=0,J4,0)</x:f>
        <x:v>0</x:v>
      </x:c>
      <x:c r="L4" s="18" t="n">
        <x:f>J4/(1+Hypotheses!$B$5)</x:f>
        <x:v>0</x:v>
      </x:c>
      <x:c r="M4" s="18" t="n">
        <x:f>J4-L4</x:f>
        <x:v>0</x:v>
      </x:c>
      <x:c r="N4" s="18" t="n">
        <x:f>J4*(Hypotheses!$B$7+Hypotheses!$B$9)+G4*Hypotheses!$B$8*(1-Hypotheses!$B$10)</x:f>
        <x:v>0</x:v>
      </x:c>
      <x:c r="O4" s="18" t="n">
        <x:f>G4*Hypotheses!$B$6</x:f>
        <x:v>0</x:v>
      </x:c>
      <x:c r="P4" s="18" t="n">
        <x:f>F4*Hypotheses!$B$12</x:f>
        <x:v>0</x:v>
      </x:c>
      <x:c r="Q4" s="18" t="n">
        <x:f>IF(A4&lt;=6,Hypotheses!$B$18,IF(A4&lt;=12,Hypotheses!$B$19,IF(A4&lt;=24,Hypotheses!$B$20,Hypotheses!$B$21)))</x:f>
        <x:v>2500</x:v>
      </x:c>
      <x:c r="R4" s="18" t="n">
        <x:f>IF(A4&lt;=12,Hypotheses!$B$22,IF(A4&lt;=24,Hypotheses!$B$23,Hypotheses!$B$24))</x:f>
        <x:v>0</x:v>
      </x:c>
      <x:c r="S4" s="18" t="n">
        <x:f>IF(A4&lt;=6,Hypotheses!$B$17/6,0)</x:f>
        <x:v>12841.666666666666</x:v>
      </x:c>
      <x:c r="T4" s="18" t="n">
        <x:f>S4*Hypotheses!$B$25*Hypotheses!$B$5+Q4*Hypotheses!$B$26*Hypotheses!$B$5+O4*Hypotheses!$B$27*Hypotheses!$B$5+P4*Hypotheses!$B$28*Hypotheses!$B$5</x:f>
        <x:v>2176.25</x:v>
      </x:c>
      <x:c r="U4" s="18" t="n">
        <x:f>0</x:f>
        <x:v>0</x:v>
      </x:c>
      <x:c r="V4" s="18" t="n">
        <x:f>0</x:f>
        <x:v>0</x:v>
      </x:c>
      <x:c r="W4" s="18" t="n">
        <x:f>N4+O4+P4+Q4+R4+S4+T4</x:f>
        <x:v>17517.916666666664</x:v>
      </x:c>
      <x:c r="X4" s="18" t="n">
        <x:f>K4-W4-V4</x:f>
        <x:v>-17517.916666666664</x:v>
      </x:c>
      <x:c r="Y4" s="18" t="n">
        <x:f>X4+Hypotheses!$B$31</x:f>
        <x:v>-17517.916666666664</x:v>
      </x:c>
      <x:c r="Z4" s="18" t="n">
        <x:f>Y4</x:f>
        <x:v>-17517.916666666664</x:v>
      </x:c>
      <x:c r="AA4" s="18" t="n">
        <x:f>MAX(0,-Y4)</x:f>
        <x:v>17517.916666666664</x:v>
      </x:c>
      <x:c r="AB4" s="18" t="n">
        <x:f>L4-N4-O4</x:f>
        <x:v>0</x:v>
      </x:c>
      <x:c r="AC4" s="20" t="n">
        <x:f>IF(C4=0,0,E4/C4)</x:f>
        <x:v>0</x:v>
      </x:c>
      <x:c r="AD4" s="18" t="n">
        <x:f>P4/MAX(1,F4)</x:f>
        <x:v>0</x:v>
      </x:c>
      <x:c r="AE4" t="str">
        <x:v>MVP / pré-lancement</x:v>
      </x:c>
    </x:row>
    <x:row r="5" ht="19" customHeight="1">
      <x:c r="A5" t="n">
        <x:v>2</x:v>
      </x:c>
      <x:c r="B5" t="n">
        <x:f>IF(A5&lt;=12,1,IF(A5&lt;=24,2,3))</x:f>
        <x:v>1</x:v>
      </x:c>
      <x:c r="C5" s="18" t="n">
        <x:f>G4</x:f>
        <x:v>0</x:v>
      </x:c>
      <x:c r="D5" s="18" t="n">
        <x:f>IF(A5&lt;Hypotheses!$B$16,0,IF(A5&lt;=12,Hypotheses!$B$13*(A5-Hypotheses!$B$16+1)/(13-Hypotheses!$B$16),IF(A5&lt;=24,Hypotheses!$B$13+(Hypotheses!$B$14-Hypotheses!$B$13)*(A5-12)/12,Hypotheses!$B$14+(Hypotheses!$B$15-Hypotheses!$B$14)*(A5-24)/12)))</x:f>
        <x:v>0</x:v>
      </x:c>
      <x:c r="E5" s="18" t="n">
        <x:f>C5*Hypotheses!$B$11</x:f>
        <x:v>0</x:v>
      </x:c>
      <x:c r="F5" s="18" t="n">
        <x:f>MAX(0,D5-C5+E5)</x:f>
        <x:v>0</x:v>
      </x:c>
      <x:c r="G5" s="18" t="n">
        <x:f>C5-E5+F5</x:f>
        <x:v>0</x:v>
      </x:c>
      <x:c r="H5" s="18" t="n">
        <x:f>G5*Hypotheses!$B$4</x:f>
        <x:v>0</x:v>
      </x:c>
      <x:c r="I5" s="18" t="n">
        <x:f>H5*Hypotheses!$B$10</x:f>
        <x:v>0</x:v>
      </x:c>
      <x:c r="J5" s="18" t="n">
        <x:f>H5-I5</x:f>
        <x:v>0</x:v>
      </x:c>
      <x:c r="K5" s="18" t="n">
        <x:f>IF(Hypotheses!$B$30=0,J5,J4)</x:f>
        <x:v>0</x:v>
      </x:c>
      <x:c r="L5" s="18" t="n">
        <x:f>J5/(1+Hypotheses!$B$5)</x:f>
        <x:v>0</x:v>
      </x:c>
      <x:c r="M5" s="18" t="n">
        <x:f>J5-L5</x:f>
        <x:v>0</x:v>
      </x:c>
      <x:c r="N5" s="18" t="n">
        <x:f>J5*(Hypotheses!$B$7+Hypotheses!$B$9)+G5*Hypotheses!$B$8*(1-Hypotheses!$B$10)</x:f>
        <x:v>0</x:v>
      </x:c>
      <x:c r="O5" s="18" t="n">
        <x:f>G5*Hypotheses!$B$6</x:f>
        <x:v>0</x:v>
      </x:c>
      <x:c r="P5" s="18" t="n">
        <x:f>F5*Hypotheses!$B$12</x:f>
        <x:v>0</x:v>
      </x:c>
      <x:c r="Q5" s="18" t="n">
        <x:f>IF(A5&lt;=6,Hypotheses!$B$18,IF(A5&lt;=12,Hypotheses!$B$19,IF(A5&lt;=24,Hypotheses!$B$20,Hypotheses!$B$21)))</x:f>
        <x:v>2500</x:v>
      </x:c>
      <x:c r="R5" s="18" t="n">
        <x:f>IF(A5&lt;=12,Hypotheses!$B$22,IF(A5&lt;=24,Hypotheses!$B$23,Hypotheses!$B$24))</x:f>
        <x:v>0</x:v>
      </x:c>
      <x:c r="S5" s="18" t="n">
        <x:f>IF(A5&lt;=6,Hypotheses!$B$17/6,0)</x:f>
        <x:v>12841.666666666666</x:v>
      </x:c>
      <x:c r="T5" s="18" t="n">
        <x:f>S5*Hypotheses!$B$25*Hypotheses!$B$5+Q5*Hypotheses!$B$26*Hypotheses!$B$5+O5*Hypotheses!$B$27*Hypotheses!$B$5+P5*Hypotheses!$B$28*Hypotheses!$B$5</x:f>
        <x:v>2176.25</x:v>
      </x:c>
      <x:c r="U5" s="18" t="n">
        <x:f>MAX(0,U4+T4-M4)</x:f>
        <x:v>2176.25</x:v>
      </x:c>
      <x:c r="V5" s="18" t="n">
        <x:f>MAX(0,M4-T4-U4)</x:f>
        <x:v>0</x:v>
      </x:c>
      <x:c r="W5" s="18" t="n">
        <x:f>N5+O5+P5+Q5+R5+S5+T5</x:f>
        <x:v>17517.916666666664</x:v>
      </x:c>
      <x:c r="X5" s="18" t="n">
        <x:f>K5-W5-V5</x:f>
        <x:v>-17517.916666666664</x:v>
      </x:c>
      <x:c r="Y5" s="18" t="n">
        <x:f>Y4+X5</x:f>
        <x:v>-35035.83333333333</x:v>
      </x:c>
      <x:c r="Z5" s="18" t="n">
        <x:f>Y5</x:f>
        <x:v>-35035.83333333333</x:v>
      </x:c>
      <x:c r="AA5" s="18" t="n">
        <x:f>MAX(0,-Y5)</x:f>
        <x:v>35035.83333333333</x:v>
      </x:c>
      <x:c r="AB5" s="18" t="n">
        <x:f>L5-N5-O5</x:f>
        <x:v>0</x:v>
      </x:c>
      <x:c r="AC5" s="20" t="n">
        <x:f>IF(C5=0,0,E5/C5)</x:f>
        <x:v>0</x:v>
      </x:c>
      <x:c r="AD5" s="18" t="n">
        <x:f>P5/MAX(1,F5)</x:f>
        <x:v>0</x:v>
      </x:c>
      <x:c r="AE5" t="str">
        <x:v>MVP / pré-lancement</x:v>
      </x:c>
    </x:row>
    <x:row r="6" ht="19" customHeight="1">
      <x:c r="A6" t="n">
        <x:v>3</x:v>
      </x:c>
      <x:c r="B6" t="n">
        <x:f>IF(A6&lt;=12,1,IF(A6&lt;=24,2,3))</x:f>
        <x:v>1</x:v>
      </x:c>
      <x:c r="C6" s="18" t="n">
        <x:f>G5</x:f>
        <x:v>0</x:v>
      </x:c>
      <x:c r="D6" s="18" t="n">
        <x:f>IF(A6&lt;Hypotheses!$B$16,0,IF(A6&lt;=12,Hypotheses!$B$13*(A6-Hypotheses!$B$16+1)/(13-Hypotheses!$B$16),IF(A6&lt;=24,Hypotheses!$B$13+(Hypotheses!$B$14-Hypotheses!$B$13)*(A6-12)/12,Hypotheses!$B$14+(Hypotheses!$B$15-Hypotheses!$B$14)*(A6-24)/12)))</x:f>
        <x:v>0</x:v>
      </x:c>
      <x:c r="E6" s="18" t="n">
        <x:f>C6*Hypotheses!$B$11</x:f>
        <x:v>0</x:v>
      </x:c>
      <x:c r="F6" s="18" t="n">
        <x:f>MAX(0,D6-C6+E6)</x:f>
        <x:v>0</x:v>
      </x:c>
      <x:c r="G6" s="18" t="n">
        <x:f>C6-E6+F6</x:f>
        <x:v>0</x:v>
      </x:c>
      <x:c r="H6" s="18" t="n">
        <x:f>G6*Hypotheses!$B$4</x:f>
        <x:v>0</x:v>
      </x:c>
      <x:c r="I6" s="18" t="n">
        <x:f>H6*Hypotheses!$B$10</x:f>
        <x:v>0</x:v>
      </x:c>
      <x:c r="J6" s="18" t="n">
        <x:f>H6-I6</x:f>
        <x:v>0</x:v>
      </x:c>
      <x:c r="K6" s="18" t="n">
        <x:f>IF(Hypotheses!$B$30=0,J6,J5)</x:f>
        <x:v>0</x:v>
      </x:c>
      <x:c r="L6" s="18" t="n">
        <x:f>J6/(1+Hypotheses!$B$5)</x:f>
        <x:v>0</x:v>
      </x:c>
      <x:c r="M6" s="18" t="n">
        <x:f>J6-L6</x:f>
        <x:v>0</x:v>
      </x:c>
      <x:c r="N6" s="18" t="n">
        <x:f>J6*(Hypotheses!$B$7+Hypotheses!$B$9)+G6*Hypotheses!$B$8*(1-Hypotheses!$B$10)</x:f>
        <x:v>0</x:v>
      </x:c>
      <x:c r="O6" s="18" t="n">
        <x:f>G6*Hypotheses!$B$6</x:f>
        <x:v>0</x:v>
      </x:c>
      <x:c r="P6" s="18" t="n">
        <x:f>F6*Hypotheses!$B$12</x:f>
        <x:v>0</x:v>
      </x:c>
      <x:c r="Q6" s="18" t="n">
        <x:f>IF(A6&lt;=6,Hypotheses!$B$18,IF(A6&lt;=12,Hypotheses!$B$19,IF(A6&lt;=24,Hypotheses!$B$20,Hypotheses!$B$21)))</x:f>
        <x:v>2500</x:v>
      </x:c>
      <x:c r="R6" s="18" t="n">
        <x:f>IF(A6&lt;=12,Hypotheses!$B$22,IF(A6&lt;=24,Hypotheses!$B$23,Hypotheses!$B$24))</x:f>
        <x:v>0</x:v>
      </x:c>
      <x:c r="S6" s="18" t="n">
        <x:f>IF(A6&lt;=6,Hypotheses!$B$17/6,0)</x:f>
        <x:v>12841.666666666666</x:v>
      </x:c>
      <x:c r="T6" s="18" t="n">
        <x:f>S6*Hypotheses!$B$25*Hypotheses!$B$5+Q6*Hypotheses!$B$26*Hypotheses!$B$5+O6*Hypotheses!$B$27*Hypotheses!$B$5+P6*Hypotheses!$B$28*Hypotheses!$B$5</x:f>
        <x:v>2176.25</x:v>
      </x:c>
      <x:c r="U6" s="18" t="n">
        <x:f>MAX(0,U5+T5-M5)</x:f>
        <x:v>4352.5</x:v>
      </x:c>
      <x:c r="V6" s="18" t="n">
        <x:f>MAX(0,M5-T5-U5)</x:f>
        <x:v>0</x:v>
      </x:c>
      <x:c r="W6" s="18" t="n">
        <x:f>N6+O6+P6+Q6+R6+S6+T6</x:f>
        <x:v>17517.916666666664</x:v>
      </x:c>
      <x:c r="X6" s="18" t="n">
        <x:f>K6-W6-V6</x:f>
        <x:v>-17517.916666666664</x:v>
      </x:c>
      <x:c r="Y6" s="18" t="n">
        <x:f>Y5+X6</x:f>
        <x:v>-52553.74999999999</x:v>
      </x:c>
      <x:c r="Z6" s="18" t="n">
        <x:f>Y6</x:f>
        <x:v>-52553.74999999999</x:v>
      </x:c>
      <x:c r="AA6" s="18" t="n">
        <x:f>MAX(0,-Y6)</x:f>
        <x:v>52553.74999999999</x:v>
      </x:c>
      <x:c r="AB6" s="18" t="n">
        <x:f>L6-N6-O6</x:f>
        <x:v>0</x:v>
      </x:c>
      <x:c r="AC6" s="20" t="n">
        <x:f>IF(C6=0,0,E6/C6)</x:f>
        <x:v>0</x:v>
      </x:c>
      <x:c r="AD6" s="18" t="n">
        <x:f>P6/MAX(1,F6)</x:f>
        <x:v>0</x:v>
      </x:c>
      <x:c r="AE6" t="str">
        <x:v>MVP / pré-lancement</x:v>
      </x:c>
    </x:row>
    <x:row r="7" ht="19" customHeight="1">
      <x:c r="A7" t="n">
        <x:v>4</x:v>
      </x:c>
      <x:c r="B7" t="n">
        <x:f>IF(A7&lt;=12,1,IF(A7&lt;=24,2,3))</x:f>
        <x:v>1</x:v>
      </x:c>
      <x:c r="C7" s="18" t="n">
        <x:f>G6</x:f>
        <x:v>0</x:v>
      </x:c>
      <x:c r="D7" s="18" t="n">
        <x:f>IF(A7&lt;Hypotheses!$B$16,0,IF(A7&lt;=12,Hypotheses!$B$13*(A7-Hypotheses!$B$16+1)/(13-Hypotheses!$B$16),IF(A7&lt;=24,Hypotheses!$B$13+(Hypotheses!$B$14-Hypotheses!$B$13)*(A7-12)/12,Hypotheses!$B$14+(Hypotheses!$B$15-Hypotheses!$B$14)*(A7-24)/12)))</x:f>
        <x:v>0</x:v>
      </x:c>
      <x:c r="E7" s="18" t="n">
        <x:f>C7*Hypotheses!$B$11</x:f>
        <x:v>0</x:v>
      </x:c>
      <x:c r="F7" s="18" t="n">
        <x:f>MAX(0,D7-C7+E7)</x:f>
        <x:v>0</x:v>
      </x:c>
      <x:c r="G7" s="18" t="n">
        <x:f>C7-E7+F7</x:f>
        <x:v>0</x:v>
      </x:c>
      <x:c r="H7" s="18" t="n">
        <x:f>G7*Hypotheses!$B$4</x:f>
        <x:v>0</x:v>
      </x:c>
      <x:c r="I7" s="18" t="n">
        <x:f>H7*Hypotheses!$B$10</x:f>
        <x:v>0</x:v>
      </x:c>
      <x:c r="J7" s="18" t="n">
        <x:f>H7-I7</x:f>
        <x:v>0</x:v>
      </x:c>
      <x:c r="K7" s="18" t="n">
        <x:f>IF(Hypotheses!$B$30=0,J7,J6)</x:f>
        <x:v>0</x:v>
      </x:c>
      <x:c r="L7" s="18" t="n">
        <x:f>J7/(1+Hypotheses!$B$5)</x:f>
        <x:v>0</x:v>
      </x:c>
      <x:c r="M7" s="18" t="n">
        <x:f>J7-L7</x:f>
        <x:v>0</x:v>
      </x:c>
      <x:c r="N7" s="18" t="n">
        <x:f>J7*(Hypotheses!$B$7+Hypotheses!$B$9)+G7*Hypotheses!$B$8*(1-Hypotheses!$B$10)</x:f>
        <x:v>0</x:v>
      </x:c>
      <x:c r="O7" s="18" t="n">
        <x:f>G7*Hypotheses!$B$6</x:f>
        <x:v>0</x:v>
      </x:c>
      <x:c r="P7" s="18" t="n">
        <x:f>F7*Hypotheses!$B$12</x:f>
        <x:v>0</x:v>
      </x:c>
      <x:c r="Q7" s="18" t="n">
        <x:f>IF(A7&lt;=6,Hypotheses!$B$18,IF(A7&lt;=12,Hypotheses!$B$19,IF(A7&lt;=24,Hypotheses!$B$20,Hypotheses!$B$21)))</x:f>
        <x:v>2500</x:v>
      </x:c>
      <x:c r="R7" s="18" t="n">
        <x:f>IF(A7&lt;=12,Hypotheses!$B$22,IF(A7&lt;=24,Hypotheses!$B$23,Hypotheses!$B$24))</x:f>
        <x:v>0</x:v>
      </x:c>
      <x:c r="S7" s="18" t="n">
        <x:f>IF(A7&lt;=6,Hypotheses!$B$17/6,0)</x:f>
        <x:v>12841.666666666666</x:v>
      </x:c>
      <x:c r="T7" s="18" t="n">
        <x:f>S7*Hypotheses!$B$25*Hypotheses!$B$5+Q7*Hypotheses!$B$26*Hypotheses!$B$5+O7*Hypotheses!$B$27*Hypotheses!$B$5+P7*Hypotheses!$B$28*Hypotheses!$B$5</x:f>
        <x:v>2176.25</x:v>
      </x:c>
      <x:c r="U7" s="18" t="n">
        <x:f>MAX(0,U6+T6-M6)</x:f>
        <x:v>6528.75</x:v>
      </x:c>
      <x:c r="V7" s="18" t="n">
        <x:f>MAX(0,M6-T6-U6)</x:f>
        <x:v>0</x:v>
      </x:c>
      <x:c r="W7" s="18" t="n">
        <x:f>N7+O7+P7+Q7+R7+S7+T7</x:f>
        <x:v>17517.916666666664</x:v>
      </x:c>
      <x:c r="X7" s="18" t="n">
        <x:f>K7-W7-V7</x:f>
        <x:v>-17517.916666666664</x:v>
      </x:c>
      <x:c r="Y7" s="18" t="n">
        <x:f>Y6+X7</x:f>
        <x:v>-70071.66666666666</x:v>
      </x:c>
      <x:c r="Z7" s="18" t="n">
        <x:f>Y7</x:f>
        <x:v>-70071.66666666666</x:v>
      </x:c>
      <x:c r="AA7" s="18" t="n">
        <x:f>MAX(0,-Y7)</x:f>
        <x:v>70071.66666666666</x:v>
      </x:c>
      <x:c r="AB7" s="18" t="n">
        <x:f>L7-N7-O7</x:f>
        <x:v>0</x:v>
      </x:c>
      <x:c r="AC7" s="20" t="n">
        <x:f>IF(C7=0,0,E7/C7)</x:f>
        <x:v>0</x:v>
      </x:c>
      <x:c r="AD7" s="18" t="n">
        <x:f>P7/MAX(1,F7)</x:f>
        <x:v>0</x:v>
      </x:c>
      <x:c r="AE7" t="str">
        <x:v>MVP / pré-lancement</x:v>
      </x:c>
    </x:row>
    <x:row r="8" ht="19" customHeight="1">
      <x:c r="A8" t="n">
        <x:v>5</x:v>
      </x:c>
      <x:c r="B8" t="n">
        <x:f>IF(A8&lt;=12,1,IF(A8&lt;=24,2,3))</x:f>
        <x:v>1</x:v>
      </x:c>
      <x:c r="C8" s="18" t="n">
        <x:f>G7</x:f>
        <x:v>0</x:v>
      </x:c>
      <x:c r="D8" s="18" t="n">
        <x:f>IF(A8&lt;Hypotheses!$B$16,0,IF(A8&lt;=12,Hypotheses!$B$13*(A8-Hypotheses!$B$16+1)/(13-Hypotheses!$B$16),IF(A8&lt;=24,Hypotheses!$B$13+(Hypotheses!$B$14-Hypotheses!$B$13)*(A8-12)/12,Hypotheses!$B$14+(Hypotheses!$B$15-Hypotheses!$B$14)*(A8-24)/12)))</x:f>
        <x:v>0</x:v>
      </x:c>
      <x:c r="E8" s="18" t="n">
        <x:f>C8*Hypotheses!$B$11</x:f>
        <x:v>0</x:v>
      </x:c>
      <x:c r="F8" s="18" t="n">
        <x:f>MAX(0,D8-C8+E8)</x:f>
        <x:v>0</x:v>
      </x:c>
      <x:c r="G8" s="18" t="n">
        <x:f>C8-E8+F8</x:f>
        <x:v>0</x:v>
      </x:c>
      <x:c r="H8" s="18" t="n">
        <x:f>G8*Hypotheses!$B$4</x:f>
        <x:v>0</x:v>
      </x:c>
      <x:c r="I8" s="18" t="n">
        <x:f>H8*Hypotheses!$B$10</x:f>
        <x:v>0</x:v>
      </x:c>
      <x:c r="J8" s="18" t="n">
        <x:f>H8-I8</x:f>
        <x:v>0</x:v>
      </x:c>
      <x:c r="K8" s="18" t="n">
        <x:f>IF(Hypotheses!$B$30=0,J8,J7)</x:f>
        <x:v>0</x:v>
      </x:c>
      <x:c r="L8" s="18" t="n">
        <x:f>J8/(1+Hypotheses!$B$5)</x:f>
        <x:v>0</x:v>
      </x:c>
      <x:c r="M8" s="18" t="n">
        <x:f>J8-L8</x:f>
        <x:v>0</x:v>
      </x:c>
      <x:c r="N8" s="18" t="n">
        <x:f>J8*(Hypotheses!$B$7+Hypotheses!$B$9)+G8*Hypotheses!$B$8*(1-Hypotheses!$B$10)</x:f>
        <x:v>0</x:v>
      </x:c>
      <x:c r="O8" s="18" t="n">
        <x:f>G8*Hypotheses!$B$6</x:f>
        <x:v>0</x:v>
      </x:c>
      <x:c r="P8" s="18" t="n">
        <x:f>F8*Hypotheses!$B$12</x:f>
        <x:v>0</x:v>
      </x:c>
      <x:c r="Q8" s="18" t="n">
        <x:f>IF(A8&lt;=6,Hypotheses!$B$18,IF(A8&lt;=12,Hypotheses!$B$19,IF(A8&lt;=24,Hypotheses!$B$20,Hypotheses!$B$21)))</x:f>
        <x:v>2500</x:v>
      </x:c>
      <x:c r="R8" s="18" t="n">
        <x:f>IF(A8&lt;=12,Hypotheses!$B$22,IF(A8&lt;=24,Hypotheses!$B$23,Hypotheses!$B$24))</x:f>
        <x:v>0</x:v>
      </x:c>
      <x:c r="S8" s="18" t="n">
        <x:f>IF(A8&lt;=6,Hypotheses!$B$17/6,0)</x:f>
        <x:v>12841.666666666666</x:v>
      </x:c>
      <x:c r="T8" s="18" t="n">
        <x:f>S8*Hypotheses!$B$25*Hypotheses!$B$5+Q8*Hypotheses!$B$26*Hypotheses!$B$5+O8*Hypotheses!$B$27*Hypotheses!$B$5+P8*Hypotheses!$B$28*Hypotheses!$B$5</x:f>
        <x:v>2176.25</x:v>
      </x:c>
      <x:c r="U8" s="18" t="n">
        <x:f>MAX(0,U7+T7-M7)</x:f>
        <x:v>8705</x:v>
      </x:c>
      <x:c r="V8" s="18" t="n">
        <x:f>MAX(0,M7-T7-U7)</x:f>
        <x:v>0</x:v>
      </x:c>
      <x:c r="W8" s="18" t="n">
        <x:f>N8+O8+P8+Q8+R8+S8+T8</x:f>
        <x:v>17517.916666666664</x:v>
      </x:c>
      <x:c r="X8" s="18" t="n">
        <x:f>K8-W8-V8</x:f>
        <x:v>-17517.916666666664</x:v>
      </x:c>
      <x:c r="Y8" s="18" t="n">
        <x:f>Y7+X8</x:f>
        <x:v>-87589.58333333331</x:v>
      </x:c>
      <x:c r="Z8" s="18" t="n">
        <x:f>Y8</x:f>
        <x:v>-87589.58333333331</x:v>
      </x:c>
      <x:c r="AA8" s="18" t="n">
        <x:f>MAX(0,-Y8)</x:f>
        <x:v>87589.58333333331</x:v>
      </x:c>
      <x:c r="AB8" s="18" t="n">
        <x:f>L8-N8-O8</x:f>
        <x:v>0</x:v>
      </x:c>
      <x:c r="AC8" s="20" t="n">
        <x:f>IF(C8=0,0,E8/C8)</x:f>
        <x:v>0</x:v>
      </x:c>
      <x:c r="AD8" s="18" t="n">
        <x:f>P8/MAX(1,F8)</x:f>
        <x:v>0</x:v>
      </x:c>
      <x:c r="AE8" t="str">
        <x:v>MVP / pré-lancement</x:v>
      </x:c>
    </x:row>
    <x:row r="9" ht="19" customHeight="1">
      <x:c r="A9" t="n">
        <x:v>6</x:v>
      </x:c>
      <x:c r="B9" t="n">
        <x:f>IF(A9&lt;=12,1,IF(A9&lt;=24,2,3))</x:f>
        <x:v>1</x:v>
      </x:c>
      <x:c r="C9" s="18" t="n">
        <x:f>G8</x:f>
        <x:v>0</x:v>
      </x:c>
      <x:c r="D9" s="18" t="n">
        <x:f>IF(A9&lt;Hypotheses!$B$16,0,IF(A9&lt;=12,Hypotheses!$B$13*(A9-Hypotheses!$B$16+1)/(13-Hypotheses!$B$16),IF(A9&lt;=24,Hypotheses!$B$13+(Hypotheses!$B$14-Hypotheses!$B$13)*(A9-12)/12,Hypotheses!$B$14+(Hypotheses!$B$15-Hypotheses!$B$14)*(A9-24)/12)))</x:f>
        <x:v>0</x:v>
      </x:c>
      <x:c r="E9" s="18" t="n">
        <x:f>C9*Hypotheses!$B$11</x:f>
        <x:v>0</x:v>
      </x:c>
      <x:c r="F9" s="18" t="n">
        <x:f>MAX(0,D9-C9+E9)</x:f>
        <x:v>0</x:v>
      </x:c>
      <x:c r="G9" s="18" t="n">
        <x:f>C9-E9+F9</x:f>
        <x:v>0</x:v>
      </x:c>
      <x:c r="H9" s="18" t="n">
        <x:f>G9*Hypotheses!$B$4</x:f>
        <x:v>0</x:v>
      </x:c>
      <x:c r="I9" s="18" t="n">
        <x:f>H9*Hypotheses!$B$10</x:f>
        <x:v>0</x:v>
      </x:c>
      <x:c r="J9" s="18" t="n">
        <x:f>H9-I9</x:f>
        <x:v>0</x:v>
      </x:c>
      <x:c r="K9" s="18" t="n">
        <x:f>IF(Hypotheses!$B$30=0,J9,J8)</x:f>
        <x:v>0</x:v>
      </x:c>
      <x:c r="L9" s="18" t="n">
        <x:f>J9/(1+Hypotheses!$B$5)</x:f>
        <x:v>0</x:v>
      </x:c>
      <x:c r="M9" s="18" t="n">
        <x:f>J9-L9</x:f>
        <x:v>0</x:v>
      </x:c>
      <x:c r="N9" s="18" t="n">
        <x:f>J9*(Hypotheses!$B$7+Hypotheses!$B$9)+G9*Hypotheses!$B$8*(1-Hypotheses!$B$10)</x:f>
        <x:v>0</x:v>
      </x:c>
      <x:c r="O9" s="18" t="n">
        <x:f>G9*Hypotheses!$B$6</x:f>
        <x:v>0</x:v>
      </x:c>
      <x:c r="P9" s="18" t="n">
        <x:f>F9*Hypotheses!$B$12</x:f>
        <x:v>0</x:v>
      </x:c>
      <x:c r="Q9" s="18" t="n">
        <x:f>IF(A9&lt;=6,Hypotheses!$B$18,IF(A9&lt;=12,Hypotheses!$B$19,IF(A9&lt;=24,Hypotheses!$B$20,Hypotheses!$B$21)))</x:f>
        <x:v>2500</x:v>
      </x:c>
      <x:c r="R9" s="18" t="n">
        <x:f>IF(A9&lt;=12,Hypotheses!$B$22,IF(A9&lt;=24,Hypotheses!$B$23,Hypotheses!$B$24))</x:f>
        <x:v>0</x:v>
      </x:c>
      <x:c r="S9" s="18" t="n">
        <x:f>IF(A9&lt;=6,Hypotheses!$B$17/6,0)</x:f>
        <x:v>12841.666666666666</x:v>
      </x:c>
      <x:c r="T9" s="18" t="n">
        <x:f>S9*Hypotheses!$B$25*Hypotheses!$B$5+Q9*Hypotheses!$B$26*Hypotheses!$B$5+O9*Hypotheses!$B$27*Hypotheses!$B$5+P9*Hypotheses!$B$28*Hypotheses!$B$5</x:f>
        <x:v>2176.25</x:v>
      </x:c>
      <x:c r="U9" s="18" t="n">
        <x:f>MAX(0,U8+T8-M8)</x:f>
        <x:v>10881.25</x:v>
      </x:c>
      <x:c r="V9" s="18" t="n">
        <x:f>MAX(0,M8-T8-U8)</x:f>
        <x:v>0</x:v>
      </x:c>
      <x:c r="W9" s="18" t="n">
        <x:f>N9+O9+P9+Q9+R9+S9+T9</x:f>
        <x:v>17517.916666666664</x:v>
      </x:c>
      <x:c r="X9" s="18" t="n">
        <x:f>K9-W9-V9</x:f>
        <x:v>-17517.916666666664</x:v>
      </x:c>
      <x:c r="Y9" s="18" t="n">
        <x:f>Y8+X9</x:f>
        <x:v>-105107.49999999997</x:v>
      </x:c>
      <x:c r="Z9" s="18" t="n">
        <x:f>Y9</x:f>
        <x:v>-105107.49999999997</x:v>
      </x:c>
      <x:c r="AA9" s="18" t="n">
        <x:f>MAX(0,-Y9)</x:f>
        <x:v>105107.49999999997</x:v>
      </x:c>
      <x:c r="AB9" s="18" t="n">
        <x:f>L9-N9-O9</x:f>
        <x:v>0</x:v>
      </x:c>
      <x:c r="AC9" s="20" t="n">
        <x:f>IF(C9=0,0,E9/C9)</x:f>
        <x:v>0</x:v>
      </x:c>
      <x:c r="AD9" s="18" t="n">
        <x:f>P9/MAX(1,F9)</x:f>
        <x:v>0</x:v>
      </x:c>
      <x:c r="AE9" t="str">
        <x:v>MVP / pré-lancement</x:v>
      </x:c>
    </x:row>
    <x:row r="10" ht="19" customHeight="1">
      <x:c r="A10" t="n">
        <x:v>7</x:v>
      </x:c>
      <x:c r="B10" t="n">
        <x:f>IF(A10&lt;=12,1,IF(A10&lt;=24,2,3))</x:f>
        <x:v>1</x:v>
      </x:c>
      <x:c r="C10" s="18" t="n">
        <x:f>G9</x:f>
        <x:v>0</x:v>
      </x:c>
      <x:c r="D10" s="18" t="n">
        <x:f>IF(A10&lt;Hypotheses!$B$16,0,IF(A10&lt;=12,Hypotheses!$B$13*(A10-Hypotheses!$B$16+1)/(13-Hypotheses!$B$16),IF(A10&lt;=24,Hypotheses!$B$13+(Hypotheses!$B$14-Hypotheses!$B$13)*(A10-12)/12,Hypotheses!$B$14+(Hypotheses!$B$15-Hypotheses!$B$14)*(A10-24)/12)))</x:f>
        <x:v>25</x:v>
      </x:c>
      <x:c r="E10" s="18" t="n">
        <x:f>C10*Hypotheses!$B$11</x:f>
        <x:v>0</x:v>
      </x:c>
      <x:c r="F10" s="18" t="n">
        <x:f>MAX(0,D10-C10+E10)</x:f>
        <x:v>25</x:v>
      </x:c>
      <x:c r="G10" s="18" t="n">
        <x:f>C10-E10+F10</x:f>
        <x:v>25</x:v>
      </x:c>
      <x:c r="H10" s="18" t="n">
        <x:f>G10*Hypotheses!$B$4</x:f>
        <x:v>1975</x:v>
      </x:c>
      <x:c r="I10" s="18" t="n">
        <x:f>H10*Hypotheses!$B$10</x:f>
        <x:v>19.75</x:v>
      </x:c>
      <x:c r="J10" s="18" t="n">
        <x:f>H10-I10</x:f>
        <x:v>1955.25</x:v>
      </x:c>
      <x:c r="K10" s="18" t="n">
        <x:f>IF(Hypotheses!$B$30=0,J10,J9)</x:f>
        <x:v>1955.25</x:v>
      </x:c>
      <x:c r="L10" s="18" t="n">
        <x:f>J10/(1+Hypotheses!$B$5)</x:f>
        <x:v>1629.375</x:v>
      </x:c>
      <x:c r="M10" s="18" t="n">
        <x:f>J10-L10</x:f>
        <x:v>325.875</x:v>
      </x:c>
      <x:c r="N10" s="18" t="n">
        <x:f>J10*(Hypotheses!$B$7+Hypotheses!$B$9)+G10*Hypotheses!$B$8*(1-Hypotheses!$B$10)</x:f>
        <x:v>49.202999999999996</x:v>
      </x:c>
      <x:c r="O10" s="18" t="n">
        <x:f>G10*Hypotheses!$B$6</x:f>
        <x:v>450</x:v>
      </x:c>
      <x:c r="P10" s="18" t="n">
        <x:f>F10*Hypotheses!$B$12</x:f>
        <x:v>3750</x:v>
      </x:c>
      <x:c r="Q10" s="18" t="n">
        <x:f>IF(A10&lt;=6,Hypotheses!$B$18,IF(A10&lt;=12,Hypotheses!$B$19,IF(A10&lt;=24,Hypotheses!$B$20,Hypotheses!$B$21)))</x:f>
        <x:v>5000</x:v>
      </x:c>
      <x:c r="R10" s="18" t="n">
        <x:f>IF(A10&lt;=12,Hypotheses!$B$22,IF(A10&lt;=24,Hypotheses!$B$23,Hypotheses!$B$24))</x:f>
        <x:v>0</x:v>
      </x:c>
      <x:c r="S10" s="18" t="n">
        <x:f>IF(A10&lt;=6,Hypotheses!$B$17/6,0)</x:f>
        <x:v>0</x:v>
      </x:c>
      <x:c r="T10" s="18" t="n">
        <x:f>S10*Hypotheses!$B$25*Hypotheses!$B$5+Q10*Hypotheses!$B$26*Hypotheses!$B$5+O10*Hypotheses!$B$27*Hypotheses!$B$5+P10*Hypotheses!$B$28*Hypotheses!$B$5</x:f>
        <x:v>1070</x:v>
      </x:c>
      <x:c r="U10" s="18" t="n">
        <x:f>MAX(0,U9+T9-M9)</x:f>
        <x:v>13057.5</x:v>
      </x:c>
      <x:c r="V10" s="18" t="n">
        <x:f>MAX(0,M9-T9-U9)</x:f>
        <x:v>0</x:v>
      </x:c>
      <x:c r="W10" s="18" t="n">
        <x:f>N10+O10+P10+Q10+R10+S10+T10</x:f>
        <x:v>10319.203</x:v>
      </x:c>
      <x:c r="X10" s="18" t="n">
        <x:f>K10-W10-V10</x:f>
        <x:v>-8363.953</x:v>
      </x:c>
      <x:c r="Y10" s="18" t="n">
        <x:f>Y9+X10</x:f>
        <x:v>-113471.45299999996</x:v>
      </x:c>
      <x:c r="Z10" s="18" t="n">
        <x:f>Y10</x:f>
        <x:v>-113471.45299999996</x:v>
      </x:c>
      <x:c r="AA10" s="18" t="n">
        <x:f>MAX(0,-Y10)</x:f>
        <x:v>113471.45299999996</x:v>
      </x:c>
      <x:c r="AB10" s="18" t="n">
        <x:f>L10-N10-O10</x:f>
        <x:v>1130.172</x:v>
      </x:c>
      <x:c r="AC10" s="20" t="n">
        <x:f>IF(C10=0,0,E10/C10)</x:f>
        <x:v>0</x:v>
      </x:c>
      <x:c r="AD10" s="18" t="n">
        <x:f>P10/MAX(1,F10)</x:f>
        <x:v>150</x:v>
      </x:c>
      <x:c r="AE10" t="str">
        <x:v>Commercialisation</x:v>
      </x:c>
    </x:row>
    <x:row r="11" ht="19" customHeight="1">
      <x:c r="A11" t="n">
        <x:v>8</x:v>
      </x:c>
      <x:c r="B11" t="n">
        <x:f>IF(A11&lt;=12,1,IF(A11&lt;=24,2,3))</x:f>
        <x:v>1</x:v>
      </x:c>
      <x:c r="C11" s="18" t="n">
        <x:f>G10</x:f>
        <x:v>25</x:v>
      </x:c>
      <x:c r="D11" s="18" t="n">
        <x:f>IF(A11&lt;Hypotheses!$B$16,0,IF(A11&lt;=12,Hypotheses!$B$13*(A11-Hypotheses!$B$16+1)/(13-Hypotheses!$B$16),IF(A11&lt;=24,Hypotheses!$B$13+(Hypotheses!$B$14-Hypotheses!$B$13)*(A11-12)/12,Hypotheses!$B$14+(Hypotheses!$B$15-Hypotheses!$B$14)*(A11-24)/12)))</x:f>
        <x:v>50</x:v>
      </x:c>
      <x:c r="E11" s="18" t="n">
        <x:f>C11*Hypotheses!$B$11</x:f>
        <x:v>0.75</x:v>
      </x:c>
      <x:c r="F11" s="18" t="n">
        <x:f>MAX(0,D11-C11+E11)</x:f>
        <x:v>25.75</x:v>
      </x:c>
      <x:c r="G11" s="18" t="n">
        <x:f>C11-E11+F11</x:f>
        <x:v>50</x:v>
      </x:c>
      <x:c r="H11" s="18" t="n">
        <x:f>G11*Hypotheses!$B$4</x:f>
        <x:v>3950</x:v>
      </x:c>
      <x:c r="I11" s="18" t="n">
        <x:f>H11*Hypotheses!$B$10</x:f>
        <x:v>39.5</x:v>
      </x:c>
      <x:c r="J11" s="18" t="n">
        <x:f>H11-I11</x:f>
        <x:v>3910.5</x:v>
      </x:c>
      <x:c r="K11" s="18" t="n">
        <x:f>IF(Hypotheses!$B$30=0,J11,J10)</x:f>
        <x:v>3910.5</x:v>
      </x:c>
      <x:c r="L11" s="18" t="n">
        <x:f>J11/(1+Hypotheses!$B$5)</x:f>
        <x:v>3258.75</x:v>
      </x:c>
      <x:c r="M11" s="18" t="n">
        <x:f>J11-L11</x:f>
        <x:v>651.75</x:v>
      </x:c>
      <x:c r="N11" s="18" t="n">
        <x:f>J11*(Hypotheses!$B$7+Hypotheses!$B$9)+G11*Hypotheses!$B$8*(1-Hypotheses!$B$10)</x:f>
        <x:v>98.40599999999999</x:v>
      </x:c>
      <x:c r="O11" s="18" t="n">
        <x:f>G11*Hypotheses!$B$6</x:f>
        <x:v>900</x:v>
      </x:c>
      <x:c r="P11" s="18" t="n">
        <x:f>F11*Hypotheses!$B$12</x:f>
        <x:v>3862.5</x:v>
      </x:c>
      <x:c r="Q11" s="18" t="n">
        <x:f>IF(A11&lt;=6,Hypotheses!$B$18,IF(A11&lt;=12,Hypotheses!$B$19,IF(A11&lt;=24,Hypotheses!$B$20,Hypotheses!$B$21)))</x:f>
        <x:v>5000</x:v>
      </x:c>
      <x:c r="R11" s="18" t="n">
        <x:f>IF(A11&lt;=12,Hypotheses!$B$22,IF(A11&lt;=24,Hypotheses!$B$23,Hypotheses!$B$24))</x:f>
        <x:v>0</x:v>
      </x:c>
      <x:c r="S11" s="18" t="n">
        <x:f>IF(A11&lt;=6,Hypotheses!$B$17/6,0)</x:f>
        <x:v>0</x:v>
      </x:c>
      <x:c r="T11" s="18" t="n">
        <x:f>S11*Hypotheses!$B$25*Hypotheses!$B$5+Q11*Hypotheses!$B$26*Hypotheses!$B$5+O11*Hypotheses!$B$27*Hypotheses!$B$5+P11*Hypotheses!$B$28*Hypotheses!$B$5</x:f>
        <x:v>1130.75</x:v>
      </x:c>
      <x:c r="U11" s="18" t="n">
        <x:f>MAX(0,U10+T10-M10)</x:f>
        <x:v>13801.625</x:v>
      </x:c>
      <x:c r="V11" s="18" t="n">
        <x:f>MAX(0,M10-T10-U10)</x:f>
        <x:v>0</x:v>
      </x:c>
      <x:c r="W11" s="18" t="n">
        <x:f>N11+O11+P11+Q11+R11+S11+T11</x:f>
        <x:v>10991.655999999999</x:v>
      </x:c>
      <x:c r="X11" s="18" t="n">
        <x:f>K11-W11-V11</x:f>
        <x:v>-7081.155999999999</x:v>
      </x:c>
      <x:c r="Y11" s="18" t="n">
        <x:f>Y10+X11</x:f>
        <x:v>-120552.60899999997</x:v>
      </x:c>
      <x:c r="Z11" s="18" t="n">
        <x:f>Y11</x:f>
        <x:v>-120552.60899999997</x:v>
      </x:c>
      <x:c r="AA11" s="18" t="n">
        <x:f>MAX(0,-Y11)</x:f>
        <x:v>120552.60899999997</x:v>
      </x:c>
      <x:c r="AB11" s="18" t="n">
        <x:f>L11-N11-O11</x:f>
        <x:v>2260.344</x:v>
      </x:c>
      <x:c r="AC11" s="20" t="n">
        <x:f>IF(C11=0,0,E11/C11)</x:f>
        <x:v>0.03</x:v>
      </x:c>
      <x:c r="AD11" s="18" t="n">
        <x:f>P11/MAX(1,F11)</x:f>
        <x:v>150</x:v>
      </x:c>
      <x:c r="AE11" t="str">
        <x:v>Commercialisation</x:v>
      </x:c>
    </x:row>
    <x:row r="12" ht="19" customHeight="1">
      <x:c r="A12" t="n">
        <x:v>9</x:v>
      </x:c>
      <x:c r="B12" t="n">
        <x:f>IF(A12&lt;=12,1,IF(A12&lt;=24,2,3))</x:f>
        <x:v>1</x:v>
      </x:c>
      <x:c r="C12" s="18" t="n">
        <x:f>G11</x:f>
        <x:v>50</x:v>
      </x:c>
      <x:c r="D12" s="18" t="n">
        <x:f>IF(A12&lt;Hypotheses!$B$16,0,IF(A12&lt;=12,Hypotheses!$B$13*(A12-Hypotheses!$B$16+1)/(13-Hypotheses!$B$16),IF(A12&lt;=24,Hypotheses!$B$13+(Hypotheses!$B$14-Hypotheses!$B$13)*(A12-12)/12,Hypotheses!$B$14+(Hypotheses!$B$15-Hypotheses!$B$14)*(A12-24)/12)))</x:f>
        <x:v>75</x:v>
      </x:c>
      <x:c r="E12" s="18" t="n">
        <x:f>C12*Hypotheses!$B$11</x:f>
        <x:v>1.5</x:v>
      </x:c>
      <x:c r="F12" s="18" t="n">
        <x:f>MAX(0,D12-C12+E12)</x:f>
        <x:v>26.5</x:v>
      </x:c>
      <x:c r="G12" s="18" t="n">
        <x:f>C12-E12+F12</x:f>
        <x:v>75</x:v>
      </x:c>
      <x:c r="H12" s="18" t="n">
        <x:f>G12*Hypotheses!$B$4</x:f>
        <x:v>5925</x:v>
      </x:c>
      <x:c r="I12" s="18" t="n">
        <x:f>H12*Hypotheses!$B$10</x:f>
        <x:v>59.25</x:v>
      </x:c>
      <x:c r="J12" s="18" t="n">
        <x:f>H12-I12</x:f>
        <x:v>5865.75</x:v>
      </x:c>
      <x:c r="K12" s="18" t="n">
        <x:f>IF(Hypotheses!$B$30=0,J12,J11)</x:f>
        <x:v>5865.75</x:v>
      </x:c>
      <x:c r="L12" s="18" t="n">
        <x:f>J12/(1+Hypotheses!$B$5)</x:f>
        <x:v>4888.125</x:v>
      </x:c>
      <x:c r="M12" s="18" t="n">
        <x:f>J12-L12</x:f>
        <x:v>977.625</x:v>
      </x:c>
      <x:c r="N12" s="18" t="n">
        <x:f>J12*(Hypotheses!$B$7+Hypotheses!$B$9)+G12*Hypotheses!$B$8*(1-Hypotheses!$B$10)</x:f>
        <x:v>147.60899999999998</x:v>
      </x:c>
      <x:c r="O12" s="18" t="n">
        <x:f>G12*Hypotheses!$B$6</x:f>
        <x:v>1350</x:v>
      </x:c>
      <x:c r="P12" s="18" t="n">
        <x:f>F12*Hypotheses!$B$12</x:f>
        <x:v>3975</x:v>
      </x:c>
      <x:c r="Q12" s="18" t="n">
        <x:f>IF(A12&lt;=6,Hypotheses!$B$18,IF(A12&lt;=12,Hypotheses!$B$19,IF(A12&lt;=24,Hypotheses!$B$20,Hypotheses!$B$21)))</x:f>
        <x:v>5000</x:v>
      </x:c>
      <x:c r="R12" s="18" t="n">
        <x:f>IF(A12&lt;=12,Hypotheses!$B$22,IF(A12&lt;=24,Hypotheses!$B$23,Hypotheses!$B$24))</x:f>
        <x:v>0</x:v>
      </x:c>
      <x:c r="S12" s="18" t="n">
        <x:f>IF(A12&lt;=6,Hypotheses!$B$17/6,0)</x:f>
        <x:v>0</x:v>
      </x:c>
      <x:c r="T12" s="18" t="n">
        <x:f>S12*Hypotheses!$B$25*Hypotheses!$B$5+Q12*Hypotheses!$B$26*Hypotheses!$B$5+O12*Hypotheses!$B$27*Hypotheses!$B$5+P12*Hypotheses!$B$28*Hypotheses!$B$5</x:f>
        <x:v>1191.5</x:v>
      </x:c>
      <x:c r="U12" s="18" t="n">
        <x:f>MAX(0,U11+T11-M11)</x:f>
        <x:v>14280.625</x:v>
      </x:c>
      <x:c r="V12" s="18" t="n">
        <x:f>MAX(0,M11-T11-U11)</x:f>
        <x:v>0</x:v>
      </x:c>
      <x:c r="W12" s="18" t="n">
        <x:f>N12+O12+P12+Q12+R12+S12+T12</x:f>
        <x:v>11664.109</x:v>
      </x:c>
      <x:c r="X12" s="18" t="n">
        <x:f>K12-W12-V12</x:f>
        <x:v>-5798.359</x:v>
      </x:c>
      <x:c r="Y12" s="18" t="n">
        <x:f>Y11+X12</x:f>
        <x:v>-126350.96799999996</x:v>
      </x:c>
      <x:c r="Z12" s="18" t="n">
        <x:f>Y12</x:f>
        <x:v>-126350.96799999996</x:v>
      </x:c>
      <x:c r="AA12" s="18" t="n">
        <x:f>MAX(0,-Y12)</x:f>
        <x:v>126350.96799999996</x:v>
      </x:c>
      <x:c r="AB12" s="18" t="n">
        <x:f>L12-N12-O12</x:f>
        <x:v>3390.5159999999996</x:v>
      </x:c>
      <x:c r="AC12" s="20" t="n">
        <x:f>IF(C12=0,0,E12/C12)</x:f>
        <x:v>0.03</x:v>
      </x:c>
      <x:c r="AD12" s="18" t="n">
        <x:f>P12/MAX(1,F12)</x:f>
        <x:v>150</x:v>
      </x:c>
      <x:c r="AE12" t="str">
        <x:v>Commercialisation</x:v>
      </x:c>
    </x:row>
    <x:row r="13" ht="19" customHeight="1">
      <x:c r="A13" t="n">
        <x:v>10</x:v>
      </x:c>
      <x:c r="B13" t="n">
        <x:f>IF(A13&lt;=12,1,IF(A13&lt;=24,2,3))</x:f>
        <x:v>1</x:v>
      </x:c>
      <x:c r="C13" s="18" t="n">
        <x:f>G12</x:f>
        <x:v>75</x:v>
      </x:c>
      <x:c r="D13" s="18" t="n">
        <x:f>IF(A13&lt;Hypotheses!$B$16,0,IF(A13&lt;=12,Hypotheses!$B$13*(A13-Hypotheses!$B$16+1)/(13-Hypotheses!$B$16),IF(A13&lt;=24,Hypotheses!$B$13+(Hypotheses!$B$14-Hypotheses!$B$13)*(A13-12)/12,Hypotheses!$B$14+(Hypotheses!$B$15-Hypotheses!$B$14)*(A13-24)/12)))</x:f>
        <x:v>100</x:v>
      </x:c>
      <x:c r="E13" s="18" t="n">
        <x:f>C13*Hypotheses!$B$11</x:f>
        <x:v>2.25</x:v>
      </x:c>
      <x:c r="F13" s="18" t="n">
        <x:f>MAX(0,D13-C13+E13)</x:f>
        <x:v>27.25</x:v>
      </x:c>
      <x:c r="G13" s="18" t="n">
        <x:f>C13-E13+F13</x:f>
        <x:v>100</x:v>
      </x:c>
      <x:c r="H13" s="18" t="n">
        <x:f>G13*Hypotheses!$B$4</x:f>
        <x:v>7900</x:v>
      </x:c>
      <x:c r="I13" s="18" t="n">
        <x:f>H13*Hypotheses!$B$10</x:f>
        <x:v>79</x:v>
      </x:c>
      <x:c r="J13" s="18" t="n">
        <x:f>H13-I13</x:f>
        <x:v>7821</x:v>
      </x:c>
      <x:c r="K13" s="18" t="n">
        <x:f>IF(Hypotheses!$B$30=0,J13,J12)</x:f>
        <x:v>7821</x:v>
      </x:c>
      <x:c r="L13" s="18" t="n">
        <x:f>J13/(1+Hypotheses!$B$5)</x:f>
        <x:v>6517.5</x:v>
      </x:c>
      <x:c r="M13" s="18" t="n">
        <x:f>J13-L13</x:f>
        <x:v>1303.5</x:v>
      </x:c>
      <x:c r="N13" s="18" t="n">
        <x:f>J13*(Hypotheses!$B$7+Hypotheses!$B$9)+G13*Hypotheses!$B$8*(1-Hypotheses!$B$10)</x:f>
        <x:v>196.81199999999998</x:v>
      </x:c>
      <x:c r="O13" s="18" t="n">
        <x:f>G13*Hypotheses!$B$6</x:f>
        <x:v>1800</x:v>
      </x:c>
      <x:c r="P13" s="18" t="n">
        <x:f>F13*Hypotheses!$B$12</x:f>
        <x:v>4087.5</x:v>
      </x:c>
      <x:c r="Q13" s="18" t="n">
        <x:f>IF(A13&lt;=6,Hypotheses!$B$18,IF(A13&lt;=12,Hypotheses!$B$19,IF(A13&lt;=24,Hypotheses!$B$20,Hypotheses!$B$21)))</x:f>
        <x:v>5000</x:v>
      </x:c>
      <x:c r="R13" s="18" t="n">
        <x:f>IF(A13&lt;=12,Hypotheses!$B$22,IF(A13&lt;=24,Hypotheses!$B$23,Hypotheses!$B$24))</x:f>
        <x:v>0</x:v>
      </x:c>
      <x:c r="S13" s="18" t="n">
        <x:f>IF(A13&lt;=6,Hypotheses!$B$17/6,0)</x:f>
        <x:v>0</x:v>
      </x:c>
      <x:c r="T13" s="18" t="n">
        <x:f>S13*Hypotheses!$B$25*Hypotheses!$B$5+Q13*Hypotheses!$B$26*Hypotheses!$B$5+O13*Hypotheses!$B$27*Hypotheses!$B$5+P13*Hypotheses!$B$28*Hypotheses!$B$5</x:f>
        <x:v>1252.25</x:v>
      </x:c>
      <x:c r="U13" s="18" t="n">
        <x:f>MAX(0,U12+T12-M12)</x:f>
        <x:v>14494.5</x:v>
      </x:c>
      <x:c r="V13" s="18" t="n">
        <x:f>MAX(0,M12-T12-U12)</x:f>
        <x:v>0</x:v>
      </x:c>
      <x:c r="W13" s="18" t="n">
        <x:f>N13+O13+P13+Q13+R13+S13+T13</x:f>
        <x:v>12336.562</x:v>
      </x:c>
      <x:c r="X13" s="18" t="n">
        <x:f>K13-W13-V13</x:f>
        <x:v>-4515.562</x:v>
      </x:c>
      <x:c r="Y13" s="18" t="n">
        <x:f>Y12+X13</x:f>
        <x:v>-130866.52999999997</x:v>
      </x:c>
      <x:c r="Z13" s="18" t="n">
        <x:f>Y13</x:f>
        <x:v>-130866.52999999997</x:v>
      </x:c>
      <x:c r="AA13" s="18" t="n">
        <x:f>MAX(0,-Y13)</x:f>
        <x:v>130866.52999999997</x:v>
      </x:c>
      <x:c r="AB13" s="18" t="n">
        <x:f>L13-N13-O13</x:f>
        <x:v>4520.688</x:v>
      </x:c>
      <x:c r="AC13" s="20" t="n">
        <x:f>IF(C13=0,0,E13/C13)</x:f>
        <x:v>0.03</x:v>
      </x:c>
      <x:c r="AD13" s="18" t="n">
        <x:f>P13/MAX(1,F13)</x:f>
        <x:v>150</x:v>
      </x:c>
      <x:c r="AE13" t="str">
        <x:v>Commercialisation</x:v>
      </x:c>
    </x:row>
    <x:row r="14" ht="19" customHeight="1">
      <x:c r="A14" t="n">
        <x:v>11</x:v>
      </x:c>
      <x:c r="B14" t="n">
        <x:f>IF(A14&lt;=12,1,IF(A14&lt;=24,2,3))</x:f>
        <x:v>1</x:v>
      </x:c>
      <x:c r="C14" s="18" t="n">
        <x:f>G13</x:f>
        <x:v>100</x:v>
      </x:c>
      <x:c r="D14" s="18" t="n">
        <x:f>IF(A14&lt;Hypotheses!$B$16,0,IF(A14&lt;=12,Hypotheses!$B$13*(A14-Hypotheses!$B$16+1)/(13-Hypotheses!$B$16),IF(A14&lt;=24,Hypotheses!$B$13+(Hypotheses!$B$14-Hypotheses!$B$13)*(A14-12)/12,Hypotheses!$B$14+(Hypotheses!$B$15-Hypotheses!$B$14)*(A14-24)/12)))</x:f>
        <x:v>125</x:v>
      </x:c>
      <x:c r="E14" s="18" t="n">
        <x:f>C14*Hypotheses!$B$11</x:f>
        <x:v>3</x:v>
      </x:c>
      <x:c r="F14" s="18" t="n">
        <x:f>MAX(0,D14-C14+E14)</x:f>
        <x:v>28</x:v>
      </x:c>
      <x:c r="G14" s="18" t="n">
        <x:f>C14-E14+F14</x:f>
        <x:v>125</x:v>
      </x:c>
      <x:c r="H14" s="18" t="n">
        <x:f>G14*Hypotheses!$B$4</x:f>
        <x:v>9875</x:v>
      </x:c>
      <x:c r="I14" s="18" t="n">
        <x:f>H14*Hypotheses!$B$10</x:f>
        <x:v>98.75</x:v>
      </x:c>
      <x:c r="J14" s="18" t="n">
        <x:f>H14-I14</x:f>
        <x:v>9776.25</x:v>
      </x:c>
      <x:c r="K14" s="18" t="n">
        <x:f>IF(Hypotheses!$B$30=0,J14,J13)</x:f>
        <x:v>9776.25</x:v>
      </x:c>
      <x:c r="L14" s="18" t="n">
        <x:f>J14/(1+Hypotheses!$B$5)</x:f>
        <x:v>8146.875</x:v>
      </x:c>
      <x:c r="M14" s="18" t="n">
        <x:f>J14-L14</x:f>
        <x:v>1629.375</x:v>
      </x:c>
      <x:c r="N14" s="18" t="n">
        <x:f>J14*(Hypotheses!$B$7+Hypotheses!$B$9)+G14*Hypotheses!$B$8*(1-Hypotheses!$B$10)</x:f>
        <x:v>246.015</x:v>
      </x:c>
      <x:c r="O14" s="18" t="n">
        <x:f>G14*Hypotheses!$B$6</x:f>
        <x:v>2250</x:v>
      </x:c>
      <x:c r="P14" s="18" t="n">
        <x:f>F14*Hypotheses!$B$12</x:f>
        <x:v>4200</x:v>
      </x:c>
      <x:c r="Q14" s="18" t="n">
        <x:f>IF(A14&lt;=6,Hypotheses!$B$18,IF(A14&lt;=12,Hypotheses!$B$19,IF(A14&lt;=24,Hypotheses!$B$20,Hypotheses!$B$21)))</x:f>
        <x:v>5000</x:v>
      </x:c>
      <x:c r="R14" s="18" t="n">
        <x:f>IF(A14&lt;=12,Hypotheses!$B$22,IF(A14&lt;=24,Hypotheses!$B$23,Hypotheses!$B$24))</x:f>
        <x:v>0</x:v>
      </x:c>
      <x:c r="S14" s="18" t="n">
        <x:f>IF(A14&lt;=6,Hypotheses!$B$17/6,0)</x:f>
        <x:v>0</x:v>
      </x:c>
      <x:c r="T14" s="18" t="n">
        <x:f>S14*Hypotheses!$B$25*Hypotheses!$B$5+Q14*Hypotheses!$B$26*Hypotheses!$B$5+O14*Hypotheses!$B$27*Hypotheses!$B$5+P14*Hypotheses!$B$28*Hypotheses!$B$5</x:f>
        <x:v>1313</x:v>
      </x:c>
      <x:c r="U14" s="18" t="n">
        <x:f>MAX(0,U13+T13-M13)</x:f>
        <x:v>14443.25</x:v>
      </x:c>
      <x:c r="V14" s="18" t="n">
        <x:f>MAX(0,M13-T13-U13)</x:f>
        <x:v>0</x:v>
      </x:c>
      <x:c r="W14" s="18" t="n">
        <x:f>N14+O14+P14+Q14+R14+S14+T14</x:f>
        <x:v>13009.015</x:v>
      </x:c>
      <x:c r="X14" s="18" t="n">
        <x:f>K14-W14-V14</x:f>
        <x:v>-3232.7649999999994</x:v>
      </x:c>
      <x:c r="Y14" s="18" t="n">
        <x:f>Y13+X14</x:f>
        <x:v>-134099.29499999998</x:v>
      </x:c>
      <x:c r="Z14" s="18" t="n">
        <x:f>Y14</x:f>
        <x:v>-134099.29499999998</x:v>
      </x:c>
      <x:c r="AA14" s="18" t="n">
        <x:f>MAX(0,-Y14)</x:f>
        <x:v>134099.29499999998</x:v>
      </x:c>
      <x:c r="AB14" s="18" t="n">
        <x:f>L14-N14-O14</x:f>
        <x:v>5650.86</x:v>
      </x:c>
      <x:c r="AC14" s="20" t="n">
        <x:f>IF(C14=0,0,E14/C14)</x:f>
        <x:v>0.03</x:v>
      </x:c>
      <x:c r="AD14" s="18" t="n">
        <x:f>P14/MAX(1,F14)</x:f>
        <x:v>150</x:v>
      </x:c>
      <x:c r="AE14" t="str">
        <x:v>Commercialisation</x:v>
      </x:c>
    </x:row>
    <x:row r="15" ht="19" customHeight="1">
      <x:c r="A15" t="n">
        <x:v>12</x:v>
      </x:c>
      <x:c r="B15" t="n">
        <x:f>IF(A15&lt;=12,1,IF(A15&lt;=24,2,3))</x:f>
        <x:v>1</x:v>
      </x:c>
      <x:c r="C15" s="18" t="n">
        <x:f>G14</x:f>
        <x:v>125</x:v>
      </x:c>
      <x:c r="D15" s="18" t="n">
        <x:f>IF(A15&lt;Hypotheses!$B$16,0,IF(A15&lt;=12,Hypotheses!$B$13*(A15-Hypotheses!$B$16+1)/(13-Hypotheses!$B$16),IF(A15&lt;=24,Hypotheses!$B$13+(Hypotheses!$B$14-Hypotheses!$B$13)*(A15-12)/12,Hypotheses!$B$14+(Hypotheses!$B$15-Hypotheses!$B$14)*(A15-24)/12)))</x:f>
        <x:v>150</x:v>
      </x:c>
      <x:c r="E15" s="18" t="n">
        <x:f>C15*Hypotheses!$B$11</x:f>
        <x:v>3.75</x:v>
      </x:c>
      <x:c r="F15" s="18" t="n">
        <x:f>MAX(0,D15-C15+E15)</x:f>
        <x:v>28.75</x:v>
      </x:c>
      <x:c r="G15" s="18" t="n">
        <x:f>C15-E15+F15</x:f>
        <x:v>150</x:v>
      </x:c>
      <x:c r="H15" s="18" t="n">
        <x:f>G15*Hypotheses!$B$4</x:f>
        <x:v>11850</x:v>
      </x:c>
      <x:c r="I15" s="18" t="n">
        <x:f>H15*Hypotheses!$B$10</x:f>
        <x:v>118.5</x:v>
      </x:c>
      <x:c r="J15" s="18" t="n">
        <x:f>H15-I15</x:f>
        <x:v>11731.5</x:v>
      </x:c>
      <x:c r="K15" s="18" t="n">
        <x:f>IF(Hypotheses!$B$30=0,J15,J14)</x:f>
        <x:v>11731.5</x:v>
      </x:c>
      <x:c r="L15" s="18" t="n">
        <x:f>J15/(1+Hypotheses!$B$5)</x:f>
        <x:v>9776.25</x:v>
      </x:c>
      <x:c r="M15" s="18" t="n">
        <x:f>J15-L15</x:f>
        <x:v>1955.25</x:v>
      </x:c>
      <x:c r="N15" s="18" t="n">
        <x:f>J15*(Hypotheses!$B$7+Hypotheses!$B$9)+G15*Hypotheses!$B$8*(1-Hypotheses!$B$10)</x:f>
        <x:v>295.21799999999996</x:v>
      </x:c>
      <x:c r="O15" s="18" t="n">
        <x:f>G15*Hypotheses!$B$6</x:f>
        <x:v>2700</x:v>
      </x:c>
      <x:c r="P15" s="18" t="n">
        <x:f>F15*Hypotheses!$B$12</x:f>
        <x:v>4312.5</x:v>
      </x:c>
      <x:c r="Q15" s="18" t="n">
        <x:f>IF(A15&lt;=6,Hypotheses!$B$18,IF(A15&lt;=12,Hypotheses!$B$19,IF(A15&lt;=24,Hypotheses!$B$20,Hypotheses!$B$21)))</x:f>
        <x:v>5000</x:v>
      </x:c>
      <x:c r="R15" s="18" t="n">
        <x:f>IF(A15&lt;=12,Hypotheses!$B$22,IF(A15&lt;=24,Hypotheses!$B$23,Hypotheses!$B$24))</x:f>
        <x:v>0</x:v>
      </x:c>
      <x:c r="S15" s="18" t="n">
        <x:f>IF(A15&lt;=6,Hypotheses!$B$17/6,0)</x:f>
        <x:v>0</x:v>
      </x:c>
      <x:c r="T15" s="18" t="n">
        <x:f>S15*Hypotheses!$B$25*Hypotheses!$B$5+Q15*Hypotheses!$B$26*Hypotheses!$B$5+O15*Hypotheses!$B$27*Hypotheses!$B$5+P15*Hypotheses!$B$28*Hypotheses!$B$5</x:f>
        <x:v>1373.75</x:v>
      </x:c>
      <x:c r="U15" s="18" t="n">
        <x:f>MAX(0,U14+T14-M14)</x:f>
        <x:v>14126.875</x:v>
      </x:c>
      <x:c r="V15" s="18" t="n">
        <x:f>MAX(0,M14-T14-U14)</x:f>
        <x:v>0</x:v>
      </x:c>
      <x:c r="W15" s="18" t="n">
        <x:f>N15+O15+P15+Q15+R15+S15+T15</x:f>
        <x:v>13681.468</x:v>
      </x:c>
      <x:c r="X15" s="18" t="n">
        <x:f>K15-W15-V15</x:f>
        <x:v>-1949.9680000000008</x:v>
      </x:c>
      <x:c r="Y15" s="18" t="n">
        <x:f>Y14+X15</x:f>
        <x:v>-136049.26299999998</x:v>
      </x:c>
      <x:c r="Z15" s="18" t="n">
        <x:f>Y15</x:f>
        <x:v>-136049.26299999998</x:v>
      </x:c>
      <x:c r="AA15" s="18" t="n">
        <x:f>MAX(0,-Y15)</x:f>
        <x:v>136049.26299999998</x:v>
      </x:c>
      <x:c r="AB15" s="18" t="n">
        <x:f>L15-N15-O15</x:f>
        <x:v>6781.031999999999</x:v>
      </x:c>
      <x:c r="AC15" s="20" t="n">
        <x:f>IF(C15=0,0,E15/C15)</x:f>
        <x:v>0.03</x:v>
      </x:c>
      <x:c r="AD15" s="18" t="n">
        <x:f>P15/MAX(1,F15)</x:f>
        <x:v>150</x:v>
      </x:c>
      <x:c r="AE15" t="str">
        <x:v>Commercialisation</x:v>
      </x:c>
    </x:row>
    <x:row r="16" ht="19" customHeight="1">
      <x:c r="A16" t="n">
        <x:v>13</x:v>
      </x:c>
      <x:c r="B16" t="n">
        <x:f>IF(A16&lt;=12,1,IF(A16&lt;=24,2,3))</x:f>
        <x:v>2</x:v>
      </x:c>
      <x:c r="C16" s="18" t="n">
        <x:f>G15</x:f>
        <x:v>150</x:v>
      </x:c>
      <x:c r="D16" s="18" t="n">
        <x:f>IF(A16&lt;Hypotheses!$B$16,0,IF(A16&lt;=12,Hypotheses!$B$13*(A16-Hypotheses!$B$16+1)/(13-Hypotheses!$B$16),IF(A16&lt;=24,Hypotheses!$B$13+(Hypotheses!$B$14-Hypotheses!$B$13)*(A16-12)/12,Hypotheses!$B$14+(Hypotheses!$B$15-Hypotheses!$B$14)*(A16-24)/12)))</x:f>
        <x:v>204.16666666666666</x:v>
      </x:c>
      <x:c r="E16" s="18" t="n">
        <x:f>C16*Hypotheses!$B$11</x:f>
        <x:v>4.5</x:v>
      </x:c>
      <x:c r="F16" s="18" t="n">
        <x:f>MAX(0,D16-C16+E16)</x:f>
        <x:v>58.66666666666666</x:v>
      </x:c>
      <x:c r="G16" s="18" t="n">
        <x:f>C16-E16+F16</x:f>
        <x:v>204.16666666666666</x:v>
      </x:c>
      <x:c r="H16" s="18" t="n">
        <x:f>G16*Hypotheses!$B$4</x:f>
        <x:v>16129.166666666666</x:v>
      </x:c>
      <x:c r="I16" s="18" t="n">
        <x:f>H16*Hypotheses!$B$10</x:f>
        <x:v>161.29166666666666</x:v>
      </x:c>
      <x:c r="J16" s="18" t="n">
        <x:f>H16-I16</x:f>
        <x:v>15967.875</x:v>
      </x:c>
      <x:c r="K16" s="18" t="n">
        <x:f>IF(Hypotheses!$B$30=0,J16,J15)</x:f>
        <x:v>15967.875</x:v>
      </x:c>
      <x:c r="L16" s="18" t="n">
        <x:f>J16/(1+Hypotheses!$B$5)</x:f>
        <x:v>13306.5625</x:v>
      </x:c>
      <x:c r="M16" s="18" t="n">
        <x:f>J16-L16</x:f>
        <x:v>2661.3125</x:v>
      </x:c>
      <x:c r="N16" s="18" t="n">
        <x:f>J16*(Hypotheses!$B$7+Hypotheses!$B$9)+G16*Hypotheses!$B$8*(1-Hypotheses!$B$10)</x:f>
        <x:v>401.8245</x:v>
      </x:c>
      <x:c r="O16" s="18" t="n">
        <x:f>G16*Hypotheses!$B$6</x:f>
        <x:v>3675</x:v>
      </x:c>
      <x:c r="P16" s="18" t="n">
        <x:f>F16*Hypotheses!$B$12</x:f>
        <x:v>8799.999999999998</x:v>
      </x:c>
      <x:c r="Q16" s="18" t="n">
        <x:f>IF(A16&lt;=6,Hypotheses!$B$18,IF(A16&lt;=12,Hypotheses!$B$19,IF(A16&lt;=24,Hypotheses!$B$20,Hypotheses!$B$21)))</x:f>
        <x:v>9000</x:v>
      </x:c>
      <x:c r="R16" s="18" t="n">
        <x:f>IF(A16&lt;=12,Hypotheses!$B$22,IF(A16&lt;=24,Hypotheses!$B$23,Hypotheses!$B$24))</x:f>
        <x:v>4500</x:v>
      </x:c>
      <x:c r="S16" s="18" t="n">
        <x:f>IF(A16&lt;=6,Hypotheses!$B$17/6,0)</x:f>
        <x:v>0</x:v>
      </x:c>
      <x:c r="T16" s="18" t="n">
        <x:f>S16*Hypotheses!$B$25*Hypotheses!$B$5+Q16*Hypotheses!$B$26*Hypotheses!$B$5+O16*Hypotheses!$B$27*Hypotheses!$B$5+P16*Hypotheses!$B$28*Hypotheses!$B$5</x:f>
        <x:v>2499.5</x:v>
      </x:c>
      <x:c r="U16" s="18" t="n">
        <x:f>MAX(0,U15+T15-M15)</x:f>
        <x:v>13545.375</x:v>
      </x:c>
      <x:c r="V16" s="18" t="n">
        <x:f>MAX(0,M15-T15-U15)</x:f>
        <x:v>0</x:v>
      </x:c>
      <x:c r="W16" s="18" t="n">
        <x:f>N16+O16+P16+Q16+R16+S16+T16</x:f>
        <x:v>28876.3245</x:v>
      </x:c>
      <x:c r="X16" s="18" t="n">
        <x:f>K16-W16-V16</x:f>
        <x:v>-12908.449499999999</x:v>
      </x:c>
      <x:c r="Y16" s="18" t="n">
        <x:f>Y15+X16</x:f>
        <x:v>-148957.71249999997</x:v>
      </x:c>
      <x:c r="Z16" s="18" t="n">
        <x:f>Y16</x:f>
        <x:v>-148957.71249999997</x:v>
      </x:c>
      <x:c r="AA16" s="18" t="n">
        <x:f>MAX(0,-Y16)</x:f>
        <x:v>148957.71249999997</x:v>
      </x:c>
      <x:c r="AB16" s="18" t="n">
        <x:f>L16-N16-O16</x:f>
        <x:v>9229.738</x:v>
      </x:c>
      <x:c r="AC16" s="20" t="n">
        <x:f>IF(C16=0,0,E16/C16)</x:f>
        <x:v>0.03</x:v>
      </x:c>
      <x:c r="AD16" s="18" t="n">
        <x:f>P16/MAX(1,F16)</x:f>
        <x:v>150</x:v>
      </x:c>
      <x:c r="AE16" t="str">
        <x:v>Croissance</x:v>
      </x:c>
    </x:row>
    <x:row r="17" ht="19" customHeight="1">
      <x:c r="A17" t="n">
        <x:v>14</x:v>
      </x:c>
      <x:c r="B17" t="n">
        <x:f>IF(A17&lt;=12,1,IF(A17&lt;=24,2,3))</x:f>
        <x:v>2</x:v>
      </x:c>
      <x:c r="C17" s="18" t="n">
        <x:f>G16</x:f>
        <x:v>204.16666666666666</x:v>
      </x:c>
      <x:c r="D17" s="18" t="n">
        <x:f>IF(A17&lt;Hypotheses!$B$16,0,IF(A17&lt;=12,Hypotheses!$B$13*(A17-Hypotheses!$B$16+1)/(13-Hypotheses!$B$16),IF(A17&lt;=24,Hypotheses!$B$13+(Hypotheses!$B$14-Hypotheses!$B$13)*(A17-12)/12,Hypotheses!$B$14+(Hypotheses!$B$15-Hypotheses!$B$14)*(A17-24)/12)))</x:f>
        <x:v>258.3333333333333</x:v>
      </x:c>
      <x:c r="E17" s="18" t="n">
        <x:f>C17*Hypotheses!$B$11</x:f>
        <x:v>6.124999999999999</x:v>
      </x:c>
      <x:c r="F17" s="18" t="n">
        <x:f>MAX(0,D17-C17+E17)</x:f>
        <x:v>60.29166666666666</x:v>
      </x:c>
      <x:c r="G17" s="18" t="n">
        <x:f>C17-E17+F17</x:f>
        <x:v>258.3333333333333</x:v>
      </x:c>
      <x:c r="H17" s="18" t="n">
        <x:f>G17*Hypotheses!$B$4</x:f>
        <x:v>20408.333333333332</x:v>
      </x:c>
      <x:c r="I17" s="18" t="n">
        <x:f>H17*Hypotheses!$B$10</x:f>
        <x:v>204.08333333333331</x:v>
      </x:c>
      <x:c r="J17" s="18" t="n">
        <x:f>H17-I17</x:f>
        <x:v>20204.25</x:v>
      </x:c>
      <x:c r="K17" s="18" t="n">
        <x:f>IF(Hypotheses!$B$30=0,J17,J16)</x:f>
        <x:v>20204.25</x:v>
      </x:c>
      <x:c r="L17" s="18" t="n">
        <x:f>J17/(1+Hypotheses!$B$5)</x:f>
        <x:v>16836.875</x:v>
      </x:c>
      <x:c r="M17" s="18" t="n">
        <x:f>J17-L17</x:f>
        <x:v>3367.375</x:v>
      </x:c>
      <x:c r="N17" s="18" t="n">
        <x:f>J17*(Hypotheses!$B$7+Hypotheses!$B$9)+G17*Hypotheses!$B$8*(1-Hypotheses!$B$10)</x:f>
        <x:v>508.431</x:v>
      </x:c>
      <x:c r="O17" s="18" t="n">
        <x:f>G17*Hypotheses!$B$6</x:f>
        <x:v>4650</x:v>
      </x:c>
      <x:c r="P17" s="18" t="n">
        <x:f>F17*Hypotheses!$B$12</x:f>
        <x:v>9043.749999999998</x:v>
      </x:c>
      <x:c r="Q17" s="18" t="n">
        <x:f>IF(A17&lt;=6,Hypotheses!$B$18,IF(A17&lt;=12,Hypotheses!$B$19,IF(A17&lt;=24,Hypotheses!$B$20,Hypotheses!$B$21)))</x:f>
        <x:v>9000</x:v>
      </x:c>
      <x:c r="R17" s="18" t="n">
        <x:f>IF(A17&lt;=12,Hypotheses!$B$22,IF(A17&lt;=24,Hypotheses!$B$23,Hypotheses!$B$24))</x:f>
        <x:v>4500</x:v>
      </x:c>
      <x:c r="S17" s="18" t="n">
        <x:f>IF(A17&lt;=6,Hypotheses!$B$17/6,0)</x:f>
        <x:v>0</x:v>
      </x:c>
      <x:c r="T17" s="18" t="n">
        <x:f>S17*Hypotheses!$B$25*Hypotheses!$B$5+Q17*Hypotheses!$B$26*Hypotheses!$B$5+O17*Hypotheses!$B$27*Hypotheses!$B$5+P17*Hypotheses!$B$28*Hypotheses!$B$5</x:f>
        <x:v>2631.125</x:v>
      </x:c>
      <x:c r="U17" s="18" t="n">
        <x:f>MAX(0,U16+T16-M16)</x:f>
        <x:v>13383.5625</x:v>
      </x:c>
      <x:c r="V17" s="18" t="n">
        <x:f>MAX(0,M16-T16-U16)</x:f>
        <x:v>0</x:v>
      </x:c>
      <x:c r="W17" s="18" t="n">
        <x:f>N17+O17+P17+Q17+R17+S17+T17</x:f>
        <x:v>30333.305999999997</x:v>
      </x:c>
      <x:c r="X17" s="18" t="n">
        <x:f>K17-W17-V17</x:f>
        <x:v>-10129.055999999997</x:v>
      </x:c>
      <x:c r="Y17" s="18" t="n">
        <x:f>Y16+X17</x:f>
        <x:v>-159086.76849999995</x:v>
      </x:c>
      <x:c r="Z17" s="18" t="n">
        <x:f>Y17</x:f>
        <x:v>-159086.76849999995</x:v>
      </x:c>
      <x:c r="AA17" s="18" t="n">
        <x:f>MAX(0,-Y17)</x:f>
        <x:v>159086.76849999995</x:v>
      </x:c>
      <x:c r="AB17" s="18" t="n">
        <x:f>L17-N17-O17</x:f>
        <x:v>11678.444</x:v>
      </x:c>
      <x:c r="AC17" s="20" t="n">
        <x:f>IF(C17=0,0,E17/C17)</x:f>
        <x:v>0.029999999999999995</x:v>
      </x:c>
      <x:c r="AD17" s="18" t="n">
        <x:f>P17/MAX(1,F17)</x:f>
        <x:v>150</x:v>
      </x:c>
      <x:c r="AE17" t="str">
        <x:v>Croissance</x:v>
      </x:c>
    </x:row>
    <x:row r="18" ht="19" customHeight="1">
      <x:c r="A18" t="n">
        <x:v>15</x:v>
      </x:c>
      <x:c r="B18" t="n">
        <x:f>IF(A18&lt;=12,1,IF(A18&lt;=24,2,3))</x:f>
        <x:v>2</x:v>
      </x:c>
      <x:c r="C18" s="18" t="n">
        <x:f>G17</x:f>
        <x:v>258.3333333333333</x:v>
      </x:c>
      <x:c r="D18" s="18" t="n">
        <x:f>IF(A18&lt;Hypotheses!$B$16,0,IF(A18&lt;=12,Hypotheses!$B$13*(A18-Hypotheses!$B$16+1)/(13-Hypotheses!$B$16),IF(A18&lt;=24,Hypotheses!$B$13+(Hypotheses!$B$14-Hypotheses!$B$13)*(A18-12)/12,Hypotheses!$B$14+(Hypotheses!$B$15-Hypotheses!$B$14)*(A18-24)/12)))</x:f>
        <x:v>312.5</x:v>
      </x:c>
      <x:c r="E18" s="18" t="n">
        <x:f>C18*Hypotheses!$B$11</x:f>
        <x:v>7.749999999999999</x:v>
      </x:c>
      <x:c r="F18" s="18" t="n">
        <x:f>MAX(0,D18-C18+E18)</x:f>
        <x:v>61.916666666666686</x:v>
      </x:c>
      <x:c r="G18" s="18" t="n">
        <x:f>C18-E18+F18</x:f>
        <x:v>312.5</x:v>
      </x:c>
      <x:c r="H18" s="18" t="n">
        <x:f>G18*Hypotheses!$B$4</x:f>
        <x:v>24687.5</x:v>
      </x:c>
      <x:c r="I18" s="18" t="n">
        <x:f>H18*Hypotheses!$B$10</x:f>
        <x:v>246.875</x:v>
      </x:c>
      <x:c r="J18" s="18" t="n">
        <x:f>H18-I18</x:f>
        <x:v>24440.625</x:v>
      </x:c>
      <x:c r="K18" s="18" t="n">
        <x:f>IF(Hypotheses!$B$30=0,J18,J17)</x:f>
        <x:v>24440.625</x:v>
      </x:c>
      <x:c r="L18" s="18" t="n">
        <x:f>J18/(1+Hypotheses!$B$5)</x:f>
        <x:v>20367.1875</x:v>
      </x:c>
      <x:c r="M18" s="18" t="n">
        <x:f>J18-L18</x:f>
        <x:v>4073.4375</x:v>
      </x:c>
      <x:c r="N18" s="18" t="n">
        <x:f>J18*(Hypotheses!$B$7+Hypotheses!$B$9)+G18*Hypotheses!$B$8*(1-Hypotheses!$B$10)</x:f>
        <x:v>615.0375</x:v>
      </x:c>
      <x:c r="O18" s="18" t="n">
        <x:f>G18*Hypotheses!$B$6</x:f>
        <x:v>5625</x:v>
      </x:c>
      <x:c r="P18" s="18" t="n">
        <x:f>F18*Hypotheses!$B$12</x:f>
        <x:v>9287.500000000004</x:v>
      </x:c>
      <x:c r="Q18" s="18" t="n">
        <x:f>IF(A18&lt;=6,Hypotheses!$B$18,IF(A18&lt;=12,Hypotheses!$B$19,IF(A18&lt;=24,Hypotheses!$B$20,Hypotheses!$B$21)))</x:f>
        <x:v>9000</x:v>
      </x:c>
      <x:c r="R18" s="18" t="n">
        <x:f>IF(A18&lt;=12,Hypotheses!$B$22,IF(A18&lt;=24,Hypotheses!$B$23,Hypotheses!$B$24))</x:f>
        <x:v>4500</x:v>
      </x:c>
      <x:c r="S18" s="18" t="n">
        <x:f>IF(A18&lt;=6,Hypotheses!$B$17/6,0)</x:f>
        <x:v>0</x:v>
      </x:c>
      <x:c r="T18" s="18" t="n">
        <x:f>S18*Hypotheses!$B$25*Hypotheses!$B$5+Q18*Hypotheses!$B$26*Hypotheses!$B$5+O18*Hypotheses!$B$27*Hypotheses!$B$5+P18*Hypotheses!$B$28*Hypotheses!$B$5</x:f>
        <x:v>2762.7500000000005</x:v>
      </x:c>
      <x:c r="U18" s="18" t="n">
        <x:f>MAX(0,U17+T17-M17)</x:f>
        <x:v>12647.3125</x:v>
      </x:c>
      <x:c r="V18" s="18" t="n">
        <x:f>MAX(0,M17-T17-U17)</x:f>
        <x:v>0</x:v>
      </x:c>
      <x:c r="W18" s="18" t="n">
        <x:f>N18+O18+P18+Q18+R18+S18+T18</x:f>
        <x:v>31790.287500000006</x:v>
      </x:c>
      <x:c r="X18" s="18" t="n">
        <x:f>K18-W18-V18</x:f>
        <x:v>-7349.662500000006</x:v>
      </x:c>
      <x:c r="Y18" s="18" t="n">
        <x:f>Y17+X18</x:f>
        <x:v>-166436.43099999995</x:v>
      </x:c>
      <x:c r="Z18" s="18" t="n">
        <x:f>Y18</x:f>
        <x:v>-166436.43099999995</x:v>
      </x:c>
      <x:c r="AA18" s="18" t="n">
        <x:f>MAX(0,-Y18)</x:f>
        <x:v>166436.43099999995</x:v>
      </x:c>
      <x:c r="AB18" s="18" t="n">
        <x:f>L18-N18-O18</x:f>
        <x:v>14127.150000000001</x:v>
      </x:c>
      <x:c r="AC18" s="20" t="n">
        <x:f>IF(C18=0,0,E18/C18)</x:f>
        <x:v>0.03</x:v>
      </x:c>
      <x:c r="AD18" s="18" t="n">
        <x:f>P18/MAX(1,F18)</x:f>
        <x:v>150</x:v>
      </x:c>
      <x:c r="AE18" t="str">
        <x:v>Croissance</x:v>
      </x:c>
    </x:row>
    <x:row r="19" ht="19" customHeight="1">
      <x:c r="A19" t="n">
        <x:v>16</x:v>
      </x:c>
      <x:c r="B19" t="n">
        <x:f>IF(A19&lt;=12,1,IF(A19&lt;=24,2,3))</x:f>
        <x:v>2</x:v>
      </x:c>
      <x:c r="C19" s="18" t="n">
        <x:f>G18</x:f>
        <x:v>312.5</x:v>
      </x:c>
      <x:c r="D19" s="18" t="n">
        <x:f>IF(A19&lt;Hypotheses!$B$16,0,IF(A19&lt;=12,Hypotheses!$B$13*(A19-Hypotheses!$B$16+1)/(13-Hypotheses!$B$16),IF(A19&lt;=24,Hypotheses!$B$13+(Hypotheses!$B$14-Hypotheses!$B$13)*(A19-12)/12,Hypotheses!$B$14+(Hypotheses!$B$15-Hypotheses!$B$14)*(A19-24)/12)))</x:f>
        <x:v>366.66666666666663</x:v>
      </x:c>
      <x:c r="E19" s="18" t="n">
        <x:f>C19*Hypotheses!$B$11</x:f>
        <x:v>9.375</x:v>
      </x:c>
      <x:c r="F19" s="18" t="n">
        <x:f>MAX(0,D19-C19+E19)</x:f>
        <x:v>63.54166666666663</x:v>
      </x:c>
      <x:c r="G19" s="18" t="n">
        <x:f>C19-E19+F19</x:f>
        <x:v>366.66666666666663</x:v>
      </x:c>
      <x:c r="H19" s="18" t="n">
        <x:f>G19*Hypotheses!$B$4</x:f>
        <x:v>28966.666666666664</x:v>
      </x:c>
      <x:c r="I19" s="18" t="n">
        <x:f>H19*Hypotheses!$B$10</x:f>
        <x:v>289.66666666666663</x:v>
      </x:c>
      <x:c r="J19" s="18" t="n">
        <x:f>H19-I19</x:f>
        <x:v>28676.999999999996</x:v>
      </x:c>
      <x:c r="K19" s="18" t="n">
        <x:f>IF(Hypotheses!$B$30=0,J19,J18)</x:f>
        <x:v>28676.999999999996</x:v>
      </x:c>
      <x:c r="L19" s="18" t="n">
        <x:f>J19/(1+Hypotheses!$B$5)</x:f>
        <x:v>23897.499999999996</x:v>
      </x:c>
      <x:c r="M19" s="18" t="n">
        <x:f>J19-L19</x:f>
        <x:v>4779.5</x:v>
      </x:c>
      <x:c r="N19" s="18" t="n">
        <x:f>J19*(Hypotheses!$B$7+Hypotheses!$B$9)+G19*Hypotheses!$B$8*(1-Hypotheses!$B$10)</x:f>
        <x:v>721.6439999999999</x:v>
      </x:c>
      <x:c r="O19" s="18" t="n">
        <x:f>G19*Hypotheses!$B$6</x:f>
        <x:v>6599.999999999999</x:v>
      </x:c>
      <x:c r="P19" s="18" t="n">
        <x:f>F19*Hypotheses!$B$12</x:f>
        <x:v>9531.249999999995</x:v>
      </x:c>
      <x:c r="Q19" s="18" t="n">
        <x:f>IF(A19&lt;=6,Hypotheses!$B$18,IF(A19&lt;=12,Hypotheses!$B$19,IF(A19&lt;=24,Hypotheses!$B$20,Hypotheses!$B$21)))</x:f>
        <x:v>9000</x:v>
      </x:c>
      <x:c r="R19" s="18" t="n">
        <x:f>IF(A19&lt;=12,Hypotheses!$B$22,IF(A19&lt;=24,Hypotheses!$B$23,Hypotheses!$B$24))</x:f>
        <x:v>4500</x:v>
      </x:c>
      <x:c r="S19" s="18" t="n">
        <x:f>IF(A19&lt;=6,Hypotheses!$B$17/6,0)</x:f>
        <x:v>0</x:v>
      </x:c>
      <x:c r="T19" s="18" t="n">
        <x:f>S19*Hypotheses!$B$25*Hypotheses!$B$5+Q19*Hypotheses!$B$26*Hypotheses!$B$5+O19*Hypotheses!$B$27*Hypotheses!$B$5+P19*Hypotheses!$B$28*Hypotheses!$B$5</x:f>
        <x:v>2894.374999999999</x:v>
      </x:c>
      <x:c r="U19" s="18" t="n">
        <x:f>MAX(0,U18+T18-M18)</x:f>
        <x:v>11336.625</x:v>
      </x:c>
      <x:c r="V19" s="18" t="n">
        <x:f>MAX(0,M18-T18-U18)</x:f>
        <x:v>0</x:v>
      </x:c>
      <x:c r="W19" s="18" t="n">
        <x:f>N19+O19+P19+Q19+R19+S19+T19</x:f>
        <x:v>33247.26899999999</x:v>
      </x:c>
      <x:c r="X19" s="18" t="n">
        <x:f>K19-W19-V19</x:f>
        <x:v>-4570.268999999997</x:v>
      </x:c>
      <x:c r="Y19" s="18" t="n">
        <x:f>Y18+X19</x:f>
        <x:v>-171006.69999999995</x:v>
      </x:c>
      <x:c r="Z19" s="18" t="n">
        <x:f>Y19</x:f>
        <x:v>-171006.69999999995</x:v>
      </x:c>
      <x:c r="AA19" s="18" t="n">
        <x:f>MAX(0,-Y19)</x:f>
        <x:v>171006.69999999995</x:v>
      </x:c>
      <x:c r="AB19" s="18" t="n">
        <x:f>L19-N19-O19</x:f>
        <x:v>16575.855999999996</x:v>
      </x:c>
      <x:c r="AC19" s="20" t="n">
        <x:f>IF(C19=0,0,E19/C19)</x:f>
        <x:v>0.03</x:v>
      </x:c>
      <x:c r="AD19" s="18" t="n">
        <x:f>P19/MAX(1,F19)</x:f>
        <x:v>150</x:v>
      </x:c>
      <x:c r="AE19" t="str">
        <x:v>Croissance</x:v>
      </x:c>
    </x:row>
    <x:row r="20" ht="19" customHeight="1">
      <x:c r="A20" t="n">
        <x:v>17</x:v>
      </x:c>
      <x:c r="B20" t="n">
        <x:f>IF(A20&lt;=12,1,IF(A20&lt;=24,2,3))</x:f>
        <x:v>2</x:v>
      </x:c>
      <x:c r="C20" s="18" t="n">
        <x:f>G19</x:f>
        <x:v>366.66666666666663</x:v>
      </x:c>
      <x:c r="D20" s="18" t="n">
        <x:f>IF(A20&lt;Hypotheses!$B$16,0,IF(A20&lt;=12,Hypotheses!$B$13*(A20-Hypotheses!$B$16+1)/(13-Hypotheses!$B$16),IF(A20&lt;=24,Hypotheses!$B$13+(Hypotheses!$B$14-Hypotheses!$B$13)*(A20-12)/12,Hypotheses!$B$14+(Hypotheses!$B$15-Hypotheses!$B$14)*(A20-24)/12)))</x:f>
        <x:v>420.8333333333333</x:v>
      </x:c>
      <x:c r="E20" s="18" t="n">
        <x:f>C20*Hypotheses!$B$11</x:f>
        <x:v>10.999999999999998</x:v>
      </x:c>
      <x:c r="F20" s="18" t="n">
        <x:f>MAX(0,D20-C20+E20)</x:f>
        <x:v>65.16666666666669</x:v>
      </x:c>
      <x:c r="G20" s="18" t="n">
        <x:f>C20-E20+F20</x:f>
        <x:v>420.8333333333333</x:v>
      </x:c>
      <x:c r="H20" s="18" t="n">
        <x:f>G20*Hypotheses!$B$4</x:f>
        <x:v>33245.83333333333</x:v>
      </x:c>
      <x:c r="I20" s="18" t="n">
        <x:f>H20*Hypotheses!$B$10</x:f>
        <x:v>332.4583333333333</x:v>
      </x:c>
      <x:c r="J20" s="18" t="n">
        <x:f>H20-I20</x:f>
        <x:v>32913.37499999999</x:v>
      </x:c>
      <x:c r="K20" s="18" t="n">
        <x:f>IF(Hypotheses!$B$30=0,J20,J19)</x:f>
        <x:v>32913.37499999999</x:v>
      </x:c>
      <x:c r="L20" s="18" t="n">
        <x:f>J20/(1+Hypotheses!$B$5)</x:f>
        <x:v>27427.812499999996</x:v>
      </x:c>
      <x:c r="M20" s="18" t="n">
        <x:f>J20-L20</x:f>
        <x:v>5485.562499999996</x:v>
      </x:c>
      <x:c r="N20" s="18" t="n">
        <x:f>J20*(Hypotheses!$B$7+Hypotheses!$B$9)+G20*Hypotheses!$B$8*(1-Hypotheses!$B$10)</x:f>
        <x:v>828.2504999999998</x:v>
      </x:c>
      <x:c r="O20" s="18" t="n">
        <x:f>G20*Hypotheses!$B$6</x:f>
        <x:v>7575</x:v>
      </x:c>
      <x:c r="P20" s="18" t="n">
        <x:f>F20*Hypotheses!$B$12</x:f>
        <x:v>9775.000000000004</x:v>
      </x:c>
      <x:c r="Q20" s="18" t="n">
        <x:f>IF(A20&lt;=6,Hypotheses!$B$18,IF(A20&lt;=12,Hypotheses!$B$19,IF(A20&lt;=24,Hypotheses!$B$20,Hypotheses!$B$21)))</x:f>
        <x:v>9000</x:v>
      </x:c>
      <x:c r="R20" s="18" t="n">
        <x:f>IF(A20&lt;=12,Hypotheses!$B$22,IF(A20&lt;=24,Hypotheses!$B$23,Hypotheses!$B$24))</x:f>
        <x:v>4500</x:v>
      </x:c>
      <x:c r="S20" s="18" t="n">
        <x:f>IF(A20&lt;=6,Hypotheses!$B$17/6,0)</x:f>
        <x:v>0</x:v>
      </x:c>
      <x:c r="T20" s="18" t="n">
        <x:f>S20*Hypotheses!$B$25*Hypotheses!$B$5+Q20*Hypotheses!$B$26*Hypotheses!$B$5+O20*Hypotheses!$B$27*Hypotheses!$B$5+P20*Hypotheses!$B$28*Hypotheses!$B$5</x:f>
        <x:v>3026.0000000000005</x:v>
      </x:c>
      <x:c r="U20" s="18" t="n">
        <x:f>MAX(0,U19+T19-M19)</x:f>
        <x:v>9451.5</x:v>
      </x:c>
      <x:c r="V20" s="18" t="n">
        <x:f>MAX(0,M19-T19-U19)</x:f>
        <x:v>0</x:v>
      </x:c>
      <x:c r="W20" s="18" t="n">
        <x:f>N20+O20+P20+Q20+R20+S20+T20</x:f>
        <x:v>34704.2505</x:v>
      </x:c>
      <x:c r="X20" s="18" t="n">
        <x:f>K20-W20-V20</x:f>
        <x:v>-1790.8755000000092</x:v>
      </x:c>
      <x:c r="Y20" s="18" t="n">
        <x:f>Y19+X20</x:f>
        <x:v>-172797.57549999998</x:v>
      </x:c>
      <x:c r="Z20" s="18" t="n">
        <x:f>Y20</x:f>
        <x:v>-172797.57549999998</x:v>
      </x:c>
      <x:c r="AA20" s="18" t="n">
        <x:f>MAX(0,-Y20)</x:f>
        <x:v>172797.57549999998</x:v>
      </x:c>
      <x:c r="AB20" s="18" t="n">
        <x:f>L20-N20-O20</x:f>
        <x:v>19024.561999999998</x:v>
      </x:c>
      <x:c r="AC20" s="20" t="n">
        <x:f>IF(C20=0,0,E20/C20)</x:f>
        <x:v>0.03</x:v>
      </x:c>
      <x:c r="AD20" s="18" t="n">
        <x:f>P20/MAX(1,F20)</x:f>
        <x:v>150</x:v>
      </x:c>
      <x:c r="AE20" t="str">
        <x:v>Croissance</x:v>
      </x:c>
    </x:row>
    <x:row r="21" ht="19" customHeight="1">
      <x:c r="A21" t="n">
        <x:v>18</x:v>
      </x:c>
      <x:c r="B21" t="n">
        <x:f>IF(A21&lt;=12,1,IF(A21&lt;=24,2,3))</x:f>
        <x:v>2</x:v>
      </x:c>
      <x:c r="C21" s="18" t="n">
        <x:f>G20</x:f>
        <x:v>420.8333333333333</x:v>
      </x:c>
      <x:c r="D21" s="18" t="n">
        <x:f>IF(A21&lt;Hypotheses!$B$16,0,IF(A21&lt;=12,Hypotheses!$B$13*(A21-Hypotheses!$B$16+1)/(13-Hypotheses!$B$16),IF(A21&lt;=24,Hypotheses!$B$13+(Hypotheses!$B$14-Hypotheses!$B$13)*(A21-12)/12,Hypotheses!$B$14+(Hypotheses!$B$15-Hypotheses!$B$14)*(A21-24)/12)))</x:f>
        <x:v>475</x:v>
      </x:c>
      <x:c r="E21" s="18" t="n">
        <x:f>C21*Hypotheses!$B$11</x:f>
        <x:v>12.624999999999998</x:v>
      </x:c>
      <x:c r="F21" s="18" t="n">
        <x:f>MAX(0,D21-C21+E21)</x:f>
        <x:v>66.79166666666669</x:v>
      </x:c>
      <x:c r="G21" s="18" t="n">
        <x:f>C21-E21+F21</x:f>
        <x:v>475</x:v>
      </x:c>
      <x:c r="H21" s="18" t="n">
        <x:f>G21*Hypotheses!$B$4</x:f>
        <x:v>37525</x:v>
      </x:c>
      <x:c r="I21" s="18" t="n">
        <x:f>H21*Hypotheses!$B$10</x:f>
        <x:v>375.25</x:v>
      </x:c>
      <x:c r="J21" s="18" t="n">
        <x:f>H21-I21</x:f>
        <x:v>37149.75</x:v>
      </x:c>
      <x:c r="K21" s="18" t="n">
        <x:f>IF(Hypotheses!$B$30=0,J21,J20)</x:f>
        <x:v>37149.75</x:v>
      </x:c>
      <x:c r="L21" s="18" t="n">
        <x:f>J21/(1+Hypotheses!$B$5)</x:f>
        <x:v>30958.125</x:v>
      </x:c>
      <x:c r="M21" s="18" t="n">
        <x:f>J21-L21</x:f>
        <x:v>6191.625</x:v>
      </x:c>
      <x:c r="N21" s="18" t="n">
        <x:f>J21*(Hypotheses!$B$7+Hypotheses!$B$9)+G21*Hypotheses!$B$8*(1-Hypotheses!$B$10)</x:f>
        <x:v>934.857</x:v>
      </x:c>
      <x:c r="O21" s="18" t="n">
        <x:f>G21*Hypotheses!$B$6</x:f>
        <x:v>8550</x:v>
      </x:c>
      <x:c r="P21" s="18" t="n">
        <x:f>F21*Hypotheses!$B$12</x:f>
        <x:v>10018.750000000004</x:v>
      </x:c>
      <x:c r="Q21" s="18" t="n">
        <x:f>IF(A21&lt;=6,Hypotheses!$B$18,IF(A21&lt;=12,Hypotheses!$B$19,IF(A21&lt;=24,Hypotheses!$B$20,Hypotheses!$B$21)))</x:f>
        <x:v>9000</x:v>
      </x:c>
      <x:c r="R21" s="18" t="n">
        <x:f>IF(A21&lt;=12,Hypotheses!$B$22,IF(A21&lt;=24,Hypotheses!$B$23,Hypotheses!$B$24))</x:f>
        <x:v>4500</x:v>
      </x:c>
      <x:c r="S21" s="18" t="n">
        <x:f>IF(A21&lt;=6,Hypotheses!$B$17/6,0)</x:f>
        <x:v>0</x:v>
      </x:c>
      <x:c r="T21" s="18" t="n">
        <x:f>S21*Hypotheses!$B$25*Hypotheses!$B$5+Q21*Hypotheses!$B$26*Hypotheses!$B$5+O21*Hypotheses!$B$27*Hypotheses!$B$5+P21*Hypotheses!$B$28*Hypotheses!$B$5</x:f>
        <x:v>3157.6250000000005</x:v>
      </x:c>
      <x:c r="U21" s="18" t="n">
        <x:f>MAX(0,U20+T20-M20)</x:f>
        <x:v>6991.937500000004</x:v>
      </x:c>
      <x:c r="V21" s="18" t="n">
        <x:f>MAX(0,M20-T20-U20)</x:f>
        <x:v>0</x:v>
      </x:c>
      <x:c r="W21" s="18" t="n">
        <x:f>N21+O21+P21+Q21+R21+S21+T21</x:f>
        <x:v>36161.232</x:v>
      </x:c>
      <x:c r="X21" s="18" t="n">
        <x:f>K21-W21-V21</x:f>
        <x:v>988.5179999999964</x:v>
      </x:c>
      <x:c r="Y21" s="18" t="n">
        <x:f>Y20+X21</x:f>
        <x:v>-171809.0575</x:v>
      </x:c>
      <x:c r="Z21" s="18" t="n">
        <x:f>Y21</x:f>
        <x:v>-171809.0575</x:v>
      </x:c>
      <x:c r="AA21" s="18" t="n">
        <x:f>MAX(0,-Y21)</x:f>
        <x:v>171809.0575</x:v>
      </x:c>
      <x:c r="AB21" s="18" t="n">
        <x:f>L21-N21-O21</x:f>
        <x:v>21473.268</x:v>
      </x:c>
      <x:c r="AC21" s="20" t="n">
        <x:f>IF(C21=0,0,E21/C21)</x:f>
        <x:v>0.029999999999999995</x:v>
      </x:c>
      <x:c r="AD21" s="18" t="n">
        <x:f>P21/MAX(1,F21)</x:f>
        <x:v>150</x:v>
      </x:c>
      <x:c r="AE21" t="str">
        <x:v>Croissance</x:v>
      </x:c>
    </x:row>
    <x:row r="22" ht="19" customHeight="1">
      <x:c r="A22" t="n">
        <x:v>19</x:v>
      </x:c>
      <x:c r="B22" t="n">
        <x:f>IF(A22&lt;=12,1,IF(A22&lt;=24,2,3))</x:f>
        <x:v>2</x:v>
      </x:c>
      <x:c r="C22" s="18" t="n">
        <x:f>G21</x:f>
        <x:v>475</x:v>
      </x:c>
      <x:c r="D22" s="18" t="n">
        <x:f>IF(A22&lt;Hypotheses!$B$16,0,IF(A22&lt;=12,Hypotheses!$B$13*(A22-Hypotheses!$B$16+1)/(13-Hypotheses!$B$16),IF(A22&lt;=24,Hypotheses!$B$13+(Hypotheses!$B$14-Hypotheses!$B$13)*(A22-12)/12,Hypotheses!$B$14+(Hypotheses!$B$15-Hypotheses!$B$14)*(A22-24)/12)))</x:f>
        <x:v>529.1666666666667</x:v>
      </x:c>
      <x:c r="E22" s="18" t="n">
        <x:f>C22*Hypotheses!$B$11</x:f>
        <x:v>14.25</x:v>
      </x:c>
      <x:c r="F22" s="18" t="n">
        <x:f>MAX(0,D22-C22+E22)</x:f>
        <x:v>68.41666666666674</x:v>
      </x:c>
      <x:c r="G22" s="18" t="n">
        <x:f>C22-E22+F22</x:f>
        <x:v>529.1666666666667</x:v>
      </x:c>
      <x:c r="H22" s="18" t="n">
        <x:f>G22*Hypotheses!$B$4</x:f>
        <x:v>41804.16666666667</x:v>
      </x:c>
      <x:c r="I22" s="18" t="n">
        <x:f>H22*Hypotheses!$B$10</x:f>
        <x:v>418.04166666666674</x:v>
      </x:c>
      <x:c r="J22" s="18" t="n">
        <x:f>H22-I22</x:f>
        <x:v>41386.12500000001</x:v>
      </x:c>
      <x:c r="K22" s="18" t="n">
        <x:f>IF(Hypotheses!$B$30=0,J22,J21)</x:f>
        <x:v>41386.12500000001</x:v>
      </x:c>
      <x:c r="L22" s="18" t="n">
        <x:f>J22/(1+Hypotheses!$B$5)</x:f>
        <x:v>34488.43750000001</x:v>
      </x:c>
      <x:c r="M22" s="18" t="n">
        <x:f>J22-L22</x:f>
        <x:v>6897.6875</x:v>
      </x:c>
      <x:c r="N22" s="18" t="n">
        <x:f>J22*(Hypotheses!$B$7+Hypotheses!$B$9)+G22*Hypotheses!$B$8*(1-Hypotheses!$B$10)</x:f>
        <x:v>1041.4635</x:v>
      </x:c>
      <x:c r="O22" s="18" t="n">
        <x:f>G22*Hypotheses!$B$6</x:f>
        <x:v>9525.000000000002</x:v>
      </x:c>
      <x:c r="P22" s="18" t="n">
        <x:f>F22*Hypotheses!$B$12</x:f>
        <x:v>10262.500000000011</x:v>
      </x:c>
      <x:c r="Q22" s="18" t="n">
        <x:f>IF(A22&lt;=6,Hypotheses!$B$18,IF(A22&lt;=12,Hypotheses!$B$19,IF(A22&lt;=24,Hypotheses!$B$20,Hypotheses!$B$21)))</x:f>
        <x:v>9000</x:v>
      </x:c>
      <x:c r="R22" s="18" t="n">
        <x:f>IF(A22&lt;=12,Hypotheses!$B$22,IF(A22&lt;=24,Hypotheses!$B$23,Hypotheses!$B$24))</x:f>
        <x:v>4500</x:v>
      </x:c>
      <x:c r="S22" s="18" t="n">
        <x:f>IF(A22&lt;=6,Hypotheses!$B$17/6,0)</x:f>
        <x:v>0</x:v>
      </x:c>
      <x:c r="T22" s="18" t="n">
        <x:f>S22*Hypotheses!$B$25*Hypotheses!$B$5+Q22*Hypotheses!$B$26*Hypotheses!$B$5+O22*Hypotheses!$B$27*Hypotheses!$B$5+P22*Hypotheses!$B$28*Hypotheses!$B$5</x:f>
        <x:v>3289.250000000002</x:v>
      </x:c>
      <x:c r="U22" s="18" t="n">
        <x:f>MAX(0,U21+T21-M21)</x:f>
        <x:v>3957.9375000000036</x:v>
      </x:c>
      <x:c r="V22" s="18" t="n">
        <x:f>MAX(0,M21-T21-U21)</x:f>
        <x:v>0</x:v>
      </x:c>
      <x:c r="W22" s="18" t="n">
        <x:f>N22+O22+P22+Q22+R22+S22+T22</x:f>
        <x:v>37618.21350000001</x:v>
      </x:c>
      <x:c r="X22" s="18" t="n">
        <x:f>K22-W22-V22</x:f>
        <x:v>3767.9114999999947</x:v>
      </x:c>
      <x:c r="Y22" s="18" t="n">
        <x:f>Y21+X22</x:f>
        <x:v>-168041.146</x:v>
      </x:c>
      <x:c r="Z22" s="18" t="n">
        <x:f>Y22</x:f>
        <x:v>-168041.146</x:v>
      </x:c>
      <x:c r="AA22" s="18" t="n">
        <x:f>MAX(0,-Y22)</x:f>
        <x:v>168041.146</x:v>
      </x:c>
      <x:c r="AB22" s="18" t="n">
        <x:f>L22-N22-O22</x:f>
        <x:v>23921.97400000001</x:v>
      </x:c>
      <x:c r="AC22" s="20" t="n">
        <x:f>IF(C22=0,0,E22/C22)</x:f>
        <x:v>0.03</x:v>
      </x:c>
      <x:c r="AD22" s="18" t="n">
        <x:f>P22/MAX(1,F22)</x:f>
        <x:v>150</x:v>
      </x:c>
      <x:c r="AE22" t="str">
        <x:v>Croissance</x:v>
      </x:c>
    </x:row>
    <x:row r="23" ht="19" customHeight="1">
      <x:c r="A23" t="n">
        <x:v>20</x:v>
      </x:c>
      <x:c r="B23" t="n">
        <x:f>IF(A23&lt;=12,1,IF(A23&lt;=24,2,3))</x:f>
        <x:v>2</x:v>
      </x:c>
      <x:c r="C23" s="18" t="n">
        <x:f>G22</x:f>
        <x:v>529.1666666666667</x:v>
      </x:c>
      <x:c r="D23" s="18" t="n">
        <x:f>IF(A23&lt;Hypotheses!$B$16,0,IF(A23&lt;=12,Hypotheses!$B$13*(A23-Hypotheses!$B$16+1)/(13-Hypotheses!$B$16),IF(A23&lt;=24,Hypotheses!$B$13+(Hypotheses!$B$14-Hypotheses!$B$13)*(A23-12)/12,Hypotheses!$B$14+(Hypotheses!$B$15-Hypotheses!$B$14)*(A23-24)/12)))</x:f>
        <x:v>583.3333333333333</x:v>
      </x:c>
      <x:c r="E23" s="18" t="n">
        <x:f>C23*Hypotheses!$B$11</x:f>
        <x:v>15.875000000000002</x:v>
      </x:c>
      <x:c r="F23" s="18" t="n">
        <x:f>MAX(0,D23-C23+E23)</x:f>
        <x:v>70.04166666666652</x:v>
      </x:c>
      <x:c r="G23" s="18" t="n">
        <x:f>C23-E23+F23</x:f>
        <x:v>583.3333333333333</x:v>
      </x:c>
      <x:c r="H23" s="18" t="n">
        <x:f>G23*Hypotheses!$B$4</x:f>
        <x:v>46083.33333333333</x:v>
      </x:c>
      <x:c r="I23" s="18" t="n">
        <x:f>H23*Hypotheses!$B$10</x:f>
        <x:v>460.8333333333333</x:v>
      </x:c>
      <x:c r="J23" s="18" t="n">
        <x:f>H23-I23</x:f>
        <x:v>45622.49999999999</x:v>
      </x:c>
      <x:c r="K23" s="18" t="n">
        <x:f>IF(Hypotheses!$B$30=0,J23,J22)</x:f>
        <x:v>45622.49999999999</x:v>
      </x:c>
      <x:c r="L23" s="18" t="n">
        <x:f>J23/(1+Hypotheses!$B$5)</x:f>
        <x:v>38018.74999999999</x:v>
      </x:c>
      <x:c r="M23" s="18" t="n">
        <x:f>J23-L23</x:f>
        <x:v>7603.75</x:v>
      </x:c>
      <x:c r="N23" s="18" t="n">
        <x:f>J23*(Hypotheses!$B$7+Hypotheses!$B$9)+G23*Hypotheses!$B$8*(1-Hypotheses!$B$10)</x:f>
        <x:v>1148.0699999999997</x:v>
      </x:c>
      <x:c r="O23" s="18" t="n">
        <x:f>G23*Hypotheses!$B$6</x:f>
        <x:v>10499.999999999998</x:v>
      </x:c>
      <x:c r="P23" s="18" t="n">
        <x:f>F23*Hypotheses!$B$12</x:f>
        <x:v>10506.249999999978</x:v>
      </x:c>
      <x:c r="Q23" s="18" t="n">
        <x:f>IF(A23&lt;=6,Hypotheses!$B$18,IF(A23&lt;=12,Hypotheses!$B$19,IF(A23&lt;=24,Hypotheses!$B$20,Hypotheses!$B$21)))</x:f>
        <x:v>9000</x:v>
      </x:c>
      <x:c r="R23" s="18" t="n">
        <x:f>IF(A23&lt;=12,Hypotheses!$B$22,IF(A23&lt;=24,Hypotheses!$B$23,Hypotheses!$B$24))</x:f>
        <x:v>4500</x:v>
      </x:c>
      <x:c r="S23" s="18" t="n">
        <x:f>IF(A23&lt;=6,Hypotheses!$B$17/6,0)</x:f>
        <x:v>0</x:v>
      </x:c>
      <x:c r="T23" s="18" t="n">
        <x:f>S23*Hypotheses!$B$25*Hypotheses!$B$5+Q23*Hypotheses!$B$26*Hypotheses!$B$5+O23*Hypotheses!$B$27*Hypotheses!$B$5+P23*Hypotheses!$B$28*Hypotheses!$B$5</x:f>
        <x:v>3420.874999999997</x:v>
      </x:c>
      <x:c r="U23" s="18" t="n">
        <x:f>MAX(0,U22+T22-M22)</x:f>
        <x:v>349.50000000000546</x:v>
      </x:c>
      <x:c r="V23" s="18" t="n">
        <x:f>MAX(0,M22-T22-U22)</x:f>
        <x:v>0</x:v>
      </x:c>
      <x:c r="W23" s="18" t="n">
        <x:f>N23+O23+P23+Q23+R23+S23+T23</x:f>
        <x:v>39075.19499999998</x:v>
      </x:c>
      <x:c r="X23" s="18" t="n">
        <x:f>K23-W23-V23</x:f>
        <x:v>6547.305000000015</x:v>
      </x:c>
      <x:c r="Y23" s="18" t="n">
        <x:f>Y22+X23</x:f>
        <x:v>-161493.841</x:v>
      </x:c>
      <x:c r="Z23" s="18" t="n">
        <x:f>Y23</x:f>
        <x:v>-161493.841</x:v>
      </x:c>
      <x:c r="AA23" s="18" t="n">
        <x:f>MAX(0,-Y23)</x:f>
        <x:v>161493.841</x:v>
      </x:c>
      <x:c r="AB23" s="18" t="n">
        <x:f>L23-N23-O23</x:f>
        <x:v>26370.679999999993</x:v>
      </x:c>
      <x:c r="AC23" s="20" t="n">
        <x:f>IF(C23=0,0,E23/C23)</x:f>
        <x:v>0.03</x:v>
      </x:c>
      <x:c r="AD23" s="18" t="n">
        <x:f>P23/MAX(1,F23)</x:f>
        <x:v>150</x:v>
      </x:c>
      <x:c r="AE23" t="str">
        <x:v>Croissance</x:v>
      </x:c>
    </x:row>
    <x:row r="24" ht="19" customHeight="1">
      <x:c r="A24" t="n">
        <x:v>21</x:v>
      </x:c>
      <x:c r="B24" t="n">
        <x:f>IF(A24&lt;=12,1,IF(A24&lt;=24,2,3))</x:f>
        <x:v>2</x:v>
      </x:c>
      <x:c r="C24" s="18" t="n">
        <x:f>G23</x:f>
        <x:v>583.3333333333333</x:v>
      </x:c>
      <x:c r="D24" s="18" t="n">
        <x:f>IF(A24&lt;Hypotheses!$B$16,0,IF(A24&lt;=12,Hypotheses!$B$13*(A24-Hypotheses!$B$16+1)/(13-Hypotheses!$B$16),IF(A24&lt;=24,Hypotheses!$B$13+(Hypotheses!$B$14-Hypotheses!$B$13)*(A24-12)/12,Hypotheses!$B$14+(Hypotheses!$B$15-Hypotheses!$B$14)*(A24-24)/12)))</x:f>
        <x:v>637.5</x:v>
      </x:c>
      <x:c r="E24" s="18" t="n">
        <x:f>C24*Hypotheses!$B$11</x:f>
        <x:v>17.499999999999996</x:v>
      </x:c>
      <x:c r="F24" s="18" t="n">
        <x:f>MAX(0,D24-C24+E24)</x:f>
        <x:v>71.66666666666674</x:v>
      </x:c>
      <x:c r="G24" s="18" t="n">
        <x:f>C24-E24+F24</x:f>
        <x:v>637.5</x:v>
      </x:c>
      <x:c r="H24" s="18" t="n">
        <x:f>G24*Hypotheses!$B$4</x:f>
        <x:v>50362.5</x:v>
      </x:c>
      <x:c r="I24" s="18" t="n">
        <x:f>H24*Hypotheses!$B$10</x:f>
        <x:v>503.625</x:v>
      </x:c>
      <x:c r="J24" s="18" t="n">
        <x:f>H24-I24</x:f>
        <x:v>49858.875</x:v>
      </x:c>
      <x:c r="K24" s="18" t="n">
        <x:f>IF(Hypotheses!$B$30=0,J24,J23)</x:f>
        <x:v>49858.875</x:v>
      </x:c>
      <x:c r="L24" s="18" t="n">
        <x:f>J24/(1+Hypotheses!$B$5)</x:f>
        <x:v>41549.0625</x:v>
      </x:c>
      <x:c r="M24" s="18" t="n">
        <x:f>J24-L24</x:f>
        <x:v>8309.8125</x:v>
      </x:c>
      <x:c r="N24" s="18" t="n">
        <x:f>J24*(Hypotheses!$B$7+Hypotheses!$B$9)+G24*Hypotheses!$B$8*(1-Hypotheses!$B$10)</x:f>
        <x:v>1254.6765</x:v>
      </x:c>
      <x:c r="O24" s="18" t="n">
        <x:f>G24*Hypotheses!$B$6</x:f>
        <x:v>11475</x:v>
      </x:c>
      <x:c r="P24" s="18" t="n">
        <x:f>F24*Hypotheses!$B$12</x:f>
        <x:v>10750.000000000011</x:v>
      </x:c>
      <x:c r="Q24" s="18" t="n">
        <x:f>IF(A24&lt;=6,Hypotheses!$B$18,IF(A24&lt;=12,Hypotheses!$B$19,IF(A24&lt;=24,Hypotheses!$B$20,Hypotheses!$B$21)))</x:f>
        <x:v>9000</x:v>
      </x:c>
      <x:c r="R24" s="18" t="n">
        <x:f>IF(A24&lt;=12,Hypotheses!$B$22,IF(A24&lt;=24,Hypotheses!$B$23,Hypotheses!$B$24))</x:f>
        <x:v>4500</x:v>
      </x:c>
      <x:c r="S24" s="18" t="n">
        <x:f>IF(A24&lt;=6,Hypotheses!$B$17/6,0)</x:f>
        <x:v>0</x:v>
      </x:c>
      <x:c r="T24" s="18" t="n">
        <x:f>S24*Hypotheses!$B$25*Hypotheses!$B$5+Q24*Hypotheses!$B$26*Hypotheses!$B$5+O24*Hypotheses!$B$27*Hypotheses!$B$5+P24*Hypotheses!$B$28*Hypotheses!$B$5</x:f>
        <x:v>3552.500000000002</x:v>
      </x:c>
      <x:c r="U24" s="18" t="n">
        <x:f>MAX(0,U23+T23-M23)</x:f>
        <x:v>0</x:v>
      </x:c>
      <x:c r="V24" s="18" t="n">
        <x:f>MAX(0,M23-T23-U23)</x:f>
        <x:v>3833.374999999998</x:v>
      </x:c>
      <x:c r="W24" s="18" t="n">
        <x:f>N24+O24+P24+Q24+R24+S24+T24</x:f>
        <x:v>40532.17650000001</x:v>
      </x:c>
      <x:c r="X24" s="18" t="n">
        <x:f>K24-W24-V24</x:f>
        <x:v>5493.323499999993</x:v>
      </x:c>
      <x:c r="Y24" s="18" t="n">
        <x:f>Y23+X24</x:f>
        <x:v>-156000.5175</x:v>
      </x:c>
      <x:c r="Z24" s="18" t="n">
        <x:f>Y24</x:f>
        <x:v>-156000.5175</x:v>
      </x:c>
      <x:c r="AA24" s="18" t="n">
        <x:f>MAX(0,-Y24)</x:f>
        <x:v>156000.5175</x:v>
      </x:c>
      <x:c r="AB24" s="18" t="n">
        <x:f>L24-N24-O24</x:f>
        <x:v>28819.386</x:v>
      </x:c>
      <x:c r="AC24" s="20" t="n">
        <x:f>IF(C24=0,0,E24/C24)</x:f>
        <x:v>0.03</x:v>
      </x:c>
      <x:c r="AD24" s="18" t="n">
        <x:f>P24/MAX(1,F24)</x:f>
        <x:v>150</x:v>
      </x:c>
      <x:c r="AE24" t="str">
        <x:v>Croissance</x:v>
      </x:c>
    </x:row>
    <x:row r="25" ht="19" customHeight="1">
      <x:c r="A25" t="n">
        <x:v>22</x:v>
      </x:c>
      <x:c r="B25" t="n">
        <x:f>IF(A25&lt;=12,1,IF(A25&lt;=24,2,3))</x:f>
        <x:v>2</x:v>
      </x:c>
      <x:c r="C25" s="18" t="n">
        <x:f>G24</x:f>
        <x:v>637.5</x:v>
      </x:c>
      <x:c r="D25" s="18" t="n">
        <x:f>IF(A25&lt;Hypotheses!$B$16,0,IF(A25&lt;=12,Hypotheses!$B$13*(A25-Hypotheses!$B$16+1)/(13-Hypotheses!$B$16),IF(A25&lt;=24,Hypotheses!$B$13+(Hypotheses!$B$14-Hypotheses!$B$13)*(A25-12)/12,Hypotheses!$B$14+(Hypotheses!$B$15-Hypotheses!$B$14)*(A25-24)/12)))</x:f>
        <x:v>691.6666666666666</x:v>
      </x:c>
      <x:c r="E25" s="18" t="n">
        <x:f>C25*Hypotheses!$B$11</x:f>
        <x:v>19.125</x:v>
      </x:c>
      <x:c r="F25" s="18" t="n">
        <x:f>MAX(0,D25-C25+E25)</x:f>
        <x:v>73.29166666666663</x:v>
      </x:c>
      <x:c r="G25" s="18" t="n">
        <x:f>C25-E25+F25</x:f>
        <x:v>691.6666666666666</x:v>
      </x:c>
      <x:c r="H25" s="18" t="n">
        <x:f>G25*Hypotheses!$B$4</x:f>
        <x:v>54641.666666666664</x:v>
      </x:c>
      <x:c r="I25" s="18" t="n">
        <x:f>H25*Hypotheses!$B$10</x:f>
        <x:v>546.4166666666666</x:v>
      </x:c>
      <x:c r="J25" s="18" t="n">
        <x:f>H25-I25</x:f>
        <x:v>54095.25</x:v>
      </x:c>
      <x:c r="K25" s="18" t="n">
        <x:f>IF(Hypotheses!$B$30=0,J25,J24)</x:f>
        <x:v>54095.25</x:v>
      </x:c>
      <x:c r="L25" s="18" t="n">
        <x:f>J25/(1+Hypotheses!$B$5)</x:f>
        <x:v>45079.375</x:v>
      </x:c>
      <x:c r="M25" s="18" t="n">
        <x:f>J25-L25</x:f>
        <x:v>9015.875</x:v>
      </x:c>
      <x:c r="N25" s="18" t="n">
        <x:f>J25*(Hypotheses!$B$7+Hypotheses!$B$9)+G25*Hypotheses!$B$8*(1-Hypotheses!$B$10)</x:f>
        <x:v>1361.283</x:v>
      </x:c>
      <x:c r="O25" s="18" t="n">
        <x:f>G25*Hypotheses!$B$6</x:f>
        <x:v>12450</x:v>
      </x:c>
      <x:c r="P25" s="18" t="n">
        <x:f>F25*Hypotheses!$B$12</x:f>
        <x:v>10993.749999999995</x:v>
      </x:c>
      <x:c r="Q25" s="18" t="n">
        <x:f>IF(A25&lt;=6,Hypotheses!$B$18,IF(A25&lt;=12,Hypotheses!$B$19,IF(A25&lt;=24,Hypotheses!$B$20,Hypotheses!$B$21)))</x:f>
        <x:v>9000</x:v>
      </x:c>
      <x:c r="R25" s="18" t="n">
        <x:f>IF(A25&lt;=12,Hypotheses!$B$22,IF(A25&lt;=24,Hypotheses!$B$23,Hypotheses!$B$24))</x:f>
        <x:v>4500</x:v>
      </x:c>
      <x:c r="S25" s="18" t="n">
        <x:f>IF(A25&lt;=6,Hypotheses!$B$17/6,0)</x:f>
        <x:v>0</x:v>
      </x:c>
      <x:c r="T25" s="18" t="n">
        <x:f>S25*Hypotheses!$B$25*Hypotheses!$B$5+Q25*Hypotheses!$B$26*Hypotheses!$B$5+O25*Hypotheses!$B$27*Hypotheses!$B$5+P25*Hypotheses!$B$28*Hypotheses!$B$5</x:f>
        <x:v>3684.124999999999</x:v>
      </x:c>
      <x:c r="U25" s="18" t="n">
        <x:f>MAX(0,U24+T24-M24)</x:f>
        <x:v>0</x:v>
      </x:c>
      <x:c r="V25" s="18" t="n">
        <x:f>MAX(0,M24-T24-U24)</x:f>
        <x:v>4757.312499999998</x:v>
      </x:c>
      <x:c r="W25" s="18" t="n">
        <x:f>N25+O25+P25+Q25+R25+S25+T25</x:f>
        <x:v>41989.157999999996</x:v>
      </x:c>
      <x:c r="X25" s="18" t="n">
        <x:f>K25-W25-V25</x:f>
        <x:v>7348.779500000006</x:v>
      </x:c>
      <x:c r="Y25" s="18" t="n">
        <x:f>Y24+X25</x:f>
        <x:v>-148651.73799999998</x:v>
      </x:c>
      <x:c r="Z25" s="18" t="n">
        <x:f>Y25</x:f>
        <x:v>-148651.73799999998</x:v>
      </x:c>
      <x:c r="AA25" s="18" t="n">
        <x:f>MAX(0,-Y25)</x:f>
        <x:v>148651.73799999998</x:v>
      </x:c>
      <x:c r="AB25" s="18" t="n">
        <x:f>L25-N25-O25</x:f>
        <x:v>31268.091999999997</x:v>
      </x:c>
      <x:c r="AC25" s="20" t="n">
        <x:f>IF(C25=0,0,E25/C25)</x:f>
        <x:v>0.03</x:v>
      </x:c>
      <x:c r="AD25" s="18" t="n">
        <x:f>P25/MAX(1,F25)</x:f>
        <x:v>150</x:v>
      </x:c>
      <x:c r="AE25" t="str">
        <x:v>Croissance</x:v>
      </x:c>
    </x:row>
    <x:row r="26" ht="19" customHeight="1">
      <x:c r="A26" t="n">
        <x:v>23</x:v>
      </x:c>
      <x:c r="B26" t="n">
        <x:f>IF(A26&lt;=12,1,IF(A26&lt;=24,2,3))</x:f>
        <x:v>2</x:v>
      </x:c>
      <x:c r="C26" s="18" t="n">
        <x:f>G25</x:f>
        <x:v>691.6666666666666</x:v>
      </x:c>
      <x:c r="D26" s="18" t="n">
        <x:f>IF(A26&lt;Hypotheses!$B$16,0,IF(A26&lt;=12,Hypotheses!$B$13*(A26-Hypotheses!$B$16+1)/(13-Hypotheses!$B$16),IF(A26&lt;=24,Hypotheses!$B$13+(Hypotheses!$B$14-Hypotheses!$B$13)*(A26-12)/12,Hypotheses!$B$14+(Hypotheses!$B$15-Hypotheses!$B$14)*(A26-24)/12)))</x:f>
        <x:v>745.8333333333334</x:v>
      </x:c>
      <x:c r="E26" s="18" t="n">
        <x:f>C26*Hypotheses!$B$11</x:f>
        <x:v>20.749999999999996</x:v>
      </x:c>
      <x:c r="F26" s="18" t="n">
        <x:f>MAX(0,D26-C26+E26)</x:f>
        <x:v>74.91666666666674</x:v>
      </x:c>
      <x:c r="G26" s="18" t="n">
        <x:f>C26-E26+F26</x:f>
        <x:v>745.8333333333334</x:v>
      </x:c>
      <x:c r="H26" s="18" t="n">
        <x:f>G26*Hypotheses!$B$4</x:f>
        <x:v>58920.833333333336</x:v>
      </x:c>
      <x:c r="I26" s="18" t="n">
        <x:f>H26*Hypotheses!$B$10</x:f>
        <x:v>589.2083333333334</x:v>
      </x:c>
      <x:c r="J26" s="18" t="n">
        <x:f>H26-I26</x:f>
        <x:v>58331.625</x:v>
      </x:c>
      <x:c r="K26" s="18" t="n">
        <x:f>IF(Hypotheses!$B$30=0,J26,J25)</x:f>
        <x:v>58331.625</x:v>
      </x:c>
      <x:c r="L26" s="18" t="n">
        <x:f>J26/(1+Hypotheses!$B$5)</x:f>
        <x:v>48609.6875</x:v>
      </x:c>
      <x:c r="M26" s="18" t="n">
        <x:f>J26-L26</x:f>
        <x:v>9721.9375</x:v>
      </x:c>
      <x:c r="N26" s="18" t="n">
        <x:f>J26*(Hypotheses!$B$7+Hypotheses!$B$9)+G26*Hypotheses!$B$8*(1-Hypotheses!$B$10)</x:f>
        <x:v>1467.8895</x:v>
      </x:c>
      <x:c r="O26" s="18" t="n">
        <x:f>G26*Hypotheses!$B$6</x:f>
        <x:v>13425</x:v>
      </x:c>
      <x:c r="P26" s="18" t="n">
        <x:f>F26*Hypotheses!$B$12</x:f>
        <x:v>11237.500000000011</x:v>
      </x:c>
      <x:c r="Q26" s="18" t="n">
        <x:f>IF(A26&lt;=6,Hypotheses!$B$18,IF(A26&lt;=12,Hypotheses!$B$19,IF(A26&lt;=24,Hypotheses!$B$20,Hypotheses!$B$21)))</x:f>
        <x:v>9000</x:v>
      </x:c>
      <x:c r="R26" s="18" t="n">
        <x:f>IF(A26&lt;=12,Hypotheses!$B$22,IF(A26&lt;=24,Hypotheses!$B$23,Hypotheses!$B$24))</x:f>
        <x:v>4500</x:v>
      </x:c>
      <x:c r="S26" s="18" t="n">
        <x:f>IF(A26&lt;=6,Hypotheses!$B$17/6,0)</x:f>
        <x:v>0</x:v>
      </x:c>
      <x:c r="T26" s="18" t="n">
        <x:f>S26*Hypotheses!$B$25*Hypotheses!$B$5+Q26*Hypotheses!$B$26*Hypotheses!$B$5+O26*Hypotheses!$B$27*Hypotheses!$B$5+P26*Hypotheses!$B$28*Hypotheses!$B$5</x:f>
        <x:v>3815.750000000002</x:v>
      </x:c>
      <x:c r="U26" s="18" t="n">
        <x:f>MAX(0,U25+T25-M25)</x:f>
        <x:v>0</x:v>
      </x:c>
      <x:c r="V26" s="18" t="n">
        <x:f>MAX(0,M25-T25-U25)</x:f>
        <x:v>5331.750000000001</x:v>
      </x:c>
      <x:c r="W26" s="18" t="n">
        <x:f>N26+O26+P26+Q26+R26+S26+T26</x:f>
        <x:v>43446.13950000001</x:v>
      </x:c>
      <x:c r="X26" s="18" t="n">
        <x:f>K26-W26-V26</x:f>
        <x:v>9553.735499999988</x:v>
      </x:c>
      <x:c r="Y26" s="18" t="n">
        <x:f>Y25+X26</x:f>
        <x:v>-139098.0025</x:v>
      </x:c>
      <x:c r="Z26" s="18" t="n">
        <x:f>Y26</x:f>
        <x:v>-139098.0025</x:v>
      </x:c>
      <x:c r="AA26" s="18" t="n">
        <x:f>MAX(0,-Y26)</x:f>
        <x:v>139098.0025</x:v>
      </x:c>
      <x:c r="AB26" s="18" t="n">
        <x:f>L26-N26-O26</x:f>
        <x:v>33716.798</x:v>
      </x:c>
      <x:c r="AC26" s="20" t="n">
        <x:f>IF(C26=0,0,E26/C26)</x:f>
        <x:v>0.029999999999999995</x:v>
      </x:c>
      <x:c r="AD26" s="18" t="n">
        <x:f>P26/MAX(1,F26)</x:f>
        <x:v>150</x:v>
      </x:c>
      <x:c r="AE26" t="str">
        <x:v>Croissance</x:v>
      </x:c>
    </x:row>
    <x:row r="27" ht="19" customHeight="1">
      <x:c r="A27" t="n">
        <x:v>24</x:v>
      </x:c>
      <x:c r="B27" t="n">
        <x:f>IF(A27&lt;=12,1,IF(A27&lt;=24,2,3))</x:f>
        <x:v>2</x:v>
      </x:c>
      <x:c r="C27" s="18" t="n">
        <x:f>G26</x:f>
        <x:v>745.8333333333334</x:v>
      </x:c>
      <x:c r="D27" s="18" t="n">
        <x:f>IF(A27&lt;Hypotheses!$B$16,0,IF(A27&lt;=12,Hypotheses!$B$13*(A27-Hypotheses!$B$16+1)/(13-Hypotheses!$B$16),IF(A27&lt;=24,Hypotheses!$B$13+(Hypotheses!$B$14-Hypotheses!$B$13)*(A27-12)/12,Hypotheses!$B$14+(Hypotheses!$B$15-Hypotheses!$B$14)*(A27-24)/12)))</x:f>
        <x:v>800</x:v>
      </x:c>
      <x:c r="E27" s="18" t="n">
        <x:f>C27*Hypotheses!$B$11</x:f>
        <x:v>22.375</x:v>
      </x:c>
      <x:c r="F27" s="18" t="n">
        <x:f>MAX(0,D27-C27+E27)</x:f>
        <x:v>76.54166666666663</x:v>
      </x:c>
      <x:c r="G27" s="18" t="n">
        <x:f>C27-E27+F27</x:f>
        <x:v>800</x:v>
      </x:c>
      <x:c r="H27" s="18" t="n">
        <x:f>G27*Hypotheses!$B$4</x:f>
        <x:v>63200</x:v>
      </x:c>
      <x:c r="I27" s="18" t="n">
        <x:f>H27*Hypotheses!$B$10</x:f>
        <x:v>632</x:v>
      </x:c>
      <x:c r="J27" s="18" t="n">
        <x:f>H27-I27</x:f>
        <x:v>62568</x:v>
      </x:c>
      <x:c r="K27" s="18" t="n">
        <x:f>IF(Hypotheses!$B$30=0,J27,J26)</x:f>
        <x:v>62568</x:v>
      </x:c>
      <x:c r="L27" s="18" t="n">
        <x:f>J27/(1+Hypotheses!$B$5)</x:f>
        <x:v>52140</x:v>
      </x:c>
      <x:c r="M27" s="18" t="n">
        <x:f>J27-L27</x:f>
        <x:v>10428</x:v>
      </x:c>
      <x:c r="N27" s="18" t="n">
        <x:f>J27*(Hypotheses!$B$7+Hypotheses!$B$9)+G27*Hypotheses!$B$8*(1-Hypotheses!$B$10)</x:f>
        <x:v>1574.4959999999999</x:v>
      </x:c>
      <x:c r="O27" s="18" t="n">
        <x:f>G27*Hypotheses!$B$6</x:f>
        <x:v>14400</x:v>
      </x:c>
      <x:c r="P27" s="18" t="n">
        <x:f>F27*Hypotheses!$B$12</x:f>
        <x:v>11481.249999999995</x:v>
      </x:c>
      <x:c r="Q27" s="18" t="n">
        <x:f>IF(A27&lt;=6,Hypotheses!$B$18,IF(A27&lt;=12,Hypotheses!$B$19,IF(A27&lt;=24,Hypotheses!$B$20,Hypotheses!$B$21)))</x:f>
        <x:v>9000</x:v>
      </x:c>
      <x:c r="R27" s="18" t="n">
        <x:f>IF(A27&lt;=12,Hypotheses!$B$22,IF(A27&lt;=24,Hypotheses!$B$23,Hypotheses!$B$24))</x:f>
        <x:v>4500</x:v>
      </x:c>
      <x:c r="S27" s="18" t="n">
        <x:f>IF(A27&lt;=6,Hypotheses!$B$17/6,0)</x:f>
        <x:v>0</x:v>
      </x:c>
      <x:c r="T27" s="18" t="n">
        <x:f>S27*Hypotheses!$B$25*Hypotheses!$B$5+Q27*Hypotheses!$B$26*Hypotheses!$B$5+O27*Hypotheses!$B$27*Hypotheses!$B$5+P27*Hypotheses!$B$28*Hypotheses!$B$5</x:f>
        <x:v>3947.374999999999</x:v>
      </x:c>
      <x:c r="U27" s="18" t="n">
        <x:f>MAX(0,U26+T26-M26)</x:f>
        <x:v>0</x:v>
      </x:c>
      <x:c r="V27" s="18" t="n">
        <x:f>MAX(0,M26-T26-U26)</x:f>
        <x:v>5906.187499999998</x:v>
      </x:c>
      <x:c r="W27" s="18" t="n">
        <x:f>N27+O27+P27+Q27+R27+S27+T27</x:f>
        <x:v>44903.12099999999</x:v>
      </x:c>
      <x:c r="X27" s="18" t="n">
        <x:f>K27-W27-V27</x:f>
        <x:v>11758.69150000001</x:v>
      </x:c>
      <x:c r="Y27" s="18" t="n">
        <x:f>Y26+X27</x:f>
        <x:v>-127339.31099999999</x:v>
      </x:c>
      <x:c r="Z27" s="18" t="n">
        <x:f>Y27</x:f>
        <x:v>-127339.31099999999</x:v>
      </x:c>
      <x:c r="AA27" s="18" t="n">
        <x:f>MAX(0,-Y27)</x:f>
        <x:v>127339.31099999999</x:v>
      </x:c>
      <x:c r="AB27" s="18" t="n">
        <x:f>L27-N27-O27</x:f>
        <x:v>36165.504</x:v>
      </x:c>
      <x:c r="AC27" s="20" t="n">
        <x:f>IF(C27=0,0,E27/C27)</x:f>
        <x:v>0.03</x:v>
      </x:c>
      <x:c r="AD27" s="18" t="n">
        <x:f>P27/MAX(1,F27)</x:f>
        <x:v>150</x:v>
      </x:c>
      <x:c r="AE27" t="str">
        <x:v>Croissance</x:v>
      </x:c>
    </x:row>
    <x:row r="28" ht="19" customHeight="1">
      <x:c r="A28" t="n">
        <x:v>25</x:v>
      </x:c>
      <x:c r="B28" t="n">
        <x:f>IF(A28&lt;=12,1,IF(A28&lt;=24,2,3))</x:f>
        <x:v>3</x:v>
      </x:c>
      <x:c r="C28" s="18" t="n">
        <x:f>G27</x:f>
        <x:v>800</x:v>
      </x:c>
      <x:c r="D28" s="18" t="n">
        <x:f>IF(A28&lt;Hypotheses!$B$16,0,IF(A28&lt;=12,Hypotheses!$B$13*(A28-Hypotheses!$B$16+1)/(13-Hypotheses!$B$16),IF(A28&lt;=24,Hypotheses!$B$13+(Hypotheses!$B$14-Hypotheses!$B$13)*(A28-12)/12,Hypotheses!$B$14+(Hypotheses!$B$15-Hypotheses!$B$14)*(A28-24)/12)))</x:f>
        <x:v>941.6666666666666</x:v>
      </x:c>
      <x:c r="E28" s="18" t="n">
        <x:f>C28*Hypotheses!$B$11</x:f>
        <x:v>24</x:v>
      </x:c>
      <x:c r="F28" s="18" t="n">
        <x:f>MAX(0,D28-C28+E28)</x:f>
        <x:v>165.66666666666663</x:v>
      </x:c>
      <x:c r="G28" s="18" t="n">
        <x:f>C28-E28+F28</x:f>
        <x:v>941.6666666666666</x:v>
      </x:c>
      <x:c r="H28" s="18" t="n">
        <x:f>G28*Hypotheses!$B$4</x:f>
        <x:v>74391.66666666666</x:v>
      </x:c>
      <x:c r="I28" s="18" t="n">
        <x:f>H28*Hypotheses!$B$10</x:f>
        <x:v>743.9166666666666</x:v>
      </x:c>
      <x:c r="J28" s="18" t="n">
        <x:f>H28-I28</x:f>
        <x:v>73647.74999999999</x:v>
      </x:c>
      <x:c r="K28" s="18" t="n">
        <x:f>IF(Hypotheses!$B$30=0,J28,J27)</x:f>
        <x:v>73647.74999999999</x:v>
      </x:c>
      <x:c r="L28" s="18" t="n">
        <x:f>J28/(1+Hypotheses!$B$5)</x:f>
        <x:v>61373.12499999999</x:v>
      </x:c>
      <x:c r="M28" s="18" t="n">
        <x:f>J28-L28</x:f>
        <x:v>12274.624999999993</x:v>
      </x:c>
      <x:c r="N28" s="18" t="n">
        <x:f>J28*(Hypotheses!$B$7+Hypotheses!$B$9)+G28*Hypotheses!$B$8*(1-Hypotheses!$B$10)</x:f>
        <x:v>1853.3129999999996</x:v>
      </x:c>
      <x:c r="O28" s="18" t="n">
        <x:f>G28*Hypotheses!$B$6</x:f>
        <x:v>16950</x:v>
      </x:c>
      <x:c r="P28" s="18" t="n">
        <x:f>F28*Hypotheses!$B$12</x:f>
        <x:v>24849.999999999993</x:v>
      </x:c>
      <x:c r="Q28" s="18" t="n">
        <x:f>IF(A28&lt;=6,Hypotheses!$B$18,IF(A28&lt;=12,Hypotheses!$B$19,IF(A28&lt;=24,Hypotheses!$B$20,Hypotheses!$B$21)))</x:f>
        <x:v>16000</x:v>
      </x:c>
      <x:c r="R28" s="18" t="n">
        <x:f>IF(A28&lt;=12,Hypotheses!$B$22,IF(A28&lt;=24,Hypotheses!$B$23,Hypotheses!$B$24))</x:f>
        <x:v>6500</x:v>
      </x:c>
      <x:c r="S28" s="18" t="n">
        <x:f>IF(A28&lt;=6,Hypotheses!$B$17/6,0)</x:f>
        <x:v>0</x:v>
      </x:c>
      <x:c r="T28" s="18" t="n">
        <x:f>S28*Hypotheses!$B$25*Hypotheses!$B$5+Q28*Hypotheses!$B$26*Hypotheses!$B$5+O28*Hypotheses!$B$27*Hypotheses!$B$5+P28*Hypotheses!$B$28*Hypotheses!$B$5</x:f>
        <x:v>6773.999999999998</x:v>
      </x:c>
      <x:c r="U28" s="18" t="n">
        <x:f>MAX(0,U27+T27-M27)</x:f>
        <x:v>0</x:v>
      </x:c>
      <x:c r="V28" s="18" t="n">
        <x:f>MAX(0,M27-T27-U27)</x:f>
        <x:v>6480.625000000001</x:v>
      </x:c>
      <x:c r="W28" s="18" t="n">
        <x:f>N28+O28+P28+Q28+R28+S28+T28</x:f>
        <x:v>72927.313</x:v>
      </x:c>
      <x:c r="X28" s="18" t="n">
        <x:f>K28-W28-V28</x:f>
        <x:v>-5760.18800000001</x:v>
      </x:c>
      <x:c r="Y28" s="18" t="n">
        <x:f>Y27+X28</x:f>
        <x:v>-133099.499</x:v>
      </x:c>
      <x:c r="Z28" s="18" t="n">
        <x:f>Y28</x:f>
        <x:v>-133099.499</x:v>
      </x:c>
      <x:c r="AA28" s="18" t="n">
        <x:f>MAX(0,-Y28)</x:f>
        <x:v>133099.499</x:v>
      </x:c>
      <x:c r="AB28" s="18" t="n">
        <x:f>L28-N28-O28</x:f>
        <x:v>42569.81199999999</x:v>
      </x:c>
      <x:c r="AC28" s="20" t="n">
        <x:f>IF(C28=0,0,E28/C28)</x:f>
        <x:v>0.03</x:v>
      </x:c>
      <x:c r="AD28" s="18" t="n">
        <x:f>P28/MAX(1,F28)</x:f>
        <x:v>150</x:v>
      </x:c>
      <x:c r="AE28" t="str">
        <x:v>Croissance</x:v>
      </x:c>
    </x:row>
    <x:row r="29" ht="19" customHeight="1">
      <x:c r="A29" t="n">
        <x:v>26</x:v>
      </x:c>
      <x:c r="B29" t="n">
        <x:f>IF(A29&lt;=12,1,IF(A29&lt;=24,2,3))</x:f>
        <x:v>3</x:v>
      </x:c>
      <x:c r="C29" s="18" t="n">
        <x:f>G28</x:f>
        <x:v>941.6666666666666</x:v>
      </x:c>
      <x:c r="D29" s="18" t="n">
        <x:f>IF(A29&lt;Hypotheses!$B$16,0,IF(A29&lt;=12,Hypotheses!$B$13*(A29-Hypotheses!$B$16+1)/(13-Hypotheses!$B$16),IF(A29&lt;=24,Hypotheses!$B$13+(Hypotheses!$B$14-Hypotheses!$B$13)*(A29-12)/12,Hypotheses!$B$14+(Hypotheses!$B$15-Hypotheses!$B$14)*(A29-24)/12)))</x:f>
        <x:v>1083.3333333333333</x:v>
      </x:c>
      <x:c r="E29" s="18" t="n">
        <x:f>C29*Hypotheses!$B$11</x:f>
        <x:v>28.249999999999996</x:v>
      </x:c>
      <x:c r="F29" s="18" t="n">
        <x:f>MAX(0,D29-C29+E29)</x:f>
        <x:v>169.91666666666663</x:v>
      </x:c>
      <x:c r="G29" s="18" t="n">
        <x:f>C29-E29+F29</x:f>
        <x:v>1083.3333333333333</x:v>
      </x:c>
      <x:c r="H29" s="18" t="n">
        <x:f>G29*Hypotheses!$B$4</x:f>
        <x:v>85583.33333333333</x:v>
      </x:c>
      <x:c r="I29" s="18" t="n">
        <x:f>H29*Hypotheses!$B$10</x:f>
        <x:v>855.8333333333333</x:v>
      </x:c>
      <x:c r="J29" s="18" t="n">
        <x:f>H29-I29</x:f>
        <x:v>84727.5</x:v>
      </x:c>
      <x:c r="K29" s="18" t="n">
        <x:f>IF(Hypotheses!$B$30=0,J29,J28)</x:f>
        <x:v>84727.5</x:v>
      </x:c>
      <x:c r="L29" s="18" t="n">
        <x:f>J29/(1+Hypotheses!$B$5)</x:f>
        <x:v>70606.25</x:v>
      </x:c>
      <x:c r="M29" s="18" t="n">
        <x:f>J29-L29</x:f>
        <x:v>14121.25</x:v>
      </x:c>
      <x:c r="N29" s="18" t="n">
        <x:f>J29*(Hypotheses!$B$7+Hypotheses!$B$9)+G29*Hypotheses!$B$8*(1-Hypotheses!$B$10)</x:f>
        <x:v>2132.13</x:v>
      </x:c>
      <x:c r="O29" s="18" t="n">
        <x:f>G29*Hypotheses!$B$6</x:f>
        <x:v>19500</x:v>
      </x:c>
      <x:c r="P29" s="18" t="n">
        <x:f>F29*Hypotheses!$B$12</x:f>
        <x:v>25487.499999999993</x:v>
      </x:c>
      <x:c r="Q29" s="18" t="n">
        <x:f>IF(A29&lt;=6,Hypotheses!$B$18,IF(A29&lt;=12,Hypotheses!$B$19,IF(A29&lt;=24,Hypotheses!$B$20,Hypotheses!$B$21)))</x:f>
        <x:v>16000</x:v>
      </x:c>
      <x:c r="R29" s="18" t="n">
        <x:f>IF(A29&lt;=12,Hypotheses!$B$22,IF(A29&lt;=24,Hypotheses!$B$23,Hypotheses!$B$24))</x:f>
        <x:v>6500</x:v>
      </x:c>
      <x:c r="S29" s="18" t="n">
        <x:f>IF(A29&lt;=6,Hypotheses!$B$17/6,0)</x:f>
        <x:v>0</x:v>
      </x:c>
      <x:c r="T29" s="18" t="n">
        <x:f>S29*Hypotheses!$B$25*Hypotheses!$B$5+Q29*Hypotheses!$B$26*Hypotheses!$B$5+O29*Hypotheses!$B$27*Hypotheses!$B$5+P29*Hypotheses!$B$28*Hypotheses!$B$5</x:f>
        <x:v>7118.249999999998</x:v>
      </x:c>
      <x:c r="U29" s="18" t="n">
        <x:f>MAX(0,U28+T28-M28)</x:f>
        <x:v>0</x:v>
      </x:c>
      <x:c r="V29" s="18" t="n">
        <x:f>MAX(0,M28-T28-U28)</x:f>
        <x:v>5500.6249999999945</x:v>
      </x:c>
      <x:c r="W29" s="18" t="n">
        <x:f>N29+O29+P29+Q29+R29+S29+T29</x:f>
        <x:v>76737.87999999999</x:v>
      </x:c>
      <x:c r="X29" s="18" t="n">
        <x:f>K29-W29-V29</x:f>
        <x:v>2488.9950000000154</x:v>
      </x:c>
      <x:c r="Y29" s="18" t="n">
        <x:f>Y28+X29</x:f>
        <x:v>-130610.504</x:v>
      </x:c>
      <x:c r="Z29" s="18" t="n">
        <x:f>Y29</x:f>
        <x:v>-130610.504</x:v>
      </x:c>
      <x:c r="AA29" s="18" t="n">
        <x:f>MAX(0,-Y29)</x:f>
        <x:v>130610.504</x:v>
      </x:c>
      <x:c r="AB29" s="18" t="n">
        <x:f>L29-N29-O29</x:f>
        <x:v>48974.119999999995</x:v>
      </x:c>
      <x:c r="AC29" s="20" t="n">
        <x:f>IF(C29=0,0,E29/C29)</x:f>
        <x:v>0.03</x:v>
      </x:c>
      <x:c r="AD29" s="18" t="n">
        <x:f>P29/MAX(1,F29)</x:f>
        <x:v>150</x:v>
      </x:c>
      <x:c r="AE29" t="str">
        <x:v>Croissance</x:v>
      </x:c>
    </x:row>
    <x:row r="30" ht="19" customHeight="1">
      <x:c r="A30" t="n">
        <x:v>27</x:v>
      </x:c>
      <x:c r="B30" t="n">
        <x:f>IF(A30&lt;=12,1,IF(A30&lt;=24,2,3))</x:f>
        <x:v>3</x:v>
      </x:c>
      <x:c r="C30" s="18" t="n">
        <x:f>G29</x:f>
        <x:v>1083.3333333333333</x:v>
      </x:c>
      <x:c r="D30" s="18" t="n">
        <x:f>IF(A30&lt;Hypotheses!$B$16,0,IF(A30&lt;=12,Hypotheses!$B$13*(A30-Hypotheses!$B$16+1)/(13-Hypotheses!$B$16),IF(A30&lt;=24,Hypotheses!$B$13+(Hypotheses!$B$14-Hypotheses!$B$13)*(A30-12)/12,Hypotheses!$B$14+(Hypotheses!$B$15-Hypotheses!$B$14)*(A30-24)/12)))</x:f>
        <x:v>1225</x:v>
      </x:c>
      <x:c r="E30" s="18" t="n">
        <x:f>C30*Hypotheses!$B$11</x:f>
        <x:v>32.5</x:v>
      </x:c>
      <x:c r="F30" s="18" t="n">
        <x:f>MAX(0,D30-C30+E30)</x:f>
        <x:v>174.16666666666674</x:v>
      </x:c>
      <x:c r="G30" s="18" t="n">
        <x:f>C30-E30+F30</x:f>
        <x:v>1225</x:v>
      </x:c>
      <x:c r="H30" s="18" t="n">
        <x:f>G30*Hypotheses!$B$4</x:f>
        <x:v>96775</x:v>
      </x:c>
      <x:c r="I30" s="18" t="n">
        <x:f>H30*Hypotheses!$B$10</x:f>
        <x:v>967.75</x:v>
      </x:c>
      <x:c r="J30" s="18" t="n">
        <x:f>H30-I30</x:f>
        <x:v>95807.25</x:v>
      </x:c>
      <x:c r="K30" s="18" t="n">
        <x:f>IF(Hypotheses!$B$30=0,J30,J29)</x:f>
        <x:v>95807.25</x:v>
      </x:c>
      <x:c r="L30" s="18" t="n">
        <x:f>J30/(1+Hypotheses!$B$5)</x:f>
        <x:v>79839.375</x:v>
      </x:c>
      <x:c r="M30" s="18" t="n">
        <x:f>J30-L30</x:f>
        <x:v>15967.875</x:v>
      </x:c>
      <x:c r="N30" s="18" t="n">
        <x:f>J30*(Hypotheses!$B$7+Hypotheses!$B$9)+G30*Hypotheses!$B$8*(1-Hypotheses!$B$10)</x:f>
        <x:v>2410.9469999999997</x:v>
      </x:c>
      <x:c r="O30" s="18" t="n">
        <x:f>G30*Hypotheses!$B$6</x:f>
        <x:v>22050</x:v>
      </x:c>
      <x:c r="P30" s="18" t="n">
        <x:f>F30*Hypotheses!$B$12</x:f>
        <x:v>26125.00000000001</x:v>
      </x:c>
      <x:c r="Q30" s="18" t="n">
        <x:f>IF(A30&lt;=6,Hypotheses!$B$18,IF(A30&lt;=12,Hypotheses!$B$19,IF(A30&lt;=24,Hypotheses!$B$20,Hypotheses!$B$21)))</x:f>
        <x:v>16000</x:v>
      </x:c>
      <x:c r="R30" s="18" t="n">
        <x:f>IF(A30&lt;=12,Hypotheses!$B$22,IF(A30&lt;=24,Hypotheses!$B$23,Hypotheses!$B$24))</x:f>
        <x:v>6500</x:v>
      </x:c>
      <x:c r="S30" s="18" t="n">
        <x:f>IF(A30&lt;=6,Hypotheses!$B$17/6,0)</x:f>
        <x:v>0</x:v>
      </x:c>
      <x:c r="T30" s="18" t="n">
        <x:f>S30*Hypotheses!$B$25*Hypotheses!$B$5+Q30*Hypotheses!$B$26*Hypotheses!$B$5+O30*Hypotheses!$B$27*Hypotheses!$B$5+P30*Hypotheses!$B$28*Hypotheses!$B$5</x:f>
        <x:v>7462.500000000002</x:v>
      </x:c>
      <x:c r="U30" s="18" t="n">
        <x:f>MAX(0,U29+T29-M29)</x:f>
        <x:v>0</x:v>
      </x:c>
      <x:c r="V30" s="18" t="n">
        <x:f>MAX(0,M29-T29-U29)</x:f>
        <x:v>7003.000000000002</x:v>
      </x:c>
      <x:c r="W30" s="18" t="n">
        <x:f>N30+O30+P30+Q30+R30+S30+T30</x:f>
        <x:v>80548.44700000001</x:v>
      </x:c>
      <x:c r="X30" s="18" t="n">
        <x:f>K30-W30-V30</x:f>
        <x:v>8255.802999999984</x:v>
      </x:c>
      <x:c r="Y30" s="18" t="n">
        <x:f>Y29+X30</x:f>
        <x:v>-122354.70100000002</x:v>
      </x:c>
      <x:c r="Z30" s="18" t="n">
        <x:f>Y30</x:f>
        <x:v>-122354.70100000002</x:v>
      </x:c>
      <x:c r="AA30" s="18" t="n">
        <x:f>MAX(0,-Y30)</x:f>
        <x:v>122354.70100000002</x:v>
      </x:c>
      <x:c r="AB30" s="18" t="n">
        <x:f>L30-N30-O30</x:f>
        <x:v>55378.428</x:v>
      </x:c>
      <x:c r="AC30" s="20" t="n">
        <x:f>IF(C30=0,0,E30/C30)</x:f>
        <x:v>0.030000000000000002</x:v>
      </x:c>
      <x:c r="AD30" s="18" t="n">
        <x:f>P30/MAX(1,F30)</x:f>
        <x:v>150</x:v>
      </x:c>
      <x:c r="AE30" t="str">
        <x:v>Croissance</x:v>
      </x:c>
    </x:row>
    <x:row r="31" ht="19" customHeight="1">
      <x:c r="A31" t="n">
        <x:v>28</x:v>
      </x:c>
      <x:c r="B31" t="n">
        <x:f>IF(A31&lt;=12,1,IF(A31&lt;=24,2,3))</x:f>
        <x:v>3</x:v>
      </x:c>
      <x:c r="C31" s="18" t="n">
        <x:f>G30</x:f>
        <x:v>1225</x:v>
      </x:c>
      <x:c r="D31" s="18" t="n">
        <x:f>IF(A31&lt;Hypotheses!$B$16,0,IF(A31&lt;=12,Hypotheses!$B$13*(A31-Hypotheses!$B$16+1)/(13-Hypotheses!$B$16),IF(A31&lt;=24,Hypotheses!$B$13+(Hypotheses!$B$14-Hypotheses!$B$13)*(A31-12)/12,Hypotheses!$B$14+(Hypotheses!$B$15-Hypotheses!$B$14)*(A31-24)/12)))</x:f>
        <x:v>1366.6666666666665</x:v>
      </x:c>
      <x:c r="E31" s="18" t="n">
        <x:f>C31*Hypotheses!$B$11</x:f>
        <x:v>36.75</x:v>
      </x:c>
      <x:c r="F31" s="18" t="n">
        <x:f>MAX(0,D31-C31+E31)</x:f>
        <x:v>178.41666666666652</x:v>
      </x:c>
      <x:c r="G31" s="18" t="n">
        <x:f>C31-E31+F31</x:f>
        <x:v>1366.6666666666665</x:v>
      </x:c>
      <x:c r="H31" s="18" t="n">
        <x:f>G31*Hypotheses!$B$4</x:f>
        <x:v>107966.66666666666</x:v>
      </x:c>
      <x:c r="I31" s="18" t="n">
        <x:f>H31*Hypotheses!$B$10</x:f>
        <x:v>1079.6666666666665</x:v>
      </x:c>
      <x:c r="J31" s="18" t="n">
        <x:f>H31-I31</x:f>
        <x:v>106886.99999999999</x:v>
      </x:c>
      <x:c r="K31" s="18" t="n">
        <x:f>IF(Hypotheses!$B$30=0,J31,J30)</x:f>
        <x:v>106886.99999999999</x:v>
      </x:c>
      <x:c r="L31" s="18" t="n">
        <x:f>J31/(1+Hypotheses!$B$5)</x:f>
        <x:v>89072.49999999999</x:v>
      </x:c>
      <x:c r="M31" s="18" t="n">
        <x:f>J31-L31</x:f>
        <x:v>17814.5</x:v>
      </x:c>
      <x:c r="N31" s="18" t="n">
        <x:f>J31*(Hypotheses!$B$7+Hypotheses!$B$9)+G31*Hypotheses!$B$8*(1-Hypotheses!$B$10)</x:f>
        <x:v>2689.7639999999997</x:v>
      </x:c>
      <x:c r="O31" s="18" t="n">
        <x:f>G31*Hypotheses!$B$6</x:f>
        <x:v>24599.999999999996</x:v>
      </x:c>
      <x:c r="P31" s="18" t="n">
        <x:f>F31*Hypotheses!$B$12</x:f>
        <x:v>26762.499999999978</x:v>
      </x:c>
      <x:c r="Q31" s="18" t="n">
        <x:f>IF(A31&lt;=6,Hypotheses!$B$18,IF(A31&lt;=12,Hypotheses!$B$19,IF(A31&lt;=24,Hypotheses!$B$20,Hypotheses!$B$21)))</x:f>
        <x:v>16000</x:v>
      </x:c>
      <x:c r="R31" s="18" t="n">
        <x:f>IF(A31&lt;=12,Hypotheses!$B$22,IF(A31&lt;=24,Hypotheses!$B$23,Hypotheses!$B$24))</x:f>
        <x:v>6500</x:v>
      </x:c>
      <x:c r="S31" s="18" t="n">
        <x:f>IF(A31&lt;=6,Hypotheses!$B$17/6,0)</x:f>
        <x:v>0</x:v>
      </x:c>
      <x:c r="T31" s="18" t="n">
        <x:f>S31*Hypotheses!$B$25*Hypotheses!$B$5+Q31*Hypotheses!$B$26*Hypotheses!$B$5+O31*Hypotheses!$B$27*Hypotheses!$B$5+P31*Hypotheses!$B$28*Hypotheses!$B$5</x:f>
        <x:v>7806.749999999996</x:v>
      </x:c>
      <x:c r="U31" s="18" t="n">
        <x:f>MAX(0,U30+T30-M30)</x:f>
        <x:v>0</x:v>
      </x:c>
      <x:c r="V31" s="18" t="n">
        <x:f>MAX(0,M30-T30-U30)</x:f>
        <x:v>8505.374999999998</x:v>
      </x:c>
      <x:c r="W31" s="18" t="n">
        <x:f>N31+O31+P31+Q31+R31+S31+T31</x:f>
        <x:v>84359.01399999997</x:v>
      </x:c>
      <x:c r="X31" s="18" t="n">
        <x:f>K31-W31-V31</x:f>
        <x:v>14022.61100000002</x:v>
      </x:c>
      <x:c r="Y31" s="18" t="n">
        <x:f>Y30+X31</x:f>
        <x:v>-108332.09</x:v>
      </x:c>
      <x:c r="Z31" s="18" t="n">
        <x:f>Y31</x:f>
        <x:v>-108332.09</x:v>
      </x:c>
      <x:c r="AA31" s="18" t="n">
        <x:f>MAX(0,-Y31)</x:f>
        <x:v>108332.09</x:v>
      </x:c>
      <x:c r="AB31" s="18" t="n">
        <x:f>L31-N31-O31</x:f>
        <x:v>61782.73599999999</x:v>
      </x:c>
      <x:c r="AC31" s="20" t="n">
        <x:f>IF(C31=0,0,E31/C31)</x:f>
        <x:v>0.03</x:v>
      </x:c>
      <x:c r="AD31" s="18" t="n">
        <x:f>P31/MAX(1,F31)</x:f>
        <x:v>150</x:v>
      </x:c>
      <x:c r="AE31" t="str">
        <x:v>Croissance</x:v>
      </x:c>
    </x:row>
    <x:row r="32" ht="19" customHeight="1">
      <x:c r="A32" t="n">
        <x:v>29</x:v>
      </x:c>
      <x:c r="B32" t="n">
        <x:f>IF(A32&lt;=12,1,IF(A32&lt;=24,2,3))</x:f>
        <x:v>3</x:v>
      </x:c>
      <x:c r="C32" s="18" t="n">
        <x:f>G31</x:f>
        <x:v>1366.6666666666665</x:v>
      </x:c>
      <x:c r="D32" s="18" t="n">
        <x:f>IF(A32&lt;Hypotheses!$B$16,0,IF(A32&lt;=12,Hypotheses!$B$13*(A32-Hypotheses!$B$16+1)/(13-Hypotheses!$B$16),IF(A32&lt;=24,Hypotheses!$B$13+(Hypotheses!$B$14-Hypotheses!$B$13)*(A32-12)/12,Hypotheses!$B$14+(Hypotheses!$B$15-Hypotheses!$B$14)*(A32-24)/12)))</x:f>
        <x:v>1508.3333333333335</x:v>
      </x:c>
      <x:c r="E32" s="18" t="n">
        <x:f>C32*Hypotheses!$B$11</x:f>
        <x:v>40.99999999999999</x:v>
      </x:c>
      <x:c r="F32" s="18" t="n">
        <x:f>MAX(0,D32-C32+E32)</x:f>
        <x:v>182.66666666666697</x:v>
      </x:c>
      <x:c r="G32" s="18" t="n">
        <x:f>C32-E32+F32</x:f>
        <x:v>1508.3333333333335</x:v>
      </x:c>
      <x:c r="H32" s="18" t="n">
        <x:f>G32*Hypotheses!$B$4</x:f>
        <x:v>119158.33333333334</x:v>
      </x:c>
      <x:c r="I32" s="18" t="n">
        <x:f>H32*Hypotheses!$B$10</x:f>
        <x:v>1191.5833333333335</x:v>
      </x:c>
      <x:c r="J32" s="18" t="n">
        <x:f>H32-I32</x:f>
        <x:v>117966.75000000001</x:v>
      </x:c>
      <x:c r="K32" s="18" t="n">
        <x:f>IF(Hypotheses!$B$30=0,J32,J31)</x:f>
        <x:v>117966.75000000001</x:v>
      </x:c>
      <x:c r="L32" s="18" t="n">
        <x:f>J32/(1+Hypotheses!$B$5)</x:f>
        <x:v>98305.62500000001</x:v>
      </x:c>
      <x:c r="M32" s="18" t="n">
        <x:f>J32-L32</x:f>
        <x:v>19661.125</x:v>
      </x:c>
      <x:c r="N32" s="18" t="n">
        <x:f>J32*(Hypotheses!$B$7+Hypotheses!$B$9)+G32*Hypotheses!$B$8*(1-Hypotheses!$B$10)</x:f>
        <x:v>2968.581</x:v>
      </x:c>
      <x:c r="O32" s="18" t="n">
        <x:f>G32*Hypotheses!$B$6</x:f>
        <x:v>27150.000000000004</x:v>
      </x:c>
      <x:c r="P32" s="18" t="n">
        <x:f>F32*Hypotheses!$B$12</x:f>
        <x:v>27400.000000000044</x:v>
      </x:c>
      <x:c r="Q32" s="18" t="n">
        <x:f>IF(A32&lt;=6,Hypotheses!$B$18,IF(A32&lt;=12,Hypotheses!$B$19,IF(A32&lt;=24,Hypotheses!$B$20,Hypotheses!$B$21)))</x:f>
        <x:v>16000</x:v>
      </x:c>
      <x:c r="R32" s="18" t="n">
        <x:f>IF(A32&lt;=12,Hypotheses!$B$22,IF(A32&lt;=24,Hypotheses!$B$23,Hypotheses!$B$24))</x:f>
        <x:v>6500</x:v>
      </x:c>
      <x:c r="S32" s="18" t="n">
        <x:f>IF(A32&lt;=6,Hypotheses!$B$17/6,0)</x:f>
        <x:v>0</x:v>
      </x:c>
      <x:c r="T32" s="18" t="n">
        <x:f>S32*Hypotheses!$B$25*Hypotheses!$B$5+Q32*Hypotheses!$B$26*Hypotheses!$B$5+O32*Hypotheses!$B$27*Hypotheses!$B$5+P32*Hypotheses!$B$28*Hypotheses!$B$5</x:f>
        <x:v>8151.0000000000055</x:v>
      </x:c>
      <x:c r="U32" s="18" t="n">
        <x:f>MAX(0,U31+T31-M31)</x:f>
        <x:v>0</x:v>
      </x:c>
      <x:c r="V32" s="18" t="n">
        <x:f>MAX(0,M31-T31-U31)</x:f>
        <x:v>10007.750000000004</x:v>
      </x:c>
      <x:c r="W32" s="18" t="n">
        <x:f>N32+O32+P32+Q32+R32+S32+T32</x:f>
        <x:v>88169.58100000005</x:v>
      </x:c>
      <x:c r="X32" s="18" t="n">
        <x:f>K32-W32-V32</x:f>
        <x:v>19789.41899999996</x:v>
      </x:c>
      <x:c r="Y32" s="18" t="n">
        <x:f>Y31+X32</x:f>
        <x:v>-88542.67100000003</x:v>
      </x:c>
      <x:c r="Z32" s="18" t="n">
        <x:f>Y32</x:f>
        <x:v>-88542.67100000003</x:v>
      </x:c>
      <x:c r="AA32" s="18" t="n">
        <x:f>MAX(0,-Y32)</x:f>
        <x:v>88542.67100000003</x:v>
      </x:c>
      <x:c r="AB32" s="18" t="n">
        <x:f>L32-N32-O32</x:f>
        <x:v>68187.04400000001</x:v>
      </x:c>
      <x:c r="AC32" s="20" t="n">
        <x:f>IF(C32=0,0,E32/C32)</x:f>
        <x:v>0.03</x:v>
      </x:c>
      <x:c r="AD32" s="18" t="n">
        <x:f>P32/MAX(1,F32)</x:f>
        <x:v>150</x:v>
      </x:c>
      <x:c r="AE32" t="str">
        <x:v>Croissance</x:v>
      </x:c>
    </x:row>
    <x:row r="33" ht="19" customHeight="1">
      <x:c r="A33" t="n">
        <x:v>30</x:v>
      </x:c>
      <x:c r="B33" t="n">
        <x:f>IF(A33&lt;=12,1,IF(A33&lt;=24,2,3))</x:f>
        <x:v>3</x:v>
      </x:c>
      <x:c r="C33" s="18" t="n">
        <x:f>G32</x:f>
        <x:v>1508.3333333333335</x:v>
      </x:c>
      <x:c r="D33" s="18" t="n">
        <x:f>IF(A33&lt;Hypotheses!$B$16,0,IF(A33&lt;=12,Hypotheses!$B$13*(A33-Hypotheses!$B$16+1)/(13-Hypotheses!$B$16),IF(A33&lt;=24,Hypotheses!$B$13+(Hypotheses!$B$14-Hypotheses!$B$13)*(A33-12)/12,Hypotheses!$B$14+(Hypotheses!$B$15-Hypotheses!$B$14)*(A33-24)/12)))</x:f>
        <x:v>1650</x:v>
      </x:c>
      <x:c r="E33" s="18" t="n">
        <x:f>C33*Hypotheses!$B$11</x:f>
        <x:v>45.25</x:v>
      </x:c>
      <x:c r="F33" s="18" t="n">
        <x:f>MAX(0,D33-C33+E33)</x:f>
        <x:v>186.91666666666652</x:v>
      </x:c>
      <x:c r="G33" s="18" t="n">
        <x:f>C33-E33+F33</x:f>
        <x:v>1650</x:v>
      </x:c>
      <x:c r="H33" s="18" t="n">
        <x:f>G33*Hypotheses!$B$4</x:f>
        <x:v>130350</x:v>
      </x:c>
      <x:c r="I33" s="18" t="n">
        <x:f>H33*Hypotheses!$B$10</x:f>
        <x:v>1303.5</x:v>
      </x:c>
      <x:c r="J33" s="18" t="n">
        <x:f>H33-I33</x:f>
        <x:v>129046.5</x:v>
      </x:c>
      <x:c r="K33" s="18" t="n">
        <x:f>IF(Hypotheses!$B$30=0,J33,J32)</x:f>
        <x:v>129046.5</x:v>
      </x:c>
      <x:c r="L33" s="18" t="n">
        <x:f>J33/(1+Hypotheses!$B$5)</x:f>
        <x:v>107538.75</x:v>
      </x:c>
      <x:c r="M33" s="18" t="n">
        <x:f>J33-L33</x:f>
        <x:v>21507.75</x:v>
      </x:c>
      <x:c r="N33" s="18" t="n">
        <x:f>J33*(Hypotheses!$B$7+Hypotheses!$B$9)+G33*Hypotheses!$B$8*(1-Hypotheses!$B$10)</x:f>
        <x:v>3247.3979999999997</x:v>
      </x:c>
      <x:c r="O33" s="18" t="n">
        <x:f>G33*Hypotheses!$B$6</x:f>
        <x:v>29700</x:v>
      </x:c>
      <x:c r="P33" s="18" t="n">
        <x:f>F33*Hypotheses!$B$12</x:f>
        <x:v>28037.499999999978</x:v>
      </x:c>
      <x:c r="Q33" s="18" t="n">
        <x:f>IF(A33&lt;=6,Hypotheses!$B$18,IF(A33&lt;=12,Hypotheses!$B$19,IF(A33&lt;=24,Hypotheses!$B$20,Hypotheses!$B$21)))</x:f>
        <x:v>16000</x:v>
      </x:c>
      <x:c r="R33" s="18" t="n">
        <x:f>IF(A33&lt;=12,Hypotheses!$B$22,IF(A33&lt;=24,Hypotheses!$B$23,Hypotheses!$B$24))</x:f>
        <x:v>6500</x:v>
      </x:c>
      <x:c r="S33" s="18" t="n">
        <x:f>IF(A33&lt;=6,Hypotheses!$B$17/6,0)</x:f>
        <x:v>0</x:v>
      </x:c>
      <x:c r="T33" s="18" t="n">
        <x:f>S33*Hypotheses!$B$25*Hypotheses!$B$5+Q33*Hypotheses!$B$26*Hypotheses!$B$5+O33*Hypotheses!$B$27*Hypotheses!$B$5+P33*Hypotheses!$B$28*Hypotheses!$B$5</x:f>
        <x:v>8495.249999999996</x:v>
      </x:c>
      <x:c r="U33" s="18" t="n">
        <x:f>MAX(0,U32+T32-M32)</x:f>
        <x:v>0</x:v>
      </x:c>
      <x:c r="V33" s="18" t="n">
        <x:f>MAX(0,M32-T32-U32)</x:f>
        <x:v>11510.124999999995</x:v>
      </x:c>
      <x:c r="W33" s="18" t="n">
        <x:f>N33+O33+P33+Q33+R33+S33+T33</x:f>
        <x:v>91980.14799999999</x:v>
      </x:c>
      <x:c r="X33" s="18" t="n">
        <x:f>K33-W33-V33</x:f>
        <x:v>25556.22700000002</x:v>
      </x:c>
      <x:c r="Y33" s="18" t="n">
        <x:f>Y32+X33</x:f>
        <x:v>-62986.44400000001</x:v>
      </x:c>
      <x:c r="Z33" s="18" t="n">
        <x:f>Y33</x:f>
        <x:v>-62986.44400000001</x:v>
      </x:c>
      <x:c r="AA33" s="18" t="n">
        <x:f>MAX(0,-Y33)</x:f>
        <x:v>62986.44400000001</x:v>
      </x:c>
      <x:c r="AB33" s="18" t="n">
        <x:f>L33-N33-O33</x:f>
        <x:v>74591.352</x:v>
      </x:c>
      <x:c r="AC33" s="20" t="n">
        <x:f>IF(C33=0,0,E33/C33)</x:f>
        <x:v>0.029999999999999995</x:v>
      </x:c>
      <x:c r="AD33" s="18" t="n">
        <x:f>P33/MAX(1,F33)</x:f>
        <x:v>150</x:v>
      </x:c>
      <x:c r="AE33" t="str">
        <x:v>Croissance</x:v>
      </x:c>
    </x:row>
    <x:row r="34" ht="19" customHeight="1">
      <x:c r="A34" t="n">
        <x:v>31</x:v>
      </x:c>
      <x:c r="B34" t="n">
        <x:f>IF(A34&lt;=12,1,IF(A34&lt;=24,2,3))</x:f>
        <x:v>3</x:v>
      </x:c>
      <x:c r="C34" s="18" t="n">
        <x:f>G33</x:f>
        <x:v>1650</x:v>
      </x:c>
      <x:c r="D34" s="18" t="n">
        <x:f>IF(A34&lt;Hypotheses!$B$16,0,IF(A34&lt;=12,Hypotheses!$B$13*(A34-Hypotheses!$B$16+1)/(13-Hypotheses!$B$16),IF(A34&lt;=24,Hypotheses!$B$13+(Hypotheses!$B$14-Hypotheses!$B$13)*(A34-12)/12,Hypotheses!$B$14+(Hypotheses!$B$15-Hypotheses!$B$14)*(A34-24)/12)))</x:f>
        <x:v>1791.6666666666665</x:v>
      </x:c>
      <x:c r="E34" s="18" t="n">
        <x:f>C34*Hypotheses!$B$11</x:f>
        <x:v>49.5</x:v>
      </x:c>
      <x:c r="F34" s="18" t="n">
        <x:f>MAX(0,D34-C34+E34)</x:f>
        <x:v>191.16666666666652</x:v>
      </x:c>
      <x:c r="G34" s="18" t="n">
        <x:f>C34-E34+F34</x:f>
        <x:v>1791.6666666666665</x:v>
      </x:c>
      <x:c r="H34" s="18" t="n">
        <x:f>G34*Hypotheses!$B$4</x:f>
        <x:v>141541.66666666666</x:v>
      </x:c>
      <x:c r="I34" s="18" t="n">
        <x:f>H34*Hypotheses!$B$10</x:f>
        <x:v>1415.4166666666665</x:v>
      </x:c>
      <x:c r="J34" s="18" t="n">
        <x:f>H34-I34</x:f>
        <x:v>140126.25</x:v>
      </x:c>
      <x:c r="K34" s="18" t="n">
        <x:f>IF(Hypotheses!$B$30=0,J34,J33)</x:f>
        <x:v>140126.25</x:v>
      </x:c>
      <x:c r="L34" s="18" t="n">
        <x:f>J34/(1+Hypotheses!$B$5)</x:f>
        <x:v>116771.875</x:v>
      </x:c>
      <x:c r="M34" s="18" t="n">
        <x:f>J34-L34</x:f>
        <x:v>23354.375</x:v>
      </x:c>
      <x:c r="N34" s="18" t="n">
        <x:f>J34*(Hypotheses!$B$7+Hypotheses!$B$9)+G34*Hypotheses!$B$8*(1-Hypotheses!$B$10)</x:f>
        <x:v>3526.2149999999997</x:v>
      </x:c>
      <x:c r="O34" s="18" t="n">
        <x:f>G34*Hypotheses!$B$6</x:f>
        <x:v>32249.999999999996</x:v>
      </x:c>
      <x:c r="P34" s="18" t="n">
        <x:f>F34*Hypotheses!$B$12</x:f>
        <x:v>28674.999999999978</x:v>
      </x:c>
      <x:c r="Q34" s="18" t="n">
        <x:f>IF(A34&lt;=6,Hypotheses!$B$18,IF(A34&lt;=12,Hypotheses!$B$19,IF(A34&lt;=24,Hypotheses!$B$20,Hypotheses!$B$21)))</x:f>
        <x:v>16000</x:v>
      </x:c>
      <x:c r="R34" s="18" t="n">
        <x:f>IF(A34&lt;=12,Hypotheses!$B$22,IF(A34&lt;=24,Hypotheses!$B$23,Hypotheses!$B$24))</x:f>
        <x:v>6500</x:v>
      </x:c>
      <x:c r="S34" s="18" t="n">
        <x:f>IF(A34&lt;=6,Hypotheses!$B$17/6,0)</x:f>
        <x:v>0</x:v>
      </x:c>
      <x:c r="T34" s="18" t="n">
        <x:f>S34*Hypotheses!$B$25*Hypotheses!$B$5+Q34*Hypotheses!$B$26*Hypotheses!$B$5+O34*Hypotheses!$B$27*Hypotheses!$B$5+P34*Hypotheses!$B$28*Hypotheses!$B$5</x:f>
        <x:v>8839.499999999996</x:v>
      </x:c>
      <x:c r="U34" s="18" t="n">
        <x:f>MAX(0,U33+T33-M33)</x:f>
        <x:v>0</x:v>
      </x:c>
      <x:c r="V34" s="18" t="n">
        <x:f>MAX(0,M33-T33-U33)</x:f>
        <x:v>13012.500000000004</x:v>
      </x:c>
      <x:c r="W34" s="18" t="n">
        <x:f>N34+O34+P34+Q34+R34+S34+T34</x:f>
        <x:v>95790.71499999997</x:v>
      </x:c>
      <x:c r="X34" s="18" t="n">
        <x:f>K34-W34-V34</x:f>
        <x:v>31323.03500000003</x:v>
      </x:c>
      <x:c r="Y34" s="18" t="n">
        <x:f>Y33+X34</x:f>
        <x:v>-31663.40899999998</x:v>
      </x:c>
      <x:c r="Z34" s="18" t="n">
        <x:f>Y34</x:f>
        <x:v>-31663.40899999998</x:v>
      </x:c>
      <x:c r="AA34" s="18" t="n">
        <x:f>MAX(0,-Y34)</x:f>
        <x:v>31663.40899999998</x:v>
      </x:c>
      <x:c r="AB34" s="18" t="n">
        <x:f>L34-N34-O34</x:f>
        <x:v>80995.66</x:v>
      </x:c>
      <x:c r="AC34" s="20" t="n">
        <x:f>IF(C34=0,0,E34/C34)</x:f>
        <x:v>0.03</x:v>
      </x:c>
      <x:c r="AD34" s="18" t="n">
        <x:f>P34/MAX(1,F34)</x:f>
        <x:v>150</x:v>
      </x:c>
      <x:c r="AE34" t="str">
        <x:v>Croissance</x:v>
      </x:c>
    </x:row>
    <x:row r="35" ht="19" customHeight="1">
      <x:c r="A35" t="n">
        <x:v>32</x:v>
      </x:c>
      <x:c r="B35" t="n">
        <x:f>IF(A35&lt;=12,1,IF(A35&lt;=24,2,3))</x:f>
        <x:v>3</x:v>
      </x:c>
      <x:c r="C35" s="18" t="n">
        <x:f>G34</x:f>
        <x:v>1791.6666666666665</x:v>
      </x:c>
      <x:c r="D35" s="18" t="n">
        <x:f>IF(A35&lt;Hypotheses!$B$16,0,IF(A35&lt;=12,Hypotheses!$B$13*(A35-Hypotheses!$B$16+1)/(13-Hypotheses!$B$16),IF(A35&lt;=24,Hypotheses!$B$13+(Hypotheses!$B$14-Hypotheses!$B$13)*(A35-12)/12,Hypotheses!$B$14+(Hypotheses!$B$15-Hypotheses!$B$14)*(A35-24)/12)))</x:f>
        <x:v>1933.3333333333333</x:v>
      </x:c>
      <x:c r="E35" s="18" t="n">
        <x:f>C35*Hypotheses!$B$11</x:f>
        <x:v>53.74999999999999</x:v>
      </x:c>
      <x:c r="F35" s="18" t="n">
        <x:f>MAX(0,D35-C35+E35)</x:f>
        <x:v>195.41666666666674</x:v>
      </x:c>
      <x:c r="G35" s="18" t="n">
        <x:f>C35-E35+F35</x:f>
        <x:v>1933.3333333333333</x:v>
      </x:c>
      <x:c r="H35" s="18" t="n">
        <x:f>G35*Hypotheses!$B$4</x:f>
        <x:v>152733.3333333333</x:v>
      </x:c>
      <x:c r="I35" s="18" t="n">
        <x:f>H35*Hypotheses!$B$10</x:f>
        <x:v>1527.3333333333333</x:v>
      </x:c>
      <x:c r="J35" s="18" t="n">
        <x:f>H35-I35</x:f>
        <x:v>151205.99999999997</x:v>
      </x:c>
      <x:c r="K35" s="18" t="n">
        <x:f>IF(Hypotheses!$B$30=0,J35,J34)</x:f>
        <x:v>151205.99999999997</x:v>
      </x:c>
      <x:c r="L35" s="18" t="n">
        <x:f>J35/(1+Hypotheses!$B$5)</x:f>
        <x:v>126004.99999999999</x:v>
      </x:c>
      <x:c r="M35" s="18" t="n">
        <x:f>J35-L35</x:f>
        <x:v>25200.999999999985</x:v>
      </x:c>
      <x:c r="N35" s="18" t="n">
        <x:f>J35*(Hypotheses!$B$7+Hypotheses!$B$9)+G35*Hypotheses!$B$8*(1-Hypotheses!$B$10)</x:f>
        <x:v>3805.0319999999992</x:v>
      </x:c>
      <x:c r="O35" s="18" t="n">
        <x:f>G35*Hypotheses!$B$6</x:f>
        <x:v>34800</x:v>
      </x:c>
      <x:c r="P35" s="18" t="n">
        <x:f>F35*Hypotheses!$B$12</x:f>
        <x:v>29312.50000000001</x:v>
      </x:c>
      <x:c r="Q35" s="18" t="n">
        <x:f>IF(A35&lt;=6,Hypotheses!$B$18,IF(A35&lt;=12,Hypotheses!$B$19,IF(A35&lt;=24,Hypotheses!$B$20,Hypotheses!$B$21)))</x:f>
        <x:v>16000</x:v>
      </x:c>
      <x:c r="R35" s="18" t="n">
        <x:f>IF(A35&lt;=12,Hypotheses!$B$22,IF(A35&lt;=24,Hypotheses!$B$23,Hypotheses!$B$24))</x:f>
        <x:v>6500</x:v>
      </x:c>
      <x:c r="S35" s="18" t="n">
        <x:f>IF(A35&lt;=6,Hypotheses!$B$17/6,0)</x:f>
        <x:v>0</x:v>
      </x:c>
      <x:c r="T35" s="18" t="n">
        <x:f>S35*Hypotheses!$B$25*Hypotheses!$B$5+Q35*Hypotheses!$B$26*Hypotheses!$B$5+O35*Hypotheses!$B$27*Hypotheses!$B$5+P35*Hypotheses!$B$28*Hypotheses!$B$5</x:f>
        <x:v>9183.750000000002</x:v>
      </x:c>
      <x:c r="U35" s="18" t="n">
        <x:f>MAX(0,U34+T34-M34)</x:f>
        <x:v>0</x:v>
      </x:c>
      <x:c r="V35" s="18" t="n">
        <x:f>MAX(0,M34-T34-U34)</x:f>
        <x:v>14514.875000000004</x:v>
      </x:c>
      <x:c r="W35" s="18" t="n">
        <x:f>N35+O35+P35+Q35+R35+S35+T35</x:f>
        <x:v>99601.282</x:v>
      </x:c>
      <x:c r="X35" s="18" t="n">
        <x:f>K35-W35-V35</x:f>
        <x:v>37089.842999999964</x:v>
      </x:c>
      <x:c r="Y35" s="18" t="n">
        <x:f>Y34+X35</x:f>
        <x:v>5426.433999999983</x:v>
      </x:c>
      <x:c r="Z35" s="18" t="n">
        <x:f>Y35</x:f>
        <x:v>5426.433999999983</x:v>
      </x:c>
      <x:c r="AA35" s="18" t="n">
        <x:f>MAX(0,-Y35)</x:f>
        <x:v>0</x:v>
      </x:c>
      <x:c r="AB35" s="18" t="n">
        <x:f>L35-N35-O35</x:f>
        <x:v>87399.968</x:v>
      </x:c>
      <x:c r="AC35" s="20" t="n">
        <x:f>IF(C35=0,0,E35/C35)</x:f>
        <x:v>0.03</x:v>
      </x:c>
      <x:c r="AD35" s="18" t="n">
        <x:f>P35/MAX(1,F35)</x:f>
        <x:v>150</x:v>
      </x:c>
      <x:c r="AE35" t="str">
        <x:v>Croissance</x:v>
      </x:c>
    </x:row>
    <x:row r="36" ht="19" customHeight="1">
      <x:c r="A36" t="n">
        <x:v>33</x:v>
      </x:c>
      <x:c r="B36" t="n">
        <x:f>IF(A36&lt;=12,1,IF(A36&lt;=24,2,3))</x:f>
        <x:v>3</x:v>
      </x:c>
      <x:c r="C36" s="18" t="n">
        <x:f>G35</x:f>
        <x:v>1933.3333333333333</x:v>
      </x:c>
      <x:c r="D36" s="18" t="n">
        <x:f>IF(A36&lt;Hypotheses!$B$16,0,IF(A36&lt;=12,Hypotheses!$B$13*(A36-Hypotheses!$B$16+1)/(13-Hypotheses!$B$16),IF(A36&lt;=24,Hypotheses!$B$13+(Hypotheses!$B$14-Hypotheses!$B$13)*(A36-12)/12,Hypotheses!$B$14+(Hypotheses!$B$15-Hypotheses!$B$14)*(A36-24)/12)))</x:f>
        <x:v>2075</x:v>
      </x:c>
      <x:c r="E36" s="18" t="n">
        <x:f>C36*Hypotheses!$B$11</x:f>
        <x:v>57.99999999999999</x:v>
      </x:c>
      <x:c r="F36" s="18" t="n">
        <x:f>MAX(0,D36-C36+E36)</x:f>
        <x:v>199.66666666666674</x:v>
      </x:c>
      <x:c r="G36" s="18" t="n">
        <x:f>C36-E36+F36</x:f>
        <x:v>2075</x:v>
      </x:c>
      <x:c r="H36" s="18" t="n">
        <x:f>G36*Hypotheses!$B$4</x:f>
        <x:v>163925</x:v>
      </x:c>
      <x:c r="I36" s="18" t="n">
        <x:f>H36*Hypotheses!$B$10</x:f>
        <x:v>1639.25</x:v>
      </x:c>
      <x:c r="J36" s="18" t="n">
        <x:f>H36-I36</x:f>
        <x:v>162285.75</x:v>
      </x:c>
      <x:c r="K36" s="18" t="n">
        <x:f>IF(Hypotheses!$B$30=0,J36,J35)</x:f>
        <x:v>162285.75</x:v>
      </x:c>
      <x:c r="L36" s="18" t="n">
        <x:f>J36/(1+Hypotheses!$B$5)</x:f>
        <x:v>135238.125</x:v>
      </x:c>
      <x:c r="M36" s="18" t="n">
        <x:f>J36-L36</x:f>
        <x:v>27047.625</x:v>
      </x:c>
      <x:c r="N36" s="18" t="n">
        <x:f>J36*(Hypotheses!$B$7+Hypotheses!$B$9)+G36*Hypotheses!$B$8*(1-Hypotheses!$B$10)</x:f>
        <x:v>4083.8489999999997</x:v>
      </x:c>
      <x:c r="O36" s="18" t="n">
        <x:f>G36*Hypotheses!$B$6</x:f>
        <x:v>37350</x:v>
      </x:c>
      <x:c r="P36" s="18" t="n">
        <x:f>F36*Hypotheses!$B$12</x:f>
        <x:v>29950.00000000001</x:v>
      </x:c>
      <x:c r="Q36" s="18" t="n">
        <x:f>IF(A36&lt;=6,Hypotheses!$B$18,IF(A36&lt;=12,Hypotheses!$B$19,IF(A36&lt;=24,Hypotheses!$B$20,Hypotheses!$B$21)))</x:f>
        <x:v>16000</x:v>
      </x:c>
      <x:c r="R36" s="18" t="n">
        <x:f>IF(A36&lt;=12,Hypotheses!$B$22,IF(A36&lt;=24,Hypotheses!$B$23,Hypotheses!$B$24))</x:f>
        <x:v>6500</x:v>
      </x:c>
      <x:c r="S36" s="18" t="n">
        <x:f>IF(A36&lt;=6,Hypotheses!$B$17/6,0)</x:f>
        <x:v>0</x:v>
      </x:c>
      <x:c r="T36" s="18" t="n">
        <x:f>S36*Hypotheses!$B$25*Hypotheses!$B$5+Q36*Hypotheses!$B$26*Hypotheses!$B$5+O36*Hypotheses!$B$27*Hypotheses!$B$5+P36*Hypotheses!$B$28*Hypotheses!$B$5</x:f>
        <x:v>9528.000000000002</x:v>
      </x:c>
      <x:c r="U36" s="18" t="n">
        <x:f>MAX(0,U35+T35-M35)</x:f>
        <x:v>0</x:v>
      </x:c>
      <x:c r="V36" s="18" t="n">
        <x:f>MAX(0,M35-T35-U35)</x:f>
        <x:v>16017.249999999984</x:v>
      </x:c>
      <x:c r="W36" s="18" t="n">
        <x:f>N36+O36+P36+Q36+R36+S36+T36</x:f>
        <x:v>103411.84900000002</x:v>
      </x:c>
      <x:c r="X36" s="18" t="n">
        <x:f>K36-W36-V36</x:f>
        <x:v>42856.651</x:v>
      </x:c>
      <x:c r="Y36" s="18" t="n">
        <x:f>Y35+X36</x:f>
        <x:v>48283.08499999998</x:v>
      </x:c>
      <x:c r="Z36" s="18" t="n">
        <x:f>Y36</x:f>
        <x:v>48283.08499999998</x:v>
      </x:c>
      <x:c r="AA36" s="18" t="n">
        <x:f>MAX(0,-Y36)</x:f>
        <x:v>0</x:v>
      </x:c>
      <x:c r="AB36" s="18" t="n">
        <x:f>L36-N36-O36</x:f>
        <x:v>93804.27600000001</x:v>
      </x:c>
      <x:c r="AC36" s="20" t="n">
        <x:f>IF(C36=0,0,E36/C36)</x:f>
        <x:v>0.03</x:v>
      </x:c>
      <x:c r="AD36" s="18" t="n">
        <x:f>P36/MAX(1,F36)</x:f>
        <x:v>150</x:v>
      </x:c>
      <x:c r="AE36" t="str">
        <x:v>Croissance</x:v>
      </x:c>
    </x:row>
    <x:row r="37" ht="19" customHeight="1">
      <x:c r="A37" t="n">
        <x:v>34</x:v>
      </x:c>
      <x:c r="B37" t="n">
        <x:f>IF(A37&lt;=12,1,IF(A37&lt;=24,2,3))</x:f>
        <x:v>3</x:v>
      </x:c>
      <x:c r="C37" s="18" t="n">
        <x:f>G36</x:f>
        <x:v>2075</x:v>
      </x:c>
      <x:c r="D37" s="18" t="n">
        <x:f>IF(A37&lt;Hypotheses!$B$16,0,IF(A37&lt;=12,Hypotheses!$B$13*(A37-Hypotheses!$B$16+1)/(13-Hypotheses!$B$16),IF(A37&lt;=24,Hypotheses!$B$13+(Hypotheses!$B$14-Hypotheses!$B$13)*(A37-12)/12,Hypotheses!$B$14+(Hypotheses!$B$15-Hypotheses!$B$14)*(A37-24)/12)))</x:f>
        <x:v>2216.666666666667</x:v>
      </x:c>
      <x:c r="E37" s="18" t="n">
        <x:f>C37*Hypotheses!$B$11</x:f>
        <x:v>62.25</x:v>
      </x:c>
      <x:c r="F37" s="18" t="n">
        <x:f>MAX(0,D37-C37+E37)</x:f>
        <x:v>203.91666666666697</x:v>
      </x:c>
      <x:c r="G37" s="18" t="n">
        <x:f>C37-E37+F37</x:f>
        <x:v>2216.666666666667</x:v>
      </x:c>
      <x:c r="H37" s="18" t="n">
        <x:f>G37*Hypotheses!$B$4</x:f>
        <x:v>175116.6666666667</x:v>
      </x:c>
      <x:c r="I37" s="18" t="n">
        <x:f>H37*Hypotheses!$B$10</x:f>
        <x:v>1751.166666666667</x:v>
      </x:c>
      <x:c r="J37" s="18" t="n">
        <x:f>H37-I37</x:f>
        <x:v>173365.50000000003</x:v>
      </x:c>
      <x:c r="K37" s="18" t="n">
        <x:f>IF(Hypotheses!$B$30=0,J37,J36)</x:f>
        <x:v>173365.50000000003</x:v>
      </x:c>
      <x:c r="L37" s="18" t="n">
        <x:f>J37/(1+Hypotheses!$B$5)</x:f>
        <x:v>144471.25000000003</x:v>
      </x:c>
      <x:c r="M37" s="18" t="n">
        <x:f>J37-L37</x:f>
        <x:v>28894.25</x:v>
      </x:c>
      <x:c r="N37" s="18" t="n">
        <x:f>J37*(Hypotheses!$B$7+Hypotheses!$B$9)+G37*Hypotheses!$B$8*(1-Hypotheses!$B$10)</x:f>
        <x:v>4362.666000000001</x:v>
      </x:c>
      <x:c r="O37" s="18" t="n">
        <x:f>G37*Hypotheses!$B$6</x:f>
        <x:v>39900.00000000001</x:v>
      </x:c>
      <x:c r="P37" s="18" t="n">
        <x:f>F37*Hypotheses!$B$12</x:f>
        <x:v>30587.500000000044</x:v>
      </x:c>
      <x:c r="Q37" s="18" t="n">
        <x:f>IF(A37&lt;=6,Hypotheses!$B$18,IF(A37&lt;=12,Hypotheses!$B$19,IF(A37&lt;=24,Hypotheses!$B$20,Hypotheses!$B$21)))</x:f>
        <x:v>16000</x:v>
      </x:c>
      <x:c r="R37" s="18" t="n">
        <x:f>IF(A37&lt;=12,Hypotheses!$B$22,IF(A37&lt;=24,Hypotheses!$B$23,Hypotheses!$B$24))</x:f>
        <x:v>6500</x:v>
      </x:c>
      <x:c r="S37" s="18" t="n">
        <x:f>IF(A37&lt;=6,Hypotheses!$B$17/6,0)</x:f>
        <x:v>0</x:v>
      </x:c>
      <x:c r="T37" s="18" t="n">
        <x:f>S37*Hypotheses!$B$25*Hypotheses!$B$5+Q37*Hypotheses!$B$26*Hypotheses!$B$5+O37*Hypotheses!$B$27*Hypotheses!$B$5+P37*Hypotheses!$B$28*Hypotheses!$B$5</x:f>
        <x:v>9872.250000000007</x:v>
      </x:c>
      <x:c r="U37" s="18" t="n">
        <x:f>MAX(0,U36+T36-M36)</x:f>
        <x:v>0</x:v>
      </x:c>
      <x:c r="V37" s="18" t="n">
        <x:f>MAX(0,M36-T36-U36)</x:f>
        <x:v>17519.625</x:v>
      </x:c>
      <x:c r="W37" s="18" t="n">
        <x:f>N37+O37+P37+Q37+R37+S37+T37</x:f>
        <x:v>107222.41600000006</x:v>
      </x:c>
      <x:c r="X37" s="18" t="n">
        <x:f>K37-W37-V37</x:f>
        <x:v>48623.45899999997</x:v>
      </x:c>
      <x:c r="Y37" s="18" t="n">
        <x:f>Y36+X37</x:f>
        <x:v>96906.54399999995</x:v>
      </x:c>
      <x:c r="Z37" s="18" t="n">
        <x:f>Y37</x:f>
        <x:v>96906.54399999995</x:v>
      </x:c>
      <x:c r="AA37" s="18" t="n">
        <x:f>MAX(0,-Y37)</x:f>
        <x:v>0</x:v>
      </x:c>
      <x:c r="AB37" s="18" t="n">
        <x:f>L37-N37-O37</x:f>
        <x:v>100208.58400000003</x:v>
      </x:c>
      <x:c r="AC37" s="20" t="n">
        <x:f>IF(C37=0,0,E37/C37)</x:f>
        <x:v>0.03</x:v>
      </x:c>
      <x:c r="AD37" s="18" t="n">
        <x:f>P37/MAX(1,F37)</x:f>
        <x:v>150</x:v>
      </x:c>
      <x:c r="AE37" t="str">
        <x:v>Croissance</x:v>
      </x:c>
    </x:row>
    <x:row r="38" ht="19" customHeight="1">
      <x:c r="A38" t="n">
        <x:v>35</x:v>
      </x:c>
      <x:c r="B38" t="n">
        <x:f>IF(A38&lt;=12,1,IF(A38&lt;=24,2,3))</x:f>
        <x:v>3</x:v>
      </x:c>
      <x:c r="C38" s="18" t="n">
        <x:f>G37</x:f>
        <x:v>2216.666666666667</x:v>
      </x:c>
      <x:c r="D38" s="18" t="n">
        <x:f>IF(A38&lt;Hypotheses!$B$16,0,IF(A38&lt;=12,Hypotheses!$B$13*(A38-Hypotheses!$B$16+1)/(13-Hypotheses!$B$16),IF(A38&lt;=24,Hypotheses!$B$13+(Hypotheses!$B$14-Hypotheses!$B$13)*(A38-12)/12,Hypotheses!$B$14+(Hypotheses!$B$15-Hypotheses!$B$14)*(A38-24)/12)))</x:f>
        <x:v>2358.333333333333</x:v>
      </x:c>
      <x:c r="E38" s="18" t="n">
        <x:f>C38*Hypotheses!$B$11</x:f>
        <x:v>66.5</x:v>
      </x:c>
      <x:c r="F38" s="18" t="n">
        <x:f>MAX(0,D38-C38+E38)</x:f>
        <x:v>208.16666666666606</x:v>
      </x:c>
      <x:c r="G38" s="18" t="n">
        <x:f>C38-E38+F38</x:f>
        <x:v>2358.333333333333</x:v>
      </x:c>
      <x:c r="H38" s="18" t="n">
        <x:f>G38*Hypotheses!$B$4</x:f>
        <x:v>186308.3333333333</x:v>
      </x:c>
      <x:c r="I38" s="18" t="n">
        <x:f>H38*Hypotheses!$B$10</x:f>
        <x:v>1863.0833333333333</x:v>
      </x:c>
      <x:c r="J38" s="18" t="n">
        <x:f>H38-I38</x:f>
        <x:v>184445.24999999997</x:v>
      </x:c>
      <x:c r="K38" s="18" t="n">
        <x:f>IF(Hypotheses!$B$30=0,J38,J37)</x:f>
        <x:v>184445.24999999997</x:v>
      </x:c>
      <x:c r="L38" s="18" t="n">
        <x:f>J38/(1+Hypotheses!$B$5)</x:f>
        <x:v>153704.37499999997</x:v>
      </x:c>
      <x:c r="M38" s="18" t="n">
        <x:f>J38-L38</x:f>
        <x:v>30740.875</x:v>
      </x:c>
      <x:c r="N38" s="18" t="n">
        <x:f>J38*(Hypotheses!$B$7+Hypotheses!$B$9)+G38*Hypotheses!$B$8*(1-Hypotheses!$B$10)</x:f>
        <x:v>4641.482999999999</x:v>
      </x:c>
      <x:c r="O38" s="18" t="n">
        <x:f>G38*Hypotheses!$B$6</x:f>
        <x:v>42449.99999999999</x:v>
      </x:c>
      <x:c r="P38" s="18" t="n">
        <x:f>F38*Hypotheses!$B$12</x:f>
        <x:v>31224.99999999991</x:v>
      </x:c>
      <x:c r="Q38" s="18" t="n">
        <x:f>IF(A38&lt;=6,Hypotheses!$B$18,IF(A38&lt;=12,Hypotheses!$B$19,IF(A38&lt;=24,Hypotheses!$B$20,Hypotheses!$B$21)))</x:f>
        <x:v>16000</x:v>
      </x:c>
      <x:c r="R38" s="18" t="n">
        <x:f>IF(A38&lt;=12,Hypotheses!$B$22,IF(A38&lt;=24,Hypotheses!$B$23,Hypotheses!$B$24))</x:f>
        <x:v>6500</x:v>
      </x:c>
      <x:c r="S38" s="18" t="n">
        <x:f>IF(A38&lt;=6,Hypotheses!$B$17/6,0)</x:f>
        <x:v>0</x:v>
      </x:c>
      <x:c r="T38" s="18" t="n">
        <x:f>S38*Hypotheses!$B$25*Hypotheses!$B$5+Q38*Hypotheses!$B$26*Hypotheses!$B$5+O38*Hypotheses!$B$27*Hypotheses!$B$5+P38*Hypotheses!$B$28*Hypotheses!$B$5</x:f>
        <x:v>10216.499999999985</x:v>
      </x:c>
      <x:c r="U38" s="18" t="n">
        <x:f>MAX(0,U37+T37-M37)</x:f>
        <x:v>0</x:v>
      </x:c>
      <x:c r="V38" s="18" t="n">
        <x:f>MAX(0,M37-T37-U37)</x:f>
        <x:v>19021.999999999993</x:v>
      </x:c>
      <x:c r="W38" s="18" t="n">
        <x:f>N38+O38+P38+Q38+R38+S38+T38</x:f>
        <x:v>111032.98299999989</x:v>
      </x:c>
      <x:c r="X38" s="18" t="n">
        <x:f>K38-W38-V38</x:f>
        <x:v>54390.26700000009</x:v>
      </x:c>
      <x:c r="Y38" s="18" t="n">
        <x:f>Y37+X38</x:f>
        <x:v>151296.81100000005</x:v>
      </x:c>
      <x:c r="Z38" s="18" t="n">
        <x:f>Y38</x:f>
        <x:v>151296.81100000005</x:v>
      </x:c>
      <x:c r="AA38" s="18" t="n">
        <x:f>MAX(0,-Y38)</x:f>
        <x:v>0</x:v>
      </x:c>
      <x:c r="AB38" s="18" t="n">
        <x:f>L38-N38-O38</x:f>
        <x:v>106612.89199999996</x:v>
      </x:c>
      <x:c r="AC38" s="20" t="n">
        <x:f>IF(C38=0,0,E38/C38)</x:f>
        <x:v>0.029999999999999995</x:v>
      </x:c>
      <x:c r="AD38" s="18" t="n">
        <x:f>P38/MAX(1,F38)</x:f>
        <x:v>150</x:v>
      </x:c>
      <x:c r="AE38" t="str">
        <x:v>Croissance</x:v>
      </x:c>
    </x:row>
    <x:row r="39" ht="19" customHeight="1">
      <x:c r="A39" t="n">
        <x:v>36</x:v>
      </x:c>
      <x:c r="B39" t="n">
        <x:f>IF(A39&lt;=12,1,IF(A39&lt;=24,2,3))</x:f>
        <x:v>3</x:v>
      </x:c>
      <x:c r="C39" s="18" t="n">
        <x:f>G38</x:f>
        <x:v>2358.333333333333</x:v>
      </x:c>
      <x:c r="D39" s="18" t="n">
        <x:f>IF(A39&lt;Hypotheses!$B$16,0,IF(A39&lt;=12,Hypotheses!$B$13*(A39-Hypotheses!$B$16+1)/(13-Hypotheses!$B$16),IF(A39&lt;=24,Hypotheses!$B$13+(Hypotheses!$B$14-Hypotheses!$B$13)*(A39-12)/12,Hypotheses!$B$14+(Hypotheses!$B$15-Hypotheses!$B$14)*(A39-24)/12)))</x:f>
        <x:v>2500</x:v>
      </x:c>
      <x:c r="E39" s="18" t="n">
        <x:f>C39*Hypotheses!$B$11</x:f>
        <x:v>70.74999999999999</x:v>
      </x:c>
      <x:c r="F39" s="18" t="n">
        <x:f>MAX(0,D39-C39+E39)</x:f>
        <x:v>212.41666666666697</x:v>
      </x:c>
      <x:c r="G39" s="18" t="n">
        <x:f>C39-E39+F39</x:f>
        <x:v>2500</x:v>
      </x:c>
      <x:c r="H39" s="18" t="n">
        <x:f>G39*Hypotheses!$B$4</x:f>
        <x:v>197500</x:v>
      </x:c>
      <x:c r="I39" s="18" t="n">
        <x:f>H39*Hypotheses!$B$10</x:f>
        <x:v>1975</x:v>
      </x:c>
      <x:c r="J39" s="18" t="n">
        <x:f>H39-I39</x:f>
        <x:v>195525</x:v>
      </x:c>
      <x:c r="K39" s="18" t="n">
        <x:f>IF(Hypotheses!$B$30=0,J39,J38)</x:f>
        <x:v>195525</x:v>
      </x:c>
      <x:c r="L39" s="18" t="n">
        <x:f>J39/(1+Hypotheses!$B$5)</x:f>
        <x:v>162937.5</x:v>
      </x:c>
      <x:c r="M39" s="18" t="n">
        <x:f>J39-L39</x:f>
        <x:v>32587.5</x:v>
      </x:c>
      <x:c r="N39" s="18" t="n">
        <x:f>J39*(Hypotheses!$B$7+Hypotheses!$B$9)+G39*Hypotheses!$B$8*(1-Hypotheses!$B$10)</x:f>
        <x:v>4920.3</x:v>
      </x:c>
      <x:c r="O39" s="18" t="n">
        <x:f>G39*Hypotheses!$B$6</x:f>
        <x:v>45000</x:v>
      </x:c>
      <x:c r="P39" s="18" t="n">
        <x:f>F39*Hypotheses!$B$12</x:f>
        <x:v>31862.500000000044</x:v>
      </x:c>
      <x:c r="Q39" s="18" t="n">
        <x:f>IF(A39&lt;=6,Hypotheses!$B$18,IF(A39&lt;=12,Hypotheses!$B$19,IF(A39&lt;=24,Hypotheses!$B$20,Hypotheses!$B$21)))</x:f>
        <x:v>16000</x:v>
      </x:c>
      <x:c r="R39" s="18" t="n">
        <x:f>IF(A39&lt;=12,Hypotheses!$B$22,IF(A39&lt;=24,Hypotheses!$B$23,Hypotheses!$B$24))</x:f>
        <x:v>6500</x:v>
      </x:c>
      <x:c r="S39" s="18" t="n">
        <x:f>IF(A39&lt;=6,Hypotheses!$B$17/6,0)</x:f>
        <x:v>0</x:v>
      </x:c>
      <x:c r="T39" s="18" t="n">
        <x:f>S39*Hypotheses!$B$25*Hypotheses!$B$5+Q39*Hypotheses!$B$26*Hypotheses!$B$5+O39*Hypotheses!$B$27*Hypotheses!$B$5+P39*Hypotheses!$B$28*Hypotheses!$B$5</x:f>
        <x:v>10560.750000000007</x:v>
      </x:c>
      <x:c r="U39" s="18" t="n">
        <x:f>MAX(0,U38+T38-M38)</x:f>
        <x:v>0</x:v>
      </x:c>
      <x:c r="V39" s="18" t="n">
        <x:f>MAX(0,M38-T38-U38)</x:f>
        <x:v>20524.375000000015</x:v>
      </x:c>
      <x:c r="W39" s="18" t="n">
        <x:f>N39+O39+P39+Q39+R39+S39+T39</x:f>
        <x:v>114843.55000000005</x:v>
      </x:c>
      <x:c r="X39" s="18" t="n">
        <x:f>K39-W39-V39</x:f>
        <x:v>60157.07499999994</x:v>
      </x:c>
      <x:c r="Y39" s="18" t="n">
        <x:f>Y38+X39</x:f>
        <x:v>211453.886</x:v>
      </x:c>
      <x:c r="Z39" s="18" t="n">
        <x:f>Y39</x:f>
        <x:v>211453.886</x:v>
      </x:c>
      <x:c r="AA39" s="18" t="n">
        <x:f>MAX(0,-Y39)</x:f>
        <x:v>0</x:v>
      </x:c>
      <x:c r="AB39" s="18" t="n">
        <x:f>L39-N39-O39</x:f>
        <x:v>113017.20000000001</x:v>
      </x:c>
      <x:c r="AC39" s="20" t="n">
        <x:f>IF(C39=0,0,E39/C39)</x:f>
        <x:v>0.03</x:v>
      </x:c>
      <x:c r="AD39" s="18" t="n">
        <x:f>P39/MAX(1,F39)</x:f>
        <x:v>150</x:v>
      </x:c>
      <x:c r="AE39" t="str">
        <x:v>Croissance</x:v>
      </x:c>
    </x:row>
  </x:sheetData>
  <x:mergeCells>
    <x:mergeCell ref="A1:AE1"/>
  </x:mergeCells>
  <x:conditionalFormatting sqref="Y4:Z39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3" hidden="0" customWidth="1"/>
    <x:col min="3" max="3" width="56" hidden="0" customWidth="1"/>
  </x:cols>
  <x:sheetData>
    <x:row r="1" ht="32" customHeight="1">
      <x:c r="A1" s="3" t="str">
        <x:v>SUPER MAJORDOME IA | Tableau de bord CFO — V3</x:v>
      </x:c>
      <x:c r="B1" s="3"/>
      <x:c r="C1" s="3"/>
      <x:c r="D1" s="3"/>
      <x:c r="E1" s="3"/>
      <x:c r="F1" s="3"/>
    </x:row>
    <x:row r="3">
      <x:c r="A3" s="7" t="str">
        <x:v>Indicateur</x:v>
      </x:c>
      <x:c r="B3" s="7" t="str">
        <x:v>Valeur</x:v>
      </x:c>
      <x:c r="C3" s="7" t="str">
        <x:v>Commentaire</x:v>
      </x:c>
    </x:row>
    <x:row r="4" ht="23" customHeight="1">
      <x:c r="A4" t="str">
        <x:v>Financement minimal sans réserve</x:v>
      </x:c>
      <x:c r="B4" s="18" t="n">
        <x:f>MAX(0,-MIN('Tresorerie 36M'!Y4:Y39))</x:f>
        <x:v>172797.57549999998</x:v>
      </x:c>
      <x:c r="C4" t="str">
        <x:v>Point bas cumulatif, avant financement</x:v>
      </x:c>
    </x:row>
    <x:row r="5" ht="23" customHeight="1">
      <x:c r="A5" t="str">
        <x:v>Réserve de sécurité</x:v>
      </x:c>
      <x:c r="B5" s="18" t="n">
        <x:f>Hypotheses!B32</x:f>
        <x:v>40500</x:v>
      </x:c>
      <x:c r="C5" t="str">
        <x:v>Hypothèse non validée</x:v>
      </x:c>
    </x:row>
    <x:row r="6" ht="23" customHeight="1">
      <x:c r="A6" t="str">
        <x:v>Enveloppe à financer</x:v>
      </x:c>
      <x:c r="B6" s="23" t="n">
        <x:f>B4+B5</x:f>
        <x:v>213297.57549999998</x:v>
      </x:c>
      <x:c r="C6" t="str">
        <x:v>Financement initial théorique pour rester au-dessus de la réserve</x:v>
      </x:c>
    </x:row>
    <x:row r="7" ht="23" customHeight="1">
      <x:c r="A7" t="str">
        <x:v>Cash fin année 1</x:v>
      </x:c>
      <x:c r="B7" s="18" t="n">
        <x:f>'Tresorerie 36M'!Y15</x:f>
        <x:v>-136049.26299999998</x:v>
      </x:c>
      <x:c r="C7" t="str">
        <x:v>Avant financement</x:v>
      </x:c>
    </x:row>
    <x:row r="8" ht="23" customHeight="1">
      <x:c r="A8" t="str">
        <x:v>Cash fin année 2</x:v>
      </x:c>
      <x:c r="B8" s="18" t="n">
        <x:f>'Tresorerie 36M'!Y27</x:f>
        <x:v>-127339.31099999999</x:v>
      </x:c>
      <x:c r="C8" t="str">
        <x:v>Avant financement</x:v>
      </x:c>
    </x:row>
    <x:row r="9" ht="23" customHeight="1">
      <x:c r="A9" t="str">
        <x:v>Cash fin année 3</x:v>
      </x:c>
      <x:c r="B9" s="18" t="n">
        <x:f>'Tresorerie 36M'!Y39</x:f>
        <x:v>211453.886</x:v>
      </x:c>
      <x:c r="C9" t="str">
        <x:v>Avant financement</x:v>
      </x:c>
    </x:row>
    <x:row r="10" ht="23" customHeight="1">
      <x:c r="A10" t="str">
        <x:v>Acquisitions cumulées</x:v>
      </x:c>
      <x:c r="B10" s="18" t="n">
        <x:f>SUM('Tresorerie 36M'!F4:F39)</x:f>
        <x:v>3241</x:v>
      </x:c>
      <x:c r="C10" t="str">
        <x:v>Abonnements payants bruts</x:v>
      </x:c>
    </x:row>
    <x:row r="11" ht="23" customHeight="1">
      <x:c r="A11" t="str">
        <x:v>Dépenses CAC cumulées</x:v>
      </x:c>
      <x:c r="B11" s="18" t="n">
        <x:f>SUM('Tresorerie 36M'!P4:P39)</x:f>
        <x:v>486150.00000000006</x:v>
      </x:c>
      <x:c r="C11" t="str">
        <x:v>Hors autres dépenses marque</x:v>
      </x:c>
    </x:row>
    <x:row r="12" ht="23" customHeight="1">
      <x:c r="A12" t="str">
        <x:v>TVA nette versée</x:v>
      </x:c>
      <x:c r="B12" s="18" t="n">
        <x:f>SUM('Tresorerie 36M'!V4:V39)</x:f>
        <x:v>169446.75</x:v>
      </x:c>
      <x:c r="C12" t="str">
        <x:v>Approximation à un mois de décalage</x:v>
      </x:c>
    </x:row>
    <x:row r="13" ht="23" customHeight="1">
      <x:c r="A13" t="str">
        <x:v>Chiffre d'affaires HT encaissé</x:v>
      </x:c>
      <x:c r="B13" s="18" t="n">
        <x:f>SUM('Tresorerie 36M'!L4:L39)</x:f>
        <x:v>1772760</x:v>
      </x:c>
      <x:c r="C13" t="str">
        <x:v>Reconnaissance simplifiée sur paiements réussis</x:v>
      </x:c>
    </x:row>
    <x:row r="14" ht="23" customHeight="1">
      <x:c r="A14" t="str">
        <x:v>Frais paiement cumulés</x:v>
      </x:c>
      <x:c r="B14" s="18" t="n">
        <x:f>SUM('Tresorerie 36M'!N4:N39)</x:f>
        <x:v>53532.863999999994</x:v>
      </x:c>
      <x:c r="C14" t="str">
        <x:v>Stripe hypothétique</x:v>
      </x:c>
    </x:row>
    <x:row r="15" ht="23" customHeight="1">
      <x:c r="A15" t="str">
        <x:v>MVP HT</x:v>
      </x:c>
      <x:c r="B15" s="18" t="n">
        <x:f>SUM('Tresorerie 36M'!S4:S39)</x:f>
        <x:v>77050</x:v>
      </x:c>
      <x:c r="C15" t="str">
        <x:v>Dépense HT répartie M1–M6</x:v>
      </x:c>
    </x:row>
    <x:row r="16" ht="23" customHeight="1">
      <x:c r="A16" t="str">
        <x:v>Actifs fin année 3</x:v>
      </x:c>
      <x:c r="B16" s="18" t="n">
        <x:f>'Tresorerie 36M'!G39</x:f>
        <x:v>2500</x:v>
      </x:c>
      <x:c r="C16" t="str">
        <x:v>Cible du scénario</x:v>
      </x:c>
    </x:row>
    <x:row r="19">
      <x:c r="A19" t="str">
        <x:v>Attention : ce modèle est un scénario et ne remplace pas des devis, un test de vente, ni une simulation fiscale.</x:v>
      </x:c>
    </x:row>
  </x:sheetData>
  <x:mergeCells>
    <x:mergeCell ref="A1:F1"/>
    <x:mergeCell ref="A19:F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2" hidden="0" customWidth="1"/>
  </x:cols>
  <x:sheetData>
    <x:row r="1">
      <x:c r="A1" s="26" t="str">
        <x:v>MÉTHODOLOGIE</x:v>
      </x:c>
      <x:c r="B1" s="26" t="str">
        <x:v>Sources / limites</x:v>
      </x:c>
    </x:row>
    <x:row r="2" ht="35" customHeight="1">
      <x:c r="A2" t="str">
        <x:v>Périmètre</x:v>
      </x:c>
      <x:c r="B2" s="28" t="str">
        <x:v>36 mois ; tous les montants en euros ; prévision de trésorerie avant financement.</x:v>
      </x:c>
    </x:row>
    <x:row r="3" ht="35" customHeight="1">
      <x:c r="A3" t="str">
        <x:v>Fondateurs</x:v>
      </x:c>
      <x:c r="B3" s="28" t="str">
        <x:v>Aucune rémunération M1–M12 ; provisions globales M13–M36 à valider.</x:v>
      </x:c>
    </x:row>
    <x:row r="4" ht="35" customHeight="1">
      <x:c r="A4" t="str">
        <x:v>Ventes</x:v>
      </x:c>
      <x:c r="B4" s="28" t="str">
        <x:v>Abonnements payés d'avance : facturation mensuelle sur actifs de fin de mois ; acquisition brute réconcilie la cible et le churn.</x:v>
      </x:c>
    </x:row>
    <x:row r="5" ht="35" customHeight="1">
      <x:c r="A5" t="str">
        <x:v>Paiements</x:v>
      </x:c>
      <x:c r="B5" s="28" t="str">
        <x:v>Impayés paramétrables ; frais Stripe Payments et Billing calculés sur paiements réussis ; pas de commission App Store.</x:v>
      </x:c>
    </x:row>
    <x:row r="6" ht="35" customHeight="1">
      <x:c r="A6" t="str">
        <x:v>Versement PSP</x:v>
      </x:c>
      <x:c r="B6" s="28" t="str">
        <x:v>Hypothèse 0 ou 1 mois uniquement ; décalage modifiable, pas de fractionnement intra-mensuel.</x:v>
      </x:c>
    </x:row>
    <x:row r="7" ht="35" customHeight="1">
      <x:c r="A7" t="str">
        <x:v>TVA</x:v>
      </x:c>
      <x:c r="B7" s="28" t="str">
        <x:v>20 % de TVA collectée sur encaissements réussis ; TVA déductible estimée par taux d'éligibilité des postes ; crédit reporté ; paiement décalé d'un mois.</x:v>
      </x:c>
    </x:row>
    <x:row r="8" ht="35" customHeight="1">
      <x:c r="A8" t="str">
        <x:v>Limite TVA</x:v>
      </x:c>
      <x:c r="B8" s="28" t="str">
        <x:v>Modèle pédagogique : régime fiscal, exigibilité, territorialité, remboursement du crédit et TVA des fournisseurs à vérifier avec expert-comptable.</x:v>
      </x:c>
    </x:row>
    <x:row r="9" ht="35" customHeight="1">
      <x:c r="A9" t="str">
        <x:v>Dépenses</x:v>
      </x:c>
      <x:c r="B9" s="28" t="str">
        <x:v>MVP séparé des frais fixes ; coût variable hors frais de paiement ; CAC appliqué aux nouveaux abonnés bruts.</x:v>
      </x:c>
    </x:row>
    <x:row r="10" ht="35" customHeight="1">
      <x:c r="A10" t="str">
        <x:v>Financement</x:v>
      </x:c>
      <x:c r="B10" s="28" t="str">
        <x:v>Aucun financement simulé dans le flux ; point bas avant financement + réserve. Pas de BFR, impôt société, prêt, capitalisation ni dépenses imprévues hors MVP.</x:v>
      </x:c>
    </x:row>
    <x:row r="11" ht="35" customHeight="1">
      <x:c r="A11" t="str">
        <x:v>Sources officielles</x:v>
      </x:c>
      <x:c r="B11" s="28" t="str">
        <x:v>https://www.impots.gouv.fr ; https://stripe.com/fr/pricing ; https://stripe.com/billing/pricing</x:v>
      </x:c>
    </x:row>
    <x:row r="12" ht="35" customHeight="1">
      <x:c r="A12" t="str">
        <x:v>Statut</x:v>
      </x:c>
      <x:c r="B12" s="28" t="str">
        <x:v>Hypothèses internes non auditées, prix publics non contractuels ; demander validation Produit, Technique, Marketing, Finance et expert-comptable.</x:v>
      </x:c>
    </x:row>
  </x:sheetData>
  <x:pageMargins left="0.7" right="0.7" top="0.75" bottom="0.75" header="0.3" footer="0.3"/>
</x:worksheet>
</file>